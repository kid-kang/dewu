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activeTab="1"/>
  </bookViews>
  <sheets>
    <sheet name="sheet1" sheetId="1" r:id="rId1"/>
    <sheet name="Sheet2"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s>
  <definedNames>
    <definedName name="_xlnm._FilterDatabase" localSheetId="1" hidden="1">Sheet2!$A$1:$E$677</definedName>
    <definedName name="_xlnm._FilterDatabase" localSheetId="0" hidden="1">sheet1!$A$1:$AY$677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<sst xmlns="http://schemas.openxmlformats.org/spreadsheetml/2006/main" count="9992" uniqueCount="1093">
  <si>
    <t>SPUID</t>
  </si>
  <si>
    <t>商品标题</t>
  </si>
  <si>
    <t>商品货号</t>
  </si>
  <si>
    <t>品牌名称</t>
  </si>
  <si>
    <t>类目名称</t>
  </si>
  <si>
    <t>商品类型</t>
  </si>
  <si>
    <t>出价渠道</t>
  </si>
  <si>
    <t>支付金额</t>
  </si>
  <si>
    <t>7.1-7.9</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</si>
  <si>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</si>
  <si>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</si>
  <si>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</si>
  <si>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</si>
  <si>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</si>
  <si>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</si>
  <si>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</si>
  <si>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</si>
  <si>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</si>
  <si>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</si>
  <si>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</si>
  <si>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</si>
  <si>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</si>
  <si>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</si>
  <si>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</si>
  <si>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</si>
  <si>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</si>
  <si>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</si>
  <si>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</si>
  <si>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</si>
  <si>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</si>
  <si>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</si>
  <si>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</si>
  <si>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</si>
  <si>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</si>
  <si>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</si>
  <si>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</si>
  <si>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</si>
  <si>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</si>
  <si>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</si>
  <si>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</si>
  <si>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</si>
  <si>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</si>
  <si>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</si>
  <si>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</si>
  <si>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</si>
  <si>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</si>
  <si>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</si>
  <si>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</si>
  <si>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</si>
  <si>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</si>
  <si>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小森林皮肤衣轻量化户外骑行宽松冰凉降温强劲轻薄凉感透气防紫外线UPF50+ 多巴胺连帽防晒服 男女同款</t>
  </si>
  <si>
    <t>服装-外套-防晒服</t>
  </si>
  <si>
    <t>289-289</t>
  </si>
  <si>
    <t>伯希和PELLIOT 户外夏季速干圆领Polo衫款休闲短袖抑菌排汗登山徒步跑步健身运动T恤 男女同款</t>
  </si>
  <si>
    <t>服装-上衣-T恤</t>
  </si>
  <si>
    <t>139-139</t>
  </si>
  <si>
    <t>伯希和PELLIOT 经典1.0系列 户外防晒舒适运动薄款长裤吸湿排汗轻盈透气不闷汗徒步凉感登山速干裤 男款</t>
  </si>
  <si>
    <t>服装-户外运动服-速干裤</t>
  </si>
  <si>
    <t>219-219</t>
  </si>
  <si>
    <t>伯希和PELLIOT 夏季原纱薄款吸湿速干抗菌时尚简约纯色户外防晒运动跑步休闲弹力舒爽透气正肩短袖 Polo衫 男款</t>
  </si>
  <si>
    <t>伯希和PELLIOT  冰感高弹户外皮肤衣轻薄升级黑胶帽檐透气运动跑步钓鱼防晒服 男款</t>
  </si>
  <si>
    <t>169-169</t>
  </si>
  <si>
    <t>伯希和PELLIOT 户外运动登山徒步 沙滩遮阳防晒帽 可折叠大帽檐 聚酯纤维 渔夫帽 男女同款情侣款</t>
  </si>
  <si>
    <t>x1622</t>
  </si>
  <si>
    <t>流行饰品/眼镜/服配-帽子-渔夫帽</t>
  </si>
  <si>
    <t>一品一商</t>
  </si>
  <si>
    <t>94-94</t>
  </si>
  <si>
    <t>伯希和PELLIOT 经典1.0  户外高弹防刮耐磨透气舒适跑步运动裤CORDURA®科技面料可拆卸登山裤两截裤速干裤 男款</t>
  </si>
  <si>
    <t>201-259</t>
  </si>
  <si>
    <t>伯希和PELLIOT 户外夏季薄款运动跑步徒步百搭舒适吸湿排汗防风清爽长裤高弹透气轻量柔软UPF2000防晒裤直筒速干裤 男款</t>
  </si>
  <si>
    <t>249-249</t>
  </si>
  <si>
    <t>伯希和PELLIOT 夏季东丽面料户外短袖原纱防晒抗菌运动上衣修身吸汗透气显瘦柔感亲肤半高领休闲内搭速干T恤 男款</t>
  </si>
  <si>
    <t>服装-户外运动服-速干T恤</t>
  </si>
  <si>
    <t>239-239</t>
  </si>
  <si>
    <t>伯希和PELLIOT 户外棒球帽显脸小运动休闲时尚遮阳登山鸭舌帽 帽子 男女同款情侣款</t>
  </si>
  <si>
    <t>流行饰品/眼镜/服配-帽子-鸭舌帽</t>
  </si>
  <si>
    <t>79-79</t>
  </si>
  <si>
    <t>伯希和PELLIOT 30L 云川 大容量旅行专业徒步登山缓解重力轻便多功能背包双肩包户外包  织物多色  男女同款情侣款</t>
  </si>
  <si>
    <t>箱包-包袋-户外包</t>
  </si>
  <si>
    <t>329-329</t>
  </si>
  <si>
    <t>伯希和PELLIOT 经典1.0 轻风 UPF50+户外轻量专业皮肤衣轻薄防泼水多巴胺防晒服 男女同款</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</si>
  <si>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</si>
  <si>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</si>
  <si>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伯希和PELLIOT冲锋衣 小岩壳 时尚舒适单层防风防雨透气轻量外套专业户外服穿搭 儿童款</t>
  </si>
  <si>
    <t>童装-儿童上装-冲锋衣</t>
  </si>
  <si>
    <t>360-360</t>
  </si>
  <si>
    <t>伯希和PELLIOT 户外运动五分裤专业轻量吸湿凉感透气清爽高弹舒适工装跑步直筒短裤速干裤 男款</t>
  </si>
  <si>
    <t>伯希和PELLIOT 40L/60L 旅行轻量化大容量专业徒步登山包户外包  尼龙多色  男女同款情侣款</t>
  </si>
  <si>
    <t>309-349</t>
  </si>
  <si>
    <t>伯希和PELLIOT 经典1.0 户外运动跑步登山徒步速干短袖抗菌轻弹休闲百搭柔软亲肤舒适Polo衫 女款</t>
  </si>
  <si>
    <t>女装-上衣-Polo衫</t>
  </si>
  <si>
    <t>伯希和PELLIOT 经典1.0 户外登山徒步运动休闲内搭打底衫弹力透气立领跑步速干旅行穿搭 健身舒适长袖卫衣T恤 男款</t>
  </si>
  <si>
    <t>伯希和PELLIOT 专业户外运动速干短袖跑步吸湿抑菌半袖轻量透气打底百搭T恤 男款</t>
  </si>
  <si>
    <t>109-109</t>
  </si>
  <si>
    <t>伯希和PELLIOT 经典2.0 12L/18L/24L 逐光 多功能休闲轻量徒步大容量背包宽背带旅行书包四季登山包户外包  防泼水织物多色  男女同款情侣款</t>
  </si>
  <si>
    <t>240-340</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</si>
  <si>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</si>
  <si>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</si>
  <si>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</si>
  <si>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</si>
  <si>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鞋-运动鞋-登山鞋/徒步鞋</t>
  </si>
  <si>
    <t>550-550</t>
  </si>
  <si>
    <t>伯希和PELLIOT  岩壳新加色 宽松户外硬壳专业运动跑步百搭登山服外套  徒步滑雪 透气耐磨冲锋衣 男女同款</t>
  </si>
  <si>
    <t>124101048-新加色</t>
  </si>
  <si>
    <t>服装-外套-冲锋衣</t>
  </si>
  <si>
    <t>690-690</t>
  </si>
  <si>
    <t>伯希和PELLIOT  岩壳 性能系列全防护单层硬壳防风防水专业登山服硬核外套耐磨时尚实用 冲锋衣 男女同款</t>
  </si>
  <si>
    <t>PE1124101048</t>
  </si>
  <si>
    <t>伯希和PELLIOT 经典1.0 轻风 防紫外线户外运动连帽轻量透气UPF50+ 专业皮肤衣轻薄防泼水多巴胺衣服防晒服 女款</t>
  </si>
  <si>
    <t>女装-外套-防晒服</t>
  </si>
  <si>
    <t>伯希和PELLIOT  玫瑰山壳硬壳百搭宽松防风防水运动跑步登山服全天候三层压胶工艺 冲锋衣 男女同款</t>
  </si>
  <si>
    <t>12340164-新加色</t>
  </si>
  <si>
    <t>699-699</t>
  </si>
  <si>
    <t>伯希和PELLIOT 经典1.0 功能内衣户外滑雪排汗舒适透气速干秋衣秋裤运动肌底衣保暖套装 男女同款</t>
  </si>
  <si>
    <t>内衣-内衣裤-保暖套装</t>
  </si>
  <si>
    <t>279-279</t>
  </si>
  <si>
    <t>伯希和PELLIOT 经典2.0 户外保暖防风保温亲肤内胆羊羔绒摇粒绒运动旅行舒适百搭穿搭开衫立领抓绒衣 男款</t>
  </si>
  <si>
    <t>服装-户外运动服-抓绒衣</t>
  </si>
  <si>
    <t>229-229</t>
  </si>
  <si>
    <t>伯希和PELLIOT  经典2.0山野 专属色专业户外通勤运动徒步登山外套时尚简约纯色拼接休闲  防水防风透气耐磨保暖冲锋衣 男款</t>
  </si>
  <si>
    <t>11340105-2025</t>
  </si>
  <si>
    <t>489-489</t>
  </si>
  <si>
    <t>伯希和PELLIOT 伞兵裤防泼拒水时尚宽松遮肉亲肤透气阔腿裤徒步登山运动速干裤 男女同款</t>
  </si>
  <si>
    <t>PE124314376</t>
  </si>
  <si>
    <t>380-380</t>
  </si>
  <si>
    <t>伯希和PELLIOT 无容量 运动骑行腰包反光条晨跑夜跑健身密封拉链多口袋分区轻便日常手机袋跑步包户外包  织物多色  男女同款情侣款</t>
  </si>
  <si>
    <t>49-49</t>
  </si>
  <si>
    <t>伯希和PELLIOT 专业户外防泼水轻薄透气快干舒适塔丝科面料云感科技篮球跑步百搭运动短裤 男女同款</t>
  </si>
  <si>
    <t>服装-健身服-运动短裤</t>
  </si>
  <si>
    <t>199-199</t>
  </si>
  <si>
    <t>伯希和PELLIOT  山野 户外运动机能通勤登山徒步抓绒内胆可拆卸三合一外套 冲锋衣 男女同款</t>
  </si>
  <si>
    <t>11340105-CF05</t>
  </si>
  <si>
    <t>伯希和PELLIOT 经典1.0 RT-2 溯溪鞋潮汐沙滩鞋登山徒步涉水鞋百搭凉鞋 低帮 户外功能鞋 男女同款</t>
  </si>
  <si>
    <t>鞋-运动鞋-户外功能鞋</t>
  </si>
  <si>
    <t>309-309</t>
  </si>
  <si>
    <t>伯希和PELLIOT 经典1.0 东丽面料经典款户外徒步运动轻弹透气抑菌休闲T恤商务无缝工艺速干短袖Polo衫 男款</t>
  </si>
  <si>
    <t>伯希和PELLIOT 户外夏季凉感薄款登山徒步速干衣抑菌轻弹休闲百搭 运动柔软亲肤正肩打底短袖Polo衫 男女同款</t>
  </si>
  <si>
    <t>伯希和PELLIOT  风盾轻量透气弹力舒适耐磨时尚简约防水防风保暖夹克运动休闲穿搭加绒登山服  软壳衣  女款</t>
  </si>
  <si>
    <t>女装-外套-软壳衣</t>
  </si>
  <si>
    <t>369-369</t>
  </si>
  <si>
    <t>伯希和PELLIOT  山野 登山徒步抓绒内胆可拆卸三合一通勤穿搭  防水防风透气防泼水耐磨保暖冲锋衣 女款</t>
  </si>
  <si>
    <t>女装-外套-冲锋衣</t>
  </si>
  <si>
    <t>伯希和PELLIOT 经典1.0系列 风盾  户外运动跑步徒步登山日常通勤开衫加绒高弹轻便耐磨外套时尚休闲舒适百搭夹克卫衣 软壳衣 男款</t>
  </si>
  <si>
    <t>服装-外套-软壳衣</t>
  </si>
  <si>
    <t>379-379</t>
  </si>
  <si>
    <t>伯希和PELLIOT 山壳PRO 经典户外运动硬壳三防全压胶登山裤防水防风防污百搭舒适耐磨透气冲锋裤 男款</t>
  </si>
  <si>
    <t>服装-长裤-冲锋裤</t>
  </si>
  <si>
    <t>580-580</t>
  </si>
  <si>
    <t>伯希和PELLIOT RT-1 伯希和户外Vibram快速排水夏季专业水陆两栖涉水鞋 防滑透气速干轻便回弹耐磨 溯溪鞋 男款</t>
  </si>
  <si>
    <t>鞋-凉鞋/拖鞋-溯溪鞋</t>
  </si>
  <si>
    <t>479-479</t>
  </si>
  <si>
    <t>伯希和PELLIOT 户外运动薄款原纱型吸湿时尚简约纯色防晒上衣跑步休闲弹力透气舒适速干短袖百搭Polo衫 女款</t>
  </si>
  <si>
    <t>189-199</t>
  </si>
  <si>
    <t>伯希和PELLIOT 小森林UPF50+舒适运动户外轻薄透气凉感纯色宽松防紫外线轻量连帽外套穿搭 防水超轻防晒服 男女同款</t>
  </si>
  <si>
    <t>12421220-新加色</t>
  </si>
  <si>
    <t>伯希和PELLIOT 20L 轻便徒步运动出行简约时尚大容量登山包双肩包户外包  锦纶多色  男女同款情侣款</t>
  </si>
  <si>
    <t>350-350</t>
  </si>
  <si>
    <t>伯希和PELLIOT   户外薄款短袖防晒抑菌透气运动跑步上衣修身显瘦休闲内搭导汗不沾身速干 T恤 女款</t>
  </si>
  <si>
    <t>PE125215026</t>
  </si>
  <si>
    <t>女装-户外运动服-速干T恤</t>
  </si>
  <si>
    <t>伯希和PELLIOT 小光盾专业版UPF50+防紫外线外套皮肤衣运动户外舒适百搭轻薄透气宽松 速干防晒服 男女同款</t>
  </si>
  <si>
    <t>伯希和PELLIOT 夏季户外运动修身塑形冰感高弹散热轻薄皮肤衣立领短款外套时尚百搭亲肤 超轻透气速干防紫外线凉感防晒服 女款</t>
  </si>
  <si>
    <t>伯希和PELLIOT 经典1.0 小森林CT 轻薄透气衣户外运动徒步UPF50+防紫外线皮肤衣可收纳轻量化舒适百搭 超轻速干防晒服 女款</t>
  </si>
  <si>
    <t>伯希和PELLIOT  经典2.0 山野 户外徒步登山运动防风防水透气保暖抓绒内胆可拆卸通勤三合一 冲锋衣 男款</t>
  </si>
  <si>
    <t>伯希和PELLIOT  经典1.0 山色收腰防水防风保暖登山徒步滑雪旅行三合一可拆卸抓绒内胆透气耐磨 冲锋衣 女款</t>
  </si>
  <si>
    <t>569-569</t>
  </si>
  <si>
    <t>伯希和PELLIOT 户外薄款抗菌弹力透气跑步半袖修身简约纯色吸湿排汗专业运动圆领速干短袖百搭上衣T恤 男款</t>
  </si>
  <si>
    <t>149-149</t>
  </si>
  <si>
    <t>伯希和PELLIOT RT-曼巴ROCKYTEC科技大底舒适时尚快速排水网面快干撞色超轻凉鞋 防滑防水透气轻便耐磨包裹性平衡防撞抓地 溯溪鞋 男款</t>
  </si>
  <si>
    <t>伯希和PELLIOT 户外速干短袖运动跑步吸湿排汗抑菌高弹轻量防晒绵软亲肤舒适百搭POLO衫 男款</t>
  </si>
  <si>
    <t>299-299</t>
  </si>
  <si>
    <t>伯希和PELLIOT 小森林2.0升级款UPF50+专业户外运动跑步皮肤衣百搭轻薄宽松舒适 透气速干防紫外线防风超轻防晒服 男女同款</t>
  </si>
  <si>
    <t>349-349</t>
  </si>
  <si>
    <t>伯希和PELLIOT 专业线 Polartec200摇粒绒保暖防风超轻透气打底裤户外登山裤内胆秋冬 抓绒裤 男款</t>
  </si>
  <si>
    <t>服装-户外运动服-抓绒裤</t>
  </si>
  <si>
    <t>290-290</t>
  </si>
  <si>
    <t>伯希和PELLIOT 户外针织帽防风保暖抗寒登山滑雪出行通勤运动骑行轻弹舒适 针织冷帽秋冬 腈纶 帽子 男女同款情侣款</t>
  </si>
  <si>
    <t>流行饰品/眼镜/服配-帽子-绒线帽</t>
  </si>
  <si>
    <t>伯希和PELLIOT 经典1.0系列 DWR防泼水科技面料户外专业运动高弹抗撕裂透气快干裤子宽松五分裤舒适百搭休闲短裤 男款</t>
  </si>
  <si>
    <t>服装-短裤-休闲短裤</t>
  </si>
  <si>
    <t>伯希和PELLIOT 户外运动骑行旅游多功能休闲登山跑步斜挎腰包  涤纶多色  男女同款情侣款</t>
  </si>
  <si>
    <t>119-119</t>
  </si>
  <si>
    <t>伯希和PELLIOT 小光盾 冰丝专upf50+皮肤衣业 透气防水防紫外线防晒服 女款</t>
  </si>
  <si>
    <t>179-179</t>
  </si>
  <si>
    <t>伯希和PELLIOT 户外运动软壳裤防风防水工装裤高弹透气跑步长裤徒步舒适百搭 休闲裤 男款</t>
  </si>
  <si>
    <t>服装-长裤-软壳裤</t>
  </si>
  <si>
    <t>伯希和PELLIOT 经典1.0 户外运动修身高弹显瘦不闷热轻薄原纱凉感皮肤衣防紫外线舒适百搭防晒服 女款</t>
  </si>
  <si>
    <t>伯希和PELLIOT 户外运动速干裤高弹透气徒步裤子休闲束脚跑步舒适百搭通勤长裤登山裤 男女同款</t>
  </si>
  <si>
    <t>服装-长裤-针织运动裤</t>
  </si>
  <si>
    <t>190-190</t>
  </si>
  <si>
    <t>伯希和PELLIOT 户外防晒防紫外线薄款透气跑步电动车防滑 手套 男女同款情侣款</t>
  </si>
  <si>
    <t>流行饰品/眼镜/服配-防晒服配-防晒手套</t>
  </si>
  <si>
    <t>伯希和PELLIOT 30L 大容量徒步越野登山包轻便大容量徒步轻便防水背包旅行双肩包  锦纶 男女同款情侣款</t>
  </si>
  <si>
    <t>伯希和PELLIOT 山壳 全天候硬壳户外工装裤防风防水登山徒步运动 透气耐磨时尚耐用多巴胺冲锋裤 男款</t>
  </si>
  <si>
    <t>伯希和PELLIOT 经典1.0 城市户外运动跑步舒适保暖休闲柔软亲肤耐磨半高领套头摇粒绒登山徒步内搭抓绒衣 男款</t>
  </si>
  <si>
    <t>伯希和PELLIOT  经典1.0 户外运动登山抓绒内胆可拆卸三合一连帽  攀登高海拔环境都市生活/旅游/通勤 防水防风透气耐磨保暖冲锋衣 男女同款</t>
  </si>
  <si>
    <t>559-559</t>
  </si>
  <si>
    <t>伯希和PELLIOT 城市户外系列 登山徒步保暖防风透气耐磨摇粒绒卫裤休闲裤男直筒裤抓绒裤 女</t>
  </si>
  <si>
    <t>女装-户外运动服-抓绒裤</t>
  </si>
  <si>
    <t>伯希和PELLIOT 户外运动徒步透气防水防刮耐磨直筒郊游自驾游登山裤弹力时尚百搭舒适速干裤 女款</t>
  </si>
  <si>
    <t>女装-户外运动服-速干裤</t>
  </si>
  <si>
    <t>伯希和PELLIOT 城市户外系列UPF50+宽松弹力显瘦阔腿裤垂感透气百搭高腰束脚防晒休闲裤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</si>
  <si>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</si>
  <si>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</si>
  <si>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经典1.0 纯色凉感百搭有型外套舒适 超轻透气速干防紫外线防晒服 女款</t>
  </si>
  <si>
    <t>伯希和PELLIOT 经典2.0 户外徒步运动休闲旅行穿搭恒温保暖层柔软日常百搭舒适抓绒衣 女款</t>
  </si>
  <si>
    <t>女装-户外运动服-抓绒衣</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</si>
  <si>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</si>
  <si>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</si>
  <si>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外出跑步简约百搭轻便 涤纶 手机包 男女同款情侣款 多色</t>
  </si>
  <si>
    <t>16302602-2025</t>
  </si>
  <si>
    <t>箱包-包袋-手机包</t>
  </si>
  <si>
    <t>伯希和PELLIOT  山壳PRO 拼色硬壳防暴雨时尚多用休闲登山服  户外远足 防水防风透气耐磨轻量冲锋衣 女款</t>
  </si>
  <si>
    <t>124301006-2025</t>
  </si>
  <si>
    <t>739-739</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</si>
  <si>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</si>
  <si>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</si>
  <si>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</si>
  <si>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589-589</t>
  </si>
  <si>
    <t>伯希和PELLIOT 山壳PRO 户外运动跑步硬壳三防全压胶登山裤防水防雨防风防污耐磨舒适百搭冲锋裤 女款</t>
  </si>
  <si>
    <t>女装-长裤-冲锋裤</t>
  </si>
  <si>
    <t>伯希和PELLIOT  山野  经典3.0进阶款户外通勤三合一登山服可拆卸外套舒适百搭  防水防风透气耐磨保暖冲锋衣 男款</t>
  </si>
  <si>
    <t>115301054-新加色</t>
  </si>
  <si>
    <t>599-599</t>
  </si>
  <si>
    <t>伯希和PELLIOT  雪壳 经典户外运动硬壳TORAY防水耐磨轻量防风防雨透气全压胶专业登山服舒适百搭外套 冲锋衣 男女同款</t>
  </si>
  <si>
    <t>990-990</t>
  </si>
  <si>
    <t>伯希和PELLIOT 防风防水简约修身立领舒适百搭户外城市通勤骑行耐磨休闲外套时尚保暖夹克 男款</t>
  </si>
  <si>
    <t>服装-外套-夹克</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</si>
  <si>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</si>
  <si>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</si>
  <si>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</si>
  <si>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</si>
  <si>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童装-儿童上装-防晒衣</t>
  </si>
  <si>
    <t>伯希和PELLIOT   经典2.0 户外运动跑步健身轻量高弹长裤透气舒适时尚百搭徒步登山裤日常直筒修身速干裤 女款</t>
  </si>
  <si>
    <t>伯希和PELLIOT 户外薄款透气跑步吸湿排汗抗菌修身短袖半高领柔软亲肤休闲半袖高弹面料速干专业运动T恤 男款</t>
  </si>
  <si>
    <t>伯希和PELLIOT 户外宽松防风轻薄连帽运动外套凉感柔软舒适百搭有型防晒服 男款</t>
  </si>
  <si>
    <t>伯希和PELLIOT 风盾 LT 系列 伯希和户外徒步登山裤CORDURA透气耐磨高弹运动裤跑步舒适休闲 软壳裤 男款</t>
  </si>
  <si>
    <t>499-499</t>
  </si>
  <si>
    <t>伯希和PELLIOT HT-远见 专业户外运动Vibram大底减震全地形轻量 低帮 徒步鞋 女款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</si>
  <si>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</si>
  <si>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</si>
  <si>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</si>
  <si>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</si>
  <si>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</si>
  <si>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659-659</t>
  </si>
  <si>
    <t>伯希和PELLIOT  山野 3.0  三合一运动户外舒适百搭通勤摇粒绒内胆腋下透气拉链  徒步 耐磨防水防风保暖冲锋衣 女款</t>
  </si>
  <si>
    <t>伯希和PELLIOT  山野 3.0  徒步接缝全压胶三合一可拆卸内胆  防水防风透气耐磨保暖冲锋衣 男款</t>
  </si>
  <si>
    <t>伯希和PELLIOT CT-驰风户外跑鞋轻量缓震登山徒步跑山鞋 低帮 休闲越野跑步鞋 女款</t>
  </si>
  <si>
    <t>PE125119026</t>
  </si>
  <si>
    <t>鞋-运动鞋-跑步鞋</t>
  </si>
  <si>
    <t>399-399</t>
  </si>
  <si>
    <t>伯希和PELLIOT ct-驰风 户外运动通勤包裹性增高平衡缓震系带徒步轻量TPU透气Blast中底防撞击网面 越野跑鞋 鞋子男</t>
  </si>
  <si>
    <t>鞋-运动鞋-越野跑鞋</t>
  </si>
  <si>
    <t>伯希和PELLIOT  山壳 宽松透气单层硬壳防暴雨专业登山服外套  防水防风耐磨冲锋衣 男女同款</t>
  </si>
  <si>
    <t>12340164-2025</t>
  </si>
  <si>
    <t>伯希和PELLIOT 户外魔术头巾徒步骑行沙漠防沙跑步脖套围脖 聚酯纤维 防晒面罩 男女同款情侣款</t>
  </si>
  <si>
    <t>38-38</t>
  </si>
  <si>
    <t>伯希和PELLIOT 经典1.0 东丽面料户外800蓬轻量时尚排骨设计保暖登山内胆可叠穿简约百搭轻薄鹅绒羽绒服 女款</t>
  </si>
  <si>
    <t>女装-外套-羽绒服</t>
  </si>
  <si>
    <t>520-520</t>
  </si>
  <si>
    <t>伯希和PELLIOT P系列 暖盾2.0 专业Polartec200户外轻量保暖内胆摇粒绒防风舒适时尚连帽运动跑步秋季上衣卫衣抓绒衣 男款</t>
  </si>
  <si>
    <t>390-390</t>
  </si>
  <si>
    <t>伯希和PELLIOT 泡芙户外800蓬95%鹅绒防风防泼水面包服高密防钻绒立领宽松羽绒服 女款</t>
  </si>
  <si>
    <t>1360-1360</t>
  </si>
  <si>
    <t>伯希和PELLIOT  三合一鹅绒内胆保暖防风可拆卸透气防水徒步 户外登山服 女款</t>
  </si>
  <si>
    <t>伯希和PELLIOT P系列 户外金标P棉马甲Primaloft气凝胶秋冬保暖棉服男外套 男款</t>
  </si>
  <si>
    <t>PE114376127</t>
  </si>
  <si>
    <t>服装-外套-马甲</t>
  </si>
  <si>
    <t>伯希和PELLIOT 经典2.0 暴雨级防水长裤户外运动多功能徒步登山裤保暖透气耐磨舒适防风三合一冲锋裤 男女同款</t>
  </si>
  <si>
    <t>PE114302081</t>
  </si>
  <si>
    <t>480-480</t>
  </si>
  <si>
    <t>伯希和PELLIOT  山野 经典2.0 徒步登山防水外套三合一可拆卸保暖抓绒内胆通勤时尚 冲锋衣 男款</t>
  </si>
  <si>
    <t>11340105-新加色</t>
  </si>
  <si>
    <t>伯希和PELLIOT  岩壳PRO 硬壳单冲升级RECCO防暴雨透气宽松户外专业全防护登山服时尚耐磨 冲锋衣 男女同款</t>
  </si>
  <si>
    <t>890-890</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</si>
  <si>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</si>
  <si>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</si>
  <si>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服装-长裤-休闲裤</t>
  </si>
  <si>
    <t>260-260</t>
  </si>
  <si>
    <t>伯希和PELLIOT 徒步系列 防滑吸汗透气抗菌防臭长袜包裹篮球袜中筒袜 男女同款 一双装</t>
  </si>
  <si>
    <t>内衣-袜子-中筒袜</t>
  </si>
  <si>
    <t>伯希和PELLIOT上装 户外郊游轻量化百搭抗造耐磨无异味防风防泼水轻薄透气高弹软壳衣 儿童款</t>
  </si>
  <si>
    <t>PE13415145</t>
  </si>
  <si>
    <t>童装-儿童上装-其他上装</t>
  </si>
  <si>
    <t>伯希和PELLIOT 防泼水单肩包胸包斜挎包日常出行通勤运动户外包  防刮耐磨多色  男女同款情侣款</t>
  </si>
  <si>
    <t>伯希和PELLIOT  追风  户外运动三合一抓绒内胆防风防暴雨保暖耐磨徒步登山服舒适连帽外套 冲锋衣 男女同款</t>
  </si>
  <si>
    <t>伯希和PELLIOT  山壳PRO 拼色硬壳三层压胶户外防风防暴雨宽松时尚登山服透气耐磨通勤运动多巴胺全天候全场景  徒步攀登冲锋衣 男女同款</t>
  </si>
  <si>
    <t>伯希和PELLIOT 10L 休闲女旅行手提通勤男士轻量化运动徒步登山背包户外包  锦纶多色  男女同款情侣款</t>
  </si>
  <si>
    <t>伯希和PELLIOT HT-轻云 户外登山鞋越野跑鞋全地形徒步鞋 时尚百搭四季款 低帮 生活休闲鞋 男女同款</t>
  </si>
  <si>
    <t>伯希和PELLIOT  户外运动防水透气长裤高弹耐磨登山裤直筒裤舒适百搭  休闲裤  女款</t>
  </si>
  <si>
    <t>女装-长裤-软壳裤</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</si>
  <si>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</si>
  <si>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</si>
  <si>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</si>
  <si>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</si>
  <si>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</si>
  <si>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</si>
  <si>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</si>
  <si>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</si>
  <si>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</si>
  <si>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</si>
  <si>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</si>
  <si>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</si>
  <si>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</si>
  <si>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</si>
  <si>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</si>
  <si>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</si>
  <si>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</si>
  <si>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</si>
  <si>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</si>
  <si>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</si>
  <si>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</si>
  <si>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</si>
  <si>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</si>
  <si>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</si>
  <si>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</si>
  <si>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</si>
  <si>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</si>
  <si>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</si>
  <si>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</si>
  <si>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</si>
  <si>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</si>
  <si>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</si>
  <si>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</si>
  <si>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</si>
  <si>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</si>
  <si>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</si>
  <si>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</si>
  <si>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</si>
  <si>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</si>
  <si>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</si>
  <si>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</si>
  <si>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</si>
  <si>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</si>
  <si>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</si>
  <si>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</si>
  <si>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</si>
  <si>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</si>
  <si>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</si>
  <si>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</si>
  <si>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</si>
  <si>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</si>
  <si>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</si>
  <si>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</si>
  <si>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</si>
  <si>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</si>
  <si>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</si>
  <si>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</si>
  <si>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</si>
  <si>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</si>
  <si>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</si>
  <si>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</si>
  <si>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</si>
  <si>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69-69</t>
  </si>
  <si>
    <t>伯希和PELLIOT 防潮垫自动充气床垫 户外露营单人 可拼接睡垫</t>
  </si>
  <si>
    <t>户外装备-露营/野炊装备-户外充气床</t>
  </si>
  <si>
    <t>普通现货</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</si>
  <si>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</si>
  <si>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</si>
  <si>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</si>
  <si>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</si>
  <si>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</si>
  <si>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</si>
  <si>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</si>
  <si>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</si>
  <si>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服装-外套-羽绒服</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</si>
  <si>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</si>
  <si>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</si>
  <si>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</si>
  <si>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</si>
  <si>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</si>
  <si>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</si>
  <si>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</si>
  <si>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</si>
  <si>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</si>
  <si>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</si>
  <si>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</si>
  <si>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经典2.0 户外排骨轻薄800蓬95%轻奢鹅绒东丽GRAMART克轻防风轻量不臃肿羽绒服 男款</t>
  </si>
  <si>
    <t>639-639</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</si>
  <si>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</si>
  <si>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</si>
  <si>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</si>
  <si>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</si>
  <si>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</si>
  <si>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</si>
  <si>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</si>
  <si>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</si>
  <si>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</si>
  <si>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</si>
  <si>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</si>
  <si>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</si>
  <si>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</si>
  <si>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</si>
  <si>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</si>
  <si>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</si>
  <si>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</si>
  <si>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</si>
  <si>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</si>
  <si>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</si>
  <si>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</si>
  <si>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</si>
  <si>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</si>
  <si>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</si>
  <si>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</si>
  <si>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</si>
  <si>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</si>
  <si>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</si>
  <si>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</si>
  <si>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</si>
  <si>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</si>
  <si>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</si>
  <si>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</si>
  <si>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</si>
  <si>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</si>
  <si>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</si>
  <si>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</si>
  <si>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山壳 户外运动硬壳三层压胶单层防风防水登山服多巴胺宽松 冲锋衣 男女同款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</si>
  <si>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</si>
  <si>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</si>
  <si>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</si>
  <si>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</si>
  <si>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</si>
  <si>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</si>
  <si>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</si>
  <si>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</si>
  <si>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</si>
  <si>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</si>
  <si>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</si>
  <si>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</si>
  <si>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</si>
  <si>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</si>
  <si>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</si>
  <si>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</si>
  <si>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</si>
  <si>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</si>
  <si>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</si>
  <si>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</si>
  <si>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</si>
  <si>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</si>
  <si>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</si>
  <si>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</si>
  <si>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</si>
  <si>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</si>
  <si>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</si>
  <si>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</si>
  <si>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</si>
  <si>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</si>
  <si>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</si>
  <si>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</si>
  <si>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</si>
  <si>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</si>
  <si>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</si>
  <si>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</si>
  <si>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</si>
  <si>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</si>
  <si>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</si>
  <si>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</si>
  <si>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</si>
  <si>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</si>
  <si>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</si>
  <si>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</si>
  <si>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</si>
  <si>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</si>
  <si>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</si>
  <si>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</si>
  <si>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</si>
  <si>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</si>
  <si>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</si>
  <si>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</si>
  <si>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</si>
  <si>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</si>
  <si>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</si>
  <si>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</si>
  <si>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</si>
  <si>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</si>
  <si>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</si>
  <si>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</si>
  <si>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</si>
  <si>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</si>
  <si>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</si>
  <si>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</si>
  <si>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</si>
  <si>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</si>
  <si>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</si>
  <si>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</si>
  <si>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</si>
  <si>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</si>
  <si>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</si>
  <si>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</si>
  <si>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</si>
  <si>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</si>
  <si>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</si>
  <si>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</si>
  <si>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</si>
  <si>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</si>
  <si>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</si>
  <si>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</si>
  <si>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</si>
  <si>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</si>
  <si>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</si>
  <si>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</si>
  <si>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</si>
  <si>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</si>
  <si>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</si>
  <si>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</si>
  <si>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</si>
  <si>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</si>
  <si>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</si>
  <si>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</si>
  <si>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</si>
  <si>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</si>
  <si>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</si>
  <si>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</si>
  <si>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</si>
  <si>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</si>
  <si>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</si>
  <si>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</si>
  <si>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</si>
  <si>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</si>
  <si>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</si>
  <si>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</si>
  <si>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</si>
  <si>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</si>
  <si>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</si>
  <si>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</si>
  <si>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</si>
  <si>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</si>
  <si>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</si>
  <si>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</si>
  <si>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</si>
  <si>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</si>
  <si>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</si>
  <si>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</si>
  <si>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</si>
  <si>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</si>
  <si>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</si>
  <si>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</si>
  <si>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</si>
  <si>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</si>
  <si>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</si>
  <si>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</si>
  <si>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</si>
  <si>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</si>
  <si>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</si>
  <si>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</si>
  <si>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</si>
  <si>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</si>
  <si>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</si>
  <si>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</si>
  <si>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</si>
  <si>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</si>
  <si>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</si>
  <si>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</si>
  <si>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</si>
  <si>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</si>
  <si>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</si>
  <si>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</si>
  <si>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</si>
  <si>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</si>
  <si>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</si>
  <si>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</si>
  <si>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</si>
  <si>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</si>
  <si>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</si>
  <si>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</si>
  <si>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</si>
  <si>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</si>
  <si>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</si>
  <si>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</si>
  <si>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</si>
  <si>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</si>
  <si>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</si>
  <si>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</si>
  <si>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</si>
  <si>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</si>
  <si>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</si>
  <si>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</si>
  <si>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</si>
  <si>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</si>
  <si>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</si>
  <si>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</si>
  <si>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</si>
  <si>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</si>
  <si>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</si>
  <si>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</si>
  <si>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</si>
  <si>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</si>
  <si>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</si>
  <si>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</si>
  <si>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</si>
  <si>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</si>
  <si>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</si>
  <si>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</si>
  <si>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</si>
  <si>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</si>
  <si>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</si>
  <si>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</si>
  <si>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</si>
  <si>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</si>
  <si>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</si>
  <si>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</si>
  <si>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</si>
  <si>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</si>
  <si>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</si>
  <si>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</si>
  <si>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</si>
  <si>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</si>
  <si>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</si>
  <si>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</si>
  <si>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</si>
  <si>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</si>
  <si>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</si>
  <si>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</si>
  <si>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</si>
  <si>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</si>
  <si>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</si>
  <si>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</si>
  <si>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伯希和PELLIOT登山杖 户外轻便易携带防滑耐磨耐用 铝合金 54-110CM 通用</t>
  </si>
  <si>
    <t>16003601-2025</t>
  </si>
  <si>
    <t>户外装备-徒步/攀登-登山杖/手杖</t>
  </si>
  <si>
    <t>伯希和PELLIOT登山杖 户外运动跑步碳纤维伸缩手杖拐棍专业爬山碳素徒步拐杖 通用</t>
  </si>
  <si>
    <t>16303650-2025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</si>
  <si>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</si>
  <si>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</si>
  <si>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</si>
  <si>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</si>
  <si>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伯希和PELLIOT登山杖 羽翼 专业折叠防滑耐磨耐用爬山徒步手杖 男女同款</t>
  </si>
  <si>
    <t>16403644-2025</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</si>
  <si>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</si>
  <si>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</si>
  <si>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</si>
  <si>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</si>
  <si>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</si>
  <si>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</si>
  <si>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</si>
  <si>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</si>
  <si>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</si>
  <si>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</si>
  <si>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</si>
  <si>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</si>
  <si>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</si>
  <si>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</si>
  <si>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</si>
  <si>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</si>
  <si>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</si>
  <si>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</si>
  <si>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</si>
  <si>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</si>
  <si>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</si>
  <si>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</si>
  <si>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</si>
  <si>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</si>
  <si>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</si>
  <si>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</si>
  <si>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</si>
  <si>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</si>
  <si>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</si>
  <si>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</si>
  <si>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</si>
  <si>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</si>
  <si>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</si>
  <si>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</si>
  <si>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</si>
  <si>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</si>
  <si>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</si>
  <si>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</si>
  <si>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</si>
  <si>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</si>
  <si>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</si>
  <si>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</si>
  <si>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</si>
  <si>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</si>
  <si>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</si>
  <si>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</si>
  <si>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</si>
  <si>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</si>
  <si>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</si>
  <si>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</si>
  <si>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</si>
  <si>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</si>
  <si>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</si>
  <si>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</si>
  <si>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</si>
  <si>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</si>
  <si>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</si>
  <si>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</si>
  <si>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</si>
  <si>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</si>
  <si>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</si>
  <si>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</si>
  <si>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</si>
  <si>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</si>
  <si>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</si>
  <si>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</si>
  <si>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</si>
  <si>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</si>
  <si>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</si>
  <si>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</si>
  <si>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</si>
  <si>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户外运动跑步轻盈防泼水耐磨舒适徒步登山长裤高弹轻量百搭透气休闲裤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</si>
  <si>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</si>
  <si>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</si>
  <si>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</si>
  <si>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</si>
  <si>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</si>
  <si>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</si>
  <si>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</si>
  <si>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</si>
  <si>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</si>
  <si>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</si>
  <si>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</si>
  <si>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</si>
  <si>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</si>
  <si>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</si>
  <si>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</si>
  <si>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</si>
  <si>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</si>
  <si>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</si>
  <si>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</si>
  <si>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</si>
  <si>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</si>
  <si>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</si>
  <si>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</si>
  <si>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</si>
  <si>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</si>
  <si>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</si>
  <si>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</si>
  <si>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</si>
  <si>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</si>
  <si>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</si>
  <si>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</si>
  <si>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</si>
  <si>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</si>
  <si>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</si>
  <si>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</si>
  <si>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</si>
  <si>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</si>
  <si>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</si>
  <si>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</si>
  <si>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</si>
  <si>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</si>
  <si>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</si>
  <si>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</si>
  <si>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</si>
  <si>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</si>
  <si>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</si>
  <si>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</si>
  <si>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</si>
  <si>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</si>
  <si>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</si>
  <si>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</si>
  <si>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</si>
  <si>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</si>
  <si>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</si>
  <si>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</si>
  <si>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</si>
  <si>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</si>
  <si>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</si>
  <si>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</si>
  <si>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</si>
  <si>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</si>
  <si>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</si>
  <si>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</si>
  <si>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</si>
  <si>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</si>
  <si>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</si>
  <si>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</si>
  <si>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</si>
  <si>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</si>
  <si>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</si>
  <si>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</si>
  <si>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</si>
  <si>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</si>
  <si>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</si>
  <si>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</si>
  <si>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</si>
  <si>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</si>
  <si>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</si>
  <si>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</si>
  <si>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</si>
  <si>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</si>
  <si>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</si>
  <si>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</si>
  <si>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</si>
  <si>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</si>
  <si>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经典2.0 户外Polartec200轻量保暖内胆上衣抓绒衣 女款</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</si>
  <si>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</si>
  <si>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</si>
  <si>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</si>
  <si>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</si>
  <si>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</si>
  <si>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</si>
  <si>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</si>
  <si>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</si>
  <si>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</si>
  <si>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</si>
  <si>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</si>
  <si>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</si>
  <si>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</si>
  <si>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</si>
  <si>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</si>
  <si>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</si>
  <si>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</si>
  <si>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</si>
  <si>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</si>
  <si>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</si>
  <si>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</si>
  <si>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</si>
  <si>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</si>
  <si>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</si>
  <si>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</si>
  <si>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</si>
  <si>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</si>
  <si>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</si>
  <si>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</si>
  <si>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</si>
  <si>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</si>
  <si>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</si>
  <si>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</si>
  <si>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</si>
  <si>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</si>
  <si>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</si>
  <si>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</si>
  <si>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</si>
  <si>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</si>
  <si>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</si>
  <si>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</si>
  <si>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</si>
  <si>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</si>
  <si>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</si>
  <si>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</si>
  <si>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</si>
  <si>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</si>
  <si>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</si>
  <si>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</si>
  <si>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</si>
  <si>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</si>
  <si>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</si>
  <si>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</si>
  <si>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</si>
  <si>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</si>
  <si>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</si>
  <si>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</si>
  <si>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</si>
  <si>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</si>
  <si>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</si>
  <si>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</si>
  <si>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</si>
  <si>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</si>
  <si>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</si>
  <si>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</si>
  <si>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</si>
  <si>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</si>
  <si>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</si>
  <si>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</si>
  <si>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</si>
  <si>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</si>
  <si>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</si>
  <si>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</si>
  <si>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</si>
  <si>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</si>
  <si>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</si>
  <si>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</si>
  <si>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</si>
  <si>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</si>
  <si>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</si>
  <si>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</si>
  <si>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</si>
  <si>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</si>
  <si>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</si>
  <si>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</si>
  <si>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</si>
  <si>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</si>
  <si>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</si>
  <si>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</si>
  <si>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</si>
  <si>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</si>
  <si>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</si>
  <si>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</si>
  <si>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</si>
  <si>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</si>
  <si>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</si>
  <si>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</si>
  <si>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</si>
  <si>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</si>
  <si>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</si>
  <si>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</si>
  <si>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</si>
  <si>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</si>
  <si>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</si>
  <si>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</si>
  <si>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</si>
  <si>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</si>
  <si>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</si>
  <si>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</si>
  <si>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</si>
  <si>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</si>
  <si>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</si>
  <si>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</si>
  <si>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</si>
  <si>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</si>
  <si>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</si>
  <si>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</si>
  <si>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</si>
  <si>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</si>
  <si>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</si>
  <si>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</si>
  <si>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</si>
  <si>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</si>
  <si>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</si>
  <si>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</si>
  <si>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</si>
  <si>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</si>
  <si>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</si>
  <si>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</si>
  <si>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</si>
  <si>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</si>
  <si>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</si>
  <si>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</si>
  <si>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</si>
  <si>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</si>
  <si>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</si>
  <si>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</si>
  <si>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</si>
  <si>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</si>
  <si>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</si>
  <si>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</si>
  <si>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</si>
  <si>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</si>
  <si>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</si>
  <si>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</si>
  <si>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</si>
  <si>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</si>
  <si>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</si>
  <si>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</si>
  <si>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</si>
  <si>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</si>
  <si>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</si>
  <si>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</si>
  <si>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</si>
  <si>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</si>
  <si>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</si>
  <si>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</si>
  <si>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</si>
  <si>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</si>
  <si>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</si>
  <si>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</si>
  <si>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</si>
  <si>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</si>
  <si>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</si>
  <si>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269-269</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</si>
  <si>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</si>
  <si>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</si>
  <si>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</si>
  <si>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</si>
  <si>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</si>
  <si>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</si>
  <si>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</si>
  <si>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</si>
  <si>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</si>
  <si>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</si>
  <si>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</si>
  <si>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</si>
  <si>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</si>
  <si>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</si>
  <si>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</si>
  <si>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</si>
  <si>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</si>
  <si>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</si>
  <si>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</si>
  <si>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</si>
  <si>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</si>
  <si>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</si>
  <si>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</si>
  <si>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</si>
  <si>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</si>
  <si>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</si>
  <si>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</si>
  <si>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</si>
  <si>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</si>
  <si>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</si>
  <si>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</si>
  <si>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</si>
  <si>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</si>
  <si>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</si>
  <si>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</si>
  <si>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</si>
  <si>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</si>
  <si>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</si>
  <si>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</si>
  <si>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</si>
  <si>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</si>
  <si>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</si>
  <si>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</si>
  <si>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</si>
  <si>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</si>
  <si>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</si>
  <si>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</si>
  <si>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</si>
  <si>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</si>
  <si>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</si>
  <si>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</si>
  <si>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</si>
  <si>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</si>
  <si>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</si>
  <si>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</si>
  <si>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</si>
  <si>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</si>
  <si>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</si>
  <si>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</si>
  <si>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</si>
  <si>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</si>
  <si>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</si>
  <si>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</si>
  <si>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</si>
  <si>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</si>
  <si>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</si>
  <si>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</si>
  <si>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</si>
  <si>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</si>
  <si>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</si>
  <si>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</si>
  <si>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</si>
  <si>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</si>
  <si>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</si>
  <si>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</si>
  <si>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</si>
  <si>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</si>
  <si>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</si>
  <si>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</si>
  <si>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</si>
  <si>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</si>
  <si>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</si>
  <si>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</si>
  <si>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</si>
  <si>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</si>
  <si>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</si>
  <si>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</si>
  <si>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</si>
  <si>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</si>
  <si>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</si>
  <si>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</si>
  <si>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</si>
  <si>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</si>
  <si>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</si>
  <si>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</si>
  <si>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</si>
  <si>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</si>
  <si>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</si>
  <si>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</si>
  <si>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</si>
  <si>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</si>
  <si>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</si>
  <si>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</si>
  <si>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</si>
  <si>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</si>
  <si>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</si>
  <si>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</si>
  <si>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</si>
  <si>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</si>
  <si>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</si>
  <si>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</si>
  <si>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</si>
  <si>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</si>
  <si>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</si>
  <si>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</si>
  <si>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</si>
  <si>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</si>
  <si>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</si>
  <si>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</si>
  <si>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</si>
  <si>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</si>
  <si>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</si>
  <si>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</si>
  <si>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</si>
  <si>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</si>
  <si>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</si>
  <si>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</si>
  <si>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25年</t>
  </si>
  <si>
    <t>26年</t>
  </si>
  <si>
    <t>同比增速</t>
  </si>
  <si>
    <t>原因分析及动作调整</t>
  </si>
  <si>
    <t xml:space="preserve">该款发文安排在中旬，上旬排期较少，导致曝光不足，进而影响销售，本月中旬预计发文25篇，带来曝光20w-30w左右；除此之外，在单品分析维度，发现该品在平台活动层面下滑超70%，本周也将与运营进行沟通，申报该品的活动，以期提升转化                                                           </t>
  </si>
  <si>
    <t>推的是升级货号114306147</t>
  </si>
  <si>
    <t>动销过低，所以没推该款</t>
  </si>
  <si>
    <t>女款库存深度不足，担心无法支撑销售，所以主推的是男款114306147</t>
  </si>
  <si>
    <t>产品下架，无法推广</t>
  </si>
  <si>
    <t>男款发文在本月中旬，导致上旬曝光不足；已对该款进行发文规划，本月发文20篇，将于中旬发文，带来曝光20w左右；除此之外，该款也存在小店个卖的情况，已反馈运营进行跟价；需要提及的是，该款的女款125306018增速较高，可以保证该款销售维稳</t>
  </si>
  <si>
    <t>通过商品分析得出，该款的主力消费人群在35+，合作的达人目标客群与该款并不完全吻合，接下来将优化该款的合作达人，谋定目标客群在30-40岁左右的达人，这部分达人会更在意产品本身的质感，也会合作一些高画风的达人，预计合作15位达人，发文数在20篇左右，以提升产品质感，吸引用户，进而提升转化</t>
  </si>
  <si>
    <t>该款作为软壳裤主力销售款，由于未及时调整发文数量，导致前期的发文较少，因此影响该产品曝光，6月下旬已优化合作数量，本月发文在主推的基础上，发文30篇，预计曝光在30-40w，并同步进行大量搭车，预计本月中旬会有所上涨</t>
  </si>
  <si>
    <t>在7月规划时，通过分析同期月、环比月等维度，该款在往年的同期销售并未处在高位，所以本月未将该款作为主推，因此影响了销售情况；但该款仍具有销售潜力，针对它增速下滑的情况，将于本月下旬对其进行引力合作10篇，带来曝光8w-10w左右，以此来缓和期同期下滑的情况</t>
  </si>
  <si>
    <t>该款发文排期在中旬，导致上旬曝光不足，因此增速有所放缓，中旬给该品安排发文15篇，带来曝光在15w-20w左右，预计本月中下旬销售会有所提升</t>
  </si>
  <si>
    <t>该款动销尚可，但因不是主推款，导致增速有所放缓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</si>
</sst>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00B0F0"/>
        <bgColor indexed="64"/>
      </patternFill>
    </fill>
    <fill>
      <patternFill patternType="solid">
        <fgColor indexed="22"/>
        <bgColor indexed="64"/>
      </patternFill>
    </fill>
    <fill>
      <patternFill patternType="solid">
        <fgColor theme="5"/>
        <bgColor indexed="64"/>
      </patternFill>
    </fill>
    <fill>
      <patternFill patternType="solid">
        <fgColor theme="5"/>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7"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8" borderId="5" applyNumberFormat="0" applyAlignment="0" applyProtection="0">
      <alignment vertical="center"/>
    </xf>
    <xf numFmtId="0" fontId="12" fillId="9" borderId="6" applyNumberFormat="0" applyAlignment="0" applyProtection="0">
      <alignment vertical="center"/>
    </xf>
    <xf numFmtId="0" fontId="13" fillId="9" borderId="5" applyNumberFormat="0" applyAlignment="0" applyProtection="0">
      <alignment vertical="center"/>
    </xf>
    <xf numFmtId="0" fontId="14" fillId="10"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5"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20">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0" fillId="0" borderId="0" xfId="0" applyNumberFormat="1" applyFont="1">
      <alignment vertical="center"/>
    </xf>
    <xf numFmtId="0" fontId="0" fillId="4" borderId="0" xfId="0" applyNumberFormat="1" applyFont="1" applyFill="1">
      <alignment vertical="center"/>
    </xf>
    <xf numFmtId="0" fontId="0" fillId="0" borderId="0" xfId="0" applyNumberFormat="1" applyFont="1" applyAlignment="1">
      <alignment horizontal="center" vertical="center"/>
    </xf>
    <xf numFmtId="0" fontId="0" fillId="0" borderId="0" xfId="0" applyNumberFormat="1" applyFont="1" applyFill="1">
      <alignment vertical="center"/>
    </xf>
    <xf numFmtId="9" fontId="0" fillId="0" borderId="0" xfId="3" applyFont="1">
      <alignment vertical="center"/>
    </xf>
    <xf numFmtId="0" fontId="0" fillId="0" borderId="0" xfId="0" applyFont="1" applyAlignment="1">
      <alignment vertical="center" wrapText="1"/>
    </xf>
    <xf numFmtId="0" fontId="0" fillId="0" borderId="0" xfId="0" applyNumberFormat="1" applyFont="1" applyFill="1" applyAlignment="1">
      <alignment horizontal="center" vertical="center"/>
    </xf>
    <xf numFmtId="0" fontId="0" fillId="0" borderId="0" xfId="0" applyNumberFormat="1" applyFont="1" applyFill="1" applyAlignment="1">
      <alignment horizontal="center" vertical="center"/>
    </xf>
    <xf numFmtId="0" fontId="0" fillId="0" borderId="0" xfId="0" applyFont="1" applyFill="1" applyAlignment="1">
      <alignment vertical="center" wrapText="1"/>
    </xf>
    <xf numFmtId="0" fontId="0" fillId="0" borderId="0" xfId="0" applyFont="1" applyFill="1">
      <alignment vertical="center"/>
    </xf>
    <xf numFmtId="0" fontId="0" fillId="0" borderId="0" xfId="0" applyFont="1" applyFill="1" applyAlignment="1">
      <alignment horizontal="center" vertical="center"/>
    </xf>
    <xf numFmtId="0" fontId="0" fillId="0" borderId="0" xfId="0" applyFont="1" applyAlignment="1">
      <alignment horizontal="center" vertical="center"/>
    </xf>
    <xf numFmtId="0" fontId="0" fillId="2" borderId="0" xfId="0" applyNumberFormat="1" applyFont="1" applyFill="1">
      <alignment vertical="center"/>
    </xf>
    <xf numFmtId="0" fontId="0" fillId="4" borderId="0" xfId="0" applyFont="1" applyFill="1">
      <alignment vertical="center"/>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7.xml"/><Relationship Id="rId8" Type="http://schemas.openxmlformats.org/officeDocument/2006/relationships/externalLink" Target="externalLinks/externalLink6.xml"/><Relationship Id="rId7" Type="http://schemas.openxmlformats.org/officeDocument/2006/relationships/externalLink" Target="externalLinks/externalLink5.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9.xml"/><Relationship Id="rId10" Type="http://schemas.openxmlformats.org/officeDocument/2006/relationships/externalLink" Target="externalLinks/externalLink8.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7.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7.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7.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7.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7.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7.8.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7.9.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17606\Downloads\&#21830;&#21697;&#65288;SPU&#65289;&#26126;&#32454;&#23548;&#20986;%20(5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1">
          <cell r="D1" t="str">
            <v>商品货号</v>
          </cell>
          <cell r="E1" t="str">
            <v>品牌名称</v>
          </cell>
          <cell r="F1" t="str">
            <v>类目名称</v>
          </cell>
          <cell r="G1" t="str">
            <v>商品类型</v>
          </cell>
          <cell r="H1" t="str">
            <v>出价渠道</v>
          </cell>
          <cell r="I1" t="str">
            <v>支付金额</v>
          </cell>
        </row>
        <row r="2">
          <cell r="D2">
            <v>11421507</v>
          </cell>
          <cell r="E2" t="str">
            <v>伯希和/PELLIOT</v>
          </cell>
          <cell r="F2" t="str">
            <v>服装-上衣-Polo衫</v>
          </cell>
          <cell r="G2" t="str">
            <v>一品多商</v>
          </cell>
          <cell r="H2" t="str">
            <v>品牌直发</v>
          </cell>
          <cell r="I2">
            <v>14748.97</v>
          </cell>
        </row>
        <row r="3">
          <cell r="D3">
            <v>12421220</v>
          </cell>
          <cell r="E3" t="str">
            <v>伯希和/PELLIOT</v>
          </cell>
          <cell r="F3" t="str">
            <v>服装-外套-防晒服</v>
          </cell>
          <cell r="G3" t="str">
            <v>一品多商</v>
          </cell>
          <cell r="H3" t="str">
            <v>品牌直发</v>
          </cell>
          <cell r="I3">
            <v>9735.15</v>
          </cell>
        </row>
        <row r="4">
          <cell r="D4">
            <v>115214024</v>
          </cell>
          <cell r="E4" t="str">
            <v>伯希和/PELLIOT</v>
          </cell>
          <cell r="F4" t="str">
            <v>服装-户外运动服-速干裤</v>
          </cell>
          <cell r="G4" t="str">
            <v>一品多商</v>
          </cell>
          <cell r="H4" t="str">
            <v>品牌直发</v>
          </cell>
          <cell r="I4">
            <v>5513.94</v>
          </cell>
        </row>
        <row r="5">
          <cell r="D5">
            <v>11421509</v>
          </cell>
          <cell r="E5" t="str">
            <v>伯希和/PELLIOT</v>
          </cell>
          <cell r="F5" t="str">
            <v>服装-上衣-T恤</v>
          </cell>
          <cell r="G5" t="str">
            <v>一品多商</v>
          </cell>
          <cell r="H5" t="str">
            <v>品牌直发</v>
          </cell>
          <cell r="I5">
            <v>2807.72</v>
          </cell>
        </row>
        <row r="6">
          <cell r="D6" t="str">
            <v>x1622</v>
          </cell>
          <cell r="E6" t="str">
            <v>伯希和/PELLIOT</v>
          </cell>
          <cell r="F6" t="str">
            <v>流行饰品/眼镜/服配-帽子-渔夫帽</v>
          </cell>
          <cell r="G6" t="str">
            <v>一品一商</v>
          </cell>
          <cell r="H6" t="str">
            <v>品牌直发</v>
          </cell>
          <cell r="I6">
            <v>1524</v>
          </cell>
        </row>
        <row r="7">
          <cell r="D7">
            <v>115215019</v>
          </cell>
          <cell r="E7" t="str">
            <v>伯希和/PELLIOT</v>
          </cell>
          <cell r="F7" t="str">
            <v>服装-上衣-Polo衫</v>
          </cell>
          <cell r="G7" t="str">
            <v>一品多商</v>
          </cell>
          <cell r="H7" t="str">
            <v>品牌直发</v>
          </cell>
          <cell r="I7">
            <v>2712</v>
          </cell>
        </row>
        <row r="8">
          <cell r="D8">
            <v>11421415</v>
          </cell>
          <cell r="E8" t="str">
            <v>伯希和/PELLIOT</v>
          </cell>
          <cell r="F8" t="str">
            <v>服装-户外运动服-速干裤</v>
          </cell>
          <cell r="G8" t="str">
            <v>一品多商</v>
          </cell>
          <cell r="H8" t="str">
            <v>品牌直发</v>
          </cell>
          <cell r="I8">
            <v>3271</v>
          </cell>
        </row>
        <row r="9">
          <cell r="D9">
            <v>11421241</v>
          </cell>
          <cell r="E9" t="str">
            <v>伯希和/PELLIOT</v>
          </cell>
          <cell r="F9" t="str">
            <v>服装-外套-防晒服</v>
          </cell>
          <cell r="G9" t="str">
            <v>一品多商</v>
          </cell>
          <cell r="H9" t="str">
            <v>品牌直发</v>
          </cell>
          <cell r="I9">
            <v>1483</v>
          </cell>
        </row>
        <row r="10">
          <cell r="D10">
            <v>115214025</v>
          </cell>
          <cell r="E10" t="str">
            <v>伯希和/PELLIOT</v>
          </cell>
          <cell r="F10" t="str">
            <v>服装-户外运动服-速干裤</v>
          </cell>
          <cell r="G10" t="str">
            <v>一品多商</v>
          </cell>
          <cell r="H10" t="str">
            <v>品牌直发</v>
          </cell>
          <cell r="I10">
            <v>2704.87</v>
          </cell>
        </row>
        <row r="11">
          <cell r="D11" t="str">
            <v>PE1124101048</v>
          </cell>
          <cell r="E11" t="str">
            <v>伯希和/PELLIOT</v>
          </cell>
          <cell r="F11" t="str">
            <v>服装-外套-冲锋衣</v>
          </cell>
          <cell r="G11" t="str">
            <v>一品多商</v>
          </cell>
          <cell r="H11" t="str">
            <v>品牌直发</v>
          </cell>
          <cell r="I11">
            <v>7144</v>
          </cell>
        </row>
        <row r="12">
          <cell r="D12">
            <v>115215047</v>
          </cell>
          <cell r="E12" t="str">
            <v>伯希和/PELLIOT</v>
          </cell>
          <cell r="F12" t="str">
            <v>服装-上衣-T恤</v>
          </cell>
          <cell r="G12" t="str">
            <v>一品一商</v>
          </cell>
          <cell r="H12" t="str">
            <v>品牌直发</v>
          </cell>
          <cell r="I12">
            <v>797</v>
          </cell>
        </row>
        <row r="13">
          <cell r="D13">
            <v>115215025</v>
          </cell>
          <cell r="E13" t="str">
            <v>伯希和/PELLIOT</v>
          </cell>
          <cell r="F13" t="str">
            <v>服装-户外运动服-速干T恤</v>
          </cell>
          <cell r="G13" t="str">
            <v>一品多商</v>
          </cell>
          <cell r="H13" t="str">
            <v>品牌直发</v>
          </cell>
          <cell r="I13">
            <v>2201</v>
          </cell>
        </row>
        <row r="14">
          <cell r="D14">
            <v>16403404</v>
          </cell>
          <cell r="E14" t="str">
            <v>伯希和/PELLIOT</v>
          </cell>
          <cell r="F14" t="str">
            <v>流行饰品/眼镜/服配-帽子-鸭舌帽</v>
          </cell>
          <cell r="G14" t="str">
            <v>一品一商</v>
          </cell>
          <cell r="H14" t="str">
            <v>品牌直发</v>
          </cell>
          <cell r="I14">
            <v>452</v>
          </cell>
        </row>
        <row r="15">
          <cell r="D15">
            <v>12421440</v>
          </cell>
          <cell r="E15" t="str">
            <v>伯希和/PELLIOT</v>
          </cell>
          <cell r="F15" t="str">
            <v>服装-健身服-运动短裤</v>
          </cell>
          <cell r="G15" t="str">
            <v>一品多商</v>
          </cell>
          <cell r="H15" t="str">
            <v>品牌直发</v>
          </cell>
          <cell r="I15">
            <v>1383</v>
          </cell>
        </row>
        <row r="16">
          <cell r="D16">
            <v>11321405</v>
          </cell>
          <cell r="E16" t="str">
            <v>伯希和/PELLIOT</v>
          </cell>
          <cell r="F16" t="str">
            <v>服装-户外运动服-速干裤</v>
          </cell>
          <cell r="G16" t="str">
            <v>一品多商</v>
          </cell>
          <cell r="H16" t="str">
            <v>品牌直发</v>
          </cell>
          <cell r="I16">
            <v>1715</v>
          </cell>
        </row>
        <row r="17">
          <cell r="D17">
            <v>115214005</v>
          </cell>
          <cell r="E17" t="str">
            <v>伯希和/PELLIOT</v>
          </cell>
          <cell r="F17" t="str">
            <v>服装-户外运动服-速干裤</v>
          </cell>
          <cell r="G17" t="str">
            <v>一品多商</v>
          </cell>
          <cell r="H17" t="str">
            <v>品牌直发</v>
          </cell>
          <cell r="I17">
            <v>1694</v>
          </cell>
        </row>
        <row r="18">
          <cell r="D18">
            <v>116202507</v>
          </cell>
          <cell r="E18" t="str">
            <v>伯希和/PELLIOT</v>
          </cell>
          <cell r="F18" t="str">
            <v>箱包-包袋-户外包</v>
          </cell>
          <cell r="G18" t="str">
            <v>一品多商</v>
          </cell>
          <cell r="H18" t="str">
            <v>品牌直发</v>
          </cell>
          <cell r="I18">
            <v>2163</v>
          </cell>
        </row>
        <row r="19">
          <cell r="D19">
            <v>12421534</v>
          </cell>
          <cell r="E19" t="str">
            <v>伯希和/PELLIOT</v>
          </cell>
          <cell r="F19" t="str">
            <v>女装-上衣-Polo衫</v>
          </cell>
          <cell r="G19" t="str">
            <v>一品多商</v>
          </cell>
          <cell r="H19" t="str">
            <v>品牌直发</v>
          </cell>
          <cell r="I19">
            <v>1415</v>
          </cell>
        </row>
        <row r="20">
          <cell r="D20">
            <v>115214021</v>
          </cell>
          <cell r="E20" t="str">
            <v>伯希和/PELLIOT</v>
          </cell>
          <cell r="F20" t="str">
            <v>服装-户外运动服-速干裤</v>
          </cell>
          <cell r="G20" t="str">
            <v>一品多商</v>
          </cell>
          <cell r="H20" t="str">
            <v>品牌直发</v>
          </cell>
          <cell r="I20">
            <v>1366.93</v>
          </cell>
        </row>
        <row r="21">
          <cell r="D21">
            <v>11421201</v>
          </cell>
          <cell r="E21" t="str">
            <v>伯希和/PELLIOT</v>
          </cell>
          <cell r="F21" t="str">
            <v>服装-外套-防晒服</v>
          </cell>
          <cell r="G21" t="str">
            <v>一品多商</v>
          </cell>
          <cell r="H21" t="str">
            <v>品牌直发</v>
          </cell>
          <cell r="I21">
            <v>1065.9</v>
          </cell>
        </row>
        <row r="22">
          <cell r="D22">
            <v>11421533</v>
          </cell>
          <cell r="E22" t="str">
            <v>伯希和/PELLIOT</v>
          </cell>
          <cell r="F22" t="str">
            <v>服装-上衣-Polo衫</v>
          </cell>
          <cell r="G22" t="str">
            <v>一品多商</v>
          </cell>
          <cell r="H22" t="str">
            <v>品牌直发</v>
          </cell>
          <cell r="I22">
            <v>1260</v>
          </cell>
        </row>
        <row r="23">
          <cell r="D23">
            <v>12321218</v>
          </cell>
          <cell r="E23" t="str">
            <v>伯希和/PELLIOT</v>
          </cell>
          <cell r="F23" t="str">
            <v>女装-外套-防晒服</v>
          </cell>
          <cell r="G23" t="str">
            <v>一品多商</v>
          </cell>
          <cell r="H23" t="str">
            <v>品牌直发</v>
          </cell>
          <cell r="I23">
            <v>620</v>
          </cell>
        </row>
        <row r="24">
          <cell r="D24">
            <v>125215020</v>
          </cell>
          <cell r="E24" t="str">
            <v>伯希和/PELLIOT</v>
          </cell>
          <cell r="F24" t="str">
            <v>女装-上衣-Polo衫</v>
          </cell>
          <cell r="G24" t="str">
            <v>一品多商</v>
          </cell>
          <cell r="H24" t="str">
            <v>品牌直发</v>
          </cell>
          <cell r="I24">
            <v>868</v>
          </cell>
        </row>
        <row r="25">
          <cell r="D25">
            <v>16402503</v>
          </cell>
          <cell r="E25" t="str">
            <v>伯希和/PELLIOT</v>
          </cell>
          <cell r="F25" t="str">
            <v>箱包-包袋-户外包</v>
          </cell>
          <cell r="G25" t="str">
            <v>一品多商</v>
          </cell>
          <cell r="H25" t="str">
            <v>品牌直发</v>
          </cell>
          <cell r="I25">
            <v>1488</v>
          </cell>
        </row>
        <row r="26">
          <cell r="D26">
            <v>16425601</v>
          </cell>
          <cell r="E26" t="str">
            <v>伯希和/PELLIOT</v>
          </cell>
          <cell r="F26" t="str">
            <v>流行饰品/眼镜/服配-防晒服配-防晒面罩</v>
          </cell>
          <cell r="G26" t="str">
            <v>一品一商</v>
          </cell>
          <cell r="H26" t="str">
            <v>品牌直发</v>
          </cell>
          <cell r="I26">
            <v>177</v>
          </cell>
        </row>
        <row r="27">
          <cell r="D27">
            <v>115116021</v>
          </cell>
          <cell r="E27" t="str">
            <v>伯希和/PELLIOT</v>
          </cell>
          <cell r="F27" t="str">
            <v>服装-上衣-T恤</v>
          </cell>
          <cell r="G27" t="str">
            <v>一品多商</v>
          </cell>
          <cell r="H27" t="str">
            <v>品牌直发</v>
          </cell>
          <cell r="I27">
            <v>551</v>
          </cell>
        </row>
        <row r="28">
          <cell r="D28">
            <v>11321207</v>
          </cell>
          <cell r="E28" t="str">
            <v>伯希和/PELLIOT</v>
          </cell>
          <cell r="F28" t="str">
            <v>服装-外套-防晒服</v>
          </cell>
          <cell r="G28" t="str">
            <v>一品多商</v>
          </cell>
          <cell r="H28" t="str">
            <v>品牌直发</v>
          </cell>
          <cell r="I28">
            <v>579</v>
          </cell>
        </row>
        <row r="29">
          <cell r="D29">
            <v>115181001</v>
          </cell>
          <cell r="E29" t="str">
            <v>伯希和/PELLIOT</v>
          </cell>
          <cell r="F29" t="str">
            <v>鞋-运动鞋-登山鞋/徒步鞋</v>
          </cell>
          <cell r="G29" t="str">
            <v>一品多商</v>
          </cell>
          <cell r="H29" t="str">
            <v>品牌直发</v>
          </cell>
          <cell r="I29">
            <v>2116</v>
          </cell>
        </row>
        <row r="30">
          <cell r="D30">
            <v>115151007</v>
          </cell>
          <cell r="E30" t="str">
            <v>伯希和/PELLIOT</v>
          </cell>
          <cell r="F30" t="str">
            <v>服装-外套-夹克</v>
          </cell>
          <cell r="G30" t="str">
            <v>一品多商</v>
          </cell>
          <cell r="H30" t="str">
            <v>品牌直发</v>
          </cell>
          <cell r="I30">
            <v>2148</v>
          </cell>
        </row>
        <row r="31">
          <cell r="D31">
            <v>115215045</v>
          </cell>
          <cell r="E31" t="str">
            <v>伯希和/PELLIOT</v>
          </cell>
          <cell r="F31" t="str">
            <v>服装-上衣-T恤</v>
          </cell>
          <cell r="G31" t="str">
            <v>一品一商</v>
          </cell>
          <cell r="H31" t="str">
            <v>品牌直发</v>
          </cell>
          <cell r="I31">
            <v>467</v>
          </cell>
        </row>
        <row r="32">
          <cell r="D32">
            <v>115119035</v>
          </cell>
          <cell r="E32" t="str">
            <v>伯希和/PELLIOT</v>
          </cell>
          <cell r="F32" t="str">
            <v>鞋-运动鞋-登山鞋/徒步鞋</v>
          </cell>
          <cell r="G32" t="str">
            <v>一品多商</v>
          </cell>
          <cell r="H32" t="str">
            <v>品牌直发</v>
          </cell>
          <cell r="I32">
            <v>1906</v>
          </cell>
        </row>
        <row r="33">
          <cell r="D33" t="str">
            <v>124101048-新加色</v>
          </cell>
          <cell r="E33" t="str">
            <v>伯希和/PELLIOT</v>
          </cell>
          <cell r="F33" t="str">
            <v>服装-外套-冲锋衣</v>
          </cell>
          <cell r="G33" t="str">
            <v>一品多商</v>
          </cell>
          <cell r="H33" t="str">
            <v>品牌直发</v>
          </cell>
          <cell r="I33">
            <v>2729</v>
          </cell>
        </row>
        <row r="34">
          <cell r="D34">
            <v>12421508</v>
          </cell>
          <cell r="E34" t="str">
            <v>伯希和/PELLIOT</v>
          </cell>
          <cell r="F34" t="str">
            <v>女装-上衣-Polo衫</v>
          </cell>
          <cell r="G34" t="str">
            <v>一品多商</v>
          </cell>
          <cell r="H34" t="str">
            <v>品牌直发</v>
          </cell>
          <cell r="I34">
            <v>410</v>
          </cell>
        </row>
        <row r="35">
          <cell r="D35">
            <v>11421519</v>
          </cell>
          <cell r="E35" t="str">
            <v>伯希和/PELLIOT</v>
          </cell>
          <cell r="F35" t="str">
            <v>服装-上衣-Polo衫</v>
          </cell>
          <cell r="G35" t="str">
            <v>一品一商</v>
          </cell>
          <cell r="H35" t="str">
            <v>品牌直发</v>
          </cell>
          <cell r="I35">
            <v>818</v>
          </cell>
        </row>
        <row r="36">
          <cell r="D36">
            <v>12421250</v>
          </cell>
          <cell r="E36" t="str">
            <v>伯希和/PELLIOT</v>
          </cell>
          <cell r="F36" t="str">
            <v>女装-外套-防晒服</v>
          </cell>
          <cell r="G36" t="str">
            <v>一品多商</v>
          </cell>
          <cell r="H36" t="str">
            <v>品牌直发</v>
          </cell>
          <cell r="I36">
            <v>611</v>
          </cell>
        </row>
        <row r="37">
          <cell r="D37">
            <v>11410201</v>
          </cell>
          <cell r="E37" t="str">
            <v>伯希和/PELLIOT</v>
          </cell>
          <cell r="F37" t="str">
            <v>服装-长裤-冲锋裤</v>
          </cell>
          <cell r="G37" t="str">
            <v>一品多商</v>
          </cell>
          <cell r="H37" t="str">
            <v>品牌直发</v>
          </cell>
          <cell r="I37">
            <v>1383</v>
          </cell>
        </row>
        <row r="38">
          <cell r="D38">
            <v>11121411</v>
          </cell>
          <cell r="E38" t="str">
            <v>伯希和/PELLIOT</v>
          </cell>
          <cell r="F38" t="str">
            <v>服装-户外运动服-速干裤</v>
          </cell>
          <cell r="G38" t="str">
            <v>一品多商</v>
          </cell>
          <cell r="H38" t="str">
            <v>品牌直发</v>
          </cell>
          <cell r="I38">
            <v>526</v>
          </cell>
        </row>
        <row r="39">
          <cell r="D39">
            <v>115220021</v>
          </cell>
          <cell r="E39" t="str">
            <v>伯希和/PELLIOT</v>
          </cell>
          <cell r="F39" t="str">
            <v>鞋-凉鞋/拖鞋-溯溪鞋</v>
          </cell>
          <cell r="G39" t="str">
            <v>一品一商</v>
          </cell>
          <cell r="H39" t="str">
            <v>品牌直发</v>
          </cell>
          <cell r="I39">
            <v>1287</v>
          </cell>
        </row>
        <row r="40">
          <cell r="D40">
            <v>125214022</v>
          </cell>
          <cell r="E40" t="str">
            <v>伯希和/PELLIOT</v>
          </cell>
          <cell r="F40" t="str">
            <v>女装-户外运动服-速干裤</v>
          </cell>
          <cell r="G40" t="str">
            <v>一品一商</v>
          </cell>
          <cell r="H40" t="str">
            <v>品牌直发</v>
          </cell>
          <cell r="I40">
            <v>726</v>
          </cell>
        </row>
        <row r="41">
          <cell r="D41">
            <v>135101022</v>
          </cell>
          <cell r="E41" t="str">
            <v>伯希和/PELLIOT</v>
          </cell>
          <cell r="F41" t="str">
            <v>童装-儿童上装-冲锋衣</v>
          </cell>
          <cell r="G41" t="str">
            <v>一品一商</v>
          </cell>
          <cell r="H41" t="str">
            <v>品牌直发</v>
          </cell>
          <cell r="I41">
            <v>1016</v>
          </cell>
        </row>
        <row r="42">
          <cell r="D42">
            <v>115107003</v>
          </cell>
          <cell r="E42" t="str">
            <v>伯希和/PELLIOT</v>
          </cell>
          <cell r="F42" t="str">
            <v>服装-长裤-软壳裤</v>
          </cell>
          <cell r="G42" t="str">
            <v>一品多商</v>
          </cell>
          <cell r="H42" t="str">
            <v>品牌直发</v>
          </cell>
          <cell r="I42">
            <v>1497</v>
          </cell>
        </row>
        <row r="43">
          <cell r="D43">
            <v>115301054</v>
          </cell>
          <cell r="E43" t="str">
            <v>伯希和/PELLIOT</v>
          </cell>
          <cell r="F43" t="str">
            <v>服装-外套-冲锋衣</v>
          </cell>
          <cell r="G43" t="str">
            <v>一品多商</v>
          </cell>
          <cell r="H43" t="str">
            <v>品牌直发</v>
          </cell>
          <cell r="I43">
            <v>1775</v>
          </cell>
        </row>
        <row r="44">
          <cell r="D44">
            <v>114310191</v>
          </cell>
          <cell r="E44" t="str">
            <v>伯希和/PELLIOT</v>
          </cell>
          <cell r="F44" t="str">
            <v>服装-户外运动服-抓绒衣</v>
          </cell>
          <cell r="G44" t="str">
            <v>一品多商</v>
          </cell>
          <cell r="H44" t="str">
            <v>品牌直发</v>
          </cell>
          <cell r="I44">
            <v>1037</v>
          </cell>
        </row>
        <row r="45">
          <cell r="D45">
            <v>16202612</v>
          </cell>
          <cell r="E45" t="str">
            <v>伯希和/PELLIOT</v>
          </cell>
          <cell r="F45" t="str">
            <v>箱包-包袋-户外包</v>
          </cell>
          <cell r="G45" t="str">
            <v>一品一商</v>
          </cell>
          <cell r="H45" t="str">
            <v>品牌直发</v>
          </cell>
          <cell r="I45">
            <v>108</v>
          </cell>
        </row>
        <row r="46">
          <cell r="D46">
            <v>12422002</v>
          </cell>
          <cell r="E46" t="str">
            <v>伯希和/PELLIOT</v>
          </cell>
          <cell r="F46" t="str">
            <v>鞋-运动鞋-户外功能鞋</v>
          </cell>
          <cell r="G46" t="str">
            <v>一品多商</v>
          </cell>
          <cell r="H46" t="str">
            <v>品牌直发</v>
          </cell>
          <cell r="I46">
            <v>816</v>
          </cell>
        </row>
        <row r="47">
          <cell r="D47">
            <v>12421228</v>
          </cell>
          <cell r="E47" t="str">
            <v>伯希和/PELLIOT</v>
          </cell>
          <cell r="F47" t="str">
            <v>女装-外套-防晒服</v>
          </cell>
          <cell r="G47" t="str">
            <v>一品多商</v>
          </cell>
          <cell r="H47" t="str">
            <v>品牌直发</v>
          </cell>
          <cell r="I47">
            <v>331</v>
          </cell>
        </row>
        <row r="48">
          <cell r="D48">
            <v>11410303</v>
          </cell>
          <cell r="E48" t="str">
            <v>伯希和/PELLIOT</v>
          </cell>
          <cell r="F48" t="str">
            <v>服装-外套-棉服</v>
          </cell>
          <cell r="G48" t="str">
            <v>一品多商</v>
          </cell>
          <cell r="H48" t="str">
            <v>品牌直发</v>
          </cell>
          <cell r="I48">
            <v>1148</v>
          </cell>
        </row>
        <row r="49">
          <cell r="D49">
            <v>12421254</v>
          </cell>
          <cell r="E49" t="str">
            <v>伯希和/PELLIOT</v>
          </cell>
          <cell r="F49" t="str">
            <v>女装-外套-防晒服</v>
          </cell>
          <cell r="G49" t="str">
            <v>一品多商</v>
          </cell>
          <cell r="H49" t="str">
            <v>品牌直发</v>
          </cell>
          <cell r="I49">
            <v>434</v>
          </cell>
        </row>
        <row r="50">
          <cell r="D50">
            <v>11331801</v>
          </cell>
          <cell r="E50" t="str">
            <v>伯希和/PELLIOT</v>
          </cell>
          <cell r="F50" t="str">
            <v>内衣-内衣裤-保暖套装</v>
          </cell>
          <cell r="G50" t="str">
            <v>一品多商</v>
          </cell>
          <cell r="H50" t="str">
            <v>品牌直发</v>
          </cell>
          <cell r="I50">
            <v>511</v>
          </cell>
        </row>
        <row r="51">
          <cell r="D51">
            <v>11340821</v>
          </cell>
          <cell r="E51" t="str">
            <v>伯希和/PELLIOT</v>
          </cell>
          <cell r="F51" t="str">
            <v>服装-外套-羽绒服</v>
          </cell>
          <cell r="G51" t="str">
            <v>一品多商</v>
          </cell>
          <cell r="H51" t="str">
            <v>品牌直发</v>
          </cell>
          <cell r="I51">
            <v>1180</v>
          </cell>
        </row>
        <row r="52">
          <cell r="D52">
            <v>114408281</v>
          </cell>
          <cell r="E52" t="str">
            <v>伯希和/PELLIOT</v>
          </cell>
          <cell r="F52" t="str">
            <v>服装-外套-羽绒服</v>
          </cell>
          <cell r="G52" t="str">
            <v>一品多商</v>
          </cell>
          <cell r="H52" t="str">
            <v>品牌直发</v>
          </cell>
          <cell r="I52">
            <v>1538</v>
          </cell>
        </row>
        <row r="53">
          <cell r="D53">
            <v>11331011</v>
          </cell>
          <cell r="E53" t="str">
            <v>伯希和/PELLIOT</v>
          </cell>
          <cell r="F53" t="str">
            <v>服装-户外运动服-抓绒衣</v>
          </cell>
          <cell r="G53" t="str">
            <v>一品多商</v>
          </cell>
          <cell r="H53" t="str">
            <v>品牌直发</v>
          </cell>
          <cell r="I53">
            <v>328</v>
          </cell>
        </row>
        <row r="54">
          <cell r="D54">
            <v>12340106</v>
          </cell>
          <cell r="E54" t="str">
            <v>伯希和/PELLIOT</v>
          </cell>
          <cell r="F54" t="str">
            <v>女装-外套-冲锋衣</v>
          </cell>
          <cell r="G54" t="str">
            <v>一品多商</v>
          </cell>
          <cell r="H54" t="str">
            <v>品牌直发</v>
          </cell>
          <cell r="I54">
            <v>956</v>
          </cell>
        </row>
        <row r="55">
          <cell r="D55">
            <v>11340105</v>
          </cell>
          <cell r="E55" t="str">
            <v>伯希和/PELLIOT</v>
          </cell>
          <cell r="F55" t="str">
            <v>服装-外套-冲锋衣</v>
          </cell>
          <cell r="G55" t="str">
            <v>一品多商</v>
          </cell>
          <cell r="H55" t="str">
            <v>品牌直发</v>
          </cell>
          <cell r="I55">
            <v>934</v>
          </cell>
        </row>
        <row r="56">
          <cell r="D56">
            <v>12221514</v>
          </cell>
          <cell r="E56" t="str">
            <v>伯希和/PELLIOT</v>
          </cell>
          <cell r="F56" t="str">
            <v>女装-上衣-Polo衫</v>
          </cell>
          <cell r="G56" t="str">
            <v>一品一商</v>
          </cell>
          <cell r="H56" t="str">
            <v>品牌直发</v>
          </cell>
          <cell r="I56">
            <v>228</v>
          </cell>
        </row>
        <row r="57">
          <cell r="D57">
            <v>12321414</v>
          </cell>
          <cell r="E57" t="str">
            <v>伯希和/PELLIOT</v>
          </cell>
          <cell r="F57" t="str">
            <v>女装-户外运动服-速干裤</v>
          </cell>
          <cell r="G57" t="str">
            <v>一品一商</v>
          </cell>
          <cell r="H57" t="str">
            <v>品牌直发</v>
          </cell>
          <cell r="I57">
            <v>251</v>
          </cell>
        </row>
        <row r="58">
          <cell r="D58">
            <v>11230601</v>
          </cell>
          <cell r="E58" t="str">
            <v>伯希和/PELLIOT</v>
          </cell>
          <cell r="F58" t="str">
            <v>服装-外套-软壳衣</v>
          </cell>
          <cell r="G58" t="str">
            <v>一品多商</v>
          </cell>
          <cell r="H58" t="str">
            <v>品牌直发</v>
          </cell>
          <cell r="I58">
            <v>674</v>
          </cell>
        </row>
        <row r="59">
          <cell r="D59">
            <v>115110021</v>
          </cell>
          <cell r="E59" t="str">
            <v>伯希和/PELLIOT</v>
          </cell>
          <cell r="F59" t="str">
            <v>服装-户外运动服-抓绒衣</v>
          </cell>
          <cell r="G59" t="str">
            <v>一品多商</v>
          </cell>
          <cell r="H59" t="str">
            <v>品牌直发</v>
          </cell>
          <cell r="I59">
            <v>411</v>
          </cell>
        </row>
        <row r="60">
          <cell r="D60">
            <v>12321248</v>
          </cell>
          <cell r="E60" t="str">
            <v>伯希和/PELLIOT</v>
          </cell>
          <cell r="F60" t="str">
            <v>女装-外套-防晒服</v>
          </cell>
          <cell r="G60" t="str">
            <v>一品多商</v>
          </cell>
          <cell r="H60" t="str">
            <v>品牌直发</v>
          </cell>
          <cell r="I60">
            <v>358</v>
          </cell>
        </row>
        <row r="61">
          <cell r="D61">
            <v>115220001</v>
          </cell>
          <cell r="E61" t="str">
            <v>伯希和/PELLIOT</v>
          </cell>
          <cell r="F61" t="str">
            <v>鞋-凉鞋/拖鞋-溯溪鞋</v>
          </cell>
          <cell r="G61" t="str">
            <v>一品多商</v>
          </cell>
          <cell r="H61" t="str">
            <v>品牌直发</v>
          </cell>
          <cell r="I61">
            <v>959</v>
          </cell>
        </row>
        <row r="62">
          <cell r="D62">
            <v>105301056</v>
          </cell>
          <cell r="E62" t="str">
            <v>伯希和/PELLIOT</v>
          </cell>
          <cell r="F62" t="str">
            <v>服装-外套-冲锋衣</v>
          </cell>
          <cell r="G62" t="str">
            <v>一品多商</v>
          </cell>
          <cell r="H62" t="str">
            <v>品牌直发</v>
          </cell>
          <cell r="I62">
            <v>1863</v>
          </cell>
        </row>
        <row r="63">
          <cell r="D63">
            <v>115214007</v>
          </cell>
          <cell r="E63" t="str">
            <v>伯希和/PELLIOT</v>
          </cell>
          <cell r="F63" t="str">
            <v>服装-短裤-休闲短裤</v>
          </cell>
          <cell r="G63" t="str">
            <v>一品一商</v>
          </cell>
          <cell r="H63" t="str">
            <v>品牌直发</v>
          </cell>
          <cell r="I63">
            <v>644</v>
          </cell>
        </row>
        <row r="64">
          <cell r="D64" t="str">
            <v>12421220-新加色</v>
          </cell>
          <cell r="E64" t="str">
            <v>伯希和/PELLIOT</v>
          </cell>
          <cell r="F64" t="str">
            <v>服装-外套-防晒服</v>
          </cell>
          <cell r="G64" t="str">
            <v>一品多商</v>
          </cell>
          <cell r="H64" t="str">
            <v>品牌直发</v>
          </cell>
          <cell r="I64">
            <v>523</v>
          </cell>
        </row>
        <row r="65">
          <cell r="D65">
            <v>115215001</v>
          </cell>
          <cell r="E65" t="str">
            <v>伯希和/PELLIOT</v>
          </cell>
          <cell r="F65" t="str">
            <v>服装-上衣-T恤</v>
          </cell>
          <cell r="G65" t="str">
            <v>一品多商</v>
          </cell>
          <cell r="H65" t="str">
            <v>品牌直发</v>
          </cell>
          <cell r="I65">
            <v>403</v>
          </cell>
        </row>
        <row r="66">
          <cell r="D66">
            <v>135101017</v>
          </cell>
          <cell r="E66" t="str">
            <v>伯希和/PELLIOT</v>
          </cell>
          <cell r="F66" t="str">
            <v>童装-儿童上装-冲锋衣</v>
          </cell>
          <cell r="G66" t="str">
            <v>一品多商</v>
          </cell>
          <cell r="H66" t="str">
            <v>品牌直发</v>
          </cell>
          <cell r="I66">
            <v>1064</v>
          </cell>
        </row>
        <row r="67">
          <cell r="D67">
            <v>105212020</v>
          </cell>
          <cell r="E67" t="str">
            <v>伯希和/PELLIOT</v>
          </cell>
          <cell r="F67" t="str">
            <v>服装-外套-防晒服</v>
          </cell>
          <cell r="G67" t="str">
            <v>一品多商</v>
          </cell>
          <cell r="H67" t="str">
            <v>品牌直发</v>
          </cell>
          <cell r="I67">
            <v>562</v>
          </cell>
        </row>
        <row r="68">
          <cell r="D68">
            <v>12421552</v>
          </cell>
          <cell r="E68" t="str">
            <v>伯希和/PELLIOT</v>
          </cell>
          <cell r="F68" t="str">
            <v>女装-上衣-Polo衫</v>
          </cell>
          <cell r="G68" t="str">
            <v>一品一商</v>
          </cell>
          <cell r="H68" t="str">
            <v>品牌直发</v>
          </cell>
          <cell r="I68">
            <v>368</v>
          </cell>
        </row>
        <row r="69">
          <cell r="D69">
            <v>16402511</v>
          </cell>
          <cell r="E69" t="str">
            <v>伯希和/PELLIOT</v>
          </cell>
          <cell r="F69" t="str">
            <v>箱包-包袋-户外包</v>
          </cell>
          <cell r="G69" t="str">
            <v>一品多商</v>
          </cell>
          <cell r="H69" t="str">
            <v>品牌直发</v>
          </cell>
          <cell r="I69">
            <v>268</v>
          </cell>
        </row>
        <row r="70">
          <cell r="D70">
            <v>164334405</v>
          </cell>
          <cell r="E70" t="str">
            <v>伯希和/PELLIOT</v>
          </cell>
          <cell r="F70" t="str">
            <v>流行饰品/眼镜/服配-帽子-绒线帽</v>
          </cell>
          <cell r="G70" t="str">
            <v>一品一商</v>
          </cell>
          <cell r="H70" t="str">
            <v>品牌直发</v>
          </cell>
          <cell r="I70">
            <v>168</v>
          </cell>
        </row>
        <row r="71">
          <cell r="D71">
            <v>114319003</v>
          </cell>
          <cell r="E71" t="str">
            <v>伯希和/PELLIOT</v>
          </cell>
          <cell r="F71" t="str">
            <v>鞋-运动鞋-登山鞋/徒步鞋</v>
          </cell>
          <cell r="G71" t="str">
            <v>一品多商</v>
          </cell>
          <cell r="H71" t="str">
            <v>品牌直发</v>
          </cell>
          <cell r="I71">
            <v>657</v>
          </cell>
        </row>
        <row r="72">
          <cell r="D72">
            <v>164026422</v>
          </cell>
          <cell r="E72" t="str">
            <v>伯希和/PELLIOT</v>
          </cell>
          <cell r="F72" t="str">
            <v>箱包-包袋-户外包</v>
          </cell>
          <cell r="G72" t="str">
            <v>一品一商</v>
          </cell>
          <cell r="H72" t="str">
            <v>品牌直发</v>
          </cell>
          <cell r="I72">
            <v>151</v>
          </cell>
        </row>
        <row r="73">
          <cell r="D73">
            <v>114301037</v>
          </cell>
          <cell r="E73" t="str">
            <v>伯希和/PELLIOT</v>
          </cell>
          <cell r="F73" t="str">
            <v>服装-外套-冲锋衣</v>
          </cell>
          <cell r="G73" t="str">
            <v>一品多商</v>
          </cell>
          <cell r="H73" t="str">
            <v>品牌直发</v>
          </cell>
          <cell r="I73">
            <v>1257</v>
          </cell>
        </row>
        <row r="74">
          <cell r="D74">
            <v>11421429</v>
          </cell>
          <cell r="E74" t="str">
            <v>伯希和/PELLIOT</v>
          </cell>
          <cell r="F74" t="str">
            <v>服装-短裤-休闲短裤</v>
          </cell>
          <cell r="G74" t="str">
            <v>一品一商</v>
          </cell>
          <cell r="H74" t="str">
            <v>品牌直发</v>
          </cell>
          <cell r="I74">
            <v>442</v>
          </cell>
        </row>
        <row r="75">
          <cell r="D75" t="str">
            <v>112340164-271037</v>
          </cell>
          <cell r="E75" t="str">
            <v>伯希和/PELLIOT</v>
          </cell>
          <cell r="F75" t="str">
            <v>服装-外套-冲锋衣</v>
          </cell>
          <cell r="G75" t="str">
            <v>一品多商</v>
          </cell>
          <cell r="H75" t="str">
            <v>品牌直发</v>
          </cell>
          <cell r="I75">
            <v>644</v>
          </cell>
        </row>
        <row r="76">
          <cell r="D76">
            <v>12425112</v>
          </cell>
          <cell r="E76" t="str">
            <v>伯希和/PELLIOT</v>
          </cell>
          <cell r="F76" t="str">
            <v>女装-外套-防晒服</v>
          </cell>
          <cell r="G76" t="str">
            <v>一品多商</v>
          </cell>
          <cell r="H76" t="str">
            <v>品牌直发</v>
          </cell>
          <cell r="I76">
            <v>211</v>
          </cell>
        </row>
        <row r="77">
          <cell r="D77">
            <v>6902507</v>
          </cell>
          <cell r="E77" t="str">
            <v>伯希和/PELLIOT</v>
          </cell>
          <cell r="F77" t="str">
            <v>箱包-包袋-户外包</v>
          </cell>
          <cell r="G77" t="str">
            <v>一品一商</v>
          </cell>
          <cell r="H77" t="str">
            <v>品牌直发</v>
          </cell>
          <cell r="I77">
            <v>278</v>
          </cell>
        </row>
        <row r="78">
          <cell r="D78" t="str">
            <v>12340164-新加色</v>
          </cell>
          <cell r="E78" t="str">
            <v>伯希和/PELLIOT</v>
          </cell>
          <cell r="F78" t="str">
            <v>服装-外套-冲锋衣</v>
          </cell>
          <cell r="G78" t="str">
            <v>一品多商</v>
          </cell>
          <cell r="H78" t="str">
            <v>品牌直发</v>
          </cell>
          <cell r="I78">
            <v>681</v>
          </cell>
        </row>
        <row r="79">
          <cell r="D79">
            <v>12331012</v>
          </cell>
          <cell r="E79" t="str">
            <v>伯希和/PELLIOT</v>
          </cell>
          <cell r="F79" t="str">
            <v>女装-户外运动服-抓绒衣</v>
          </cell>
          <cell r="G79" t="str">
            <v>一品多商</v>
          </cell>
          <cell r="H79" t="str">
            <v>品牌直发</v>
          </cell>
          <cell r="I79">
            <v>164</v>
          </cell>
        </row>
        <row r="80">
          <cell r="D80">
            <v>12330602</v>
          </cell>
          <cell r="E80" t="str">
            <v>伯希和/PELLIOT</v>
          </cell>
          <cell r="F80" t="str">
            <v>女装-外套-软壳衣</v>
          </cell>
          <cell r="G80" t="str">
            <v>一品多商</v>
          </cell>
          <cell r="H80" t="str">
            <v>品牌直发</v>
          </cell>
          <cell r="I80">
            <v>381</v>
          </cell>
        </row>
        <row r="81">
          <cell r="D81">
            <v>111021401</v>
          </cell>
          <cell r="E81" t="str">
            <v>伯希和/PELLIOT</v>
          </cell>
          <cell r="F81" t="str">
            <v>服装-短裤-休闲短裤</v>
          </cell>
          <cell r="G81" t="str">
            <v>一品多商</v>
          </cell>
          <cell r="H81" t="str">
            <v>品牌直发</v>
          </cell>
          <cell r="I81">
            <v>94</v>
          </cell>
        </row>
        <row r="82">
          <cell r="D82">
            <v>12321224</v>
          </cell>
          <cell r="E82" t="str">
            <v>伯希和/PELLIOT</v>
          </cell>
          <cell r="F82" t="str">
            <v>服装-外套-防晒服</v>
          </cell>
          <cell r="G82" t="str">
            <v>一品一商</v>
          </cell>
          <cell r="H82" t="str">
            <v>品牌直发</v>
          </cell>
          <cell r="I82">
            <v>431</v>
          </cell>
        </row>
        <row r="83">
          <cell r="D83">
            <v>12230602</v>
          </cell>
          <cell r="E83" t="str">
            <v>伯希和/PELLIOT</v>
          </cell>
          <cell r="F83" t="str">
            <v>女装-外套-软壳衣</v>
          </cell>
          <cell r="G83" t="str">
            <v>一品多商</v>
          </cell>
          <cell r="H83" t="str">
            <v>品牌直发</v>
          </cell>
          <cell r="I83">
            <v>339</v>
          </cell>
        </row>
        <row r="84">
          <cell r="D84">
            <v>12240112</v>
          </cell>
          <cell r="E84" t="str">
            <v>伯希和/PELLIOT</v>
          </cell>
          <cell r="F84" t="str">
            <v>女装-外套-冲锋衣</v>
          </cell>
          <cell r="G84" t="str">
            <v>一品多商</v>
          </cell>
          <cell r="H84" t="str">
            <v>品牌直发</v>
          </cell>
          <cell r="I84">
            <v>539</v>
          </cell>
        </row>
        <row r="85">
          <cell r="D85">
            <v>112240128</v>
          </cell>
          <cell r="E85" t="str">
            <v>伯希和/PELLIOT</v>
          </cell>
          <cell r="F85" t="str">
            <v>服装-外套-冲锋衣</v>
          </cell>
          <cell r="G85" t="str">
            <v>一品多商</v>
          </cell>
          <cell r="H85" t="str">
            <v>品牌直发</v>
          </cell>
          <cell r="I85">
            <v>977</v>
          </cell>
        </row>
        <row r="86">
          <cell r="D86">
            <v>12040106</v>
          </cell>
          <cell r="E86" t="str">
            <v>伯希和/PELLIOT</v>
          </cell>
          <cell r="F86" t="str">
            <v>女装-外套-冲锋衣</v>
          </cell>
          <cell r="G86" t="str">
            <v>一品多商</v>
          </cell>
          <cell r="H86" t="str">
            <v>品牌直发</v>
          </cell>
          <cell r="I86">
            <v>543</v>
          </cell>
        </row>
        <row r="87">
          <cell r="D87">
            <v>11121269</v>
          </cell>
          <cell r="E87" t="str">
            <v>伯希和/PELLIOT</v>
          </cell>
          <cell r="F87" t="str">
            <v>服装-外套-防晒服</v>
          </cell>
          <cell r="G87" t="str">
            <v>一品一商</v>
          </cell>
          <cell r="H87" t="str">
            <v>品牌直发</v>
          </cell>
          <cell r="I87">
            <v>201</v>
          </cell>
        </row>
        <row r="88">
          <cell r="D88">
            <v>112121202</v>
          </cell>
          <cell r="E88" t="str">
            <v>伯希和/PELLIOT</v>
          </cell>
          <cell r="F88" t="str">
            <v>女装-外套-防晒服</v>
          </cell>
          <cell r="G88" t="str">
            <v>一品一商</v>
          </cell>
          <cell r="H88" t="str">
            <v>品牌直发</v>
          </cell>
          <cell r="I88">
            <v>127</v>
          </cell>
        </row>
        <row r="89">
          <cell r="D89">
            <v>125316033</v>
          </cell>
          <cell r="E89" t="str">
            <v>伯希和/PELLIOT</v>
          </cell>
          <cell r="F89" t="str">
            <v>女装-上衣-T恤</v>
          </cell>
          <cell r="G89" t="str">
            <v>一品多商</v>
          </cell>
          <cell r="H89" t="str">
            <v>品牌直发</v>
          </cell>
          <cell r="I89">
            <v>221</v>
          </cell>
        </row>
        <row r="90">
          <cell r="D90">
            <v>105301059</v>
          </cell>
          <cell r="E90" t="str">
            <v>伯希和/PELLIOT</v>
          </cell>
          <cell r="F90" t="str">
            <v>服装-外套-冲锋衣</v>
          </cell>
          <cell r="G90" t="str">
            <v>一品多商</v>
          </cell>
          <cell r="H90" t="str">
            <v>品牌直发</v>
          </cell>
          <cell r="I90">
            <v>819</v>
          </cell>
        </row>
        <row r="91">
          <cell r="D91">
            <v>165041001</v>
          </cell>
          <cell r="E91" t="str">
            <v>伯希和/PELLIOT</v>
          </cell>
          <cell r="F91" t="str">
            <v>流行饰品/眼镜/服配-防晒服配-防晒脖套</v>
          </cell>
          <cell r="G91" t="str">
            <v>一品一商</v>
          </cell>
          <cell r="H91" t="str">
            <v>品牌直发</v>
          </cell>
          <cell r="I91">
            <v>34</v>
          </cell>
        </row>
        <row r="92">
          <cell r="D92" t="str">
            <v>11340105-2025</v>
          </cell>
          <cell r="E92" t="str">
            <v>伯希和/PELLIOT</v>
          </cell>
          <cell r="F92" t="str">
            <v>服装-外套-冲锋衣</v>
          </cell>
          <cell r="G92" t="str">
            <v>一品多商</v>
          </cell>
          <cell r="H92" t="str">
            <v>品牌直发</v>
          </cell>
          <cell r="I92">
            <v>478</v>
          </cell>
        </row>
        <row r="93">
          <cell r="D93">
            <v>115214015</v>
          </cell>
          <cell r="E93" t="str">
            <v>伯希和/PELLIOT</v>
          </cell>
          <cell r="F93" t="str">
            <v>服装-户外运动服-速干裤</v>
          </cell>
          <cell r="G93" t="str">
            <v>一品一商</v>
          </cell>
          <cell r="H93" t="str">
            <v>品牌直发</v>
          </cell>
          <cell r="I93">
            <v>212</v>
          </cell>
        </row>
        <row r="94">
          <cell r="D94">
            <v>135212024</v>
          </cell>
          <cell r="E94" t="str">
            <v>伯希和/PELLIOT</v>
          </cell>
          <cell r="F94" t="str">
            <v>童装-儿童上装-防晒衣</v>
          </cell>
          <cell r="G94" t="str">
            <v>一品多商</v>
          </cell>
          <cell r="H94" t="str">
            <v>品牌直发</v>
          </cell>
          <cell r="I94">
            <v>182</v>
          </cell>
        </row>
        <row r="95">
          <cell r="D95">
            <v>135212023</v>
          </cell>
          <cell r="E95" t="str">
            <v>伯希和/PELLIOT</v>
          </cell>
          <cell r="F95" t="str">
            <v>童装-儿童上装-防晒衣</v>
          </cell>
          <cell r="G95" t="str">
            <v>一品多商</v>
          </cell>
          <cell r="H95" t="str">
            <v>品牌直发</v>
          </cell>
          <cell r="I95">
            <v>99</v>
          </cell>
        </row>
        <row r="96">
          <cell r="D96">
            <v>135214018</v>
          </cell>
          <cell r="E96" t="str">
            <v>伯希和/PELLIOT</v>
          </cell>
          <cell r="F96" t="str">
            <v>童装-儿童下装-儿童速干裤</v>
          </cell>
          <cell r="G96" t="str">
            <v>一品多商</v>
          </cell>
          <cell r="H96" t="str">
            <v>品牌直发</v>
          </cell>
          <cell r="I96">
            <v>111</v>
          </cell>
        </row>
        <row r="97">
          <cell r="D97">
            <v>125220022</v>
          </cell>
          <cell r="E97" t="str">
            <v>伯希和/PELLIOT</v>
          </cell>
          <cell r="F97" t="str">
            <v>鞋-凉鞋/拖鞋-溯溪鞋</v>
          </cell>
          <cell r="G97" t="str">
            <v>一品多商</v>
          </cell>
          <cell r="H97" t="str">
            <v>品牌直发</v>
          </cell>
          <cell r="I97">
            <v>429</v>
          </cell>
        </row>
        <row r="98">
          <cell r="D98">
            <v>125212004</v>
          </cell>
          <cell r="E98" t="str">
            <v>伯希和/PELLIOT</v>
          </cell>
          <cell r="F98" t="str">
            <v>女装-外套-防晒服</v>
          </cell>
          <cell r="G98" t="str">
            <v>一品多商</v>
          </cell>
          <cell r="H98" t="str">
            <v>品牌直发</v>
          </cell>
          <cell r="I98">
            <v>243</v>
          </cell>
        </row>
        <row r="99">
          <cell r="D99">
            <v>115102001</v>
          </cell>
          <cell r="E99" t="str">
            <v>伯希和/PELLIOT</v>
          </cell>
          <cell r="F99" t="str">
            <v>服装-长裤-冲锋裤</v>
          </cell>
          <cell r="G99" t="str">
            <v>一品多商</v>
          </cell>
          <cell r="H99" t="str">
            <v>品牌直发</v>
          </cell>
          <cell r="I99">
            <v>725</v>
          </cell>
        </row>
        <row r="100">
          <cell r="D100">
            <v>115119025</v>
          </cell>
          <cell r="E100" t="str">
            <v>伯希和/PELLIOT</v>
          </cell>
          <cell r="F100" t="str">
            <v>鞋-运动鞋-越野跑鞋</v>
          </cell>
          <cell r="G100" t="str">
            <v>一品多商</v>
          </cell>
          <cell r="H100" t="str">
            <v>品牌直发</v>
          </cell>
          <cell r="I100">
            <v>362</v>
          </cell>
        </row>
        <row r="101">
          <cell r="D101" t="str">
            <v>12340164-2025</v>
          </cell>
          <cell r="E101" t="str">
            <v>伯希和/PELLIOT</v>
          </cell>
          <cell r="F101" t="str">
            <v>服装-外套-冲锋衣</v>
          </cell>
          <cell r="G101" t="str">
            <v>一品多商</v>
          </cell>
          <cell r="H101" t="str">
            <v>品牌直发</v>
          </cell>
          <cell r="I101">
            <v>651</v>
          </cell>
        </row>
        <row r="102">
          <cell r="D102">
            <v>134301043</v>
          </cell>
          <cell r="E102" t="str">
            <v>伯希和/PELLIOT</v>
          </cell>
          <cell r="F102" t="str">
            <v>童装-儿童上装-冲锋衣</v>
          </cell>
          <cell r="G102" t="str">
            <v>一品一商</v>
          </cell>
          <cell r="H102" t="str">
            <v>品牌直发</v>
          </cell>
          <cell r="I102">
            <v>372</v>
          </cell>
        </row>
        <row r="103">
          <cell r="D103">
            <v>114401041</v>
          </cell>
          <cell r="E103" t="str">
            <v>伯希和/PELLIOT</v>
          </cell>
          <cell r="F103" t="str">
            <v>服装-外套-冲锋衣</v>
          </cell>
          <cell r="G103" t="str">
            <v>一品多商</v>
          </cell>
          <cell r="H103" t="str">
            <v>品牌直发</v>
          </cell>
          <cell r="I103">
            <v>910</v>
          </cell>
        </row>
        <row r="104">
          <cell r="D104">
            <v>114311233</v>
          </cell>
          <cell r="E104" t="str">
            <v>伯希和/PELLIOT</v>
          </cell>
          <cell r="F104" t="str">
            <v>服装-户外运动服-抓绒裤</v>
          </cell>
          <cell r="G104" t="str">
            <v>一品多商</v>
          </cell>
          <cell r="H104" t="str">
            <v>品牌直发</v>
          </cell>
          <cell r="I104">
            <v>272</v>
          </cell>
        </row>
        <row r="105">
          <cell r="D105" t="str">
            <v>PE114306141</v>
          </cell>
          <cell r="E105" t="str">
            <v>伯希和/PELLIOT</v>
          </cell>
          <cell r="F105" t="str">
            <v>服装-外套-软壳衣</v>
          </cell>
          <cell r="G105" t="str">
            <v>一品一商</v>
          </cell>
          <cell r="H105" t="str">
            <v>品牌直发</v>
          </cell>
          <cell r="I105">
            <v>442</v>
          </cell>
        </row>
        <row r="106">
          <cell r="D106" t="str">
            <v>11340105-新加色</v>
          </cell>
          <cell r="E106" t="str">
            <v>伯希和/PELLIOT</v>
          </cell>
          <cell r="F106" t="str">
            <v>服装-外套-冲锋衣</v>
          </cell>
          <cell r="G106" t="str">
            <v>一品多商</v>
          </cell>
          <cell r="H106" t="str">
            <v>品牌直发</v>
          </cell>
          <cell r="I106">
            <v>478</v>
          </cell>
        </row>
        <row r="107">
          <cell r="D107">
            <v>124301070</v>
          </cell>
          <cell r="E107" t="str">
            <v>伯希和/PELLIOT</v>
          </cell>
          <cell r="F107" t="str">
            <v>服装-外套-冲锋衣</v>
          </cell>
          <cell r="G107" t="str">
            <v>一品多商</v>
          </cell>
          <cell r="H107" t="str">
            <v>品牌直发</v>
          </cell>
          <cell r="I107">
            <v>872</v>
          </cell>
        </row>
        <row r="108">
          <cell r="D108">
            <v>164334403</v>
          </cell>
          <cell r="E108" t="str">
            <v>伯希和/PELLIOT</v>
          </cell>
          <cell r="F108" t="str">
            <v>流行饰品/眼镜/服配-帽子-绒线帽</v>
          </cell>
          <cell r="G108" t="str">
            <v>一品一商</v>
          </cell>
          <cell r="H108" t="str">
            <v>品牌直发</v>
          </cell>
          <cell r="I108">
            <v>64</v>
          </cell>
        </row>
        <row r="109">
          <cell r="D109">
            <v>114310203</v>
          </cell>
          <cell r="E109" t="str">
            <v>伯希和/PELLIOT</v>
          </cell>
          <cell r="F109" t="str">
            <v>服装-户外运动服-抓绒衣</v>
          </cell>
          <cell r="G109" t="str">
            <v>一品多商</v>
          </cell>
          <cell r="H109" t="str">
            <v>品牌直发</v>
          </cell>
          <cell r="I109">
            <v>312</v>
          </cell>
        </row>
        <row r="110">
          <cell r="D110">
            <v>164026416</v>
          </cell>
          <cell r="E110" t="str">
            <v>伯希和/PELLIOT</v>
          </cell>
          <cell r="F110" t="str">
            <v>箱包-包袋-户外包</v>
          </cell>
          <cell r="G110" t="str">
            <v>一品一商</v>
          </cell>
          <cell r="H110" t="str">
            <v>品牌直发</v>
          </cell>
          <cell r="I110">
            <v>112</v>
          </cell>
        </row>
        <row r="111">
          <cell r="D111">
            <v>124301006</v>
          </cell>
          <cell r="E111" t="str">
            <v>伯希和/PELLIOT</v>
          </cell>
          <cell r="F111" t="str">
            <v>服装-外套-冲锋衣</v>
          </cell>
          <cell r="G111" t="str">
            <v>一品多商</v>
          </cell>
          <cell r="H111" t="str">
            <v>品牌直发</v>
          </cell>
          <cell r="I111">
            <v>776</v>
          </cell>
        </row>
        <row r="112">
          <cell r="D112">
            <v>114301029</v>
          </cell>
          <cell r="E112" t="str">
            <v>伯希和/PELLIOT</v>
          </cell>
          <cell r="F112" t="str">
            <v>服装-外套-冲锋衣</v>
          </cell>
          <cell r="G112" t="str">
            <v>一品多商</v>
          </cell>
          <cell r="H112" t="str">
            <v>品牌直发</v>
          </cell>
          <cell r="I112">
            <v>524</v>
          </cell>
        </row>
        <row r="113">
          <cell r="D113">
            <v>165025069</v>
          </cell>
          <cell r="E113" t="str">
            <v>伯希和/PELLIOT</v>
          </cell>
          <cell r="F113" t="str">
            <v>箱包-包袋-户外包</v>
          </cell>
          <cell r="G113" t="str">
            <v>一品一商</v>
          </cell>
          <cell r="H113" t="str">
            <v>品牌直发</v>
          </cell>
          <cell r="I113">
            <v>101</v>
          </cell>
        </row>
        <row r="114">
          <cell r="D114" t="str">
            <v>11340105-CF05</v>
          </cell>
          <cell r="E114" t="str">
            <v>伯希和/PELLIOT</v>
          </cell>
          <cell r="F114" t="str">
            <v>服装-外套-冲锋衣</v>
          </cell>
          <cell r="G114" t="str">
            <v>一品多商</v>
          </cell>
          <cell r="H114" t="str">
            <v>品牌直发</v>
          </cell>
          <cell r="I114">
            <v>499</v>
          </cell>
        </row>
        <row r="115">
          <cell r="D115">
            <v>11411909</v>
          </cell>
          <cell r="E115" t="str">
            <v>伯希和/PELLIOT</v>
          </cell>
          <cell r="F115" t="str">
            <v>鞋-运动鞋-登山鞋/徒步鞋</v>
          </cell>
          <cell r="G115" t="str">
            <v>一品多商</v>
          </cell>
          <cell r="H115" t="str">
            <v>品牌直发</v>
          </cell>
          <cell r="I115">
            <v>347.76</v>
          </cell>
        </row>
        <row r="116">
          <cell r="D116">
            <v>11411907</v>
          </cell>
          <cell r="E116" t="str">
            <v>伯希和/PELLIOT</v>
          </cell>
          <cell r="F116" t="str">
            <v>鞋-运动鞋-登山鞋/徒步鞋</v>
          </cell>
          <cell r="G116" t="str">
            <v>一品一商</v>
          </cell>
          <cell r="H116" t="str">
            <v>品牌直发</v>
          </cell>
          <cell r="I116">
            <v>369</v>
          </cell>
        </row>
        <row r="117">
          <cell r="D117">
            <v>12411402</v>
          </cell>
          <cell r="E117" t="str">
            <v>伯希和/PELLIOT</v>
          </cell>
          <cell r="F117" t="str">
            <v>女装-长裤-软壳裤</v>
          </cell>
          <cell r="G117" t="str">
            <v>一品一商</v>
          </cell>
          <cell r="H117" t="str">
            <v>品牌直发</v>
          </cell>
          <cell r="I117">
            <v>342</v>
          </cell>
        </row>
        <row r="118">
          <cell r="D118">
            <v>11411401</v>
          </cell>
          <cell r="E118" t="str">
            <v>伯希和/PELLIOT</v>
          </cell>
          <cell r="F118" t="str">
            <v>服装-长裤-软壳裤</v>
          </cell>
          <cell r="G118" t="str">
            <v>一品多商</v>
          </cell>
          <cell r="H118" t="str">
            <v>品牌直发</v>
          </cell>
          <cell r="I118">
            <v>0</v>
          </cell>
        </row>
        <row r="119">
          <cell r="D119">
            <v>12421252</v>
          </cell>
          <cell r="E119" t="str">
            <v>伯希和/PELLIOT</v>
          </cell>
          <cell r="F119" t="str">
            <v>女装-外套-防晒服</v>
          </cell>
          <cell r="G119" t="str">
            <v>一品多商</v>
          </cell>
          <cell r="H119" t="str">
            <v>品牌直发</v>
          </cell>
          <cell r="I119">
            <v>0</v>
          </cell>
        </row>
        <row r="120">
          <cell r="D120">
            <v>12421230</v>
          </cell>
          <cell r="E120" t="str">
            <v>伯希和/PELLIOT</v>
          </cell>
          <cell r="F120" t="str">
            <v>女装-外套-防晒服</v>
          </cell>
          <cell r="G120" t="str">
            <v>一品多商</v>
          </cell>
          <cell r="H120" t="str">
            <v>品牌直发</v>
          </cell>
          <cell r="I120">
            <v>0</v>
          </cell>
        </row>
        <row r="121">
          <cell r="D121">
            <v>12421212</v>
          </cell>
          <cell r="E121" t="str">
            <v>伯希和/PELLIOT</v>
          </cell>
          <cell r="F121" t="str">
            <v>女装-外套-防晒服</v>
          </cell>
          <cell r="G121" t="str">
            <v>一品多商</v>
          </cell>
          <cell r="H121" t="str">
            <v>品牌直发</v>
          </cell>
          <cell r="I121">
            <v>0</v>
          </cell>
        </row>
        <row r="122">
          <cell r="D122">
            <v>11421411</v>
          </cell>
          <cell r="E122" t="str">
            <v>伯希和/PELLIOT</v>
          </cell>
          <cell r="F122" t="str">
            <v>服装-户外运动服-速干裤</v>
          </cell>
          <cell r="G122" t="str">
            <v>一品多商</v>
          </cell>
          <cell r="H122" t="str">
            <v>品牌直发</v>
          </cell>
          <cell r="I122">
            <v>0</v>
          </cell>
        </row>
        <row r="123">
          <cell r="D123">
            <v>11421409</v>
          </cell>
          <cell r="E123" t="str">
            <v>伯希和/PELLIOT</v>
          </cell>
          <cell r="F123" t="str">
            <v>服装-户外运动服-速干裤</v>
          </cell>
          <cell r="G123" t="str">
            <v>一品多商</v>
          </cell>
          <cell r="H123" t="str">
            <v>品牌直发</v>
          </cell>
          <cell r="I123">
            <v>0</v>
          </cell>
        </row>
        <row r="124">
          <cell r="D124">
            <v>11411405</v>
          </cell>
          <cell r="E124" t="str">
            <v>伯希和/PELLIOT</v>
          </cell>
          <cell r="F124" t="str">
            <v>服装-长裤-软壳裤</v>
          </cell>
          <cell r="G124" t="str">
            <v>一品一商</v>
          </cell>
          <cell r="H124" t="str">
            <v>品牌直发</v>
          </cell>
          <cell r="I124">
            <v>0</v>
          </cell>
        </row>
        <row r="125">
          <cell r="D125">
            <v>11421211</v>
          </cell>
          <cell r="E125" t="str">
            <v>伯希和/PELLIOT</v>
          </cell>
          <cell r="F125" t="str">
            <v>服装-外套-防晒服</v>
          </cell>
          <cell r="G125" t="str">
            <v>一品多商</v>
          </cell>
          <cell r="H125" t="str">
            <v>品牌直发</v>
          </cell>
          <cell r="I125">
            <v>0</v>
          </cell>
        </row>
        <row r="126">
          <cell r="D126">
            <v>12421538</v>
          </cell>
          <cell r="E126" t="str">
            <v>伯希和/PELLIOT</v>
          </cell>
          <cell r="F126" t="str">
            <v>女装-户外运动服-跑步T恤</v>
          </cell>
          <cell r="G126" t="str">
            <v>一品一商</v>
          </cell>
          <cell r="H126" t="str">
            <v>品牌直发</v>
          </cell>
          <cell r="I126">
            <v>0</v>
          </cell>
        </row>
        <row r="127">
          <cell r="D127">
            <v>16423433</v>
          </cell>
          <cell r="E127" t="str">
            <v>伯希和/PELLIOT</v>
          </cell>
          <cell r="F127" t="str">
            <v>流行饰品/眼镜/服配-防晒服配-防晒帽</v>
          </cell>
          <cell r="G127" t="str">
            <v>一品一商</v>
          </cell>
          <cell r="H127" t="str">
            <v>品牌直发</v>
          </cell>
          <cell r="I127">
            <v>0</v>
          </cell>
        </row>
        <row r="128">
          <cell r="D128">
            <v>11421503</v>
          </cell>
          <cell r="E128" t="str">
            <v>伯希和/PELLIOT</v>
          </cell>
          <cell r="F128" t="str">
            <v>服装-上衣-Polo衫</v>
          </cell>
          <cell r="G128" t="str">
            <v>一品多商</v>
          </cell>
          <cell r="H128" t="str">
            <v>品牌直发</v>
          </cell>
          <cell r="I128">
            <v>0</v>
          </cell>
        </row>
        <row r="129">
          <cell r="D129">
            <v>11421215</v>
          </cell>
          <cell r="E129" t="str">
            <v>伯希和/PELLIOT</v>
          </cell>
          <cell r="F129" t="str">
            <v>服装-外套-防晒服</v>
          </cell>
          <cell r="G129" t="str">
            <v>一品多商</v>
          </cell>
          <cell r="H129" t="str">
            <v>品牌直发</v>
          </cell>
          <cell r="I129">
            <v>0</v>
          </cell>
        </row>
        <row r="130">
          <cell r="D130">
            <v>12421226</v>
          </cell>
          <cell r="E130" t="str">
            <v>伯希和/PELLIOT</v>
          </cell>
          <cell r="F130" t="str">
            <v>女装-外套-防晒服</v>
          </cell>
          <cell r="G130" t="str">
            <v>一品一商</v>
          </cell>
          <cell r="H130" t="str">
            <v>品牌直发</v>
          </cell>
          <cell r="I130">
            <v>0</v>
          </cell>
        </row>
        <row r="131">
          <cell r="D131">
            <v>12410306</v>
          </cell>
          <cell r="E131" t="str">
            <v>伯希和/PELLIOT</v>
          </cell>
          <cell r="F131" t="str">
            <v>女装-户外运动服-滑雪衣</v>
          </cell>
          <cell r="G131" t="str">
            <v>一品多商</v>
          </cell>
          <cell r="H131" t="str">
            <v>品牌直发</v>
          </cell>
          <cell r="I131">
            <v>0</v>
          </cell>
        </row>
        <row r="132">
          <cell r="D132">
            <v>11340157</v>
          </cell>
          <cell r="E132" t="str">
            <v>伯希和/PELLIOT</v>
          </cell>
          <cell r="F132" t="str">
            <v>服装-外套-冲锋衣</v>
          </cell>
          <cell r="G132" t="str">
            <v>一品一商</v>
          </cell>
          <cell r="H132" t="str">
            <v>品牌直发</v>
          </cell>
          <cell r="I132">
            <v>0</v>
          </cell>
        </row>
        <row r="133">
          <cell r="D133">
            <v>12421502</v>
          </cell>
          <cell r="E133" t="str">
            <v>伯希和/PELLIOT</v>
          </cell>
          <cell r="F133" t="str">
            <v>女装-户外运动服-速干衣</v>
          </cell>
          <cell r="G133" t="str">
            <v>一品多商</v>
          </cell>
          <cell r="H133" t="str">
            <v>品牌直发</v>
          </cell>
          <cell r="I133">
            <v>0</v>
          </cell>
        </row>
        <row r="134">
          <cell r="D134">
            <v>11421501</v>
          </cell>
          <cell r="E134" t="str">
            <v>伯希和/PELLIOT</v>
          </cell>
          <cell r="F134" t="str">
            <v>服装-上衣-T恤</v>
          </cell>
          <cell r="G134" t="str">
            <v>一品多商</v>
          </cell>
          <cell r="H134" t="str">
            <v>品牌直发</v>
          </cell>
          <cell r="I134">
            <v>0</v>
          </cell>
        </row>
        <row r="135">
          <cell r="D135">
            <v>16423408</v>
          </cell>
          <cell r="E135" t="str">
            <v>伯希和/PELLIOT</v>
          </cell>
          <cell r="F135" t="str">
            <v>流行饰品/眼镜/服配-防晒服配-防晒帽</v>
          </cell>
          <cell r="G135" t="str">
            <v>一品一商</v>
          </cell>
          <cell r="H135" t="str">
            <v>品牌直发</v>
          </cell>
          <cell r="I135">
            <v>0</v>
          </cell>
        </row>
        <row r="136">
          <cell r="D136">
            <v>116423401</v>
          </cell>
          <cell r="E136" t="str">
            <v>伯希和/PELLIOT</v>
          </cell>
          <cell r="F136" t="str">
            <v>流行饰品/眼镜/服配-帽子-渔夫帽</v>
          </cell>
          <cell r="G136" t="str">
            <v>一品一商</v>
          </cell>
          <cell r="H136" t="str">
            <v>品牌直发</v>
          </cell>
          <cell r="I136">
            <v>0</v>
          </cell>
        </row>
        <row r="137">
          <cell r="D137">
            <v>16423407</v>
          </cell>
          <cell r="E137" t="str">
            <v>伯希和/PELLIOT</v>
          </cell>
          <cell r="F137" t="str">
            <v>流行饰品/眼镜/服配-防晒服配-防晒帽</v>
          </cell>
          <cell r="G137" t="str">
            <v>一品一商</v>
          </cell>
          <cell r="H137" t="str">
            <v>品牌直发</v>
          </cell>
          <cell r="I137">
            <v>0</v>
          </cell>
        </row>
        <row r="138">
          <cell r="D138">
            <v>164332401</v>
          </cell>
          <cell r="E138" t="str">
            <v>伯希和/PELLIOT</v>
          </cell>
          <cell r="F138" t="str">
            <v>流行饰品/眼镜/服配-围巾-绒线围巾</v>
          </cell>
          <cell r="G138" t="str">
            <v>一品一商</v>
          </cell>
          <cell r="H138" t="str">
            <v>品牌直发</v>
          </cell>
          <cell r="I138">
            <v>0</v>
          </cell>
        </row>
        <row r="139">
          <cell r="D139">
            <v>16424601</v>
          </cell>
          <cell r="E139" t="str">
            <v>伯希和/PELLIOT</v>
          </cell>
          <cell r="F139" t="str">
            <v>流行饰品/眼镜/服配-防晒服配-防晒袖</v>
          </cell>
          <cell r="G139" t="str">
            <v>一品一商</v>
          </cell>
          <cell r="H139" t="str">
            <v>品牌直发</v>
          </cell>
          <cell r="I139">
            <v>0</v>
          </cell>
        </row>
        <row r="140">
          <cell r="D140">
            <v>11410305</v>
          </cell>
          <cell r="E140" t="str">
            <v>伯希和/PELLIOT</v>
          </cell>
          <cell r="F140" t="str">
            <v>服装-户外运动服-滑雪衣</v>
          </cell>
          <cell r="G140" t="str">
            <v>一品多商</v>
          </cell>
          <cell r="H140" t="str">
            <v>品牌直发</v>
          </cell>
          <cell r="I140">
            <v>0</v>
          </cell>
        </row>
        <row r="141">
          <cell r="D141">
            <v>116123408</v>
          </cell>
          <cell r="E141" t="str">
            <v>伯希和/PELLIOT</v>
          </cell>
          <cell r="F141" t="str">
            <v>流行饰品/眼镜/服配-防晒服配-防晒帽</v>
          </cell>
          <cell r="G141" t="str">
            <v>一品一商</v>
          </cell>
          <cell r="H141" t="str">
            <v>品牌直发</v>
          </cell>
          <cell r="I141">
            <v>0</v>
          </cell>
        </row>
        <row r="142">
          <cell r="D142">
            <v>16223401</v>
          </cell>
          <cell r="E142" t="str">
            <v>伯希和/PELLIOT</v>
          </cell>
          <cell r="F142" t="str">
            <v>流行饰品/眼镜/服配-防晒服配-防晒帽</v>
          </cell>
          <cell r="G142" t="str">
            <v>一品一商</v>
          </cell>
          <cell r="H142" t="str">
            <v>品牌直发</v>
          </cell>
          <cell r="I142">
            <v>0</v>
          </cell>
        </row>
        <row r="143">
          <cell r="D143">
            <v>116223402</v>
          </cell>
          <cell r="E143" t="str">
            <v>伯希和/PELLIOT</v>
          </cell>
          <cell r="F143" t="str">
            <v>流行饰品/眼镜/服配-防晒服配-防晒帽</v>
          </cell>
          <cell r="G143" t="str">
            <v>一品一商</v>
          </cell>
          <cell r="H143" t="str">
            <v>品牌直发</v>
          </cell>
          <cell r="I143">
            <v>0</v>
          </cell>
        </row>
        <row r="144">
          <cell r="D144">
            <v>16225604</v>
          </cell>
          <cell r="E144" t="str">
            <v>伯希和/PELLIOT</v>
          </cell>
          <cell r="F144" t="str">
            <v>流行饰品/眼镜/服配-防晒服配-防晒面罩</v>
          </cell>
          <cell r="G144" t="str">
            <v>一品一商</v>
          </cell>
          <cell r="H144" t="str">
            <v>品牌直发</v>
          </cell>
          <cell r="I144">
            <v>0</v>
          </cell>
        </row>
        <row r="145">
          <cell r="D145">
            <v>16423401</v>
          </cell>
          <cell r="E145" t="str">
            <v>伯希和/PELLIOT</v>
          </cell>
          <cell r="F145" t="str">
            <v>流行饰品/眼镜/服配-帽子-渔夫帽</v>
          </cell>
          <cell r="G145" t="str">
            <v>一品一商</v>
          </cell>
          <cell r="H145" t="str">
            <v>品牌直发</v>
          </cell>
          <cell r="I145">
            <v>0</v>
          </cell>
        </row>
        <row r="146">
          <cell r="D146">
            <v>16423406</v>
          </cell>
          <cell r="E146" t="str">
            <v>伯希和/PELLIOT</v>
          </cell>
          <cell r="F146" t="str">
            <v>流行饰品/眼镜/服配-防晒服配-防晒帽</v>
          </cell>
          <cell r="G146" t="str">
            <v>一品一商</v>
          </cell>
          <cell r="H146" t="str">
            <v>品牌直发</v>
          </cell>
          <cell r="I146">
            <v>0</v>
          </cell>
        </row>
        <row r="147">
          <cell r="D147">
            <v>12421214</v>
          </cell>
          <cell r="E147" t="str">
            <v>伯希和/PELLIOT</v>
          </cell>
          <cell r="F147" t="str">
            <v>女装-外套-防晒服</v>
          </cell>
          <cell r="G147" t="str">
            <v>一品一商</v>
          </cell>
          <cell r="H147" t="str">
            <v>品牌直发</v>
          </cell>
          <cell r="I147">
            <v>0</v>
          </cell>
        </row>
        <row r="148">
          <cell r="D148">
            <v>16023203</v>
          </cell>
          <cell r="E148" t="str">
            <v>伯希和/PELLIOT</v>
          </cell>
          <cell r="F148" t="str">
            <v>流行饰品/眼镜/服配-防晒服配-防晒脖套</v>
          </cell>
          <cell r="G148" t="str">
            <v>一品一商</v>
          </cell>
          <cell r="H148" t="str">
            <v>品牌直发</v>
          </cell>
          <cell r="I148">
            <v>0</v>
          </cell>
        </row>
        <row r="149">
          <cell r="D149">
            <v>16943407</v>
          </cell>
          <cell r="E149" t="str">
            <v>伯希和/PELLIOT</v>
          </cell>
          <cell r="F149" t="str">
            <v>流行饰品/眼镜/服配-帽子-绒线帽</v>
          </cell>
          <cell r="G149" t="str">
            <v>一品一商</v>
          </cell>
          <cell r="H149" t="str">
            <v>品牌直发</v>
          </cell>
          <cell r="I149">
            <v>0</v>
          </cell>
        </row>
        <row r="150">
          <cell r="D150">
            <v>11421425</v>
          </cell>
          <cell r="E150" t="str">
            <v>伯希和/PELLIOT</v>
          </cell>
          <cell r="F150" t="str">
            <v>服装-长裤-针织运动裤</v>
          </cell>
          <cell r="G150" t="str">
            <v>一品多商</v>
          </cell>
          <cell r="H150" t="str">
            <v>品牌直发</v>
          </cell>
          <cell r="I150">
            <v>0</v>
          </cell>
        </row>
        <row r="151">
          <cell r="D151">
            <v>16903501</v>
          </cell>
          <cell r="E151" t="str">
            <v>伯希和/PELLIOT</v>
          </cell>
          <cell r="F151" t="str">
            <v>内衣-袜子-短袜</v>
          </cell>
          <cell r="G151" t="str">
            <v>一品一商</v>
          </cell>
          <cell r="H151" t="str">
            <v>品牌直发</v>
          </cell>
          <cell r="I151">
            <v>0</v>
          </cell>
        </row>
        <row r="152">
          <cell r="D152">
            <v>12421426</v>
          </cell>
          <cell r="E152" t="str">
            <v>伯希和/PELLIOT</v>
          </cell>
          <cell r="F152" t="str">
            <v>女装-户外运动服-速干裤</v>
          </cell>
          <cell r="G152" t="str">
            <v>一品多商</v>
          </cell>
          <cell r="H152" t="str">
            <v>品牌直发</v>
          </cell>
          <cell r="I152">
            <v>0</v>
          </cell>
        </row>
        <row r="153">
          <cell r="D153">
            <v>16023101</v>
          </cell>
          <cell r="E153" t="str">
            <v>伯希和/PELLIOT</v>
          </cell>
          <cell r="F153" t="str">
            <v>流行饰品/眼镜/服配-防晒服配-防晒手套</v>
          </cell>
          <cell r="G153" t="str">
            <v>一品一商</v>
          </cell>
          <cell r="H153" t="str">
            <v>品牌直发</v>
          </cell>
          <cell r="I153">
            <v>0</v>
          </cell>
        </row>
        <row r="154">
          <cell r="D154">
            <v>12421412</v>
          </cell>
          <cell r="E154" t="str">
            <v>伯希和/PELLIOT</v>
          </cell>
          <cell r="F154" t="str">
            <v>女装-户外运动服-速干裤</v>
          </cell>
          <cell r="G154" t="str">
            <v>一品多商</v>
          </cell>
          <cell r="H154" t="str">
            <v>品牌直发</v>
          </cell>
          <cell r="I154">
            <v>0</v>
          </cell>
        </row>
        <row r="155">
          <cell r="D155">
            <v>11331905</v>
          </cell>
          <cell r="E155" t="str">
            <v>伯希和/PELLIOT</v>
          </cell>
          <cell r="F155" t="str">
            <v>鞋-运动鞋-跑步鞋</v>
          </cell>
          <cell r="G155" t="str">
            <v>一品一商</v>
          </cell>
          <cell r="H155" t="str">
            <v>品牌直发</v>
          </cell>
          <cell r="I155">
            <v>0</v>
          </cell>
        </row>
        <row r="156">
          <cell r="D156">
            <v>16043429</v>
          </cell>
          <cell r="E156" t="str">
            <v>伯希和/PELLIOT</v>
          </cell>
          <cell r="F156" t="str">
            <v>流行饰品/眼镜/服配-帽子-绒线帽</v>
          </cell>
          <cell r="G156" t="str">
            <v>一品一商</v>
          </cell>
          <cell r="H156" t="str">
            <v>品牌直发</v>
          </cell>
          <cell r="I156">
            <v>0</v>
          </cell>
        </row>
        <row r="157">
          <cell r="D157">
            <v>16302836</v>
          </cell>
          <cell r="E157" t="str">
            <v>伯希和/PELLIOT</v>
          </cell>
          <cell r="F157" t="str">
            <v>户外装备-露营/野炊装备-户外充气床</v>
          </cell>
          <cell r="G157" t="str">
            <v>一品一商</v>
          </cell>
          <cell r="H157" t="str">
            <v>普通现货</v>
          </cell>
          <cell r="I157">
            <v>0</v>
          </cell>
        </row>
        <row r="158">
          <cell r="D158">
            <v>11325109</v>
          </cell>
          <cell r="E158" t="str">
            <v>伯希和/PELLIOT</v>
          </cell>
          <cell r="F158" t="str">
            <v>服装-外套-夹克</v>
          </cell>
          <cell r="G158" t="str">
            <v>一品一商</v>
          </cell>
          <cell r="H158" t="str">
            <v>品牌直发</v>
          </cell>
          <cell r="I158">
            <v>0</v>
          </cell>
        </row>
        <row r="159">
          <cell r="D159" t="str">
            <v>12331902-黑灰色</v>
          </cell>
          <cell r="E159" t="str">
            <v>伯希和/PELLIOT</v>
          </cell>
          <cell r="F159" t="str">
            <v>鞋-运动鞋-跑步鞋</v>
          </cell>
          <cell r="G159" t="str">
            <v>一品一商</v>
          </cell>
          <cell r="H159" t="str">
            <v>品牌直发</v>
          </cell>
          <cell r="I159">
            <v>0</v>
          </cell>
        </row>
        <row r="160">
          <cell r="D160" t="str">
            <v>12331902-浅卡其</v>
          </cell>
          <cell r="E160" t="str">
            <v>伯希和/PELLIOT</v>
          </cell>
          <cell r="F160" t="str">
            <v>鞋-运动鞋-跑步鞋</v>
          </cell>
          <cell r="G160" t="str">
            <v>一品多商</v>
          </cell>
          <cell r="H160" t="str">
            <v>品牌直发</v>
          </cell>
          <cell r="I160">
            <v>0</v>
          </cell>
        </row>
        <row r="161">
          <cell r="D161" t="str">
            <v>12331902-活力红</v>
          </cell>
          <cell r="E161" t="str">
            <v>伯希和/PELLIOT</v>
          </cell>
          <cell r="F161" t="str">
            <v>鞋-运动鞋-跑步鞋</v>
          </cell>
          <cell r="G161" t="str">
            <v>一品一商</v>
          </cell>
          <cell r="H161" t="str">
            <v>品牌直发</v>
          </cell>
          <cell r="I161">
            <v>0</v>
          </cell>
        </row>
        <row r="162">
          <cell r="D162">
            <v>12340820</v>
          </cell>
          <cell r="E162" t="str">
            <v>伯希和/PELLIOT</v>
          </cell>
          <cell r="F162" t="str">
            <v>服装-外套-羽绒服</v>
          </cell>
          <cell r="G162" t="str">
            <v>一品一商</v>
          </cell>
          <cell r="H162" t="str">
            <v>品牌直发</v>
          </cell>
          <cell r="I162">
            <v>0</v>
          </cell>
        </row>
        <row r="163">
          <cell r="D163">
            <v>12331028</v>
          </cell>
          <cell r="E163" t="str">
            <v>伯希和/PELLIOT</v>
          </cell>
          <cell r="F163" t="str">
            <v>服装-户外运动服-抓绒衣</v>
          </cell>
          <cell r="G163" t="str">
            <v>一品一商</v>
          </cell>
          <cell r="H163" t="str">
            <v>品牌直发</v>
          </cell>
          <cell r="I163">
            <v>0</v>
          </cell>
        </row>
        <row r="164">
          <cell r="D164">
            <v>12331032</v>
          </cell>
          <cell r="E164" t="str">
            <v>伯希和/PELLIOT</v>
          </cell>
          <cell r="F164" t="str">
            <v>服装-户外运动服-抓绒衣</v>
          </cell>
          <cell r="G164" t="str">
            <v>一品一商</v>
          </cell>
          <cell r="H164" t="str">
            <v>品牌直发</v>
          </cell>
          <cell r="I164">
            <v>0</v>
          </cell>
        </row>
        <row r="165">
          <cell r="D165">
            <v>12340806</v>
          </cell>
          <cell r="E165" t="str">
            <v>伯希和/PELLIOT</v>
          </cell>
          <cell r="F165" t="str">
            <v>女装-外套-羽绒服</v>
          </cell>
          <cell r="G165" t="str">
            <v>一品多商</v>
          </cell>
          <cell r="H165" t="str">
            <v>品牌直发</v>
          </cell>
          <cell r="I165">
            <v>0</v>
          </cell>
        </row>
        <row r="166">
          <cell r="D166">
            <v>12331030</v>
          </cell>
          <cell r="E166" t="str">
            <v>伯希和/PELLIOT</v>
          </cell>
          <cell r="F166" t="str">
            <v>服装-户外运动服-抓绒衣</v>
          </cell>
          <cell r="G166" t="str">
            <v>一品一商</v>
          </cell>
          <cell r="H166" t="str">
            <v>品牌直发</v>
          </cell>
          <cell r="I166">
            <v>0</v>
          </cell>
        </row>
        <row r="167">
          <cell r="D167">
            <v>11340805</v>
          </cell>
          <cell r="E167" t="str">
            <v>伯希和/PELLIOT</v>
          </cell>
          <cell r="F167" t="str">
            <v>服装-外套-羽绒服</v>
          </cell>
          <cell r="G167" t="str">
            <v>一品多商</v>
          </cell>
          <cell r="H167" t="str">
            <v>品牌直发</v>
          </cell>
          <cell r="I167">
            <v>0</v>
          </cell>
        </row>
        <row r="168">
          <cell r="D168">
            <v>11331021</v>
          </cell>
          <cell r="E168" t="str">
            <v>伯希和/PELLIOT</v>
          </cell>
          <cell r="F168" t="str">
            <v>服装-户外运动服-抓绒衣</v>
          </cell>
          <cell r="G168" t="str">
            <v>一品一商</v>
          </cell>
          <cell r="H168" t="str">
            <v>品牌直发</v>
          </cell>
          <cell r="I168">
            <v>0</v>
          </cell>
        </row>
        <row r="169">
          <cell r="D169">
            <v>11331057</v>
          </cell>
          <cell r="E169" t="str">
            <v>伯希和/PELLIOT</v>
          </cell>
          <cell r="F169" t="str">
            <v>服装-户外运动服-抓绒衣</v>
          </cell>
          <cell r="G169" t="str">
            <v>一品一商</v>
          </cell>
          <cell r="H169" t="str">
            <v>品牌直发</v>
          </cell>
          <cell r="I169">
            <v>0</v>
          </cell>
        </row>
        <row r="170">
          <cell r="D170">
            <v>12340836</v>
          </cell>
          <cell r="E170" t="str">
            <v>伯希和/PELLIOT</v>
          </cell>
          <cell r="F170" t="str">
            <v>服装-外套-羽绒服</v>
          </cell>
          <cell r="G170" t="str">
            <v>一品多商</v>
          </cell>
          <cell r="H170" t="str">
            <v>品牌直发</v>
          </cell>
          <cell r="I170">
            <v>0</v>
          </cell>
        </row>
        <row r="171">
          <cell r="D171">
            <v>12331058</v>
          </cell>
          <cell r="E171" t="str">
            <v>伯希和/PELLIOT</v>
          </cell>
          <cell r="F171" t="str">
            <v>女装-户外运动服-抓绒衣</v>
          </cell>
          <cell r="G171" t="str">
            <v>一品一商</v>
          </cell>
          <cell r="H171" t="str">
            <v>品牌直发</v>
          </cell>
          <cell r="I171">
            <v>0</v>
          </cell>
        </row>
        <row r="172">
          <cell r="D172">
            <v>12340828</v>
          </cell>
          <cell r="E172" t="str">
            <v>伯希和/PELLIOT</v>
          </cell>
          <cell r="F172" t="str">
            <v>服装-外套-羽绒服</v>
          </cell>
          <cell r="G172" t="str">
            <v>一品多商</v>
          </cell>
          <cell r="H172" t="str">
            <v>品牌直发</v>
          </cell>
          <cell r="I172">
            <v>0</v>
          </cell>
        </row>
        <row r="173">
          <cell r="D173">
            <v>12340812</v>
          </cell>
          <cell r="E173" t="str">
            <v>伯希和/PELLIOT</v>
          </cell>
          <cell r="F173" t="str">
            <v>服装-外套-羽绒服</v>
          </cell>
          <cell r="G173" t="str">
            <v>一品多商</v>
          </cell>
          <cell r="H173" t="str">
            <v>品牌直发</v>
          </cell>
          <cell r="I173">
            <v>0</v>
          </cell>
        </row>
        <row r="174">
          <cell r="D174">
            <v>12340134</v>
          </cell>
          <cell r="E174" t="str">
            <v>伯希和/PELLIOT</v>
          </cell>
          <cell r="F174" t="str">
            <v>服装-外套-冲锋衣</v>
          </cell>
          <cell r="G174" t="str">
            <v>一品一商</v>
          </cell>
          <cell r="H174" t="str">
            <v>品牌直发</v>
          </cell>
          <cell r="I174">
            <v>0</v>
          </cell>
        </row>
        <row r="175">
          <cell r="D175">
            <v>12340804</v>
          </cell>
          <cell r="E175" t="str">
            <v>伯希和/PELLIOT</v>
          </cell>
          <cell r="F175" t="str">
            <v>女装-外套-羽绒服</v>
          </cell>
          <cell r="G175" t="str">
            <v>一品多商</v>
          </cell>
          <cell r="H175" t="str">
            <v>品牌直发</v>
          </cell>
          <cell r="I175">
            <v>0</v>
          </cell>
        </row>
        <row r="176">
          <cell r="D176">
            <v>12340814</v>
          </cell>
          <cell r="E176" t="str">
            <v>伯希和/PELLIOT</v>
          </cell>
          <cell r="F176" t="str">
            <v>服装-外套-羽绒服</v>
          </cell>
          <cell r="G176" t="str">
            <v>一品多商</v>
          </cell>
          <cell r="H176" t="str">
            <v>品牌直发</v>
          </cell>
          <cell r="I176">
            <v>0</v>
          </cell>
        </row>
        <row r="177">
          <cell r="D177">
            <v>11340139</v>
          </cell>
          <cell r="E177" t="str">
            <v>伯希和/PELLIOT</v>
          </cell>
          <cell r="F177" t="str">
            <v>服装-外套-冲锋衣</v>
          </cell>
          <cell r="G177" t="str">
            <v>一品多商</v>
          </cell>
          <cell r="H177" t="str">
            <v>品牌直发</v>
          </cell>
          <cell r="I177">
            <v>0</v>
          </cell>
        </row>
        <row r="178">
          <cell r="D178">
            <v>12331018</v>
          </cell>
          <cell r="E178" t="str">
            <v>伯希和/PELLIOT</v>
          </cell>
          <cell r="F178" t="str">
            <v>服装-户外运动服-抓绒衣</v>
          </cell>
          <cell r="G178" t="str">
            <v>一品一商</v>
          </cell>
          <cell r="H178" t="str">
            <v>品牌直发</v>
          </cell>
          <cell r="I178">
            <v>0</v>
          </cell>
        </row>
        <row r="179">
          <cell r="D179">
            <v>12331026</v>
          </cell>
          <cell r="E179" t="str">
            <v>伯希和/PELLIOT</v>
          </cell>
          <cell r="F179" t="str">
            <v>女装-户外运动服-抓绒衣</v>
          </cell>
          <cell r="G179" t="str">
            <v>一品多商</v>
          </cell>
          <cell r="H179" t="str">
            <v>品牌直发</v>
          </cell>
          <cell r="I179">
            <v>0</v>
          </cell>
        </row>
        <row r="180">
          <cell r="D180">
            <v>11331027</v>
          </cell>
          <cell r="E180" t="str">
            <v>伯希和/PELLIOT</v>
          </cell>
          <cell r="F180" t="str">
            <v>服装-户外运动服-抓绒衣</v>
          </cell>
          <cell r="G180" t="str">
            <v>一品一商</v>
          </cell>
          <cell r="H180" t="str">
            <v>品牌直发</v>
          </cell>
          <cell r="I180">
            <v>0</v>
          </cell>
        </row>
        <row r="181">
          <cell r="D181">
            <v>12331008</v>
          </cell>
          <cell r="E181" t="str">
            <v>伯希和/PELLIOT</v>
          </cell>
          <cell r="F181" t="str">
            <v>女装-户外运动服-抓绒衣</v>
          </cell>
          <cell r="G181" t="str">
            <v>一品一商</v>
          </cell>
          <cell r="H181" t="str">
            <v>品牌直发</v>
          </cell>
          <cell r="I181">
            <v>0</v>
          </cell>
        </row>
        <row r="182">
          <cell r="D182">
            <v>12331004</v>
          </cell>
          <cell r="E182" t="str">
            <v>伯希和/PELLIOT</v>
          </cell>
          <cell r="F182" t="str">
            <v>女装-户外运动服-抓绒衣</v>
          </cell>
          <cell r="G182" t="str">
            <v>一品一商</v>
          </cell>
          <cell r="H182" t="str">
            <v>品牌直发</v>
          </cell>
          <cell r="I182">
            <v>0</v>
          </cell>
        </row>
        <row r="183">
          <cell r="D183">
            <v>11331003</v>
          </cell>
          <cell r="E183" t="str">
            <v>伯希和/PELLIOT</v>
          </cell>
          <cell r="F183" t="str">
            <v>服装-户外运动服-抓绒衣</v>
          </cell>
          <cell r="G183" t="str">
            <v>一品一商</v>
          </cell>
          <cell r="H183" t="str">
            <v>品牌直发</v>
          </cell>
          <cell r="I183">
            <v>0</v>
          </cell>
        </row>
        <row r="184">
          <cell r="D184">
            <v>12340822</v>
          </cell>
          <cell r="E184" t="str">
            <v>伯希和/PELLIOT</v>
          </cell>
          <cell r="F184" t="str">
            <v>女装-外套-羽绒服</v>
          </cell>
          <cell r="G184" t="str">
            <v>一品多商</v>
          </cell>
          <cell r="H184" t="str">
            <v>品牌直发</v>
          </cell>
          <cell r="I184">
            <v>0</v>
          </cell>
        </row>
        <row r="185">
          <cell r="D185">
            <v>11330601</v>
          </cell>
          <cell r="E185" t="str">
            <v>伯希和/PELLIOT</v>
          </cell>
          <cell r="F185" t="str">
            <v>服装-外套-软壳衣</v>
          </cell>
          <cell r="G185" t="str">
            <v>一品一商</v>
          </cell>
          <cell r="H185" t="str">
            <v>品牌直发</v>
          </cell>
          <cell r="I185">
            <v>0</v>
          </cell>
        </row>
        <row r="186">
          <cell r="D186">
            <v>12330706</v>
          </cell>
          <cell r="E186" t="str">
            <v>伯希和/PELLIOT</v>
          </cell>
          <cell r="F186" t="str">
            <v>女装-长裤-软壳裤</v>
          </cell>
          <cell r="G186" t="str">
            <v>一品一商</v>
          </cell>
          <cell r="H186" t="str">
            <v>品牌直发</v>
          </cell>
          <cell r="I186">
            <v>0</v>
          </cell>
        </row>
        <row r="187">
          <cell r="D187" t="str">
            <v>12815108-yc</v>
          </cell>
          <cell r="E187" t="str">
            <v>伯希和/PELLIOT</v>
          </cell>
          <cell r="F187" t="str">
            <v>服装-外套-防晒服</v>
          </cell>
          <cell r="G187" t="str">
            <v>一品一商</v>
          </cell>
          <cell r="H187" t="str">
            <v>品牌直发</v>
          </cell>
          <cell r="I187">
            <v>0</v>
          </cell>
        </row>
        <row r="188">
          <cell r="D188">
            <v>12933728</v>
          </cell>
          <cell r="E188" t="str">
            <v>伯希和/PELLIOT</v>
          </cell>
          <cell r="F188" t="str">
            <v>女装-上衣-卫衣</v>
          </cell>
          <cell r="G188" t="str">
            <v>一品一商</v>
          </cell>
          <cell r="H188" t="str">
            <v>品牌直发</v>
          </cell>
          <cell r="I188">
            <v>0</v>
          </cell>
        </row>
        <row r="189">
          <cell r="D189">
            <v>114301085</v>
          </cell>
          <cell r="E189" t="str">
            <v>伯希和/PELLIOT</v>
          </cell>
          <cell r="F189" t="str">
            <v>服装-外套-冲锋衣</v>
          </cell>
          <cell r="G189" t="str">
            <v>一品多商</v>
          </cell>
          <cell r="H189" t="str">
            <v>品牌直发</v>
          </cell>
          <cell r="I189">
            <v>0</v>
          </cell>
        </row>
        <row r="190">
          <cell r="D190">
            <v>11235109</v>
          </cell>
          <cell r="E190" t="str">
            <v>伯希和/PELLIOT</v>
          </cell>
          <cell r="F190" t="str">
            <v>服装-外套-夹克</v>
          </cell>
          <cell r="G190" t="str">
            <v>一品一商</v>
          </cell>
          <cell r="H190" t="str">
            <v>品牌直发</v>
          </cell>
          <cell r="I190">
            <v>0</v>
          </cell>
        </row>
        <row r="191">
          <cell r="D191">
            <v>11140127</v>
          </cell>
          <cell r="E191" t="str">
            <v>伯希和/PELLIOT</v>
          </cell>
          <cell r="F191" t="str">
            <v>服装-外套-冲锋衣</v>
          </cell>
          <cell r="G191" t="str">
            <v>一品一商</v>
          </cell>
          <cell r="H191" t="str">
            <v>品牌直发</v>
          </cell>
          <cell r="I191">
            <v>0</v>
          </cell>
        </row>
        <row r="192">
          <cell r="D192">
            <v>12131002</v>
          </cell>
          <cell r="E192" t="str">
            <v>伯希和/PELLIOT</v>
          </cell>
          <cell r="F192" t="str">
            <v>女装-户外运动服-抓绒衣</v>
          </cell>
          <cell r="G192" t="str">
            <v>一品一商</v>
          </cell>
          <cell r="H192" t="str">
            <v>品牌直发</v>
          </cell>
          <cell r="I192">
            <v>0</v>
          </cell>
        </row>
        <row r="193">
          <cell r="D193">
            <v>12221258</v>
          </cell>
          <cell r="E193" t="str">
            <v>伯希和/PELLIOT</v>
          </cell>
          <cell r="F193" t="str">
            <v>女装-外套-防晒服</v>
          </cell>
          <cell r="G193" t="str">
            <v>一品一商</v>
          </cell>
          <cell r="H193" t="str">
            <v>普通现货</v>
          </cell>
          <cell r="I193">
            <v>0</v>
          </cell>
        </row>
        <row r="194">
          <cell r="D194">
            <v>112221210</v>
          </cell>
          <cell r="E194" t="str">
            <v>伯希和/PELLIOT</v>
          </cell>
          <cell r="F194" t="str">
            <v>女装-外套-防晒服</v>
          </cell>
          <cell r="G194" t="str">
            <v>一品一商</v>
          </cell>
          <cell r="H194" t="str">
            <v>品牌直发</v>
          </cell>
          <cell r="I194">
            <v>0</v>
          </cell>
        </row>
        <row r="195">
          <cell r="D195">
            <v>12133802</v>
          </cell>
          <cell r="E195" t="str">
            <v>伯希和/PELLIOT</v>
          </cell>
          <cell r="F195" t="str">
            <v>女装-长裤-针织运动裤</v>
          </cell>
          <cell r="G195" t="str">
            <v>一品一商</v>
          </cell>
          <cell r="H195" t="str">
            <v>品牌直发</v>
          </cell>
          <cell r="I195">
            <v>0</v>
          </cell>
        </row>
        <row r="196">
          <cell r="D196">
            <v>12340164</v>
          </cell>
          <cell r="E196" t="str">
            <v>伯希和/PELLIOT</v>
          </cell>
          <cell r="F196" t="str">
            <v>服装-外套-冲锋衣</v>
          </cell>
          <cell r="G196" t="str">
            <v>一品多商</v>
          </cell>
          <cell r="H196" t="str">
            <v>品牌直发</v>
          </cell>
          <cell r="I196">
            <v>0</v>
          </cell>
        </row>
        <row r="197">
          <cell r="D197">
            <v>112325110</v>
          </cell>
          <cell r="E197" t="str">
            <v>伯希和/PELLIOT</v>
          </cell>
          <cell r="F197" t="str">
            <v>女装-外套-夹克</v>
          </cell>
          <cell r="G197" t="str">
            <v>一品一商</v>
          </cell>
          <cell r="H197" t="str">
            <v>普通现货</v>
          </cell>
          <cell r="I197">
            <v>0</v>
          </cell>
        </row>
        <row r="198">
          <cell r="D198">
            <v>112230602</v>
          </cell>
          <cell r="E198" t="str">
            <v>伯希和/PELLIOT</v>
          </cell>
          <cell r="F198" t="str">
            <v>女装-外套-软壳衣</v>
          </cell>
          <cell r="G198" t="str">
            <v>一品一商</v>
          </cell>
          <cell r="H198" t="str">
            <v>品牌直发</v>
          </cell>
          <cell r="I198">
            <v>0</v>
          </cell>
        </row>
        <row r="199">
          <cell r="D199">
            <v>12340132</v>
          </cell>
          <cell r="E199" t="str">
            <v>伯希和/PELLIOT</v>
          </cell>
          <cell r="F199" t="str">
            <v>服装-外套-冲锋衣</v>
          </cell>
          <cell r="G199" t="str">
            <v>一品一商</v>
          </cell>
          <cell r="H199" t="str">
            <v>品牌直发</v>
          </cell>
          <cell r="I199">
            <v>0</v>
          </cell>
        </row>
        <row r="200">
          <cell r="D200">
            <v>16202509</v>
          </cell>
          <cell r="E200" t="str">
            <v>伯希和/PELLIOT</v>
          </cell>
          <cell r="F200" t="str">
            <v>箱包-包袋-户外包</v>
          </cell>
          <cell r="G200" t="str">
            <v>一品一商</v>
          </cell>
          <cell r="H200" t="str">
            <v>品牌直发</v>
          </cell>
          <cell r="I200">
            <v>0</v>
          </cell>
        </row>
        <row r="201">
          <cell r="D201">
            <v>12340104</v>
          </cell>
          <cell r="E201" t="str">
            <v>伯希和/PELLIOT</v>
          </cell>
          <cell r="F201" t="str">
            <v>女装-外套-冲锋衣</v>
          </cell>
          <cell r="G201" t="str">
            <v>一品多商</v>
          </cell>
          <cell r="H201" t="str">
            <v>品牌直发</v>
          </cell>
          <cell r="I201">
            <v>0</v>
          </cell>
        </row>
        <row r="202">
          <cell r="D202">
            <v>12340130</v>
          </cell>
          <cell r="E202" t="str">
            <v>伯希和/PELLIOT</v>
          </cell>
          <cell r="F202" t="str">
            <v>服装-外套-冲锋衣</v>
          </cell>
          <cell r="G202" t="str">
            <v>一品多商</v>
          </cell>
          <cell r="H202" t="str">
            <v>品牌直发</v>
          </cell>
          <cell r="I202">
            <v>0</v>
          </cell>
        </row>
        <row r="203">
          <cell r="D203" t="str">
            <v>12011902-樱花粉</v>
          </cell>
          <cell r="E203" t="str">
            <v>伯希和/PELLIOT</v>
          </cell>
          <cell r="F203" t="str">
            <v>鞋-运动鞋-跑步鞋</v>
          </cell>
          <cell r="G203" t="str">
            <v>一品一商</v>
          </cell>
          <cell r="H203" t="str">
            <v>品牌直发</v>
          </cell>
          <cell r="I203">
            <v>0</v>
          </cell>
        </row>
        <row r="204">
          <cell r="D204" t="str">
            <v>12211904-经典黑</v>
          </cell>
          <cell r="E204" t="str">
            <v>伯希和/PELLIOT</v>
          </cell>
          <cell r="F204" t="str">
            <v>鞋-运动鞋-跑步鞋</v>
          </cell>
          <cell r="G204" t="str">
            <v>一品一商</v>
          </cell>
          <cell r="H204" t="str">
            <v>品牌直发</v>
          </cell>
          <cell r="I204">
            <v>0</v>
          </cell>
        </row>
        <row r="205">
          <cell r="D205">
            <v>12231034</v>
          </cell>
          <cell r="E205" t="str">
            <v>伯希和/PELLIOT</v>
          </cell>
          <cell r="F205" t="str">
            <v>女装-户外运动服-抓绒衣</v>
          </cell>
          <cell r="G205" t="str">
            <v>一品一商</v>
          </cell>
          <cell r="H205" t="str">
            <v>品牌直发</v>
          </cell>
          <cell r="I205">
            <v>0</v>
          </cell>
        </row>
        <row r="206">
          <cell r="D206">
            <v>12231026</v>
          </cell>
          <cell r="E206" t="str">
            <v>伯希和/PELLIOT</v>
          </cell>
          <cell r="F206" t="str">
            <v>女装-户外运动服-抓绒衣</v>
          </cell>
          <cell r="G206" t="str">
            <v>一品一商</v>
          </cell>
          <cell r="H206" t="str">
            <v>品牌直发</v>
          </cell>
          <cell r="I206">
            <v>0</v>
          </cell>
        </row>
        <row r="207">
          <cell r="D207">
            <v>11813705</v>
          </cell>
          <cell r="E207" t="str">
            <v>伯希和/PELLIOT</v>
          </cell>
          <cell r="F207" t="str">
            <v>服装-上衣-卫衣</v>
          </cell>
          <cell r="G207" t="str">
            <v>一品一商</v>
          </cell>
          <cell r="H207" t="str">
            <v>品牌直发</v>
          </cell>
          <cell r="I207">
            <v>0</v>
          </cell>
        </row>
        <row r="208">
          <cell r="D208">
            <v>11133803</v>
          </cell>
          <cell r="E208" t="str">
            <v>伯希和/PELLIOT</v>
          </cell>
          <cell r="F208" t="str">
            <v>服装-长裤-针织运动裤</v>
          </cell>
          <cell r="G208" t="str">
            <v>一品一商</v>
          </cell>
          <cell r="H208" t="str">
            <v>品牌直发</v>
          </cell>
          <cell r="I208">
            <v>0</v>
          </cell>
        </row>
        <row r="209">
          <cell r="D209">
            <v>13321435</v>
          </cell>
          <cell r="E209" t="str">
            <v>伯希和/PELLIOT</v>
          </cell>
          <cell r="F209" t="str">
            <v>童装-儿童下装-针织运动裤</v>
          </cell>
          <cell r="G209" t="str">
            <v>一品一商</v>
          </cell>
          <cell r="H209" t="str">
            <v>品牌直发</v>
          </cell>
          <cell r="I209">
            <v>0</v>
          </cell>
        </row>
        <row r="210">
          <cell r="D210">
            <v>23930709</v>
          </cell>
          <cell r="E210" t="str">
            <v>伯希和/PELLIOT</v>
          </cell>
          <cell r="F210" t="str">
            <v>童装-儿童下装-儿童软壳裤</v>
          </cell>
          <cell r="G210" t="str">
            <v>一品一商</v>
          </cell>
          <cell r="H210" t="str">
            <v>品牌直发</v>
          </cell>
          <cell r="I210">
            <v>0</v>
          </cell>
        </row>
        <row r="211">
          <cell r="D211">
            <v>12121216</v>
          </cell>
          <cell r="E211" t="str">
            <v>伯希和/PELLIOT</v>
          </cell>
          <cell r="F211" t="str">
            <v>女装-外套-防晒服</v>
          </cell>
          <cell r="G211" t="str">
            <v>一品多商</v>
          </cell>
          <cell r="H211" t="str">
            <v>品牌直发</v>
          </cell>
          <cell r="I211">
            <v>0</v>
          </cell>
        </row>
        <row r="212">
          <cell r="D212">
            <v>13131023</v>
          </cell>
          <cell r="E212" t="str">
            <v>伯希和/PELLIOT</v>
          </cell>
          <cell r="F212" t="str">
            <v>童装-儿童上装-夹克</v>
          </cell>
          <cell r="G212" t="str">
            <v>一品一商</v>
          </cell>
          <cell r="H212" t="str">
            <v>品牌直发</v>
          </cell>
          <cell r="I212">
            <v>0</v>
          </cell>
        </row>
        <row r="213">
          <cell r="D213">
            <v>13231017</v>
          </cell>
          <cell r="E213" t="str">
            <v>伯希和/PELLIOT</v>
          </cell>
          <cell r="F213" t="str">
            <v>童装-儿童上装-其他上装</v>
          </cell>
          <cell r="G213" t="str">
            <v>一品一商</v>
          </cell>
          <cell r="H213" t="str">
            <v>品牌直发</v>
          </cell>
          <cell r="I213">
            <v>0</v>
          </cell>
        </row>
        <row r="214">
          <cell r="D214">
            <v>12131004</v>
          </cell>
          <cell r="E214" t="str">
            <v>伯希和/PELLIOT</v>
          </cell>
          <cell r="F214" t="str">
            <v>女装-户外运动服-抓绒衣</v>
          </cell>
          <cell r="G214" t="str">
            <v>一品一商</v>
          </cell>
          <cell r="H214" t="str">
            <v>品牌直发</v>
          </cell>
          <cell r="I214">
            <v>0</v>
          </cell>
        </row>
        <row r="215">
          <cell r="D215">
            <v>13131026</v>
          </cell>
          <cell r="E215" t="str">
            <v>伯希和/PELLIOT</v>
          </cell>
          <cell r="F215" t="str">
            <v>童装-儿童上装-马甲</v>
          </cell>
          <cell r="G215" t="str">
            <v>一品一商</v>
          </cell>
          <cell r="H215" t="str">
            <v>品牌直发</v>
          </cell>
          <cell r="I215">
            <v>0</v>
          </cell>
        </row>
        <row r="216">
          <cell r="D216">
            <v>13131501</v>
          </cell>
          <cell r="E216" t="str">
            <v>伯希和/PELLIOT</v>
          </cell>
          <cell r="F216" t="str">
            <v>童装-儿童上装-T恤</v>
          </cell>
          <cell r="G216" t="str">
            <v>一品一商</v>
          </cell>
          <cell r="H216" t="str">
            <v>品牌直发</v>
          </cell>
          <cell r="I216">
            <v>0</v>
          </cell>
        </row>
        <row r="217">
          <cell r="D217">
            <v>13221533</v>
          </cell>
          <cell r="E217" t="str">
            <v>伯希和/PELLIOT</v>
          </cell>
          <cell r="F217" t="str">
            <v>童装-儿童上装-T恤</v>
          </cell>
          <cell r="G217" t="str">
            <v>一品一商</v>
          </cell>
          <cell r="H217" t="str">
            <v>品牌直发</v>
          </cell>
          <cell r="I217">
            <v>0</v>
          </cell>
        </row>
        <row r="218">
          <cell r="D218">
            <v>12123812</v>
          </cell>
          <cell r="E218" t="str">
            <v>伯希和/PELLIOT</v>
          </cell>
          <cell r="F218" t="str">
            <v>女装-短裤-休闲短裤</v>
          </cell>
          <cell r="G218" t="str">
            <v>一品一商</v>
          </cell>
          <cell r="H218" t="str">
            <v>品牌直发</v>
          </cell>
          <cell r="I218">
            <v>0</v>
          </cell>
        </row>
        <row r="219">
          <cell r="D219">
            <v>13113706</v>
          </cell>
          <cell r="E219" t="str">
            <v>伯希和/PELLIOT</v>
          </cell>
          <cell r="F219" t="str">
            <v>童装-儿童上装-卫衣</v>
          </cell>
          <cell r="G219" t="str">
            <v>一品一商</v>
          </cell>
          <cell r="H219" t="str">
            <v>品牌直发</v>
          </cell>
          <cell r="I219">
            <v>0</v>
          </cell>
        </row>
        <row r="220">
          <cell r="D220">
            <v>13221525</v>
          </cell>
          <cell r="E220" t="str">
            <v>伯希和/PELLIOT</v>
          </cell>
          <cell r="F220" t="str">
            <v>童装-儿童上装-T恤</v>
          </cell>
          <cell r="G220" t="str">
            <v>一品一商</v>
          </cell>
          <cell r="H220" t="str">
            <v>品牌直发</v>
          </cell>
          <cell r="I220">
            <v>0</v>
          </cell>
        </row>
        <row r="221">
          <cell r="D221">
            <v>113221526</v>
          </cell>
          <cell r="E221" t="str">
            <v>伯希和/PELLIOT</v>
          </cell>
          <cell r="F221" t="str">
            <v>童装-儿童上装-T恤</v>
          </cell>
          <cell r="G221" t="str">
            <v>一品一商</v>
          </cell>
          <cell r="H221" t="str">
            <v>品牌直发</v>
          </cell>
          <cell r="I221">
            <v>0</v>
          </cell>
        </row>
        <row r="222">
          <cell r="D222">
            <v>12133704</v>
          </cell>
          <cell r="E222" t="str">
            <v>伯希和/PELLIOT</v>
          </cell>
          <cell r="F222" t="str">
            <v>女装-上衣-卫衣</v>
          </cell>
          <cell r="G222" t="str">
            <v>一品一商</v>
          </cell>
          <cell r="H222" t="str">
            <v>品牌直发</v>
          </cell>
          <cell r="I222">
            <v>0</v>
          </cell>
        </row>
        <row r="223">
          <cell r="D223">
            <v>11133707</v>
          </cell>
          <cell r="E223" t="str">
            <v>伯希和/PELLIOT</v>
          </cell>
          <cell r="F223" t="str">
            <v>服装-上衣-卫衣</v>
          </cell>
          <cell r="G223" t="str">
            <v>一品一商</v>
          </cell>
          <cell r="H223" t="str">
            <v>品牌直发</v>
          </cell>
          <cell r="I223">
            <v>0</v>
          </cell>
        </row>
        <row r="224">
          <cell r="D224">
            <v>11133805</v>
          </cell>
          <cell r="E224" t="str">
            <v>伯希和/PELLIOT</v>
          </cell>
          <cell r="F224" t="str">
            <v>服装-长裤-针织运动裤</v>
          </cell>
          <cell r="G224" t="str">
            <v>一品一商</v>
          </cell>
          <cell r="H224" t="str">
            <v>品牌直发</v>
          </cell>
          <cell r="I224">
            <v>0</v>
          </cell>
        </row>
        <row r="225">
          <cell r="D225">
            <v>11131105</v>
          </cell>
          <cell r="E225" t="str">
            <v>伯希和/PELLIOT</v>
          </cell>
          <cell r="F225" t="str">
            <v>服装-户外运动服-抓绒裤</v>
          </cell>
          <cell r="G225" t="str">
            <v>一品一商</v>
          </cell>
          <cell r="H225" t="str">
            <v>品牌直发</v>
          </cell>
          <cell r="I225">
            <v>0</v>
          </cell>
        </row>
        <row r="226">
          <cell r="D226">
            <v>112221508</v>
          </cell>
          <cell r="E226" t="str">
            <v>伯希和/PELLIOT</v>
          </cell>
          <cell r="F226" t="str">
            <v>女装-上衣-T恤</v>
          </cell>
          <cell r="G226" t="str">
            <v>一品一商</v>
          </cell>
          <cell r="H226" t="str">
            <v>品牌直发</v>
          </cell>
          <cell r="I226">
            <v>0</v>
          </cell>
        </row>
        <row r="227">
          <cell r="D227">
            <v>13213709</v>
          </cell>
          <cell r="E227" t="str">
            <v>伯希和/PELLIOT</v>
          </cell>
          <cell r="F227" t="str">
            <v>童装-儿童上装-夹克</v>
          </cell>
          <cell r="G227" t="str">
            <v>一品一商</v>
          </cell>
          <cell r="H227" t="str">
            <v>品牌直发</v>
          </cell>
          <cell r="I227">
            <v>0</v>
          </cell>
        </row>
        <row r="228">
          <cell r="D228">
            <v>13121426</v>
          </cell>
          <cell r="E228" t="str">
            <v>伯希和/PELLIOT</v>
          </cell>
          <cell r="F228" t="str">
            <v>童装-儿童下装-针织运动裤</v>
          </cell>
          <cell r="G228" t="str">
            <v>一品一商</v>
          </cell>
          <cell r="H228" t="str">
            <v>品牌直发</v>
          </cell>
          <cell r="I228">
            <v>0</v>
          </cell>
        </row>
        <row r="229">
          <cell r="D229">
            <v>111121427</v>
          </cell>
          <cell r="E229" t="str">
            <v>伯希和/PELLIOT</v>
          </cell>
          <cell r="F229" t="str">
            <v>服装-户外运动服-速干裤</v>
          </cell>
          <cell r="G229" t="str">
            <v>一品一商</v>
          </cell>
          <cell r="H229" t="str">
            <v>品牌直发</v>
          </cell>
          <cell r="I229">
            <v>0</v>
          </cell>
        </row>
        <row r="230">
          <cell r="D230">
            <v>13231018</v>
          </cell>
          <cell r="E230" t="str">
            <v>伯希和/PELLIOT</v>
          </cell>
          <cell r="F230" t="str">
            <v>童装-儿童上装-卫衣</v>
          </cell>
          <cell r="G230" t="str">
            <v>一品一商</v>
          </cell>
          <cell r="H230" t="str">
            <v>品牌直发</v>
          </cell>
          <cell r="I230">
            <v>0</v>
          </cell>
        </row>
        <row r="231">
          <cell r="D231">
            <v>112221424</v>
          </cell>
          <cell r="E231" t="str">
            <v>伯希和/PELLIOT</v>
          </cell>
          <cell r="F231" t="str">
            <v>女装-健身服-运动短裤</v>
          </cell>
          <cell r="G231" t="str">
            <v>一品一商</v>
          </cell>
          <cell r="H231" t="str">
            <v>品牌直发</v>
          </cell>
          <cell r="I231">
            <v>0</v>
          </cell>
        </row>
        <row r="232">
          <cell r="D232">
            <v>13213805</v>
          </cell>
          <cell r="E232" t="str">
            <v>伯希和/PELLIOT</v>
          </cell>
          <cell r="F232" t="str">
            <v>童装-儿童下装-针织运动裤</v>
          </cell>
          <cell r="G232" t="str">
            <v>一品一商</v>
          </cell>
          <cell r="H232" t="str">
            <v>品牌直发</v>
          </cell>
          <cell r="I232">
            <v>0</v>
          </cell>
        </row>
        <row r="233">
          <cell r="D233">
            <v>13121220</v>
          </cell>
          <cell r="E233" t="str">
            <v>伯希和/PELLIOT</v>
          </cell>
          <cell r="F233" t="str">
            <v>童装-儿童上装-防晒衣</v>
          </cell>
          <cell r="G233" t="str">
            <v>一品一商</v>
          </cell>
          <cell r="H233" t="str">
            <v>品牌直发</v>
          </cell>
          <cell r="I233">
            <v>0</v>
          </cell>
        </row>
        <row r="234">
          <cell r="D234">
            <v>112121402</v>
          </cell>
          <cell r="E234" t="str">
            <v>伯希和/PELLIOT</v>
          </cell>
          <cell r="F234" t="str">
            <v>女装-健身服-运动短裤</v>
          </cell>
          <cell r="G234" t="str">
            <v>一品一商</v>
          </cell>
          <cell r="H234" t="str">
            <v>品牌直发</v>
          </cell>
          <cell r="I234">
            <v>0</v>
          </cell>
        </row>
        <row r="235">
          <cell r="D235">
            <v>113021234</v>
          </cell>
          <cell r="E235" t="str">
            <v>伯希和/PELLIOT</v>
          </cell>
          <cell r="F235" t="str">
            <v>童装-儿童上装-防晒衣</v>
          </cell>
          <cell r="G235" t="str">
            <v>一品一商</v>
          </cell>
          <cell r="H235" t="str">
            <v>普通现货</v>
          </cell>
          <cell r="I235">
            <v>0</v>
          </cell>
        </row>
        <row r="236">
          <cell r="D236">
            <v>113121276</v>
          </cell>
          <cell r="E236" t="str">
            <v>伯希和/PELLIOT</v>
          </cell>
          <cell r="F236" t="str">
            <v>童装-儿童上装-防晒衣</v>
          </cell>
          <cell r="G236" t="str">
            <v>一品一商</v>
          </cell>
          <cell r="H236" t="str">
            <v>品牌直发</v>
          </cell>
          <cell r="I236">
            <v>0</v>
          </cell>
        </row>
        <row r="237">
          <cell r="D237">
            <v>13113805</v>
          </cell>
          <cell r="E237" t="str">
            <v>伯希和/PELLIOT</v>
          </cell>
          <cell r="F237" t="str">
            <v>童装-儿童下装-针织运动裤</v>
          </cell>
          <cell r="G237" t="str">
            <v>一品一商</v>
          </cell>
          <cell r="H237" t="str">
            <v>品牌直发</v>
          </cell>
          <cell r="I237">
            <v>0</v>
          </cell>
        </row>
        <row r="238">
          <cell r="D238">
            <v>113231543</v>
          </cell>
          <cell r="E238" t="str">
            <v>伯希和/PELLIOT</v>
          </cell>
          <cell r="F238" t="str">
            <v>童装-儿童上装-T恤</v>
          </cell>
          <cell r="G238" t="str">
            <v>一品一商</v>
          </cell>
          <cell r="H238" t="str">
            <v>品牌直发</v>
          </cell>
          <cell r="I238">
            <v>0</v>
          </cell>
        </row>
        <row r="239">
          <cell r="D239">
            <v>11021525</v>
          </cell>
          <cell r="E239" t="str">
            <v>伯希和/PELLIOT</v>
          </cell>
          <cell r="F239" t="str">
            <v>服装-上衣-T恤</v>
          </cell>
          <cell r="G239" t="str">
            <v>一品一商</v>
          </cell>
          <cell r="H239" t="str">
            <v>品牌直发</v>
          </cell>
          <cell r="I239">
            <v>0</v>
          </cell>
        </row>
        <row r="240">
          <cell r="D240">
            <v>13221427</v>
          </cell>
          <cell r="E240" t="str">
            <v>伯希和/PELLIOT</v>
          </cell>
          <cell r="F240" t="str">
            <v>童装-儿童下装-针织运动裤</v>
          </cell>
          <cell r="G240" t="str">
            <v>一品一商</v>
          </cell>
          <cell r="H240" t="str">
            <v>品牌直发</v>
          </cell>
          <cell r="I240">
            <v>0</v>
          </cell>
        </row>
        <row r="241">
          <cell r="D241">
            <v>13245112</v>
          </cell>
          <cell r="E241" t="str">
            <v>伯希和/PELLIOT</v>
          </cell>
          <cell r="F241" t="str">
            <v>童装-儿童上装-冲锋衣</v>
          </cell>
          <cell r="G241" t="str">
            <v>一品多商</v>
          </cell>
          <cell r="H241" t="str">
            <v>品牌直发</v>
          </cell>
          <cell r="I241">
            <v>0</v>
          </cell>
        </row>
        <row r="242">
          <cell r="D242">
            <v>113115106</v>
          </cell>
          <cell r="E242" t="str">
            <v>伯希和/PELLIOT</v>
          </cell>
          <cell r="F242" t="str">
            <v>童装-儿童上装-冲锋衣</v>
          </cell>
          <cell r="G242" t="str">
            <v>一品一商</v>
          </cell>
          <cell r="H242" t="str">
            <v>品牌直发</v>
          </cell>
          <cell r="I242">
            <v>0</v>
          </cell>
        </row>
        <row r="243">
          <cell r="D243">
            <v>13040127</v>
          </cell>
          <cell r="E243" t="str">
            <v>伯希和/PELLIOT</v>
          </cell>
          <cell r="F243" t="str">
            <v>童装-儿童上装-冲锋衣</v>
          </cell>
          <cell r="G243" t="str">
            <v>一品一商</v>
          </cell>
          <cell r="H243" t="str">
            <v>品牌直发</v>
          </cell>
          <cell r="I243">
            <v>0</v>
          </cell>
        </row>
        <row r="244">
          <cell r="D244">
            <v>13921412</v>
          </cell>
          <cell r="E244" t="str">
            <v>伯希和/PELLIOT</v>
          </cell>
          <cell r="F244" t="str">
            <v>童装-儿童下装-针织运动裤</v>
          </cell>
          <cell r="G244" t="str">
            <v>一品一商</v>
          </cell>
          <cell r="H244" t="str">
            <v>品牌直发</v>
          </cell>
          <cell r="I244">
            <v>0</v>
          </cell>
        </row>
        <row r="245">
          <cell r="D245">
            <v>11115101</v>
          </cell>
          <cell r="E245" t="str">
            <v>伯希和/PELLIOT</v>
          </cell>
          <cell r="F245" t="str">
            <v>服装-外套-夹克</v>
          </cell>
          <cell r="G245" t="str">
            <v>一品一商</v>
          </cell>
          <cell r="H245" t="str">
            <v>品牌直发</v>
          </cell>
          <cell r="I245">
            <v>0</v>
          </cell>
        </row>
        <row r="246">
          <cell r="D246">
            <v>13930611</v>
          </cell>
          <cell r="E246" t="str">
            <v>伯希和/PELLIOT</v>
          </cell>
          <cell r="F246" t="str">
            <v>童装-儿童上装-冲锋衣</v>
          </cell>
          <cell r="G246" t="str">
            <v>一品多商</v>
          </cell>
          <cell r="H246" t="str">
            <v>品牌直发</v>
          </cell>
          <cell r="I246">
            <v>0</v>
          </cell>
        </row>
        <row r="247">
          <cell r="D247">
            <v>113321236</v>
          </cell>
          <cell r="E247" t="str">
            <v>伯希和/PELLIOT</v>
          </cell>
          <cell r="F247" t="str">
            <v>童装-儿童上装-防晒衣</v>
          </cell>
          <cell r="G247" t="str">
            <v>一品一商</v>
          </cell>
          <cell r="H247" t="str">
            <v>品牌直发</v>
          </cell>
          <cell r="I247">
            <v>0</v>
          </cell>
        </row>
        <row r="248">
          <cell r="D248">
            <v>13221249</v>
          </cell>
          <cell r="E248" t="str">
            <v>伯希和/PELLIOT</v>
          </cell>
          <cell r="F248" t="str">
            <v>童装-儿童上装-防晒衣</v>
          </cell>
          <cell r="G248" t="str">
            <v>一品一商</v>
          </cell>
          <cell r="H248" t="str">
            <v>品牌直发</v>
          </cell>
          <cell r="I248">
            <v>0</v>
          </cell>
        </row>
        <row r="249">
          <cell r="D249">
            <v>13031019</v>
          </cell>
          <cell r="E249" t="str">
            <v>伯希和/PELLIOT</v>
          </cell>
          <cell r="F249" t="str">
            <v>童装-儿童上装-马甲</v>
          </cell>
          <cell r="G249" t="str">
            <v>一品一商</v>
          </cell>
          <cell r="H249" t="str">
            <v>品牌直发</v>
          </cell>
          <cell r="I249">
            <v>0</v>
          </cell>
        </row>
        <row r="250">
          <cell r="D250">
            <v>13121530</v>
          </cell>
          <cell r="E250" t="str">
            <v>伯希和/PELLIOT</v>
          </cell>
          <cell r="F250" t="str">
            <v>童装-儿童上装-T恤</v>
          </cell>
          <cell r="G250" t="str">
            <v>一品一商</v>
          </cell>
          <cell r="H250" t="str">
            <v>品牌直发</v>
          </cell>
          <cell r="I250">
            <v>0</v>
          </cell>
        </row>
        <row r="251">
          <cell r="D251">
            <v>13133807</v>
          </cell>
          <cell r="E251" t="str">
            <v>伯希和/PELLIOT</v>
          </cell>
          <cell r="F251" t="str">
            <v>童装-儿童下装-针织运动裤</v>
          </cell>
          <cell r="G251" t="str">
            <v>一品一商</v>
          </cell>
          <cell r="H251" t="str">
            <v>品牌直发</v>
          </cell>
          <cell r="I251">
            <v>0</v>
          </cell>
        </row>
        <row r="252">
          <cell r="D252">
            <v>13121274</v>
          </cell>
          <cell r="E252" t="str">
            <v>伯希和/PELLIOT</v>
          </cell>
          <cell r="F252" t="str">
            <v>童装-儿童上装-防晒衣</v>
          </cell>
          <cell r="G252" t="str">
            <v>一品一商</v>
          </cell>
          <cell r="H252" t="str">
            <v>品牌直发</v>
          </cell>
          <cell r="I252">
            <v>0</v>
          </cell>
        </row>
        <row r="253">
          <cell r="D253">
            <v>13321235</v>
          </cell>
          <cell r="E253" t="str">
            <v>伯希和/PELLIOT</v>
          </cell>
          <cell r="F253" t="str">
            <v>童装-儿童上装-防晒衣</v>
          </cell>
          <cell r="G253" t="str">
            <v>一品一商</v>
          </cell>
          <cell r="H253" t="str">
            <v>品牌直发</v>
          </cell>
          <cell r="I253">
            <v>0</v>
          </cell>
        </row>
        <row r="254">
          <cell r="D254">
            <v>13221245</v>
          </cell>
          <cell r="E254" t="str">
            <v>伯希和/PELLIOT</v>
          </cell>
          <cell r="F254" t="str">
            <v>童装-儿童上装-防晒衣</v>
          </cell>
          <cell r="G254" t="str">
            <v>一品一商</v>
          </cell>
          <cell r="H254" t="str">
            <v>品牌直发</v>
          </cell>
          <cell r="I254">
            <v>0</v>
          </cell>
        </row>
        <row r="255">
          <cell r="D255">
            <v>13031113</v>
          </cell>
          <cell r="E255" t="str">
            <v>伯希和/PELLIOT</v>
          </cell>
          <cell r="F255" t="str">
            <v>童装-儿童下装-针织运动裤</v>
          </cell>
          <cell r="G255" t="str">
            <v>一品一商</v>
          </cell>
          <cell r="H255" t="str">
            <v>品牌直发</v>
          </cell>
          <cell r="I255">
            <v>0</v>
          </cell>
        </row>
        <row r="256">
          <cell r="D256">
            <v>13121436</v>
          </cell>
          <cell r="E256" t="str">
            <v>伯希和/PELLIOT</v>
          </cell>
          <cell r="F256" t="str">
            <v>童装-儿童下装-针织运动裤</v>
          </cell>
          <cell r="G256" t="str">
            <v>一品多商</v>
          </cell>
          <cell r="H256" t="str">
            <v>品牌直发</v>
          </cell>
          <cell r="I256">
            <v>0</v>
          </cell>
        </row>
        <row r="257">
          <cell r="D257">
            <v>112031026</v>
          </cell>
          <cell r="E257" t="str">
            <v>伯希和/PELLIOT</v>
          </cell>
          <cell r="F257" t="str">
            <v>女装-户外运动服-抓绒衣</v>
          </cell>
          <cell r="G257" t="str">
            <v>一品一商</v>
          </cell>
          <cell r="H257" t="str">
            <v>品牌直发</v>
          </cell>
          <cell r="I257">
            <v>0</v>
          </cell>
        </row>
        <row r="258">
          <cell r="D258">
            <v>12140128</v>
          </cell>
          <cell r="E258" t="str">
            <v>伯希和/PELLIOT</v>
          </cell>
          <cell r="F258" t="str">
            <v>女装-外套-冲锋衣</v>
          </cell>
          <cell r="G258" t="str">
            <v>一品一商</v>
          </cell>
          <cell r="H258" t="str">
            <v>品牌直发</v>
          </cell>
          <cell r="I258">
            <v>0</v>
          </cell>
        </row>
        <row r="259">
          <cell r="D259">
            <v>12121418</v>
          </cell>
          <cell r="E259" t="str">
            <v>伯希和/PELLIOT</v>
          </cell>
          <cell r="F259" t="str">
            <v>女装-长裤-针织运动裤</v>
          </cell>
          <cell r="G259" t="str">
            <v>一品一商</v>
          </cell>
          <cell r="H259" t="str">
            <v>品牌直发</v>
          </cell>
          <cell r="I259">
            <v>0</v>
          </cell>
        </row>
        <row r="260">
          <cell r="D260">
            <v>12221402</v>
          </cell>
          <cell r="E260" t="str">
            <v>伯希和/PELLIOT</v>
          </cell>
          <cell r="F260" t="str">
            <v>女装-户外运动服-速干裤</v>
          </cell>
          <cell r="G260" t="str">
            <v>一品一商</v>
          </cell>
          <cell r="H260" t="str">
            <v>品牌直发</v>
          </cell>
          <cell r="I260">
            <v>0</v>
          </cell>
        </row>
        <row r="261">
          <cell r="D261">
            <v>112321408</v>
          </cell>
          <cell r="E261" t="str">
            <v>伯希和/PELLIOT</v>
          </cell>
          <cell r="F261" t="str">
            <v>女装-户外运动服-速干裤</v>
          </cell>
          <cell r="G261" t="str">
            <v>一品多商</v>
          </cell>
          <cell r="H261" t="str">
            <v>品牌直发</v>
          </cell>
          <cell r="I261">
            <v>0</v>
          </cell>
        </row>
        <row r="262">
          <cell r="D262">
            <v>124408280</v>
          </cell>
          <cell r="E262" t="str">
            <v>伯希和/PELLIOT</v>
          </cell>
          <cell r="F262" t="str">
            <v>女装-外套-羽绒服</v>
          </cell>
          <cell r="G262" t="str">
            <v>一品多商</v>
          </cell>
          <cell r="H262" t="str">
            <v>品牌直发</v>
          </cell>
          <cell r="I262">
            <v>0</v>
          </cell>
        </row>
        <row r="263">
          <cell r="D263">
            <v>12940130</v>
          </cell>
          <cell r="E263" t="str">
            <v>伯希和/PELLIOT</v>
          </cell>
          <cell r="F263" t="str">
            <v>女装-外套-冲锋衣</v>
          </cell>
          <cell r="G263" t="str">
            <v>一品一商</v>
          </cell>
          <cell r="H263" t="str">
            <v>品牌直发</v>
          </cell>
          <cell r="I263">
            <v>0</v>
          </cell>
        </row>
        <row r="264">
          <cell r="D264">
            <v>112321426</v>
          </cell>
          <cell r="E264" t="str">
            <v>伯希和/PELLIOT</v>
          </cell>
          <cell r="F264" t="str">
            <v>女装-长裙-休闲长裙</v>
          </cell>
          <cell r="G264" t="str">
            <v>一品一商</v>
          </cell>
          <cell r="H264" t="str">
            <v>品牌直发</v>
          </cell>
          <cell r="I264">
            <v>0</v>
          </cell>
        </row>
        <row r="265">
          <cell r="D265">
            <v>12321502</v>
          </cell>
          <cell r="E265" t="str">
            <v>伯希和/PELLIOT</v>
          </cell>
          <cell r="F265" t="str">
            <v>女装-上衣-Polo衫</v>
          </cell>
          <cell r="G265" t="str">
            <v>一品一商</v>
          </cell>
          <cell r="H265" t="str">
            <v>品牌直发</v>
          </cell>
          <cell r="I265">
            <v>0</v>
          </cell>
        </row>
        <row r="266">
          <cell r="D266">
            <v>12130710</v>
          </cell>
          <cell r="E266" t="str">
            <v>伯希和/PELLIOT</v>
          </cell>
          <cell r="F266" t="str">
            <v>女装-长裤-软壳裤</v>
          </cell>
          <cell r="G266" t="str">
            <v>一品一商</v>
          </cell>
          <cell r="H266" t="str">
            <v>品牌直发</v>
          </cell>
          <cell r="I266">
            <v>0</v>
          </cell>
        </row>
        <row r="267">
          <cell r="D267">
            <v>11130701</v>
          </cell>
          <cell r="E267" t="str">
            <v>伯希和/PELLIOT</v>
          </cell>
          <cell r="F267" t="str">
            <v>服装-长裤-软壳裤</v>
          </cell>
          <cell r="G267" t="str">
            <v>一品多商</v>
          </cell>
          <cell r="H267" t="str">
            <v>品牌直发</v>
          </cell>
          <cell r="I267">
            <v>0</v>
          </cell>
        </row>
        <row r="268">
          <cell r="D268">
            <v>12021510</v>
          </cell>
          <cell r="E268" t="str">
            <v>伯希和/PELLIOT</v>
          </cell>
          <cell r="F268" t="str">
            <v>女装-户外运动服-跑步T恤</v>
          </cell>
          <cell r="G268" t="str">
            <v>一品一商</v>
          </cell>
          <cell r="H268" t="str">
            <v>品牌直发</v>
          </cell>
          <cell r="I268">
            <v>0</v>
          </cell>
        </row>
        <row r="269">
          <cell r="D269">
            <v>11231103</v>
          </cell>
          <cell r="E269" t="str">
            <v>伯希和/PELLIOT</v>
          </cell>
          <cell r="F269" t="str">
            <v>服装-户外运动服-抓绒裤</v>
          </cell>
          <cell r="G269" t="str">
            <v>一品一商</v>
          </cell>
          <cell r="H269" t="str">
            <v>品牌直发</v>
          </cell>
          <cell r="I269">
            <v>0</v>
          </cell>
        </row>
        <row r="270">
          <cell r="D270">
            <v>12221536</v>
          </cell>
          <cell r="E270" t="str">
            <v>伯希和/PELLIOT</v>
          </cell>
          <cell r="F270" t="str">
            <v>女装-户外运动服-速干T恤</v>
          </cell>
          <cell r="G270" t="str">
            <v>一品一商</v>
          </cell>
          <cell r="H270" t="str">
            <v>品牌直发</v>
          </cell>
          <cell r="I270">
            <v>0</v>
          </cell>
        </row>
        <row r="271">
          <cell r="D271">
            <v>12830708</v>
          </cell>
          <cell r="E271" t="str">
            <v>伯希和/PELLIOT</v>
          </cell>
          <cell r="F271" t="str">
            <v>女装-长裤-软壳裤</v>
          </cell>
          <cell r="G271" t="str">
            <v>一品多商</v>
          </cell>
          <cell r="H271" t="str">
            <v>品牌直发</v>
          </cell>
          <cell r="I271">
            <v>0</v>
          </cell>
        </row>
        <row r="272">
          <cell r="D272">
            <v>12321402</v>
          </cell>
          <cell r="E272" t="str">
            <v>伯希和/PELLIOT</v>
          </cell>
          <cell r="F272" t="str">
            <v>女装-户外运动服-速干裤</v>
          </cell>
          <cell r="G272" t="str">
            <v>一品一商</v>
          </cell>
          <cell r="H272" t="str">
            <v>品牌直发</v>
          </cell>
          <cell r="I272">
            <v>0</v>
          </cell>
        </row>
        <row r="273">
          <cell r="D273">
            <v>12231104</v>
          </cell>
          <cell r="E273" t="str">
            <v>伯希和/PELLIOT</v>
          </cell>
          <cell r="F273" t="str">
            <v>女装-户外运动服-抓绒裤</v>
          </cell>
          <cell r="G273" t="str">
            <v>一品一商</v>
          </cell>
          <cell r="H273" t="str">
            <v>品牌直发</v>
          </cell>
          <cell r="I273">
            <v>0</v>
          </cell>
        </row>
        <row r="274">
          <cell r="D274">
            <v>115107016</v>
          </cell>
          <cell r="E274" t="str">
            <v>伯希和/PELLIOT</v>
          </cell>
          <cell r="F274" t="str">
            <v>服装-长裤-软壳裤</v>
          </cell>
          <cell r="G274" t="str">
            <v>一品多商</v>
          </cell>
          <cell r="H274" t="str">
            <v>品牌直发</v>
          </cell>
          <cell r="I274">
            <v>0</v>
          </cell>
        </row>
        <row r="275">
          <cell r="D275">
            <v>12131106</v>
          </cell>
          <cell r="E275" t="str">
            <v>伯希和/PELLIOT</v>
          </cell>
          <cell r="F275" t="str">
            <v>女装-户外运动服-抓绒裤</v>
          </cell>
          <cell r="G275" t="str">
            <v>一品一商</v>
          </cell>
          <cell r="H275" t="str">
            <v>品牌直发</v>
          </cell>
          <cell r="I275">
            <v>0</v>
          </cell>
        </row>
        <row r="276">
          <cell r="D276">
            <v>11321401</v>
          </cell>
          <cell r="E276" t="str">
            <v>伯希和/PELLIOT</v>
          </cell>
          <cell r="F276" t="str">
            <v>服装-户外运动服-速干裤</v>
          </cell>
          <cell r="G276" t="str">
            <v>一品一商</v>
          </cell>
          <cell r="H276" t="str">
            <v>品牌直发</v>
          </cell>
          <cell r="I276">
            <v>0</v>
          </cell>
        </row>
        <row r="277">
          <cell r="D277">
            <v>11830603</v>
          </cell>
          <cell r="E277" t="str">
            <v>伯希和/PELLIOT</v>
          </cell>
          <cell r="F277" t="str">
            <v>服装-外套-软壳衣</v>
          </cell>
          <cell r="G277" t="str">
            <v>一品多商</v>
          </cell>
          <cell r="H277" t="str">
            <v>品牌直发</v>
          </cell>
          <cell r="I277">
            <v>0</v>
          </cell>
        </row>
        <row r="278">
          <cell r="D278">
            <v>12830604</v>
          </cell>
          <cell r="E278" t="str">
            <v>伯希和/PELLIOT</v>
          </cell>
          <cell r="F278" t="str">
            <v>女装-外套-软壳衣</v>
          </cell>
          <cell r="G278" t="str">
            <v>一品多商</v>
          </cell>
          <cell r="H278" t="str">
            <v>品牌直发</v>
          </cell>
          <cell r="I278">
            <v>0</v>
          </cell>
        </row>
        <row r="279">
          <cell r="D279">
            <v>12321406</v>
          </cell>
          <cell r="E279" t="str">
            <v>伯希和/PELLIOT</v>
          </cell>
          <cell r="F279" t="str">
            <v>女装-户外运动服-速干裤</v>
          </cell>
          <cell r="G279" t="str">
            <v>一品一商</v>
          </cell>
          <cell r="H279" t="str">
            <v>品牌直发</v>
          </cell>
          <cell r="I279">
            <v>0</v>
          </cell>
        </row>
        <row r="280">
          <cell r="D280">
            <v>11021509</v>
          </cell>
          <cell r="E280" t="str">
            <v>伯希和/PELLIOT</v>
          </cell>
          <cell r="F280" t="str">
            <v>服装-上衣-T恤</v>
          </cell>
          <cell r="G280" t="str">
            <v>一品一商</v>
          </cell>
          <cell r="H280" t="str">
            <v>品牌直发</v>
          </cell>
          <cell r="I280">
            <v>0</v>
          </cell>
        </row>
        <row r="281">
          <cell r="D281">
            <v>12213804</v>
          </cell>
          <cell r="E281" t="str">
            <v>伯希和/PELLIOT</v>
          </cell>
          <cell r="F281" t="str">
            <v>女装-长裤-休闲裤</v>
          </cell>
          <cell r="G281" t="str">
            <v>一品一商</v>
          </cell>
          <cell r="H281" t="str">
            <v>品牌直发</v>
          </cell>
          <cell r="I281">
            <v>0</v>
          </cell>
        </row>
        <row r="282">
          <cell r="D282">
            <v>12230702</v>
          </cell>
          <cell r="E282" t="str">
            <v>伯希和/PELLIOT</v>
          </cell>
          <cell r="F282" t="str">
            <v>女装-长裤-软壳裤</v>
          </cell>
          <cell r="G282" t="str">
            <v>一品多商</v>
          </cell>
          <cell r="H282" t="str">
            <v>品牌直发</v>
          </cell>
          <cell r="I282">
            <v>0</v>
          </cell>
        </row>
        <row r="283">
          <cell r="D283">
            <v>12033806</v>
          </cell>
          <cell r="E283" t="str">
            <v>伯希和/PELLIOT</v>
          </cell>
          <cell r="F283" t="str">
            <v>女装-长裤-休闲裤</v>
          </cell>
          <cell r="G283" t="str">
            <v>一品一商</v>
          </cell>
          <cell r="H283" t="str">
            <v>品牌直发</v>
          </cell>
          <cell r="I283">
            <v>0</v>
          </cell>
        </row>
        <row r="284">
          <cell r="D284" t="str">
            <v>125116022-服</v>
          </cell>
          <cell r="E284" t="str">
            <v>伯希和/PELLIOT</v>
          </cell>
          <cell r="F284" t="str">
            <v>女装-户外运动服-跑步T恤</v>
          </cell>
          <cell r="G284" t="str">
            <v>一品多商</v>
          </cell>
          <cell r="H284" t="str">
            <v>品牌直发</v>
          </cell>
          <cell r="I284">
            <v>0</v>
          </cell>
        </row>
        <row r="285">
          <cell r="D285">
            <v>112040112</v>
          </cell>
          <cell r="E285" t="str">
            <v>伯希和/PELLIOT</v>
          </cell>
          <cell r="F285" t="str">
            <v>女装-外套-冲锋衣</v>
          </cell>
          <cell r="G285" t="str">
            <v>一品一商</v>
          </cell>
          <cell r="H285" t="str">
            <v>品牌直发</v>
          </cell>
          <cell r="I285">
            <v>0</v>
          </cell>
        </row>
        <row r="286">
          <cell r="D286">
            <v>11230701</v>
          </cell>
          <cell r="E286" t="str">
            <v>伯希和/PELLIOT</v>
          </cell>
          <cell r="F286" t="str">
            <v>服装-长裤-软壳裤</v>
          </cell>
          <cell r="G286" t="str">
            <v>一品多商</v>
          </cell>
          <cell r="H286" t="str">
            <v>品牌直发</v>
          </cell>
          <cell r="I286">
            <v>0</v>
          </cell>
        </row>
        <row r="287">
          <cell r="D287">
            <v>11231443</v>
          </cell>
          <cell r="E287" t="str">
            <v>伯希和/PELLIOT</v>
          </cell>
          <cell r="F287" t="str">
            <v>服装-户外运动服-速干裤</v>
          </cell>
          <cell r="G287" t="str">
            <v>一品一商</v>
          </cell>
          <cell r="H287" t="str">
            <v>品牌直发</v>
          </cell>
          <cell r="I287">
            <v>0</v>
          </cell>
        </row>
        <row r="288">
          <cell r="D288">
            <v>12215104</v>
          </cell>
          <cell r="E288" t="str">
            <v>伯希和/PELLIOT</v>
          </cell>
          <cell r="F288" t="str">
            <v>女装-外套-夹克</v>
          </cell>
          <cell r="G288" t="str">
            <v>一品一商</v>
          </cell>
          <cell r="H288" t="str">
            <v>品牌直发</v>
          </cell>
          <cell r="I288">
            <v>0</v>
          </cell>
        </row>
        <row r="289">
          <cell r="D289">
            <v>112213710</v>
          </cell>
          <cell r="E289" t="str">
            <v>伯希和/PELLIOT</v>
          </cell>
          <cell r="F289" t="str">
            <v>服装-上衣-卫衣</v>
          </cell>
          <cell r="G289" t="str">
            <v>一品一商</v>
          </cell>
          <cell r="H289" t="str">
            <v>品牌直发</v>
          </cell>
          <cell r="I289">
            <v>0</v>
          </cell>
        </row>
        <row r="290">
          <cell r="D290">
            <v>111240115</v>
          </cell>
          <cell r="E290" t="str">
            <v>伯希和/PELLIOT</v>
          </cell>
          <cell r="F290" t="str">
            <v>服装-外套-冲锋衣</v>
          </cell>
          <cell r="G290" t="str">
            <v>一品一商</v>
          </cell>
          <cell r="H290" t="str">
            <v>品牌直发</v>
          </cell>
          <cell r="I290">
            <v>0</v>
          </cell>
        </row>
        <row r="291">
          <cell r="D291">
            <v>12321204</v>
          </cell>
          <cell r="E291" t="str">
            <v>伯希和/PELLIOT</v>
          </cell>
          <cell r="F291" t="str">
            <v>女装-外套-防晒服</v>
          </cell>
          <cell r="G291" t="str">
            <v>一品一商</v>
          </cell>
          <cell r="H291" t="str">
            <v>品牌直发</v>
          </cell>
          <cell r="I291">
            <v>0</v>
          </cell>
        </row>
        <row r="292">
          <cell r="D292">
            <v>11240203</v>
          </cell>
          <cell r="E292" t="str">
            <v>伯希和/PELLIOT</v>
          </cell>
          <cell r="F292" t="str">
            <v>服装-长裤-冲锋裤</v>
          </cell>
          <cell r="G292" t="str">
            <v>一品多商</v>
          </cell>
          <cell r="H292" t="str">
            <v>品牌直发</v>
          </cell>
          <cell r="I292">
            <v>0</v>
          </cell>
        </row>
        <row r="293">
          <cell r="D293">
            <v>11040107</v>
          </cell>
          <cell r="E293" t="str">
            <v>伯希和/PELLIOT</v>
          </cell>
          <cell r="F293" t="str">
            <v>服装-外套-冲锋衣</v>
          </cell>
          <cell r="G293" t="str">
            <v>一品多商</v>
          </cell>
          <cell r="H293" t="str">
            <v>品牌直发</v>
          </cell>
          <cell r="I293">
            <v>0</v>
          </cell>
        </row>
        <row r="294">
          <cell r="D294">
            <v>12221522</v>
          </cell>
          <cell r="E294" t="str">
            <v>伯希和/PELLIOT</v>
          </cell>
          <cell r="F294" t="str">
            <v>女装-户外运动服-跑步T恤</v>
          </cell>
          <cell r="G294" t="str">
            <v>一品一商</v>
          </cell>
          <cell r="H294" t="str">
            <v>品牌直发</v>
          </cell>
          <cell r="I294">
            <v>0</v>
          </cell>
        </row>
        <row r="295">
          <cell r="D295">
            <v>12230618</v>
          </cell>
          <cell r="E295" t="str">
            <v>伯希和/PELLIOT</v>
          </cell>
          <cell r="F295" t="str">
            <v>女装-外套-软壳衣</v>
          </cell>
          <cell r="G295" t="str">
            <v>一品一商</v>
          </cell>
          <cell r="H295" t="str">
            <v>品牌直发</v>
          </cell>
          <cell r="I295">
            <v>0</v>
          </cell>
        </row>
        <row r="296">
          <cell r="D296">
            <v>12130608</v>
          </cell>
          <cell r="E296" t="str">
            <v>伯希和/PELLIOT</v>
          </cell>
          <cell r="F296" t="str">
            <v>女装-外套-软壳衣</v>
          </cell>
          <cell r="G296" t="str">
            <v>一品多商</v>
          </cell>
          <cell r="H296" t="str">
            <v>品牌直发</v>
          </cell>
          <cell r="I296">
            <v>0</v>
          </cell>
        </row>
        <row r="297">
          <cell r="D297">
            <v>12313706</v>
          </cell>
          <cell r="E297" t="str">
            <v>伯希和/PELLIOT</v>
          </cell>
          <cell r="F297" t="str">
            <v>女装-上衣-卫衣</v>
          </cell>
          <cell r="G297" t="str">
            <v>一品一商</v>
          </cell>
          <cell r="H297" t="str">
            <v>品牌直发</v>
          </cell>
          <cell r="I297">
            <v>0</v>
          </cell>
        </row>
        <row r="298">
          <cell r="D298">
            <v>11213803</v>
          </cell>
          <cell r="E298" t="str">
            <v>伯希和/PELLIOT</v>
          </cell>
          <cell r="F298" t="str">
            <v>服装-长裤-针织运动裤</v>
          </cell>
          <cell r="G298" t="str">
            <v>一品一商</v>
          </cell>
          <cell r="H298" t="str">
            <v>品牌直发</v>
          </cell>
          <cell r="I298">
            <v>0</v>
          </cell>
        </row>
        <row r="299">
          <cell r="D299">
            <v>12221504</v>
          </cell>
          <cell r="E299" t="str">
            <v>伯希和/PELLIOT</v>
          </cell>
          <cell r="F299" t="str">
            <v>女装-上衣-T恤</v>
          </cell>
          <cell r="G299" t="str">
            <v>一品一商</v>
          </cell>
          <cell r="H299" t="str">
            <v>品牌直发</v>
          </cell>
          <cell r="I299">
            <v>0</v>
          </cell>
        </row>
        <row r="300">
          <cell r="D300">
            <v>12031016</v>
          </cell>
          <cell r="E300" t="str">
            <v>伯希和/PELLIOT</v>
          </cell>
          <cell r="F300" t="str">
            <v>女装-户外运动服-抓绒衣</v>
          </cell>
          <cell r="G300" t="str">
            <v>一品一商</v>
          </cell>
          <cell r="H300" t="str">
            <v>品牌直发</v>
          </cell>
          <cell r="I300">
            <v>0</v>
          </cell>
        </row>
        <row r="301">
          <cell r="D301">
            <v>12131022</v>
          </cell>
          <cell r="E301" t="str">
            <v>伯希和/PELLIOT</v>
          </cell>
          <cell r="F301" t="str">
            <v>女装-户外运动服-抓绒衣</v>
          </cell>
          <cell r="G301" t="str">
            <v>一品一商</v>
          </cell>
          <cell r="H301" t="str">
            <v>品牌直发</v>
          </cell>
          <cell r="I301">
            <v>0</v>
          </cell>
        </row>
        <row r="302">
          <cell r="D302">
            <v>112140110</v>
          </cell>
          <cell r="E302" t="str">
            <v>伯希和/PELLIOT</v>
          </cell>
          <cell r="F302" t="str">
            <v>女装-外套-冲锋衣</v>
          </cell>
          <cell r="G302" t="str">
            <v>一品一商</v>
          </cell>
          <cell r="H302" t="str">
            <v>品牌直发</v>
          </cell>
          <cell r="I302">
            <v>0</v>
          </cell>
        </row>
        <row r="303">
          <cell r="D303">
            <v>12121218</v>
          </cell>
          <cell r="E303" t="str">
            <v>伯希和/PELLIOT</v>
          </cell>
          <cell r="F303" t="str">
            <v>女装-外套-防晒服</v>
          </cell>
          <cell r="G303" t="str">
            <v>一品一商</v>
          </cell>
          <cell r="H303" t="str">
            <v>品牌直发</v>
          </cell>
          <cell r="I303">
            <v>0</v>
          </cell>
        </row>
        <row r="304">
          <cell r="D304">
            <v>16804501</v>
          </cell>
          <cell r="E304" t="str">
            <v>伯希和/PELLIOT</v>
          </cell>
          <cell r="F304" t="str">
            <v>户外装备-露营/野炊装备-秋千</v>
          </cell>
          <cell r="G304" t="str">
            <v>一品多商</v>
          </cell>
          <cell r="H304" t="str">
            <v>普通现货</v>
          </cell>
          <cell r="I304">
            <v>0</v>
          </cell>
        </row>
        <row r="305">
          <cell r="D305">
            <v>11221203</v>
          </cell>
          <cell r="E305" t="str">
            <v>伯希和/PELLIOT</v>
          </cell>
          <cell r="F305" t="str">
            <v>服装-外套-防晒服</v>
          </cell>
          <cell r="G305" t="str">
            <v>一品一商</v>
          </cell>
          <cell r="H305" t="str">
            <v>品牌直发</v>
          </cell>
          <cell r="I305">
            <v>0</v>
          </cell>
        </row>
        <row r="306">
          <cell r="D306">
            <v>12221202</v>
          </cell>
          <cell r="E306" t="str">
            <v>伯希和/PELLIOT</v>
          </cell>
          <cell r="F306" t="str">
            <v>女装-外套-防晒服</v>
          </cell>
          <cell r="G306" t="str">
            <v>一品多商</v>
          </cell>
          <cell r="H306" t="str">
            <v>品牌直发</v>
          </cell>
          <cell r="I306">
            <v>0</v>
          </cell>
        </row>
        <row r="307">
          <cell r="D307">
            <v>12215102</v>
          </cell>
          <cell r="E307" t="str">
            <v>伯希和/PELLIOT</v>
          </cell>
          <cell r="F307" t="str">
            <v>女装-外套-夹克</v>
          </cell>
          <cell r="G307" t="str">
            <v>一品一商</v>
          </cell>
          <cell r="H307" t="str">
            <v>品牌直发</v>
          </cell>
          <cell r="I307">
            <v>0</v>
          </cell>
        </row>
        <row r="308">
          <cell r="D308">
            <v>12121412</v>
          </cell>
          <cell r="E308" t="str">
            <v>伯希和/PELLIOT</v>
          </cell>
          <cell r="F308" t="str">
            <v>女装-户外运动服-速干裤</v>
          </cell>
          <cell r="G308" t="str">
            <v>一品多商</v>
          </cell>
          <cell r="H308" t="str">
            <v>品牌直发</v>
          </cell>
          <cell r="I308">
            <v>0</v>
          </cell>
        </row>
        <row r="309">
          <cell r="D309">
            <v>12231006</v>
          </cell>
          <cell r="E309" t="str">
            <v>伯希和/PELLIOT</v>
          </cell>
          <cell r="F309" t="str">
            <v>女装-户外运动服-抓绒衣</v>
          </cell>
          <cell r="G309" t="str">
            <v>一品一商</v>
          </cell>
          <cell r="H309" t="str">
            <v>品牌直发</v>
          </cell>
          <cell r="I309">
            <v>0</v>
          </cell>
        </row>
        <row r="310">
          <cell r="D310">
            <v>12231004</v>
          </cell>
          <cell r="E310" t="str">
            <v>伯希和/PELLIOT</v>
          </cell>
          <cell r="F310" t="str">
            <v>女装-户外运动服-抓绒衣</v>
          </cell>
          <cell r="G310" t="str">
            <v>一品一商</v>
          </cell>
          <cell r="H310" t="str">
            <v>品牌直发</v>
          </cell>
          <cell r="I310">
            <v>0</v>
          </cell>
        </row>
        <row r="311">
          <cell r="D311">
            <v>12130702</v>
          </cell>
          <cell r="E311" t="str">
            <v>伯希和/PELLIOT</v>
          </cell>
          <cell r="F311" t="str">
            <v>女装-长裤-软壳裤</v>
          </cell>
          <cell r="G311" t="str">
            <v>一品多商</v>
          </cell>
          <cell r="H311" t="str">
            <v>品牌直发</v>
          </cell>
          <cell r="I311">
            <v>0</v>
          </cell>
        </row>
        <row r="312">
          <cell r="D312">
            <v>12321222</v>
          </cell>
          <cell r="E312" t="str">
            <v>伯希和/PELLIOT</v>
          </cell>
          <cell r="F312" t="str">
            <v>女装-外套-防晒服</v>
          </cell>
          <cell r="G312" t="str">
            <v>一品多商</v>
          </cell>
          <cell r="H312" t="str">
            <v>品牌直发</v>
          </cell>
          <cell r="I312">
            <v>0</v>
          </cell>
        </row>
        <row r="313">
          <cell r="D313">
            <v>12131006</v>
          </cell>
          <cell r="E313" t="str">
            <v>伯希和/PELLIOT</v>
          </cell>
          <cell r="F313" t="str">
            <v>女装-户外运动服-抓绒衣</v>
          </cell>
          <cell r="G313" t="str">
            <v>一品一商</v>
          </cell>
          <cell r="H313" t="str">
            <v>普通现货</v>
          </cell>
          <cell r="I313">
            <v>0</v>
          </cell>
        </row>
        <row r="314">
          <cell r="D314">
            <v>12230706</v>
          </cell>
          <cell r="E314" t="str">
            <v>伯希和/PELLIOT</v>
          </cell>
          <cell r="F314" t="str">
            <v>女装-长裤-软壳裤</v>
          </cell>
          <cell r="G314" t="str">
            <v>一品多商</v>
          </cell>
          <cell r="H314" t="str">
            <v>品牌直发</v>
          </cell>
          <cell r="I314">
            <v>0</v>
          </cell>
        </row>
        <row r="315">
          <cell r="D315">
            <v>11240121</v>
          </cell>
          <cell r="E315" t="str">
            <v>伯希和/PELLIOT</v>
          </cell>
          <cell r="F315" t="str">
            <v>服装-外套-冲锋衣</v>
          </cell>
          <cell r="G315" t="str">
            <v>一品一商</v>
          </cell>
          <cell r="H315" t="str">
            <v>品牌直发</v>
          </cell>
          <cell r="I315">
            <v>0</v>
          </cell>
        </row>
        <row r="316">
          <cell r="D316">
            <v>12231016</v>
          </cell>
          <cell r="E316" t="str">
            <v>伯希和/PELLIOT</v>
          </cell>
          <cell r="F316" t="str">
            <v>女装-户外运动服-抓绒衣</v>
          </cell>
          <cell r="G316" t="str">
            <v>一品一商</v>
          </cell>
          <cell r="H316" t="str">
            <v>品牌直发</v>
          </cell>
          <cell r="I316">
            <v>0</v>
          </cell>
        </row>
        <row r="317">
          <cell r="D317">
            <v>12231032</v>
          </cell>
          <cell r="E317" t="str">
            <v>伯希和/PELLIOT</v>
          </cell>
          <cell r="F317" t="str">
            <v>女装-户外运动服-抓绒衣</v>
          </cell>
          <cell r="G317" t="str">
            <v>一品一商</v>
          </cell>
          <cell r="H317" t="str">
            <v>品牌直发</v>
          </cell>
          <cell r="I317">
            <v>0</v>
          </cell>
        </row>
        <row r="318">
          <cell r="D318">
            <v>12231802</v>
          </cell>
          <cell r="E318" t="str">
            <v>伯希和/PELLIOT</v>
          </cell>
          <cell r="F318" t="str">
            <v>内衣-内衣裤-保暖套装</v>
          </cell>
          <cell r="G318" t="str">
            <v>一品一商</v>
          </cell>
          <cell r="H318" t="str">
            <v>品牌直发</v>
          </cell>
          <cell r="I318">
            <v>0</v>
          </cell>
        </row>
        <row r="319">
          <cell r="D319">
            <v>12240834</v>
          </cell>
          <cell r="E319" t="str">
            <v>伯希和/PELLIOT</v>
          </cell>
          <cell r="F319" t="str">
            <v>女装-外套-羽绒服</v>
          </cell>
          <cell r="G319" t="str">
            <v>一品多商</v>
          </cell>
          <cell r="H319" t="str">
            <v>品牌直发</v>
          </cell>
          <cell r="I319">
            <v>0</v>
          </cell>
        </row>
        <row r="320">
          <cell r="D320">
            <v>11140809</v>
          </cell>
          <cell r="E320" t="str">
            <v>伯希和/PELLIOT</v>
          </cell>
          <cell r="F320" t="str">
            <v>服装-外套-羽绒服</v>
          </cell>
          <cell r="G320" t="str">
            <v>一品多商</v>
          </cell>
          <cell r="H320" t="str">
            <v>品牌直发</v>
          </cell>
          <cell r="I320">
            <v>0</v>
          </cell>
        </row>
        <row r="321">
          <cell r="D321">
            <v>12140810</v>
          </cell>
          <cell r="E321" t="str">
            <v>伯希和/PELLIOT</v>
          </cell>
          <cell r="F321" t="str">
            <v>女装-外套-羽绒服</v>
          </cell>
          <cell r="G321" t="str">
            <v>一品多商</v>
          </cell>
          <cell r="H321" t="str">
            <v>品牌直发</v>
          </cell>
          <cell r="I321">
            <v>0</v>
          </cell>
        </row>
        <row r="322">
          <cell r="D322">
            <v>12740808</v>
          </cell>
          <cell r="E322" t="str">
            <v>伯希和/PELLIOT</v>
          </cell>
          <cell r="F322" t="str">
            <v>服装-外套-羽绒服</v>
          </cell>
          <cell r="G322" t="str">
            <v>一品一商</v>
          </cell>
          <cell r="H322" t="str">
            <v>品牌直发</v>
          </cell>
          <cell r="I322">
            <v>0</v>
          </cell>
        </row>
        <row r="323">
          <cell r="D323">
            <v>11140813</v>
          </cell>
          <cell r="E323" t="str">
            <v>伯希和/PELLIOT</v>
          </cell>
          <cell r="F323" t="str">
            <v>服装-外套-羽绒服</v>
          </cell>
          <cell r="G323" t="str">
            <v>一品多商</v>
          </cell>
          <cell r="H323" t="str">
            <v>品牌直发</v>
          </cell>
          <cell r="I323">
            <v>0</v>
          </cell>
        </row>
        <row r="324">
          <cell r="D324">
            <v>11240301</v>
          </cell>
          <cell r="E324" t="str">
            <v>伯希和/PELLIOT</v>
          </cell>
          <cell r="F324" t="str">
            <v>服装-外套-棉服</v>
          </cell>
          <cell r="G324" t="str">
            <v>一品多商</v>
          </cell>
          <cell r="H324" t="str">
            <v>品牌直发</v>
          </cell>
          <cell r="I324">
            <v>0</v>
          </cell>
        </row>
        <row r="325">
          <cell r="D325">
            <v>12140814</v>
          </cell>
          <cell r="E325" t="str">
            <v>伯希和/PELLIOT</v>
          </cell>
          <cell r="F325" t="str">
            <v>女装-外套-羽绒服</v>
          </cell>
          <cell r="G325" t="str">
            <v>一品多商</v>
          </cell>
          <cell r="H325" t="str">
            <v>品牌直发</v>
          </cell>
          <cell r="I325">
            <v>0</v>
          </cell>
        </row>
        <row r="326">
          <cell r="D326">
            <v>12140804</v>
          </cell>
          <cell r="E326" t="str">
            <v>伯希和/PELLIOT</v>
          </cell>
          <cell r="F326" t="str">
            <v>女装-外套-羽绒服</v>
          </cell>
          <cell r="G326" t="str">
            <v>一品一商</v>
          </cell>
          <cell r="H326" t="str">
            <v>品牌直发</v>
          </cell>
          <cell r="I326">
            <v>0</v>
          </cell>
        </row>
        <row r="327">
          <cell r="D327">
            <v>12131802</v>
          </cell>
          <cell r="E327" t="str">
            <v>伯希和/PELLIOT</v>
          </cell>
          <cell r="F327" t="str">
            <v>内衣-内衣裤-保暖套装</v>
          </cell>
          <cell r="G327" t="str">
            <v>一品一商</v>
          </cell>
          <cell r="H327" t="str">
            <v>品牌直发</v>
          </cell>
          <cell r="I327">
            <v>0</v>
          </cell>
        </row>
        <row r="328">
          <cell r="D328">
            <v>11240823</v>
          </cell>
          <cell r="E328" t="str">
            <v>伯希和/PELLIOT</v>
          </cell>
          <cell r="F328" t="str">
            <v>服装-外套-羽绒服</v>
          </cell>
          <cell r="G328" t="str">
            <v>一品多商</v>
          </cell>
          <cell r="H328" t="str">
            <v>品牌直发</v>
          </cell>
          <cell r="I328">
            <v>0</v>
          </cell>
        </row>
        <row r="329">
          <cell r="D329">
            <v>11140101</v>
          </cell>
          <cell r="E329" t="str">
            <v>伯希和/PELLIOT</v>
          </cell>
          <cell r="F329" t="str">
            <v>服装-外套-冲锋衣</v>
          </cell>
          <cell r="G329" t="str">
            <v>一品多商</v>
          </cell>
          <cell r="H329" t="str">
            <v>品牌直发</v>
          </cell>
          <cell r="I329">
            <v>0</v>
          </cell>
        </row>
        <row r="330">
          <cell r="D330">
            <v>12140102</v>
          </cell>
          <cell r="E330" t="str">
            <v>伯希和/PELLIOT</v>
          </cell>
          <cell r="F330" t="str">
            <v>女装-外套-冲锋衣</v>
          </cell>
          <cell r="G330" t="str">
            <v>一品多商</v>
          </cell>
          <cell r="H330" t="str">
            <v>品牌直发</v>
          </cell>
          <cell r="I330">
            <v>0</v>
          </cell>
        </row>
        <row r="331">
          <cell r="D331">
            <v>11140121</v>
          </cell>
          <cell r="E331" t="str">
            <v>伯希和/PELLIOT</v>
          </cell>
          <cell r="F331" t="str">
            <v>服装-外套-冲锋衣</v>
          </cell>
          <cell r="G331" t="str">
            <v>一品一商</v>
          </cell>
          <cell r="H331" t="str">
            <v>品牌直发</v>
          </cell>
          <cell r="I331">
            <v>0</v>
          </cell>
        </row>
        <row r="332">
          <cell r="D332">
            <v>11240828</v>
          </cell>
          <cell r="E332" t="str">
            <v>伯希和/PELLIOT</v>
          </cell>
          <cell r="F332" t="str">
            <v>女装-外套-羽绒服</v>
          </cell>
          <cell r="G332" t="str">
            <v>一品一商</v>
          </cell>
          <cell r="H332" t="str">
            <v>品牌直发</v>
          </cell>
          <cell r="I332">
            <v>0</v>
          </cell>
        </row>
        <row r="333">
          <cell r="D333">
            <v>114408279</v>
          </cell>
          <cell r="E333" t="str">
            <v>伯希和/PELLIOT</v>
          </cell>
          <cell r="F333" t="str">
            <v>服装-外套-羽绒服</v>
          </cell>
          <cell r="G333" t="str">
            <v>一品多商</v>
          </cell>
          <cell r="H333" t="str">
            <v>品牌直发</v>
          </cell>
          <cell r="I333">
            <v>0</v>
          </cell>
        </row>
        <row r="334">
          <cell r="D334">
            <v>12240822</v>
          </cell>
          <cell r="E334" t="str">
            <v>伯希和/PELLIOT</v>
          </cell>
          <cell r="F334" t="str">
            <v>女装-外套-羽绒服</v>
          </cell>
          <cell r="G334" t="str">
            <v>一品多商</v>
          </cell>
          <cell r="H334" t="str">
            <v>品牌直发</v>
          </cell>
          <cell r="I334">
            <v>0</v>
          </cell>
        </row>
        <row r="335">
          <cell r="D335">
            <v>12231022</v>
          </cell>
          <cell r="E335" t="str">
            <v>伯希和/PELLIOT</v>
          </cell>
          <cell r="F335" t="str">
            <v>服装-户外运动服-抓绒衣</v>
          </cell>
          <cell r="G335" t="str">
            <v>一品一商</v>
          </cell>
          <cell r="H335" t="str">
            <v>品牌直发</v>
          </cell>
          <cell r="I335">
            <v>0</v>
          </cell>
        </row>
        <row r="336">
          <cell r="D336">
            <v>12231024</v>
          </cell>
          <cell r="E336" t="str">
            <v>伯希和/PELLIOT</v>
          </cell>
          <cell r="F336" t="str">
            <v>服装-户外运动服-抓绒衣</v>
          </cell>
          <cell r="G336" t="str">
            <v>一品一商</v>
          </cell>
          <cell r="H336" t="str">
            <v>品牌直发</v>
          </cell>
          <cell r="I336">
            <v>0</v>
          </cell>
        </row>
        <row r="337">
          <cell r="D337">
            <v>11240821</v>
          </cell>
          <cell r="E337" t="str">
            <v>伯希和/PELLIOT</v>
          </cell>
          <cell r="F337" t="str">
            <v>服装-外套-羽绒服</v>
          </cell>
          <cell r="G337" t="str">
            <v>一品多商</v>
          </cell>
          <cell r="H337" t="str">
            <v>品牌直发</v>
          </cell>
          <cell r="I337">
            <v>0</v>
          </cell>
        </row>
        <row r="338">
          <cell r="D338">
            <v>11240129</v>
          </cell>
          <cell r="E338" t="str">
            <v>伯希和/PELLIOT</v>
          </cell>
          <cell r="F338" t="str">
            <v>服装-外套-冲锋衣</v>
          </cell>
          <cell r="G338" t="str">
            <v>一品多商</v>
          </cell>
          <cell r="H338" t="str">
            <v>品牌直发</v>
          </cell>
          <cell r="I338">
            <v>0</v>
          </cell>
        </row>
        <row r="339">
          <cell r="D339">
            <v>11040139</v>
          </cell>
          <cell r="E339" t="str">
            <v>伯希和/PELLIOT</v>
          </cell>
          <cell r="F339" t="str">
            <v>服装-外套-冲锋衣</v>
          </cell>
          <cell r="G339" t="str">
            <v>一品一商</v>
          </cell>
          <cell r="H339" t="str">
            <v>品牌直发</v>
          </cell>
          <cell r="I339">
            <v>0</v>
          </cell>
        </row>
        <row r="340">
          <cell r="D340">
            <v>11231031</v>
          </cell>
          <cell r="E340" t="str">
            <v>伯希和/PELLIOT</v>
          </cell>
          <cell r="F340" t="str">
            <v>服装-户外运动服-抓绒衣</v>
          </cell>
          <cell r="G340" t="str">
            <v>一品一商</v>
          </cell>
          <cell r="H340" t="str">
            <v>品牌直发</v>
          </cell>
          <cell r="I340">
            <v>0</v>
          </cell>
        </row>
        <row r="341">
          <cell r="D341">
            <v>112240824</v>
          </cell>
          <cell r="E341" t="str">
            <v>伯希和/PELLIOT</v>
          </cell>
          <cell r="F341" t="str">
            <v>服装-外套-羽绒马甲</v>
          </cell>
          <cell r="G341" t="str">
            <v>一品一商</v>
          </cell>
          <cell r="H341" t="str">
            <v>品牌直发</v>
          </cell>
          <cell r="I341">
            <v>0</v>
          </cell>
        </row>
        <row r="342">
          <cell r="D342">
            <v>111230705</v>
          </cell>
          <cell r="E342" t="str">
            <v>伯希和/PELLIOT</v>
          </cell>
          <cell r="F342" t="str">
            <v>服装-长裤-冲锋裤</v>
          </cell>
          <cell r="G342" t="str">
            <v>一品多商</v>
          </cell>
          <cell r="H342" t="str">
            <v>品牌直发</v>
          </cell>
          <cell r="I342">
            <v>0</v>
          </cell>
        </row>
        <row r="343">
          <cell r="D343">
            <v>11040105</v>
          </cell>
          <cell r="E343" t="str">
            <v>伯希和/PELLIOT</v>
          </cell>
          <cell r="F343" t="str">
            <v>服装-外套-冲锋衣</v>
          </cell>
          <cell r="G343" t="str">
            <v>一品多商</v>
          </cell>
          <cell r="H343" t="str">
            <v>品牌直发</v>
          </cell>
          <cell r="I343">
            <v>0</v>
          </cell>
        </row>
        <row r="344">
          <cell r="D344">
            <v>12040134</v>
          </cell>
          <cell r="E344" t="str">
            <v>伯希和/PELLIOT</v>
          </cell>
          <cell r="F344" t="str">
            <v>女装-外套-冲锋衣</v>
          </cell>
          <cell r="G344" t="str">
            <v>一品一商</v>
          </cell>
          <cell r="H344" t="str">
            <v>品牌直发</v>
          </cell>
          <cell r="I344">
            <v>0</v>
          </cell>
        </row>
        <row r="345">
          <cell r="D345">
            <v>11133703</v>
          </cell>
          <cell r="E345" t="str">
            <v>伯希和/PELLIOT</v>
          </cell>
          <cell r="F345" t="str">
            <v>服装-上衣-卫衣</v>
          </cell>
          <cell r="G345" t="str">
            <v>一品一商</v>
          </cell>
          <cell r="H345" t="str">
            <v>品牌直发</v>
          </cell>
          <cell r="I345">
            <v>0</v>
          </cell>
        </row>
        <row r="346">
          <cell r="D346">
            <v>12221528</v>
          </cell>
          <cell r="E346" t="str">
            <v>伯希和/PELLIOT</v>
          </cell>
          <cell r="F346" t="str">
            <v>女装-上衣-T恤</v>
          </cell>
          <cell r="G346" t="str">
            <v>一品一商</v>
          </cell>
          <cell r="H346" t="str">
            <v>品牌直发</v>
          </cell>
          <cell r="I346">
            <v>0</v>
          </cell>
        </row>
        <row r="347">
          <cell r="D347">
            <v>12140112</v>
          </cell>
          <cell r="E347" t="str">
            <v>伯希和/PELLIOT</v>
          </cell>
          <cell r="F347" t="str">
            <v>女装-外套-冲锋衣</v>
          </cell>
          <cell r="G347" t="str">
            <v>一品多商</v>
          </cell>
          <cell r="H347" t="str">
            <v>品牌直发</v>
          </cell>
          <cell r="I347">
            <v>0</v>
          </cell>
        </row>
        <row r="348">
          <cell r="D348">
            <v>125110022</v>
          </cell>
          <cell r="E348" t="str">
            <v>伯希和/PELLIOT</v>
          </cell>
          <cell r="F348" t="str">
            <v>女装-户外运动服-抓绒衣</v>
          </cell>
          <cell r="G348" t="str">
            <v>一品多商</v>
          </cell>
          <cell r="H348" t="str">
            <v>品牌直发</v>
          </cell>
          <cell r="I348">
            <v>0</v>
          </cell>
        </row>
        <row r="349">
          <cell r="D349">
            <v>11130709</v>
          </cell>
          <cell r="E349" t="str">
            <v>伯希和/PELLIOT</v>
          </cell>
          <cell r="F349" t="str">
            <v>服装-长裤-软壳裤</v>
          </cell>
          <cell r="G349" t="str">
            <v>一品一商</v>
          </cell>
          <cell r="H349" t="str">
            <v>品牌直发</v>
          </cell>
          <cell r="I349">
            <v>0</v>
          </cell>
        </row>
        <row r="350">
          <cell r="D350">
            <v>11221219</v>
          </cell>
          <cell r="E350" t="str">
            <v>伯希和/PELLIOT</v>
          </cell>
          <cell r="F350" t="str">
            <v>服装-外套-防晒服</v>
          </cell>
          <cell r="G350" t="str">
            <v>一品多商</v>
          </cell>
          <cell r="H350" t="str">
            <v>品牌直发</v>
          </cell>
          <cell r="I350">
            <v>0</v>
          </cell>
        </row>
        <row r="351">
          <cell r="D351">
            <v>12121262</v>
          </cell>
          <cell r="E351" t="str">
            <v>伯希和/PELLIOT</v>
          </cell>
          <cell r="F351" t="str">
            <v>女装-外套-防晒服</v>
          </cell>
          <cell r="G351" t="str">
            <v>一品多商</v>
          </cell>
          <cell r="H351" t="str">
            <v>品牌直发</v>
          </cell>
          <cell r="I351">
            <v>0</v>
          </cell>
        </row>
        <row r="352">
          <cell r="D352">
            <v>12221440</v>
          </cell>
          <cell r="E352" t="str">
            <v>伯希和/PELLIOT</v>
          </cell>
          <cell r="F352" t="str">
            <v>女装-户外运动服-速干裤</v>
          </cell>
          <cell r="G352" t="str">
            <v>一品一商</v>
          </cell>
          <cell r="H352" t="str">
            <v>品牌直发</v>
          </cell>
          <cell r="I352">
            <v>0</v>
          </cell>
        </row>
        <row r="353">
          <cell r="D353">
            <v>112221430</v>
          </cell>
          <cell r="E353" t="str">
            <v>伯希和/PELLIOT</v>
          </cell>
          <cell r="F353" t="str">
            <v>服装-户外运动服-速干裤</v>
          </cell>
          <cell r="G353" t="str">
            <v>一品一商</v>
          </cell>
          <cell r="H353" t="str">
            <v>品牌直发</v>
          </cell>
          <cell r="I353">
            <v>0</v>
          </cell>
        </row>
        <row r="354">
          <cell r="D354">
            <v>112221530</v>
          </cell>
          <cell r="E354" t="str">
            <v>伯希和/PELLIOT</v>
          </cell>
          <cell r="F354" t="str">
            <v>服装-上衣-T恤</v>
          </cell>
          <cell r="G354" t="str">
            <v>一品多商</v>
          </cell>
          <cell r="H354" t="str">
            <v>品牌直发</v>
          </cell>
          <cell r="I354">
            <v>0</v>
          </cell>
        </row>
        <row r="355">
          <cell r="D355" t="str">
            <v>16403641-2025</v>
          </cell>
          <cell r="E355" t="str">
            <v>伯希和/PELLIOT</v>
          </cell>
          <cell r="F355" t="str">
            <v>户外装备-徒步/攀登-登山杖/手杖</v>
          </cell>
          <cell r="G355" t="str">
            <v>一品一商</v>
          </cell>
          <cell r="H355" t="str">
            <v>品牌直发</v>
          </cell>
          <cell r="I355">
            <v>0</v>
          </cell>
        </row>
        <row r="356">
          <cell r="D356" t="str">
            <v>16003601-2025</v>
          </cell>
          <cell r="E356" t="str">
            <v>伯希和/PELLIOT</v>
          </cell>
          <cell r="F356" t="str">
            <v>户外装备-徒步/攀登-登山杖/手杖</v>
          </cell>
          <cell r="G356" t="str">
            <v>一品一商</v>
          </cell>
          <cell r="H356" t="str">
            <v>品牌直发</v>
          </cell>
          <cell r="I356">
            <v>0</v>
          </cell>
        </row>
        <row r="357">
          <cell r="D357" t="str">
            <v>16303650-2025</v>
          </cell>
          <cell r="E357" t="str">
            <v>伯希和/PELLIOT</v>
          </cell>
          <cell r="F357" t="str">
            <v>户外装备-徒步/攀登-登山杖/手杖</v>
          </cell>
          <cell r="G357" t="str">
            <v>一品一商</v>
          </cell>
          <cell r="H357" t="str">
            <v>普通现货</v>
          </cell>
          <cell r="I357">
            <v>0</v>
          </cell>
        </row>
        <row r="358">
          <cell r="D358">
            <v>115376009</v>
          </cell>
          <cell r="E358" t="str">
            <v>伯希和/PELLIOT</v>
          </cell>
          <cell r="F358" t="str">
            <v>服装-外套-棉服</v>
          </cell>
          <cell r="G358" t="str">
            <v>一品多商</v>
          </cell>
          <cell r="H358" t="str">
            <v>普通现货</v>
          </cell>
          <cell r="I358">
            <v>0</v>
          </cell>
        </row>
        <row r="359">
          <cell r="D359" t="str">
            <v>16403602-2025</v>
          </cell>
          <cell r="E359" t="str">
            <v>伯希和/PELLIOT</v>
          </cell>
          <cell r="F359" t="str">
            <v>户外装备-徒步/攀登-登山杖/手杖</v>
          </cell>
          <cell r="G359" t="str">
            <v>一品一商</v>
          </cell>
          <cell r="H359" t="str">
            <v>品牌直发</v>
          </cell>
          <cell r="I359">
            <v>0</v>
          </cell>
        </row>
        <row r="360">
          <cell r="D360">
            <v>125408006</v>
          </cell>
          <cell r="E360" t="str">
            <v>伯希和/PELLIOT</v>
          </cell>
          <cell r="F360" t="str">
            <v>女装-外套-羽绒服</v>
          </cell>
          <cell r="G360" t="str">
            <v>一品多商</v>
          </cell>
          <cell r="H360" t="str">
            <v>品牌直发</v>
          </cell>
          <cell r="I360">
            <v>0</v>
          </cell>
        </row>
        <row r="361">
          <cell r="D361" t="str">
            <v>16403644-2025</v>
          </cell>
          <cell r="E361" t="str">
            <v>伯希和/PELLIOT</v>
          </cell>
          <cell r="F361" t="str">
            <v>户外装备-徒步/攀登-登山杖/手杖</v>
          </cell>
          <cell r="G361" t="str">
            <v>一品一商</v>
          </cell>
          <cell r="H361" t="str">
            <v>品牌直发</v>
          </cell>
          <cell r="I361">
            <v>0</v>
          </cell>
        </row>
        <row r="362">
          <cell r="D362" t="str">
            <v>16105717-2025</v>
          </cell>
          <cell r="E362" t="str">
            <v>伯希和/PELLIOT</v>
          </cell>
          <cell r="F362" t="str">
            <v>户外装备-露营/野炊装备-户外折叠椅/凳</v>
          </cell>
          <cell r="G362" t="str">
            <v>一品一商</v>
          </cell>
          <cell r="H362" t="str">
            <v>品牌直发</v>
          </cell>
          <cell r="I362">
            <v>0</v>
          </cell>
        </row>
        <row r="363">
          <cell r="D363">
            <v>105025023</v>
          </cell>
          <cell r="E363" t="str">
            <v>伯希和/PELLIOT</v>
          </cell>
          <cell r="F363" t="str">
            <v>箱包-包袋-双肩包</v>
          </cell>
          <cell r="G363" t="str">
            <v>一品一商</v>
          </cell>
          <cell r="H363" t="str">
            <v>品牌直发</v>
          </cell>
          <cell r="I363">
            <v>0</v>
          </cell>
        </row>
        <row r="364">
          <cell r="D364">
            <v>165025027</v>
          </cell>
          <cell r="E364" t="str">
            <v>伯希和/PELLIOT</v>
          </cell>
          <cell r="F364" t="str">
            <v>箱包-包袋-户外包</v>
          </cell>
          <cell r="G364" t="str">
            <v>一品一商</v>
          </cell>
          <cell r="H364" t="str">
            <v>品牌直发</v>
          </cell>
          <cell r="I364">
            <v>0</v>
          </cell>
        </row>
        <row r="365">
          <cell r="D365" t="str">
            <v>16302602-2025</v>
          </cell>
          <cell r="E365" t="str">
            <v>伯希和/PELLIOT</v>
          </cell>
          <cell r="F365" t="str">
            <v>箱包-包袋-手机包</v>
          </cell>
          <cell r="G365" t="str">
            <v>一品一商</v>
          </cell>
          <cell r="H365" t="str">
            <v>品牌直发</v>
          </cell>
          <cell r="I365">
            <v>0</v>
          </cell>
        </row>
        <row r="366">
          <cell r="D366" t="str">
            <v>105301056-2025</v>
          </cell>
          <cell r="E366" t="str">
            <v>伯希和/PELLIOT</v>
          </cell>
          <cell r="F366" t="str">
            <v>女装-外套-冲锋衣</v>
          </cell>
          <cell r="G366" t="str">
            <v>一品多商</v>
          </cell>
          <cell r="H366" t="str">
            <v>品牌直发</v>
          </cell>
          <cell r="I366">
            <v>0</v>
          </cell>
        </row>
        <row r="367">
          <cell r="D367" t="str">
            <v>124301006-2025</v>
          </cell>
          <cell r="E367" t="str">
            <v>伯希和/PELLIOT</v>
          </cell>
          <cell r="F367" t="str">
            <v>女装-外套-冲锋衣</v>
          </cell>
          <cell r="G367" t="str">
            <v>一品一商</v>
          </cell>
          <cell r="H367" t="str">
            <v>品牌直发</v>
          </cell>
          <cell r="I367">
            <v>0</v>
          </cell>
        </row>
        <row r="368">
          <cell r="D368" t="str">
            <v>124101048-2025</v>
          </cell>
          <cell r="E368" t="str">
            <v>伯希和/PELLIOT</v>
          </cell>
          <cell r="F368" t="str">
            <v>女装-外套-冲锋衣</v>
          </cell>
          <cell r="G368" t="str">
            <v>一品多商</v>
          </cell>
          <cell r="H368" t="str">
            <v>品牌直发</v>
          </cell>
          <cell r="I368">
            <v>0</v>
          </cell>
        </row>
        <row r="369">
          <cell r="D369" t="str">
            <v>124301070-2025</v>
          </cell>
          <cell r="E369" t="str">
            <v>伯希和/PELLIOT</v>
          </cell>
          <cell r="F369" t="str">
            <v>女装-外套-冲锋衣</v>
          </cell>
          <cell r="G369" t="str">
            <v>一品多商</v>
          </cell>
          <cell r="H369" t="str">
            <v>品牌直发</v>
          </cell>
          <cell r="I369">
            <v>0</v>
          </cell>
        </row>
        <row r="370">
          <cell r="D370" t="str">
            <v>PE12340164</v>
          </cell>
          <cell r="E370" t="str">
            <v>伯希和/PELLIOT</v>
          </cell>
          <cell r="F370" t="str">
            <v>女装-外套-冲锋衣</v>
          </cell>
          <cell r="G370" t="str">
            <v>一品多商</v>
          </cell>
          <cell r="H370" t="str">
            <v>品牌直发</v>
          </cell>
          <cell r="I370">
            <v>0</v>
          </cell>
        </row>
        <row r="371">
          <cell r="D371">
            <v>115306017</v>
          </cell>
          <cell r="E371" t="str">
            <v>伯希和/PELLIOT</v>
          </cell>
          <cell r="F371" t="str">
            <v>服装-外套-软壳衣</v>
          </cell>
          <cell r="G371" t="str">
            <v>一品多商</v>
          </cell>
          <cell r="H371" t="str">
            <v>品牌直发</v>
          </cell>
          <cell r="I371">
            <v>0</v>
          </cell>
        </row>
        <row r="372">
          <cell r="D372">
            <v>125306018</v>
          </cell>
          <cell r="E372" t="str">
            <v>伯希和/PELLIOT</v>
          </cell>
          <cell r="F372" t="str">
            <v>女装-外套-软壳衣</v>
          </cell>
          <cell r="G372" t="str">
            <v>一品多商</v>
          </cell>
          <cell r="H372" t="str">
            <v>品牌直发</v>
          </cell>
          <cell r="I372">
            <v>0</v>
          </cell>
        </row>
        <row r="373">
          <cell r="D373">
            <v>105101023</v>
          </cell>
          <cell r="E373" t="str">
            <v>伯希和/PELLIOT</v>
          </cell>
          <cell r="F373" t="str">
            <v>服装-外套-冲锋衣</v>
          </cell>
          <cell r="G373" t="str">
            <v>一品多商</v>
          </cell>
          <cell r="H373" t="str">
            <v>品牌直发</v>
          </cell>
          <cell r="I373">
            <v>0</v>
          </cell>
        </row>
        <row r="374">
          <cell r="D374">
            <v>105301083</v>
          </cell>
          <cell r="E374" t="str">
            <v>伯希和/PELLIOT</v>
          </cell>
          <cell r="F374" t="str">
            <v>服装-外套-冲锋衣</v>
          </cell>
          <cell r="G374" t="str">
            <v>一品多商</v>
          </cell>
          <cell r="H374" t="str">
            <v>品牌直发</v>
          </cell>
          <cell r="I374">
            <v>0</v>
          </cell>
        </row>
        <row r="375">
          <cell r="D375">
            <v>105301051</v>
          </cell>
          <cell r="E375" t="str">
            <v>伯希和/PELLIOT</v>
          </cell>
          <cell r="F375" t="str">
            <v>服装-外套-冲锋衣</v>
          </cell>
          <cell r="G375" t="str">
            <v>一品多商</v>
          </cell>
          <cell r="H375" t="str">
            <v>普通现货</v>
          </cell>
          <cell r="I375">
            <v>0</v>
          </cell>
        </row>
        <row r="376">
          <cell r="D376">
            <v>125302004</v>
          </cell>
          <cell r="E376" t="str">
            <v>伯希和/PELLIOT</v>
          </cell>
          <cell r="F376" t="str">
            <v>女装-长裤-冲锋裤</v>
          </cell>
          <cell r="G376" t="str">
            <v>一品多商</v>
          </cell>
          <cell r="H376" t="str">
            <v>品牌直发</v>
          </cell>
          <cell r="I376">
            <v>0</v>
          </cell>
        </row>
        <row r="377">
          <cell r="D377">
            <v>115302003</v>
          </cell>
          <cell r="E377" t="str">
            <v>伯希和/PELLIOT</v>
          </cell>
          <cell r="F377" t="str">
            <v>服装-长裤-冲锋裤</v>
          </cell>
          <cell r="G377" t="str">
            <v>一品多商</v>
          </cell>
          <cell r="H377" t="str">
            <v>品牌直发</v>
          </cell>
          <cell r="I377">
            <v>0</v>
          </cell>
        </row>
        <row r="378">
          <cell r="D378">
            <v>125302008</v>
          </cell>
          <cell r="E378" t="str">
            <v>伯希和/PELLIOT</v>
          </cell>
          <cell r="F378" t="str">
            <v>女装-长裤-冲锋裤</v>
          </cell>
          <cell r="G378" t="str">
            <v>一品多商</v>
          </cell>
          <cell r="H378" t="str">
            <v>品牌直发</v>
          </cell>
          <cell r="I378">
            <v>0</v>
          </cell>
        </row>
        <row r="379">
          <cell r="D379">
            <v>115302007</v>
          </cell>
          <cell r="E379" t="str">
            <v>伯希和/PELLIOT</v>
          </cell>
          <cell r="F379" t="str">
            <v>服装-长裤-冲锋裤</v>
          </cell>
          <cell r="G379" t="str">
            <v>一品多商</v>
          </cell>
          <cell r="H379" t="str">
            <v>品牌直发</v>
          </cell>
          <cell r="I379">
            <v>0</v>
          </cell>
        </row>
        <row r="380">
          <cell r="D380">
            <v>115316032</v>
          </cell>
          <cell r="E380" t="str">
            <v>伯希和/PELLIOT</v>
          </cell>
          <cell r="F380" t="str">
            <v>服装-上衣-T恤</v>
          </cell>
          <cell r="G380" t="str">
            <v>一品多商</v>
          </cell>
          <cell r="H380" t="str">
            <v>品牌直发</v>
          </cell>
          <cell r="I380">
            <v>0</v>
          </cell>
        </row>
        <row r="381">
          <cell r="D381" t="str">
            <v>125301055-新加色</v>
          </cell>
          <cell r="E381" t="str">
            <v>伯希和/PELLIOT</v>
          </cell>
          <cell r="F381" t="str">
            <v>女装-外套-冲锋衣</v>
          </cell>
          <cell r="G381" t="str">
            <v>一品多商</v>
          </cell>
          <cell r="H381" t="str">
            <v>品牌直发</v>
          </cell>
          <cell r="I381">
            <v>0</v>
          </cell>
        </row>
        <row r="382">
          <cell r="D382" t="str">
            <v>115301054-新加色</v>
          </cell>
          <cell r="E382" t="str">
            <v>伯希和/PELLIOT</v>
          </cell>
          <cell r="F382" t="str">
            <v>服装-外套-冲锋衣</v>
          </cell>
          <cell r="G382" t="str">
            <v>一品多商</v>
          </cell>
          <cell r="H382" t="str">
            <v>品牌直发</v>
          </cell>
          <cell r="I382">
            <v>0</v>
          </cell>
        </row>
        <row r="383">
          <cell r="D383" t="str">
            <v>12040106-新加色</v>
          </cell>
          <cell r="E383" t="str">
            <v>伯希和/PELLIOT</v>
          </cell>
          <cell r="F383" t="str">
            <v>女装-外套-冲锋衣</v>
          </cell>
          <cell r="G383" t="str">
            <v>一品一商</v>
          </cell>
          <cell r="H383" t="str">
            <v>品牌直发</v>
          </cell>
          <cell r="I383">
            <v>0</v>
          </cell>
        </row>
        <row r="384">
          <cell r="D384" t="str">
            <v>11040105-新加色</v>
          </cell>
          <cell r="E384" t="str">
            <v>伯希和/PELLIOT</v>
          </cell>
          <cell r="F384" t="str">
            <v>服装-外套-冲锋衣</v>
          </cell>
          <cell r="G384" t="str">
            <v>一品一商</v>
          </cell>
          <cell r="H384" t="str">
            <v>品牌直发</v>
          </cell>
          <cell r="I384">
            <v>0</v>
          </cell>
        </row>
        <row r="385">
          <cell r="D385">
            <v>125220002</v>
          </cell>
          <cell r="E385" t="str">
            <v>伯希和/PELLIOT</v>
          </cell>
          <cell r="F385" t="str">
            <v>鞋-凉鞋/拖鞋-溯溪鞋</v>
          </cell>
          <cell r="G385" t="str">
            <v>一品一商</v>
          </cell>
          <cell r="H385" t="str">
            <v>品牌直发</v>
          </cell>
          <cell r="I385">
            <v>0</v>
          </cell>
        </row>
        <row r="386">
          <cell r="D386">
            <v>115106014</v>
          </cell>
          <cell r="E386" t="str">
            <v>伯希和/PELLIOT</v>
          </cell>
          <cell r="F386" t="str">
            <v>服装-外套-软壳衣</v>
          </cell>
          <cell r="G386" t="str">
            <v>一品多商</v>
          </cell>
          <cell r="H386" t="str">
            <v>品牌直发</v>
          </cell>
          <cell r="I386">
            <v>0</v>
          </cell>
        </row>
        <row r="387">
          <cell r="D387">
            <v>135101016</v>
          </cell>
          <cell r="E387" t="str">
            <v>伯希和/PELLIOT</v>
          </cell>
          <cell r="F387" t="str">
            <v>童装-儿童上装-冲锋衣</v>
          </cell>
          <cell r="G387" t="str">
            <v>一品一商</v>
          </cell>
          <cell r="H387" t="str">
            <v>品牌直发</v>
          </cell>
          <cell r="I387">
            <v>0</v>
          </cell>
        </row>
        <row r="388">
          <cell r="D388">
            <v>125251019</v>
          </cell>
          <cell r="E388" t="str">
            <v>伯希和/PELLIOT</v>
          </cell>
          <cell r="F388" t="str">
            <v>女装-外套-夹克</v>
          </cell>
          <cell r="G388" t="str">
            <v>一品多商</v>
          </cell>
          <cell r="H388" t="str">
            <v>品牌直发</v>
          </cell>
          <cell r="I388">
            <v>0</v>
          </cell>
        </row>
        <row r="389">
          <cell r="D389">
            <v>115251018</v>
          </cell>
          <cell r="E389" t="str">
            <v>伯希和/PELLIOT</v>
          </cell>
          <cell r="F389" t="str">
            <v>服装-外套-夹克</v>
          </cell>
          <cell r="G389" t="str">
            <v>一品多商</v>
          </cell>
          <cell r="H389" t="str">
            <v>品牌直发</v>
          </cell>
          <cell r="I389">
            <v>0</v>
          </cell>
        </row>
        <row r="390">
          <cell r="D390">
            <v>105101076</v>
          </cell>
          <cell r="E390" t="str">
            <v>伯希和/PELLIOT</v>
          </cell>
          <cell r="F390" t="str">
            <v>服装-外套-冲锋衣</v>
          </cell>
          <cell r="G390" t="str">
            <v>一品多商</v>
          </cell>
          <cell r="H390" t="str">
            <v>品牌直发</v>
          </cell>
          <cell r="I390">
            <v>0</v>
          </cell>
        </row>
        <row r="391">
          <cell r="D391">
            <v>135178022</v>
          </cell>
          <cell r="E391" t="str">
            <v>伯希和/PELLIOT</v>
          </cell>
          <cell r="F391" t="str">
            <v>童装-儿童下装-儿童运动裤</v>
          </cell>
          <cell r="G391" t="str">
            <v>一品一商</v>
          </cell>
          <cell r="H391" t="str">
            <v>品牌直发</v>
          </cell>
          <cell r="I391">
            <v>0</v>
          </cell>
        </row>
        <row r="392">
          <cell r="D392">
            <v>115119029</v>
          </cell>
          <cell r="E392" t="str">
            <v>伯希和/PELLIOT</v>
          </cell>
          <cell r="F392" t="str">
            <v>鞋-运动鞋-越野跑鞋</v>
          </cell>
          <cell r="G392" t="str">
            <v>一品多商</v>
          </cell>
          <cell r="H392" t="str">
            <v>品牌直发</v>
          </cell>
          <cell r="I392">
            <v>0</v>
          </cell>
        </row>
        <row r="393">
          <cell r="D393">
            <v>125119030</v>
          </cell>
          <cell r="E393" t="str">
            <v>伯希和/PELLIOT</v>
          </cell>
          <cell r="F393" t="str">
            <v>鞋-运动鞋-越野跑鞋</v>
          </cell>
          <cell r="G393" t="str">
            <v>一品多商</v>
          </cell>
          <cell r="H393" t="str">
            <v>品牌直发</v>
          </cell>
          <cell r="I393">
            <v>0</v>
          </cell>
        </row>
        <row r="394">
          <cell r="D394">
            <v>1124301070</v>
          </cell>
          <cell r="E394" t="str">
            <v>伯希和/PELLIOT</v>
          </cell>
          <cell r="F394" t="str">
            <v>服装-外套-冲锋衣</v>
          </cell>
          <cell r="G394" t="str">
            <v>一品多商</v>
          </cell>
          <cell r="H394" t="str">
            <v>品牌直发</v>
          </cell>
          <cell r="I394">
            <v>0</v>
          </cell>
        </row>
        <row r="395">
          <cell r="D395">
            <v>125181002</v>
          </cell>
          <cell r="E395" t="str">
            <v>伯希和/PELLIOT</v>
          </cell>
          <cell r="F395" t="str">
            <v>鞋-运动鞋-登山鞋/徒步鞋</v>
          </cell>
          <cell r="G395" t="str">
            <v>一品多商</v>
          </cell>
          <cell r="H395" t="str">
            <v>品牌直发</v>
          </cell>
          <cell r="I395">
            <v>0</v>
          </cell>
        </row>
        <row r="396">
          <cell r="D396">
            <v>115215009</v>
          </cell>
          <cell r="E396" t="str">
            <v>伯希和/PELLIOT</v>
          </cell>
          <cell r="F396" t="str">
            <v>服装-上衣-Polo衫</v>
          </cell>
          <cell r="G396" t="str">
            <v>一品一商</v>
          </cell>
          <cell r="H396" t="str">
            <v>品牌直发</v>
          </cell>
          <cell r="I396">
            <v>0</v>
          </cell>
        </row>
        <row r="397">
          <cell r="D397">
            <v>115122023</v>
          </cell>
          <cell r="E397" t="str">
            <v>伯希和/PELLIOT</v>
          </cell>
          <cell r="F397" t="str">
            <v>鞋-运动鞋-登山鞋/徒步鞋</v>
          </cell>
          <cell r="G397" t="str">
            <v>一品一商</v>
          </cell>
          <cell r="H397" t="str">
            <v>品牌直发</v>
          </cell>
          <cell r="I397">
            <v>0</v>
          </cell>
        </row>
        <row r="398">
          <cell r="D398">
            <v>125122024</v>
          </cell>
          <cell r="E398" t="str">
            <v>伯希和/PELLIOT</v>
          </cell>
          <cell r="F398" t="str">
            <v>鞋-运动鞋-登山鞋/徒步鞋</v>
          </cell>
          <cell r="G398" t="str">
            <v>一品一商</v>
          </cell>
          <cell r="H398" t="str">
            <v>品牌直发</v>
          </cell>
          <cell r="I398">
            <v>0</v>
          </cell>
        </row>
        <row r="399">
          <cell r="D399">
            <v>125215048</v>
          </cell>
          <cell r="E399" t="str">
            <v>伯希和/PELLIOT</v>
          </cell>
          <cell r="F399" t="str">
            <v>女装-户外运动服-速干T恤</v>
          </cell>
          <cell r="G399" t="str">
            <v>一品一商</v>
          </cell>
          <cell r="H399" t="str">
            <v>品牌直发</v>
          </cell>
          <cell r="I399">
            <v>0</v>
          </cell>
        </row>
        <row r="400">
          <cell r="D400">
            <v>135215035</v>
          </cell>
          <cell r="E400" t="str">
            <v>伯希和/PELLIOT</v>
          </cell>
          <cell r="F400" t="str">
            <v>童装-儿童上装-T恤</v>
          </cell>
          <cell r="G400" t="str">
            <v>一品一商</v>
          </cell>
          <cell r="H400" t="str">
            <v>品牌直发</v>
          </cell>
          <cell r="I400">
            <v>0</v>
          </cell>
        </row>
        <row r="401">
          <cell r="D401">
            <v>125214019</v>
          </cell>
          <cell r="E401" t="str">
            <v>伯希和/PELLIOT</v>
          </cell>
          <cell r="F401" t="str">
            <v>女装-长裙-休闲长裙</v>
          </cell>
          <cell r="G401" t="str">
            <v>一品多商</v>
          </cell>
          <cell r="H401" t="str">
            <v>品牌直发</v>
          </cell>
          <cell r="I401">
            <v>0</v>
          </cell>
        </row>
        <row r="402">
          <cell r="D402">
            <v>135215036</v>
          </cell>
          <cell r="E402" t="str">
            <v>伯希和/PELLIOT</v>
          </cell>
          <cell r="F402" t="str">
            <v>童装-儿童上装-T恤</v>
          </cell>
          <cell r="G402" t="str">
            <v>一品一商</v>
          </cell>
          <cell r="H402" t="str">
            <v>品牌直发</v>
          </cell>
          <cell r="I402">
            <v>0</v>
          </cell>
        </row>
        <row r="403">
          <cell r="D403">
            <v>115215005</v>
          </cell>
          <cell r="E403" t="str">
            <v>伯希和/PELLIOT</v>
          </cell>
          <cell r="F403" t="str">
            <v>服装-户外运动服-速干T恤</v>
          </cell>
          <cell r="G403" t="str">
            <v>一品多商</v>
          </cell>
          <cell r="H403" t="str">
            <v>品牌直发</v>
          </cell>
          <cell r="I403">
            <v>0</v>
          </cell>
        </row>
        <row r="404">
          <cell r="D404">
            <v>125119028</v>
          </cell>
          <cell r="E404" t="str">
            <v>伯希和/PELLIOT</v>
          </cell>
          <cell r="F404" t="str">
            <v>鞋-运动鞋-登山鞋/徒步鞋</v>
          </cell>
          <cell r="G404" t="str">
            <v>一品一商</v>
          </cell>
          <cell r="H404" t="str">
            <v>品牌直发</v>
          </cell>
          <cell r="I404">
            <v>0</v>
          </cell>
        </row>
        <row r="405">
          <cell r="D405">
            <v>115215037</v>
          </cell>
          <cell r="E405" t="str">
            <v>伯希和/PELLIOT</v>
          </cell>
          <cell r="F405" t="str">
            <v>服装-上衣-Polo衫</v>
          </cell>
          <cell r="G405" t="str">
            <v>一品一商</v>
          </cell>
          <cell r="H405" t="str">
            <v>品牌直发</v>
          </cell>
          <cell r="I405">
            <v>0</v>
          </cell>
        </row>
        <row r="406">
          <cell r="D406">
            <v>125215046</v>
          </cell>
          <cell r="E406" t="str">
            <v>伯希和/PELLIOT</v>
          </cell>
          <cell r="F406" t="str">
            <v>女装-上衣-T恤</v>
          </cell>
          <cell r="G406" t="str">
            <v>一品一商</v>
          </cell>
          <cell r="H406" t="str">
            <v>品牌直发</v>
          </cell>
          <cell r="I406">
            <v>0</v>
          </cell>
        </row>
        <row r="407">
          <cell r="D407">
            <v>115215030</v>
          </cell>
          <cell r="E407" t="str">
            <v>伯希和/PELLIOT</v>
          </cell>
          <cell r="F407" t="str">
            <v>服装-上衣-T恤</v>
          </cell>
          <cell r="G407" t="str">
            <v>一品一商</v>
          </cell>
          <cell r="H407" t="str">
            <v>品牌直发</v>
          </cell>
          <cell r="I407">
            <v>0</v>
          </cell>
        </row>
        <row r="408">
          <cell r="D408">
            <v>115119027</v>
          </cell>
          <cell r="E408" t="str">
            <v>伯希和/PELLIOT</v>
          </cell>
          <cell r="F408" t="str">
            <v>鞋-运动鞋-越野跑鞋</v>
          </cell>
          <cell r="G408" t="str">
            <v>一品多商</v>
          </cell>
          <cell r="H408" t="str">
            <v>品牌直发</v>
          </cell>
          <cell r="I408">
            <v>0</v>
          </cell>
        </row>
        <row r="409">
          <cell r="D409">
            <v>105101011</v>
          </cell>
          <cell r="E409" t="str">
            <v>伯希和/PELLIOT</v>
          </cell>
          <cell r="F409" t="str">
            <v>服装-外套-冲锋衣</v>
          </cell>
          <cell r="G409" t="str">
            <v>一品多商</v>
          </cell>
          <cell r="H409" t="str">
            <v>品牌直发</v>
          </cell>
          <cell r="I409">
            <v>0</v>
          </cell>
        </row>
        <row r="410">
          <cell r="D410">
            <v>125215038</v>
          </cell>
          <cell r="E410" t="str">
            <v>伯希和/PELLIOT</v>
          </cell>
          <cell r="F410" t="str">
            <v>女装-上衣-Polo衫</v>
          </cell>
          <cell r="G410" t="str">
            <v>一品一商</v>
          </cell>
          <cell r="H410" t="str">
            <v>品牌直发</v>
          </cell>
          <cell r="I410">
            <v>0</v>
          </cell>
        </row>
        <row r="411">
          <cell r="D411">
            <v>115215021</v>
          </cell>
          <cell r="E411" t="str">
            <v>伯希和/PELLIOT</v>
          </cell>
          <cell r="F411" t="str">
            <v>服装-上衣-T恤</v>
          </cell>
          <cell r="G411" t="str">
            <v>一品一商</v>
          </cell>
          <cell r="H411" t="str">
            <v>品牌直发</v>
          </cell>
          <cell r="I411">
            <v>0</v>
          </cell>
        </row>
        <row r="412">
          <cell r="D412">
            <v>125215022</v>
          </cell>
          <cell r="E412" t="str">
            <v>伯希和/PELLIOT</v>
          </cell>
          <cell r="F412" t="str">
            <v>女装-户外运动服-跑步T恤</v>
          </cell>
          <cell r="G412" t="str">
            <v>一品一商</v>
          </cell>
          <cell r="H412" t="str">
            <v>品牌直发</v>
          </cell>
          <cell r="I412">
            <v>0</v>
          </cell>
        </row>
        <row r="413">
          <cell r="D413">
            <v>115212003</v>
          </cell>
          <cell r="E413" t="str">
            <v>伯希和/PELLIOT</v>
          </cell>
          <cell r="F413" t="str">
            <v>服装-外套-防晒服</v>
          </cell>
          <cell r="G413" t="str">
            <v>一品多商</v>
          </cell>
          <cell r="H413" t="str">
            <v>品牌直发</v>
          </cell>
          <cell r="I413">
            <v>0</v>
          </cell>
        </row>
        <row r="414">
          <cell r="D414">
            <v>105025008</v>
          </cell>
          <cell r="E414" t="str">
            <v>伯希和/PELLIOT</v>
          </cell>
          <cell r="F414" t="str">
            <v>箱包-包袋-户外包</v>
          </cell>
          <cell r="G414" t="str">
            <v>一品多商</v>
          </cell>
          <cell r="H414" t="str">
            <v>品牌直发</v>
          </cell>
          <cell r="I414">
            <v>0</v>
          </cell>
        </row>
        <row r="415">
          <cell r="D415">
            <v>115215039</v>
          </cell>
          <cell r="E415" t="str">
            <v>伯希和/PELLIOT</v>
          </cell>
          <cell r="F415" t="str">
            <v>服装-上衣-Polo衫</v>
          </cell>
          <cell r="G415" t="str">
            <v>一品多商</v>
          </cell>
          <cell r="H415" t="str">
            <v>品牌直发</v>
          </cell>
          <cell r="I415">
            <v>0</v>
          </cell>
        </row>
        <row r="416">
          <cell r="D416">
            <v>115278007</v>
          </cell>
          <cell r="E416" t="str">
            <v>伯希和/PELLIOT</v>
          </cell>
          <cell r="F416" t="str">
            <v>服装-长裤-休闲裤</v>
          </cell>
          <cell r="G416" t="str">
            <v>一品一商</v>
          </cell>
          <cell r="H416" t="str">
            <v>品牌直发</v>
          </cell>
          <cell r="I416">
            <v>0</v>
          </cell>
        </row>
        <row r="417">
          <cell r="D417">
            <v>115212005</v>
          </cell>
          <cell r="E417" t="str">
            <v>伯希和/PELLIOT</v>
          </cell>
          <cell r="F417" t="str">
            <v>服装-外套-防晒服</v>
          </cell>
          <cell r="G417" t="str">
            <v>一品多商</v>
          </cell>
          <cell r="H417" t="str">
            <v>品牌直发</v>
          </cell>
          <cell r="I417">
            <v>0</v>
          </cell>
        </row>
        <row r="418">
          <cell r="D418" t="str">
            <v>PE125215026</v>
          </cell>
          <cell r="E418" t="str">
            <v>伯希和/PELLIOT</v>
          </cell>
          <cell r="F418" t="str">
            <v>女装-户外运动服-速干T恤</v>
          </cell>
          <cell r="G418" t="str">
            <v>一品一商</v>
          </cell>
          <cell r="H418" t="str">
            <v>品牌直发</v>
          </cell>
          <cell r="I418">
            <v>0</v>
          </cell>
        </row>
        <row r="419">
          <cell r="D419">
            <v>115151005</v>
          </cell>
          <cell r="E419" t="str">
            <v>伯希和/PELLIOT</v>
          </cell>
          <cell r="F419" t="str">
            <v>服装-外套-夹克</v>
          </cell>
          <cell r="G419" t="str">
            <v>一品一商</v>
          </cell>
          <cell r="H419" t="str">
            <v>品牌直发</v>
          </cell>
          <cell r="I419">
            <v>0</v>
          </cell>
        </row>
        <row r="420">
          <cell r="D420">
            <v>115114001</v>
          </cell>
          <cell r="E420" t="str">
            <v>伯希和/PELLIOT</v>
          </cell>
          <cell r="F420" t="str">
            <v>服装-户外运动服-速干裤</v>
          </cell>
          <cell r="G420" t="str">
            <v>一品一商</v>
          </cell>
          <cell r="H420" t="str">
            <v>品牌直发</v>
          </cell>
          <cell r="I420">
            <v>0</v>
          </cell>
        </row>
        <row r="421">
          <cell r="D421">
            <v>125106002</v>
          </cell>
          <cell r="E421" t="str">
            <v>伯希和/PELLIOT</v>
          </cell>
          <cell r="F421" t="str">
            <v>女装-外套-软壳衣</v>
          </cell>
          <cell r="G421" t="str">
            <v>一品一商</v>
          </cell>
          <cell r="H421" t="str">
            <v>品牌直发</v>
          </cell>
          <cell r="I421">
            <v>0</v>
          </cell>
        </row>
        <row r="422">
          <cell r="D422" t="str">
            <v>PE125107004</v>
          </cell>
          <cell r="E422" t="str">
            <v>伯希和/PELLIOT</v>
          </cell>
          <cell r="F422" t="str">
            <v>女装-长裤-软壳裤</v>
          </cell>
          <cell r="G422" t="str">
            <v>一品多商</v>
          </cell>
          <cell r="H422" t="str">
            <v>品牌直发</v>
          </cell>
          <cell r="I422">
            <v>0</v>
          </cell>
        </row>
        <row r="423">
          <cell r="D423">
            <v>115107001</v>
          </cell>
          <cell r="E423" t="str">
            <v>伯希和/PELLIOT</v>
          </cell>
          <cell r="F423" t="str">
            <v>服装-长裤-软壳裤</v>
          </cell>
          <cell r="G423" t="str">
            <v>一品多商</v>
          </cell>
          <cell r="H423" t="str">
            <v>品牌直发</v>
          </cell>
          <cell r="I423">
            <v>0</v>
          </cell>
        </row>
        <row r="424">
          <cell r="D424">
            <v>115106003</v>
          </cell>
          <cell r="E424" t="str">
            <v>伯希和/PELLIOT</v>
          </cell>
          <cell r="F424" t="str">
            <v>服装-外套-软壳衣</v>
          </cell>
          <cell r="G424" t="str">
            <v>一品多商</v>
          </cell>
          <cell r="H424" t="str">
            <v>品牌直发</v>
          </cell>
          <cell r="I424">
            <v>0</v>
          </cell>
        </row>
        <row r="425">
          <cell r="D425">
            <v>125119036</v>
          </cell>
          <cell r="E425" t="str">
            <v>伯希和/PELLIOT</v>
          </cell>
          <cell r="F425" t="str">
            <v>鞋-运动鞋-登山鞋/徒步鞋</v>
          </cell>
          <cell r="G425" t="str">
            <v>一品多商</v>
          </cell>
          <cell r="H425" t="str">
            <v>品牌直发</v>
          </cell>
          <cell r="I425">
            <v>0</v>
          </cell>
        </row>
        <row r="426">
          <cell r="D426" t="str">
            <v>PE125101014</v>
          </cell>
          <cell r="E426" t="str">
            <v>伯希和/PELLIOT</v>
          </cell>
          <cell r="F426" t="str">
            <v>女装-外套-冲锋衣</v>
          </cell>
          <cell r="G426" t="str">
            <v>一品多商</v>
          </cell>
          <cell r="H426" t="str">
            <v>品牌直发</v>
          </cell>
          <cell r="I426">
            <v>0</v>
          </cell>
        </row>
        <row r="427">
          <cell r="D427">
            <v>115101013</v>
          </cell>
          <cell r="E427" t="str">
            <v>伯希和/PELLIOT</v>
          </cell>
          <cell r="F427" t="str">
            <v>服装-外套-冲锋衣</v>
          </cell>
          <cell r="G427" t="str">
            <v>一品多商</v>
          </cell>
          <cell r="H427" t="str">
            <v>品牌直发</v>
          </cell>
          <cell r="I427">
            <v>0</v>
          </cell>
        </row>
        <row r="428">
          <cell r="D428">
            <v>115101001</v>
          </cell>
          <cell r="E428" t="str">
            <v>伯希和/PELLIOT</v>
          </cell>
          <cell r="F428" t="str">
            <v>服装-外套-冲锋衣</v>
          </cell>
          <cell r="G428" t="str">
            <v>一品多商</v>
          </cell>
          <cell r="H428" t="str">
            <v>品牌直发</v>
          </cell>
          <cell r="I428">
            <v>0</v>
          </cell>
        </row>
        <row r="429">
          <cell r="D429">
            <v>125212014</v>
          </cell>
          <cell r="E429" t="str">
            <v>伯希和/PELLIOT</v>
          </cell>
          <cell r="F429" t="str">
            <v>女装-外套-防晒服</v>
          </cell>
          <cell r="G429" t="str">
            <v>一品一商</v>
          </cell>
          <cell r="H429" t="str">
            <v>品牌直发</v>
          </cell>
          <cell r="I429">
            <v>0</v>
          </cell>
        </row>
        <row r="430">
          <cell r="D430" t="str">
            <v>125102002-新</v>
          </cell>
          <cell r="E430" t="str">
            <v>伯希和/PELLIOT</v>
          </cell>
          <cell r="F430" t="str">
            <v>女装-长裤-冲锋裤</v>
          </cell>
          <cell r="G430" t="str">
            <v>一品一商</v>
          </cell>
          <cell r="H430" t="str">
            <v>品牌直发</v>
          </cell>
          <cell r="I430">
            <v>0</v>
          </cell>
        </row>
        <row r="431">
          <cell r="D431">
            <v>115212013</v>
          </cell>
          <cell r="E431" t="str">
            <v>伯希和/PELLIOT</v>
          </cell>
          <cell r="F431" t="str">
            <v>服装-外套-防晒服</v>
          </cell>
          <cell r="G431" t="str">
            <v>一品一商</v>
          </cell>
          <cell r="H431" t="str">
            <v>品牌直发</v>
          </cell>
          <cell r="I431">
            <v>0</v>
          </cell>
        </row>
        <row r="432">
          <cell r="D432">
            <v>105112021</v>
          </cell>
          <cell r="E432" t="str">
            <v>伯希和/PELLIOT</v>
          </cell>
          <cell r="F432" t="str">
            <v>服装-外套-防晒服</v>
          </cell>
          <cell r="G432" t="str">
            <v>一品多商</v>
          </cell>
          <cell r="H432" t="str">
            <v>品牌直发</v>
          </cell>
          <cell r="I432">
            <v>0</v>
          </cell>
        </row>
        <row r="433">
          <cell r="D433">
            <v>1105212020</v>
          </cell>
          <cell r="E433" t="str">
            <v>伯希和/PELLIOT</v>
          </cell>
          <cell r="F433" t="str">
            <v>服装-外套-防晒服</v>
          </cell>
          <cell r="G433" t="str">
            <v>一品一商</v>
          </cell>
          <cell r="H433" t="str">
            <v>品牌直发</v>
          </cell>
          <cell r="I433">
            <v>0</v>
          </cell>
        </row>
        <row r="434">
          <cell r="D434">
            <v>125301055</v>
          </cell>
          <cell r="E434" t="str">
            <v>伯希和/PELLIOT</v>
          </cell>
          <cell r="F434" t="str">
            <v>女装-外套-冲锋衣</v>
          </cell>
          <cell r="G434" t="str">
            <v>一品多商</v>
          </cell>
          <cell r="H434" t="str">
            <v>品牌直发</v>
          </cell>
          <cell r="I434">
            <v>0</v>
          </cell>
        </row>
        <row r="435">
          <cell r="D435">
            <v>115101019</v>
          </cell>
          <cell r="E435" t="str">
            <v>伯希和/PELLIOT</v>
          </cell>
          <cell r="F435" t="str">
            <v>服装-外套-冲锋衣</v>
          </cell>
          <cell r="G435" t="str">
            <v>一品多商</v>
          </cell>
          <cell r="H435" t="str">
            <v>品牌直发</v>
          </cell>
          <cell r="I435">
            <v>0</v>
          </cell>
        </row>
        <row r="436">
          <cell r="D436">
            <v>135116010</v>
          </cell>
          <cell r="E436" t="str">
            <v>伯希和/PELLIOT</v>
          </cell>
          <cell r="F436" t="str">
            <v>童装-儿童上装-T恤</v>
          </cell>
          <cell r="G436" t="str">
            <v>一品多商</v>
          </cell>
          <cell r="H436" t="str">
            <v>品牌直发</v>
          </cell>
          <cell r="I436">
            <v>0</v>
          </cell>
        </row>
        <row r="437">
          <cell r="D437" t="str">
            <v>PE115106001</v>
          </cell>
          <cell r="E437" t="str">
            <v>伯希和/PELLIOT</v>
          </cell>
          <cell r="F437" t="str">
            <v>服装-外套-软壳衣</v>
          </cell>
          <cell r="G437" t="str">
            <v>一品多商</v>
          </cell>
          <cell r="H437" t="str">
            <v>品牌直发</v>
          </cell>
          <cell r="I437">
            <v>0</v>
          </cell>
        </row>
        <row r="438">
          <cell r="D438" t="str">
            <v>PE125119032</v>
          </cell>
          <cell r="E438" t="str">
            <v>伯希和/PELLIOT</v>
          </cell>
          <cell r="F438" t="str">
            <v>鞋-运动鞋-登山鞋/徒步鞋</v>
          </cell>
          <cell r="G438" t="str">
            <v>一品多商</v>
          </cell>
          <cell r="H438" t="str">
            <v>品牌直发</v>
          </cell>
          <cell r="I438">
            <v>0</v>
          </cell>
        </row>
        <row r="439">
          <cell r="D439" t="str">
            <v>PE125119026</v>
          </cell>
          <cell r="E439" t="str">
            <v>伯希和/PELLIOT</v>
          </cell>
          <cell r="F439" t="str">
            <v>鞋-运动鞋-跑步鞋</v>
          </cell>
          <cell r="G439" t="str">
            <v>一品多商</v>
          </cell>
          <cell r="H439" t="str">
            <v>品牌直发</v>
          </cell>
          <cell r="I439">
            <v>0</v>
          </cell>
        </row>
        <row r="440">
          <cell r="D440">
            <v>115119031</v>
          </cell>
          <cell r="E440" t="str">
            <v>伯希和/PELLIOT</v>
          </cell>
          <cell r="F440" t="str">
            <v>鞋-运动鞋-登山鞋/徒步鞋</v>
          </cell>
          <cell r="G440" t="str">
            <v>一品多商</v>
          </cell>
          <cell r="H440" t="str">
            <v>品牌直发</v>
          </cell>
          <cell r="I440">
            <v>0</v>
          </cell>
        </row>
        <row r="441">
          <cell r="D441">
            <v>115101007</v>
          </cell>
          <cell r="E441" t="str">
            <v>伯希和/PELLIOT</v>
          </cell>
          <cell r="F441" t="str">
            <v>服装-外套-冲锋衣</v>
          </cell>
          <cell r="G441" t="str">
            <v>一品多商</v>
          </cell>
          <cell r="H441" t="str">
            <v>品牌直发</v>
          </cell>
          <cell r="I441">
            <v>0</v>
          </cell>
        </row>
        <row r="442">
          <cell r="D442">
            <v>1125107002</v>
          </cell>
          <cell r="E442" t="str">
            <v>伯希和/PELLIOT</v>
          </cell>
          <cell r="F442" t="str">
            <v>女装-长裤-软壳裤</v>
          </cell>
          <cell r="G442" t="str">
            <v>一品一商</v>
          </cell>
          <cell r="H442" t="str">
            <v>品牌直发</v>
          </cell>
          <cell r="I442">
            <v>0</v>
          </cell>
        </row>
        <row r="443">
          <cell r="D443">
            <v>1125116008</v>
          </cell>
          <cell r="E443" t="str">
            <v>伯希和/PELLIOT</v>
          </cell>
          <cell r="F443" t="str">
            <v>女装-户外运动服-跑步T恤</v>
          </cell>
          <cell r="G443" t="str">
            <v>一品一商</v>
          </cell>
          <cell r="H443" t="str">
            <v>品牌直发</v>
          </cell>
          <cell r="I443">
            <v>0</v>
          </cell>
        </row>
        <row r="444">
          <cell r="D444">
            <v>1115116007</v>
          </cell>
          <cell r="E444" t="str">
            <v>伯希和/PELLIOT</v>
          </cell>
          <cell r="F444" t="str">
            <v>服装-上衣-T恤</v>
          </cell>
          <cell r="G444" t="str">
            <v>一品多商</v>
          </cell>
          <cell r="H444" t="str">
            <v>品牌直发</v>
          </cell>
          <cell r="I444">
            <v>0</v>
          </cell>
        </row>
        <row r="445">
          <cell r="D445">
            <v>125151008</v>
          </cell>
          <cell r="E445" t="str">
            <v>伯希和/PELLIOT</v>
          </cell>
          <cell r="F445" t="str">
            <v>女装-外套-夹克</v>
          </cell>
          <cell r="G445" t="str">
            <v>一品一商</v>
          </cell>
          <cell r="H445" t="str">
            <v>品牌直发</v>
          </cell>
          <cell r="I445">
            <v>0</v>
          </cell>
        </row>
        <row r="446">
          <cell r="D446">
            <v>1125178002</v>
          </cell>
          <cell r="E446" t="str">
            <v>伯希和/PELLIOT</v>
          </cell>
          <cell r="F446" t="str">
            <v>女装-长裤-休闲裤</v>
          </cell>
          <cell r="G446" t="str">
            <v>一品一商</v>
          </cell>
          <cell r="H446" t="str">
            <v>品牌直发</v>
          </cell>
          <cell r="I446">
            <v>0</v>
          </cell>
        </row>
        <row r="447">
          <cell r="D447">
            <v>125151010</v>
          </cell>
          <cell r="E447" t="str">
            <v>伯希和/PELLIOT</v>
          </cell>
          <cell r="F447" t="str">
            <v>女装-外套-夹克</v>
          </cell>
          <cell r="G447" t="str">
            <v>一品一商</v>
          </cell>
          <cell r="H447" t="str">
            <v>品牌直发</v>
          </cell>
          <cell r="I447">
            <v>0</v>
          </cell>
        </row>
        <row r="448">
          <cell r="D448">
            <v>115151009</v>
          </cell>
          <cell r="E448" t="str">
            <v>伯希和/PELLIOT</v>
          </cell>
          <cell r="F448" t="str">
            <v>服装-外套-夹克</v>
          </cell>
          <cell r="G448" t="str">
            <v>一品一商</v>
          </cell>
          <cell r="H448" t="str">
            <v>品牌直发</v>
          </cell>
          <cell r="I448">
            <v>0</v>
          </cell>
        </row>
        <row r="449">
          <cell r="D449">
            <v>1125101020</v>
          </cell>
          <cell r="E449" t="str">
            <v>伯希和/PELLIOT</v>
          </cell>
          <cell r="F449" t="str">
            <v>女装-外套-冲锋衣</v>
          </cell>
          <cell r="G449" t="str">
            <v>一品多商</v>
          </cell>
          <cell r="H449" t="str">
            <v>品牌直发</v>
          </cell>
          <cell r="I449">
            <v>0</v>
          </cell>
        </row>
        <row r="450">
          <cell r="D450">
            <v>1125101008</v>
          </cell>
          <cell r="E450" t="str">
            <v>伯希和/PELLIOT</v>
          </cell>
          <cell r="F450" t="str">
            <v>女装-外套-冲锋衣</v>
          </cell>
          <cell r="G450" t="str">
            <v>一品多商</v>
          </cell>
          <cell r="H450" t="str">
            <v>品牌直发</v>
          </cell>
          <cell r="I450">
            <v>0</v>
          </cell>
        </row>
        <row r="451">
          <cell r="D451" t="str">
            <v>PE105151011</v>
          </cell>
          <cell r="E451" t="str">
            <v>伯希和/PELLIOT</v>
          </cell>
          <cell r="F451" t="str">
            <v>服装-外套-夹克</v>
          </cell>
          <cell r="G451" t="str">
            <v>一品一商</v>
          </cell>
          <cell r="H451" t="str">
            <v>品牌直发</v>
          </cell>
          <cell r="I451">
            <v>0</v>
          </cell>
        </row>
        <row r="452">
          <cell r="D452" t="str">
            <v>PE114310205</v>
          </cell>
          <cell r="E452" t="str">
            <v>伯希和/PELLIOT</v>
          </cell>
          <cell r="F452" t="str">
            <v>服装-户外运动服-抓绒衣</v>
          </cell>
          <cell r="G452" t="str">
            <v>一品一商</v>
          </cell>
          <cell r="H452" t="str">
            <v>品牌直发</v>
          </cell>
          <cell r="I452">
            <v>0</v>
          </cell>
        </row>
        <row r="453">
          <cell r="D453" t="str">
            <v>PE124310206</v>
          </cell>
          <cell r="E453" t="str">
            <v>伯希和/PELLIOT</v>
          </cell>
          <cell r="F453" t="str">
            <v>女装-上衣-T恤</v>
          </cell>
          <cell r="G453" t="str">
            <v>一品一商</v>
          </cell>
          <cell r="H453" t="str">
            <v>品牌直发</v>
          </cell>
          <cell r="I453">
            <v>0</v>
          </cell>
        </row>
        <row r="454">
          <cell r="D454">
            <v>124310206</v>
          </cell>
          <cell r="E454" t="str">
            <v>伯希和/PELLIOT</v>
          </cell>
          <cell r="F454" t="str">
            <v>女装-户外运动服-抓绒衣</v>
          </cell>
          <cell r="G454" t="str">
            <v>一品一商</v>
          </cell>
          <cell r="H454" t="str">
            <v>品牌直发</v>
          </cell>
          <cell r="I454">
            <v>0</v>
          </cell>
        </row>
        <row r="455">
          <cell r="D455">
            <v>114310205</v>
          </cell>
          <cell r="E455" t="str">
            <v>伯希和/PELLIOT</v>
          </cell>
          <cell r="F455" t="str">
            <v>内衣-内衣裤-保暖上装</v>
          </cell>
          <cell r="G455" t="str">
            <v>一品多商</v>
          </cell>
          <cell r="H455" t="str">
            <v>品牌直发</v>
          </cell>
          <cell r="I455">
            <v>0</v>
          </cell>
        </row>
        <row r="456">
          <cell r="D456">
            <v>105025005</v>
          </cell>
          <cell r="E456" t="str">
            <v>伯希和/PELLIOT</v>
          </cell>
          <cell r="F456" t="str">
            <v>箱包-包袋-户外包</v>
          </cell>
          <cell r="G456" t="str">
            <v>一品一商</v>
          </cell>
          <cell r="H456" t="str">
            <v>普通现货</v>
          </cell>
          <cell r="I456">
            <v>0</v>
          </cell>
        </row>
        <row r="457">
          <cell r="D457">
            <v>11340303</v>
          </cell>
          <cell r="E457" t="str">
            <v>伯希和/PELLIOT</v>
          </cell>
          <cell r="F457" t="str">
            <v>服装-外套-棉服</v>
          </cell>
          <cell r="G457" t="str">
            <v>一品多商</v>
          </cell>
          <cell r="H457" t="str">
            <v>品牌直发</v>
          </cell>
          <cell r="I457">
            <v>0</v>
          </cell>
        </row>
        <row r="458">
          <cell r="D458">
            <v>105025003</v>
          </cell>
          <cell r="E458" t="str">
            <v>伯希和/PELLIOT</v>
          </cell>
          <cell r="F458" t="str">
            <v>箱包-包袋-户外包</v>
          </cell>
          <cell r="G458" t="str">
            <v>一品一商</v>
          </cell>
          <cell r="H458" t="str">
            <v>品牌直发</v>
          </cell>
          <cell r="I458">
            <v>0</v>
          </cell>
        </row>
        <row r="459">
          <cell r="D459">
            <v>16123410</v>
          </cell>
          <cell r="E459" t="str">
            <v>伯希和/PELLIOT</v>
          </cell>
          <cell r="F459" t="str">
            <v>流行饰品/眼镜/服配-防晒服配-防晒帽</v>
          </cell>
          <cell r="G459" t="str">
            <v>一品一商</v>
          </cell>
          <cell r="H459" t="str">
            <v>品牌直发</v>
          </cell>
          <cell r="I459">
            <v>0</v>
          </cell>
        </row>
        <row r="460">
          <cell r="D460">
            <v>16223409</v>
          </cell>
          <cell r="E460" t="str">
            <v>伯希和/PELLIOT</v>
          </cell>
          <cell r="F460" t="str">
            <v>流行饰品/眼镜/服配-防晒服配-防晒帽</v>
          </cell>
          <cell r="G460" t="str">
            <v>一品一商</v>
          </cell>
          <cell r="H460" t="str">
            <v>品牌直发</v>
          </cell>
          <cell r="I460">
            <v>0</v>
          </cell>
        </row>
        <row r="461">
          <cell r="D461">
            <v>116206303</v>
          </cell>
          <cell r="E461" t="str">
            <v>伯希和/PELLIOT</v>
          </cell>
          <cell r="F461" t="str">
            <v>流行饰品/眼镜/服配-配饰-其他配饰</v>
          </cell>
          <cell r="G461" t="str">
            <v>一品一商</v>
          </cell>
          <cell r="H461" t="str">
            <v>普通现货</v>
          </cell>
          <cell r="I461">
            <v>0</v>
          </cell>
        </row>
        <row r="462">
          <cell r="D462">
            <v>16123407</v>
          </cell>
          <cell r="E462" t="str">
            <v>伯希和/PELLIOT</v>
          </cell>
          <cell r="F462" t="str">
            <v>流行饰品/眼镜/服配-防晒服配-防晒帽</v>
          </cell>
          <cell r="G462" t="str">
            <v>一品一商</v>
          </cell>
          <cell r="H462" t="str">
            <v>普通现货</v>
          </cell>
          <cell r="I462">
            <v>0</v>
          </cell>
        </row>
        <row r="463">
          <cell r="D463">
            <v>16423417</v>
          </cell>
          <cell r="E463" t="str">
            <v>伯希和/PELLIOT</v>
          </cell>
          <cell r="F463" t="str">
            <v>流行饰品/眼镜/服配-防晒服配-防晒帽</v>
          </cell>
          <cell r="G463" t="str">
            <v>一品一商</v>
          </cell>
          <cell r="H463" t="str">
            <v>品牌直发</v>
          </cell>
          <cell r="I463">
            <v>0</v>
          </cell>
        </row>
        <row r="464">
          <cell r="D464">
            <v>16123409</v>
          </cell>
          <cell r="E464" t="str">
            <v>伯希和/PELLIOT</v>
          </cell>
          <cell r="F464" t="str">
            <v>流行饰品/眼镜/服配-防晒服配-防晒帽</v>
          </cell>
          <cell r="G464" t="str">
            <v>一品一商</v>
          </cell>
          <cell r="H464" t="str">
            <v>品牌直发</v>
          </cell>
          <cell r="I464">
            <v>0</v>
          </cell>
        </row>
        <row r="465">
          <cell r="D465">
            <v>16123403</v>
          </cell>
          <cell r="E465" t="str">
            <v>伯希和/PELLIOT</v>
          </cell>
          <cell r="F465" t="str">
            <v>流行饰品/眼镜/服配-帽子-渔夫帽</v>
          </cell>
          <cell r="G465" t="str">
            <v>一品一商</v>
          </cell>
          <cell r="H465" t="str">
            <v>品牌直发</v>
          </cell>
          <cell r="I465">
            <v>0</v>
          </cell>
        </row>
        <row r="466">
          <cell r="D466">
            <v>16223101</v>
          </cell>
          <cell r="E466" t="str">
            <v>伯希和/PELLIOT</v>
          </cell>
          <cell r="F466" t="str">
            <v>流行饰品/眼镜/服配-防晒服配-防晒手套</v>
          </cell>
          <cell r="G466" t="str">
            <v>一品一商</v>
          </cell>
          <cell r="H466" t="str">
            <v>品牌直发</v>
          </cell>
          <cell r="I466">
            <v>0</v>
          </cell>
        </row>
        <row r="467">
          <cell r="D467">
            <v>16043428</v>
          </cell>
          <cell r="E467" t="str">
            <v>伯希和/PELLIOT</v>
          </cell>
          <cell r="F467" t="str">
            <v>流行饰品/眼镜/服配-帽子-渔夫帽</v>
          </cell>
          <cell r="G467" t="str">
            <v>一品一商</v>
          </cell>
          <cell r="H467" t="str">
            <v>品牌直发</v>
          </cell>
          <cell r="I467">
            <v>0</v>
          </cell>
        </row>
        <row r="468">
          <cell r="D468">
            <v>16423418</v>
          </cell>
          <cell r="E468" t="str">
            <v>伯希和/PELLIOT</v>
          </cell>
          <cell r="F468" t="str">
            <v>流行饰品/眼镜/服配-帽子-鸭舌帽</v>
          </cell>
          <cell r="G468" t="str">
            <v>一品一商</v>
          </cell>
          <cell r="H468" t="str">
            <v>品牌直发</v>
          </cell>
          <cell r="I468">
            <v>0</v>
          </cell>
        </row>
        <row r="469">
          <cell r="D469">
            <v>16143205</v>
          </cell>
          <cell r="E469" t="str">
            <v>伯希和/PELLIOT</v>
          </cell>
          <cell r="F469" t="str">
            <v>流行饰品/眼镜/服配-围巾-围脖</v>
          </cell>
          <cell r="G469" t="str">
            <v>一品一商</v>
          </cell>
          <cell r="H469" t="str">
            <v>品牌直发</v>
          </cell>
          <cell r="I469">
            <v>0</v>
          </cell>
        </row>
        <row r="470">
          <cell r="D470">
            <v>16323402</v>
          </cell>
          <cell r="E470" t="str">
            <v>伯希和/PELLIOT</v>
          </cell>
          <cell r="F470" t="str">
            <v>流行饰品/眼镜/服配-防晒服配-防晒帽</v>
          </cell>
          <cell r="G470" t="str">
            <v>一品一商</v>
          </cell>
          <cell r="H470" t="str">
            <v>品牌直发</v>
          </cell>
          <cell r="I470">
            <v>0</v>
          </cell>
        </row>
        <row r="471">
          <cell r="D471">
            <v>16243103</v>
          </cell>
          <cell r="E471" t="str">
            <v>伯希和/PELLIOT</v>
          </cell>
          <cell r="F471" t="str">
            <v>流行饰品/眼镜/服配-手套-其他手套</v>
          </cell>
          <cell r="G471" t="str">
            <v>一品一商</v>
          </cell>
          <cell r="H471" t="str">
            <v>品牌直发</v>
          </cell>
          <cell r="I471">
            <v>0</v>
          </cell>
        </row>
        <row r="472">
          <cell r="D472">
            <v>16343418</v>
          </cell>
          <cell r="E472" t="str">
            <v>伯希和/PELLIOT</v>
          </cell>
          <cell r="F472" t="str">
            <v>流行饰品/眼镜/服配-帽子-其他帽子</v>
          </cell>
          <cell r="G472" t="str">
            <v>一品一商</v>
          </cell>
          <cell r="H472" t="str">
            <v>品牌直发</v>
          </cell>
          <cell r="I472">
            <v>0</v>
          </cell>
        </row>
        <row r="473">
          <cell r="D473">
            <v>16323204</v>
          </cell>
          <cell r="E473" t="str">
            <v>伯希和/PELLIOT</v>
          </cell>
          <cell r="F473" t="str">
            <v>流行饰品/眼镜/服配-防晒服配-防晒脖套</v>
          </cell>
          <cell r="G473" t="str">
            <v>一品一商</v>
          </cell>
          <cell r="H473" t="str">
            <v>品牌直发</v>
          </cell>
          <cell r="I473">
            <v>0</v>
          </cell>
        </row>
        <row r="474">
          <cell r="D474">
            <v>1124310184</v>
          </cell>
          <cell r="E474" t="str">
            <v>伯希和/PELLIOT</v>
          </cell>
          <cell r="F474" t="str">
            <v>女装-户外运动服-抓绒衣</v>
          </cell>
          <cell r="G474" t="str">
            <v>一品一商</v>
          </cell>
          <cell r="H474" t="str">
            <v>品牌直发</v>
          </cell>
          <cell r="I474">
            <v>0</v>
          </cell>
        </row>
        <row r="475">
          <cell r="D475">
            <v>124401056</v>
          </cell>
          <cell r="E475" t="str">
            <v>伯希和/PELLIOT</v>
          </cell>
          <cell r="F475" t="str">
            <v>服装-外套-冲锋衣</v>
          </cell>
          <cell r="G475" t="str">
            <v>一品一商</v>
          </cell>
          <cell r="H475" t="str">
            <v>品牌直发</v>
          </cell>
          <cell r="I475">
            <v>0</v>
          </cell>
        </row>
        <row r="476">
          <cell r="D476">
            <v>124306142</v>
          </cell>
          <cell r="E476" t="str">
            <v>伯希和/PELLIOT</v>
          </cell>
          <cell r="F476" t="str">
            <v>女装-外套-软壳衣</v>
          </cell>
          <cell r="G476" t="str">
            <v>一品多商</v>
          </cell>
          <cell r="H476" t="str">
            <v>品牌直发</v>
          </cell>
          <cell r="I476">
            <v>0</v>
          </cell>
        </row>
        <row r="477">
          <cell r="D477">
            <v>114408263</v>
          </cell>
          <cell r="E477" t="str">
            <v>伯希和/PELLIOT</v>
          </cell>
          <cell r="F477" t="str">
            <v>服装-外套-羽绒服</v>
          </cell>
          <cell r="G477" t="str">
            <v>一品多商</v>
          </cell>
          <cell r="H477" t="str">
            <v>品牌直发</v>
          </cell>
          <cell r="I477">
            <v>0</v>
          </cell>
        </row>
        <row r="478">
          <cell r="D478">
            <v>114401077</v>
          </cell>
          <cell r="E478" t="str">
            <v>伯希和/PELLIOT</v>
          </cell>
          <cell r="F478" t="str">
            <v>服装-外套-冲锋衣</v>
          </cell>
          <cell r="G478" t="str">
            <v>一品多商</v>
          </cell>
          <cell r="H478" t="str">
            <v>品牌直发</v>
          </cell>
          <cell r="I478">
            <v>0</v>
          </cell>
        </row>
        <row r="479">
          <cell r="D479" t="str">
            <v>PE124423019</v>
          </cell>
          <cell r="E479" t="str">
            <v>伯希和/PELLIOT</v>
          </cell>
          <cell r="F479" t="str">
            <v>鞋-靴子-雪地靴</v>
          </cell>
          <cell r="G479" t="str">
            <v>一品一商</v>
          </cell>
          <cell r="H479" t="str">
            <v>品牌直发</v>
          </cell>
          <cell r="I479">
            <v>0</v>
          </cell>
        </row>
        <row r="480">
          <cell r="D480">
            <v>124310204</v>
          </cell>
          <cell r="E480" t="str">
            <v>伯希和/PELLIOT</v>
          </cell>
          <cell r="F480" t="str">
            <v>女装-户外运动服-抓绒衣</v>
          </cell>
          <cell r="G480" t="str">
            <v>一品一商</v>
          </cell>
          <cell r="H480" t="str">
            <v>品牌直发</v>
          </cell>
          <cell r="I480">
            <v>0</v>
          </cell>
        </row>
        <row r="481">
          <cell r="D481">
            <v>124306144</v>
          </cell>
          <cell r="E481" t="str">
            <v>伯希和/PELLIOT</v>
          </cell>
          <cell r="F481" t="str">
            <v>女装-外套-软壳衣</v>
          </cell>
          <cell r="G481" t="str">
            <v>一品多商</v>
          </cell>
          <cell r="H481" t="str">
            <v>品牌直发</v>
          </cell>
          <cell r="I481">
            <v>0</v>
          </cell>
        </row>
        <row r="482">
          <cell r="D482" t="str">
            <v>PE114377365</v>
          </cell>
          <cell r="E482" t="str">
            <v>伯希和/PELLIOT</v>
          </cell>
          <cell r="F482" t="str">
            <v>服装-健身服-运动长裤</v>
          </cell>
          <cell r="G482" t="str">
            <v>一品多商</v>
          </cell>
          <cell r="H482" t="str">
            <v>品牌直发</v>
          </cell>
          <cell r="I482">
            <v>0</v>
          </cell>
        </row>
        <row r="483">
          <cell r="D483">
            <v>114376411</v>
          </cell>
          <cell r="E483" t="str">
            <v>伯希和/PELLIOT</v>
          </cell>
          <cell r="F483" t="str">
            <v>服装-外套-棉服</v>
          </cell>
          <cell r="G483" t="str">
            <v>一品一商</v>
          </cell>
          <cell r="H483" t="str">
            <v>品牌直发</v>
          </cell>
          <cell r="I483">
            <v>0</v>
          </cell>
        </row>
        <row r="484">
          <cell r="D484" t="str">
            <v>PE124408264</v>
          </cell>
          <cell r="E484" t="str">
            <v>伯希和/PELLIOT</v>
          </cell>
          <cell r="F484" t="str">
            <v>服装-外套-羽绒服</v>
          </cell>
          <cell r="G484" t="str">
            <v>一品多商</v>
          </cell>
          <cell r="H484" t="str">
            <v>品牌直发</v>
          </cell>
          <cell r="I484">
            <v>0</v>
          </cell>
        </row>
        <row r="485">
          <cell r="D485">
            <v>114401061</v>
          </cell>
          <cell r="E485" t="str">
            <v>伯希和/PELLIOT</v>
          </cell>
          <cell r="F485" t="str">
            <v>服装-外套-冲锋衣</v>
          </cell>
          <cell r="G485" t="str">
            <v>一品一商</v>
          </cell>
          <cell r="H485" t="str">
            <v>品牌直发</v>
          </cell>
          <cell r="I485">
            <v>0</v>
          </cell>
        </row>
        <row r="486">
          <cell r="D486">
            <v>114408259</v>
          </cell>
          <cell r="E486" t="str">
            <v>伯希和/PELLIOT</v>
          </cell>
          <cell r="F486" t="str">
            <v>服装-外套-羽绒服</v>
          </cell>
          <cell r="G486" t="str">
            <v>一品多商</v>
          </cell>
          <cell r="H486" t="str">
            <v>品牌直发</v>
          </cell>
          <cell r="I486">
            <v>0</v>
          </cell>
        </row>
        <row r="487">
          <cell r="D487">
            <v>114408257</v>
          </cell>
          <cell r="E487" t="str">
            <v>伯希和/PELLIOT</v>
          </cell>
          <cell r="F487" t="str">
            <v>服装-外套-羽绒服</v>
          </cell>
          <cell r="G487" t="str">
            <v>一品多商</v>
          </cell>
          <cell r="H487" t="str">
            <v>品牌直发</v>
          </cell>
          <cell r="I487">
            <v>0</v>
          </cell>
        </row>
        <row r="488">
          <cell r="D488">
            <v>124301066</v>
          </cell>
          <cell r="E488" t="str">
            <v>伯希和/PELLIOT</v>
          </cell>
          <cell r="F488" t="str">
            <v>女装-外套-冲锋衣</v>
          </cell>
          <cell r="G488" t="str">
            <v>一品一商</v>
          </cell>
          <cell r="H488" t="str">
            <v>品牌直发</v>
          </cell>
          <cell r="I488">
            <v>0</v>
          </cell>
        </row>
        <row r="489">
          <cell r="D489">
            <v>124408254</v>
          </cell>
          <cell r="E489" t="str">
            <v>伯希和/PELLIOT</v>
          </cell>
          <cell r="F489" t="str">
            <v>服装-外套-羽绒服</v>
          </cell>
          <cell r="G489" t="str">
            <v>一品多商</v>
          </cell>
          <cell r="H489" t="str">
            <v>品牌直发</v>
          </cell>
          <cell r="I489">
            <v>0</v>
          </cell>
        </row>
        <row r="490">
          <cell r="D490">
            <v>124403128</v>
          </cell>
          <cell r="E490" t="str">
            <v>伯希和/PELLIOT</v>
          </cell>
          <cell r="F490" t="str">
            <v>服装-户外运动服-滑雪衣</v>
          </cell>
          <cell r="G490" t="str">
            <v>一品多商</v>
          </cell>
          <cell r="H490" t="str">
            <v>品牌直发</v>
          </cell>
          <cell r="I490">
            <v>0</v>
          </cell>
        </row>
        <row r="491">
          <cell r="D491">
            <v>114301071</v>
          </cell>
          <cell r="E491" t="str">
            <v>伯希和/PELLIOT</v>
          </cell>
          <cell r="F491" t="str">
            <v>服装-外套-冲锋衣</v>
          </cell>
          <cell r="G491" t="str">
            <v>一品多商</v>
          </cell>
          <cell r="H491" t="str">
            <v>品牌直发</v>
          </cell>
          <cell r="I491">
            <v>0</v>
          </cell>
        </row>
        <row r="492">
          <cell r="D492">
            <v>114408277</v>
          </cell>
          <cell r="E492" t="str">
            <v>伯希和/PELLIOT</v>
          </cell>
          <cell r="F492" t="str">
            <v>服装-外套-羽绒服</v>
          </cell>
          <cell r="G492" t="str">
            <v>一品多商</v>
          </cell>
          <cell r="H492" t="str">
            <v>品牌直发</v>
          </cell>
          <cell r="I492">
            <v>0</v>
          </cell>
        </row>
        <row r="493">
          <cell r="D493">
            <v>134401045</v>
          </cell>
          <cell r="E493" t="str">
            <v>伯希和/PELLIOT</v>
          </cell>
          <cell r="F493" t="str">
            <v>童装-儿童上装-冲锋衣</v>
          </cell>
          <cell r="G493" t="str">
            <v>一品一商</v>
          </cell>
          <cell r="H493" t="str">
            <v>品牌直发</v>
          </cell>
          <cell r="I493">
            <v>0</v>
          </cell>
        </row>
        <row r="494">
          <cell r="D494">
            <v>124403126</v>
          </cell>
          <cell r="E494" t="str">
            <v>伯希和/PELLIOT</v>
          </cell>
          <cell r="F494" t="str">
            <v>服装-户外运动服-滑雪衣</v>
          </cell>
          <cell r="G494" t="str">
            <v>一品一商</v>
          </cell>
          <cell r="H494" t="str">
            <v>品牌直发</v>
          </cell>
          <cell r="I494">
            <v>0</v>
          </cell>
        </row>
        <row r="495">
          <cell r="D495">
            <v>114408273</v>
          </cell>
          <cell r="E495" t="str">
            <v>伯希和/PELLIOT</v>
          </cell>
          <cell r="F495" t="str">
            <v>服装-外套-羽绒服</v>
          </cell>
          <cell r="G495" t="str">
            <v>一品多商</v>
          </cell>
          <cell r="H495" t="str">
            <v>品牌直发</v>
          </cell>
          <cell r="I495">
            <v>0</v>
          </cell>
        </row>
        <row r="496">
          <cell r="D496">
            <v>134408270</v>
          </cell>
          <cell r="E496" t="str">
            <v>伯希和/PELLIOT</v>
          </cell>
          <cell r="F496" t="str">
            <v>童装-儿童上装-羽绒服</v>
          </cell>
          <cell r="G496" t="str">
            <v>一品一商</v>
          </cell>
          <cell r="H496" t="str">
            <v>品牌直发</v>
          </cell>
          <cell r="I496">
            <v>0</v>
          </cell>
        </row>
        <row r="497">
          <cell r="D497" t="str">
            <v>PE124408260</v>
          </cell>
          <cell r="E497" t="str">
            <v>伯希和/PELLIOT</v>
          </cell>
          <cell r="F497" t="str">
            <v>女装-外套-羽绒服</v>
          </cell>
          <cell r="G497" t="str">
            <v>一品多商</v>
          </cell>
          <cell r="H497" t="str">
            <v>品牌直发</v>
          </cell>
          <cell r="I497">
            <v>0</v>
          </cell>
        </row>
        <row r="498">
          <cell r="D498">
            <v>124408240</v>
          </cell>
          <cell r="E498" t="str">
            <v>伯希和/PELLIOT</v>
          </cell>
          <cell r="F498" t="str">
            <v>服装-外套-羽绒服</v>
          </cell>
          <cell r="G498" t="str">
            <v>一品多商</v>
          </cell>
          <cell r="H498" t="str">
            <v>品牌直发</v>
          </cell>
          <cell r="I498">
            <v>0</v>
          </cell>
        </row>
        <row r="499">
          <cell r="D499" t="str">
            <v>PE114401055</v>
          </cell>
          <cell r="E499" t="str">
            <v>伯希和/PELLIOT</v>
          </cell>
          <cell r="F499" t="str">
            <v>服装-外套-冲锋衣</v>
          </cell>
          <cell r="G499" t="str">
            <v>一品一商</v>
          </cell>
          <cell r="H499" t="str">
            <v>品牌直发</v>
          </cell>
          <cell r="I499">
            <v>0</v>
          </cell>
        </row>
        <row r="500">
          <cell r="D500" t="str">
            <v>PE124408278</v>
          </cell>
          <cell r="E500" t="str">
            <v>伯希和/PELLIOT</v>
          </cell>
          <cell r="F500" t="str">
            <v>女装-外套-羽绒服</v>
          </cell>
          <cell r="G500" t="str">
            <v>一品多商</v>
          </cell>
          <cell r="H500" t="str">
            <v>品牌直发</v>
          </cell>
          <cell r="I500">
            <v>0</v>
          </cell>
        </row>
        <row r="501">
          <cell r="D501" t="str">
            <v>PE124315434</v>
          </cell>
          <cell r="E501" t="str">
            <v>伯希和/PELLIOT</v>
          </cell>
          <cell r="F501" t="str">
            <v>女装-上衣-T恤</v>
          </cell>
          <cell r="G501" t="str">
            <v>一品一商</v>
          </cell>
          <cell r="H501" t="str">
            <v>品牌直发</v>
          </cell>
          <cell r="I501">
            <v>0</v>
          </cell>
        </row>
        <row r="502">
          <cell r="D502" t="str">
            <v>PE114315433</v>
          </cell>
          <cell r="E502" t="str">
            <v>伯希和/PELLIOT</v>
          </cell>
          <cell r="F502" t="str">
            <v>服装-户外运动服-抓绒衣</v>
          </cell>
          <cell r="G502" t="str">
            <v>一品一商</v>
          </cell>
          <cell r="H502" t="str">
            <v>品牌直发</v>
          </cell>
          <cell r="I502">
            <v>0</v>
          </cell>
        </row>
        <row r="503">
          <cell r="D503" t="str">
            <v>PE124310192</v>
          </cell>
          <cell r="E503" t="str">
            <v>伯希和/PELLIOT</v>
          </cell>
          <cell r="F503" t="str">
            <v>女装-户外运动服-抓绒衣</v>
          </cell>
          <cell r="G503" t="str">
            <v>一品多商</v>
          </cell>
          <cell r="H503" t="str">
            <v>品牌直发</v>
          </cell>
          <cell r="I503">
            <v>0</v>
          </cell>
        </row>
        <row r="504">
          <cell r="D504">
            <v>134409343</v>
          </cell>
          <cell r="E504" t="str">
            <v>伯希和/PELLIOT</v>
          </cell>
          <cell r="F504" t="str">
            <v>童装-儿童下装-儿童运动裤</v>
          </cell>
          <cell r="G504" t="str">
            <v>一品一商</v>
          </cell>
          <cell r="H504" t="str">
            <v>品牌直发</v>
          </cell>
          <cell r="I504">
            <v>0</v>
          </cell>
        </row>
        <row r="505">
          <cell r="D505">
            <v>114311235</v>
          </cell>
          <cell r="E505" t="str">
            <v>伯希和/PELLIOT</v>
          </cell>
          <cell r="F505" t="str">
            <v>服装-长裤-休闲裤</v>
          </cell>
          <cell r="G505" t="str">
            <v>一品一商</v>
          </cell>
          <cell r="H505" t="str">
            <v>品牌直发</v>
          </cell>
          <cell r="I505">
            <v>0</v>
          </cell>
        </row>
        <row r="506">
          <cell r="D506">
            <v>134301049</v>
          </cell>
          <cell r="E506" t="str">
            <v>伯希和/PELLIOT</v>
          </cell>
          <cell r="F506" t="str">
            <v>童装-儿童上装-冲锋衣</v>
          </cell>
          <cell r="G506" t="str">
            <v>一品一商</v>
          </cell>
          <cell r="H506" t="str">
            <v>品牌直发</v>
          </cell>
          <cell r="I506">
            <v>0</v>
          </cell>
        </row>
        <row r="507">
          <cell r="D507">
            <v>134408267</v>
          </cell>
          <cell r="E507" t="str">
            <v>伯希和/PELLIOT</v>
          </cell>
          <cell r="F507" t="str">
            <v>童装-儿童上装-羽绒服</v>
          </cell>
          <cell r="G507" t="str">
            <v>一品一商</v>
          </cell>
          <cell r="H507" t="str">
            <v>品牌直发</v>
          </cell>
          <cell r="I507">
            <v>0</v>
          </cell>
        </row>
        <row r="508">
          <cell r="D508">
            <v>134306146</v>
          </cell>
          <cell r="E508" t="str">
            <v>伯希和/PELLIOT</v>
          </cell>
          <cell r="F508" t="str">
            <v>童装-儿童上装-夹克</v>
          </cell>
          <cell r="G508" t="str">
            <v>一品多商</v>
          </cell>
          <cell r="H508" t="str">
            <v>品牌直发</v>
          </cell>
          <cell r="I508">
            <v>0</v>
          </cell>
        </row>
        <row r="509">
          <cell r="D509">
            <v>114408265</v>
          </cell>
          <cell r="E509" t="str">
            <v>伯希和/PELLIOT</v>
          </cell>
          <cell r="F509" t="str">
            <v>服装-外套-羽绒服</v>
          </cell>
          <cell r="G509" t="str">
            <v>一品多商</v>
          </cell>
          <cell r="H509" t="str">
            <v>品牌直发</v>
          </cell>
          <cell r="I509">
            <v>0</v>
          </cell>
        </row>
        <row r="510">
          <cell r="D510">
            <v>114319017</v>
          </cell>
          <cell r="E510" t="str">
            <v>伯希和/PELLIOT</v>
          </cell>
          <cell r="F510" t="str">
            <v>鞋-运动鞋-登山鞋/徒步鞋</v>
          </cell>
          <cell r="G510" t="str">
            <v>一品一商</v>
          </cell>
          <cell r="H510" t="str">
            <v>品牌直发</v>
          </cell>
          <cell r="I510">
            <v>0</v>
          </cell>
        </row>
        <row r="511">
          <cell r="D511" t="str">
            <v>PE124408256</v>
          </cell>
          <cell r="E511" t="str">
            <v>伯希和/PELLIOT</v>
          </cell>
          <cell r="F511" t="str">
            <v>女装-外套-羽绒服</v>
          </cell>
          <cell r="G511" t="str">
            <v>一品多商</v>
          </cell>
          <cell r="H511" t="str">
            <v>品牌直发</v>
          </cell>
          <cell r="I511">
            <v>0</v>
          </cell>
        </row>
        <row r="512">
          <cell r="D512">
            <v>114408255</v>
          </cell>
          <cell r="E512" t="str">
            <v>伯希和/PELLIOT</v>
          </cell>
          <cell r="F512" t="str">
            <v>服装-外套-羽绒服</v>
          </cell>
          <cell r="G512" t="str">
            <v>一品多商</v>
          </cell>
          <cell r="H512" t="str">
            <v>品牌直发</v>
          </cell>
          <cell r="I512">
            <v>0</v>
          </cell>
        </row>
        <row r="513">
          <cell r="D513">
            <v>124408258</v>
          </cell>
          <cell r="E513" t="str">
            <v>伯希和/PELLIOT</v>
          </cell>
          <cell r="F513" t="str">
            <v>女装-外套-羽绒服</v>
          </cell>
          <cell r="G513" t="str">
            <v>一品多商</v>
          </cell>
          <cell r="H513" t="str">
            <v>品牌直发</v>
          </cell>
          <cell r="I513">
            <v>0</v>
          </cell>
        </row>
        <row r="514">
          <cell r="D514">
            <v>114401069</v>
          </cell>
          <cell r="E514" t="str">
            <v>伯希和/PELLIOT</v>
          </cell>
          <cell r="F514" t="str">
            <v>服装-外套-冲锋衣</v>
          </cell>
          <cell r="G514" t="str">
            <v>一品一商</v>
          </cell>
          <cell r="H514" t="str">
            <v>品牌直发</v>
          </cell>
          <cell r="I514">
            <v>0</v>
          </cell>
        </row>
        <row r="515">
          <cell r="D515">
            <v>114301015</v>
          </cell>
          <cell r="E515" t="str">
            <v>伯希和/PELLIOT</v>
          </cell>
          <cell r="F515" t="str">
            <v>服装-外套-冲锋衣</v>
          </cell>
          <cell r="G515" t="str">
            <v>一品多商</v>
          </cell>
          <cell r="H515" t="str">
            <v>品牌直发</v>
          </cell>
          <cell r="I515">
            <v>0</v>
          </cell>
        </row>
        <row r="516">
          <cell r="D516">
            <v>124311236</v>
          </cell>
          <cell r="E516" t="str">
            <v>伯希和/PELLIOT</v>
          </cell>
          <cell r="F516" t="str">
            <v>女装-户外运动服-抓绒裤</v>
          </cell>
          <cell r="G516" t="str">
            <v>一品一商</v>
          </cell>
          <cell r="H516" t="str">
            <v>品牌直发</v>
          </cell>
          <cell r="I516">
            <v>0</v>
          </cell>
        </row>
        <row r="517">
          <cell r="D517">
            <v>114408251</v>
          </cell>
          <cell r="E517" t="str">
            <v>伯希和/PELLIOT</v>
          </cell>
          <cell r="F517" t="str">
            <v>服装-外套-羽绒服</v>
          </cell>
          <cell r="G517" t="str">
            <v>一品一商</v>
          </cell>
          <cell r="H517" t="str">
            <v>品牌直发</v>
          </cell>
          <cell r="I517">
            <v>0</v>
          </cell>
        </row>
        <row r="518">
          <cell r="D518" t="str">
            <v>PE124408250</v>
          </cell>
          <cell r="E518" t="str">
            <v>伯希和/PELLIOT</v>
          </cell>
          <cell r="F518" t="str">
            <v>女装-外套-羽绒服</v>
          </cell>
          <cell r="G518" t="str">
            <v>一品一商</v>
          </cell>
          <cell r="H518" t="str">
            <v>品牌直发</v>
          </cell>
          <cell r="I518">
            <v>0</v>
          </cell>
        </row>
        <row r="519">
          <cell r="D519">
            <v>114409341</v>
          </cell>
          <cell r="E519" t="str">
            <v>伯希和/PELLIOT</v>
          </cell>
          <cell r="F519" t="str">
            <v>服装-长裤-羽绒裤</v>
          </cell>
          <cell r="G519" t="str">
            <v>一品多商</v>
          </cell>
          <cell r="H519" t="str">
            <v>品牌直发</v>
          </cell>
          <cell r="I519">
            <v>0</v>
          </cell>
        </row>
        <row r="520">
          <cell r="D520">
            <v>124304118</v>
          </cell>
          <cell r="E520" t="str">
            <v>伯希和/PELLIOT</v>
          </cell>
          <cell r="F520" t="str">
            <v>服装-户外运动服-滑雪裤</v>
          </cell>
          <cell r="G520" t="str">
            <v>一品多商</v>
          </cell>
          <cell r="H520" t="str">
            <v>品牌直发</v>
          </cell>
          <cell r="I520">
            <v>0</v>
          </cell>
        </row>
        <row r="521">
          <cell r="D521" t="str">
            <v>PE124404116</v>
          </cell>
          <cell r="E521" t="str">
            <v>伯希和/PELLIOT</v>
          </cell>
          <cell r="F521" t="str">
            <v>服装-户外运动服-滑雪裤</v>
          </cell>
          <cell r="G521" t="str">
            <v>一品多商</v>
          </cell>
          <cell r="H521" t="str">
            <v>品牌直发</v>
          </cell>
          <cell r="I521">
            <v>0</v>
          </cell>
        </row>
        <row r="522">
          <cell r="D522">
            <v>114301079</v>
          </cell>
          <cell r="E522" t="str">
            <v>伯希和/PELLIOT</v>
          </cell>
          <cell r="F522" t="str">
            <v>服装-外套-冲锋衣</v>
          </cell>
          <cell r="G522" t="str">
            <v>一品多商</v>
          </cell>
          <cell r="H522" t="str">
            <v>品牌直发</v>
          </cell>
          <cell r="I522">
            <v>0</v>
          </cell>
        </row>
        <row r="523">
          <cell r="D523" t="str">
            <v>124319016曜石黑</v>
          </cell>
          <cell r="E523" t="str">
            <v>伯希和/PELLIOT</v>
          </cell>
          <cell r="F523" t="str">
            <v>鞋-运动鞋-登山鞋/徒步鞋</v>
          </cell>
          <cell r="G523" t="str">
            <v>一品一商</v>
          </cell>
          <cell r="H523" t="str">
            <v>品牌直发</v>
          </cell>
          <cell r="I523">
            <v>0</v>
          </cell>
        </row>
        <row r="524">
          <cell r="D524" t="str">
            <v>PE124310194</v>
          </cell>
          <cell r="E524" t="str">
            <v>伯希和/PELLIOT</v>
          </cell>
          <cell r="F524" t="str">
            <v>女装-户外运动服-抓绒衣</v>
          </cell>
          <cell r="G524" t="str">
            <v>一品一商</v>
          </cell>
          <cell r="H524" t="str">
            <v>品牌直发</v>
          </cell>
          <cell r="I524">
            <v>0</v>
          </cell>
        </row>
        <row r="525">
          <cell r="D525">
            <v>124408252</v>
          </cell>
          <cell r="E525" t="str">
            <v>伯希和/PELLIOT</v>
          </cell>
          <cell r="F525" t="str">
            <v>女装-外套-羽绒服</v>
          </cell>
          <cell r="G525" t="str">
            <v>一品多商</v>
          </cell>
          <cell r="H525" t="str">
            <v>品牌直发</v>
          </cell>
          <cell r="I525">
            <v>0</v>
          </cell>
        </row>
        <row r="526">
          <cell r="D526">
            <v>114351091</v>
          </cell>
          <cell r="E526" t="str">
            <v>伯希和/PELLIOT</v>
          </cell>
          <cell r="F526" t="str">
            <v>服装-外套-软壳衣</v>
          </cell>
          <cell r="G526" t="str">
            <v>一品多商</v>
          </cell>
          <cell r="H526" t="str">
            <v>品牌直发</v>
          </cell>
          <cell r="I526">
            <v>0</v>
          </cell>
        </row>
        <row r="527">
          <cell r="D527">
            <v>124310184</v>
          </cell>
          <cell r="E527" t="str">
            <v>伯希和/PELLIOT</v>
          </cell>
          <cell r="F527" t="str">
            <v>女装-上衣-卫衣</v>
          </cell>
          <cell r="G527" t="str">
            <v>一品一商</v>
          </cell>
          <cell r="H527" t="str">
            <v>品牌直发</v>
          </cell>
          <cell r="I527">
            <v>0</v>
          </cell>
        </row>
        <row r="528">
          <cell r="D528">
            <v>124377366</v>
          </cell>
          <cell r="E528" t="str">
            <v>伯希和/PELLIOT</v>
          </cell>
          <cell r="F528" t="str">
            <v>内衣-内衣裤-保暖裤</v>
          </cell>
          <cell r="G528" t="str">
            <v>一品一商</v>
          </cell>
          <cell r="H528" t="str">
            <v>品牌直发</v>
          </cell>
          <cell r="I528">
            <v>0</v>
          </cell>
        </row>
        <row r="529">
          <cell r="D529">
            <v>114315395</v>
          </cell>
          <cell r="E529" t="str">
            <v>伯希和/PELLIOT</v>
          </cell>
          <cell r="F529" t="str">
            <v>服装-户外运动服-速干衣</v>
          </cell>
          <cell r="G529" t="str">
            <v>一品一商</v>
          </cell>
          <cell r="H529" t="str">
            <v>品牌直发</v>
          </cell>
          <cell r="I529">
            <v>0</v>
          </cell>
        </row>
        <row r="530">
          <cell r="D530">
            <v>164334001</v>
          </cell>
          <cell r="E530" t="str">
            <v>伯希和/PELLIOT</v>
          </cell>
          <cell r="F530" t="str">
            <v>流行饰品/眼镜/服配-帽子-其他帽子</v>
          </cell>
          <cell r="G530" t="str">
            <v>一品一商</v>
          </cell>
          <cell r="H530" t="str">
            <v>品牌直发</v>
          </cell>
          <cell r="I530">
            <v>0</v>
          </cell>
        </row>
        <row r="531">
          <cell r="D531">
            <v>124315398</v>
          </cell>
          <cell r="E531" t="str">
            <v>伯希和/PELLIOT</v>
          </cell>
          <cell r="F531" t="str">
            <v>女装-上衣-T恤</v>
          </cell>
          <cell r="G531" t="str">
            <v>一品多商</v>
          </cell>
          <cell r="H531" t="str">
            <v>品牌直发</v>
          </cell>
          <cell r="I531">
            <v>0</v>
          </cell>
        </row>
        <row r="532">
          <cell r="D532">
            <v>124301080</v>
          </cell>
          <cell r="E532" t="str">
            <v>伯希和/PELLIOT</v>
          </cell>
          <cell r="F532" t="str">
            <v>女装-外套-冲锋衣</v>
          </cell>
          <cell r="G532" t="str">
            <v>一品多商</v>
          </cell>
          <cell r="H532" t="str">
            <v>品牌直发</v>
          </cell>
          <cell r="I532">
            <v>0</v>
          </cell>
        </row>
        <row r="533">
          <cell r="D533" t="str">
            <v>PE124306152</v>
          </cell>
          <cell r="E533" t="str">
            <v>伯希和/PELLIOT</v>
          </cell>
          <cell r="F533" t="str">
            <v>女装-外套-软壳衣</v>
          </cell>
          <cell r="G533" t="str">
            <v>一品多商</v>
          </cell>
          <cell r="H533" t="str">
            <v>品牌直发</v>
          </cell>
          <cell r="I533">
            <v>0</v>
          </cell>
        </row>
        <row r="534">
          <cell r="D534">
            <v>124311234</v>
          </cell>
          <cell r="E534" t="str">
            <v>伯希和/PELLIOT</v>
          </cell>
          <cell r="F534" t="str">
            <v>女装-户外运动服-抓绒裤</v>
          </cell>
          <cell r="G534" t="str">
            <v>一品多商</v>
          </cell>
          <cell r="H534" t="str">
            <v>品牌直发</v>
          </cell>
          <cell r="I534">
            <v>0</v>
          </cell>
        </row>
        <row r="535">
          <cell r="D535">
            <v>124408246</v>
          </cell>
          <cell r="E535" t="str">
            <v>伯希和/PELLIOT</v>
          </cell>
          <cell r="F535" t="str">
            <v>女装-外套-羽绒服</v>
          </cell>
          <cell r="G535" t="str">
            <v>一品多商</v>
          </cell>
          <cell r="H535" t="str">
            <v>品牌直发</v>
          </cell>
          <cell r="I535">
            <v>0</v>
          </cell>
        </row>
        <row r="536">
          <cell r="D536" t="str">
            <v>PE114401009</v>
          </cell>
          <cell r="E536" t="str">
            <v>伯希和/PELLIOT</v>
          </cell>
          <cell r="F536" t="str">
            <v>服装-外套-冲锋衣</v>
          </cell>
          <cell r="G536" t="str">
            <v>一品多商</v>
          </cell>
          <cell r="H536" t="str">
            <v>品牌直发</v>
          </cell>
          <cell r="I536">
            <v>0</v>
          </cell>
        </row>
        <row r="537">
          <cell r="D537">
            <v>114408249</v>
          </cell>
          <cell r="E537" t="str">
            <v>伯希和/PELLIOT</v>
          </cell>
          <cell r="F537" t="str">
            <v>服装-外套-羽绒服</v>
          </cell>
          <cell r="G537" t="str">
            <v>一品多商</v>
          </cell>
          <cell r="H537" t="str">
            <v>品牌直发</v>
          </cell>
          <cell r="I537">
            <v>0</v>
          </cell>
        </row>
        <row r="538">
          <cell r="D538" t="str">
            <v>124419010经典黑</v>
          </cell>
          <cell r="E538" t="str">
            <v>伯希和/PELLIOT</v>
          </cell>
          <cell r="F538" t="str">
            <v>鞋-运动鞋-登山鞋/徒步鞋</v>
          </cell>
          <cell r="G538" t="str">
            <v>一品一商</v>
          </cell>
          <cell r="H538" t="str">
            <v>品牌直发</v>
          </cell>
          <cell r="I538">
            <v>0</v>
          </cell>
        </row>
        <row r="539">
          <cell r="D539">
            <v>124318426</v>
          </cell>
          <cell r="E539" t="str">
            <v>伯希和/PELLIOT</v>
          </cell>
          <cell r="F539" t="str">
            <v>内衣-内衣裤-保暖套装</v>
          </cell>
          <cell r="G539" t="str">
            <v>一品一商</v>
          </cell>
          <cell r="H539" t="str">
            <v>普通现货</v>
          </cell>
          <cell r="I539">
            <v>0</v>
          </cell>
        </row>
        <row r="540">
          <cell r="D540">
            <v>124408244</v>
          </cell>
          <cell r="E540" t="str">
            <v>伯希和/PELLIOT</v>
          </cell>
          <cell r="F540" t="str">
            <v>服装-外套-羽绒服</v>
          </cell>
          <cell r="G540" t="str">
            <v>一品多商</v>
          </cell>
          <cell r="H540" t="str">
            <v>品牌直发</v>
          </cell>
          <cell r="I540">
            <v>0</v>
          </cell>
        </row>
        <row r="541">
          <cell r="D541">
            <v>114306151</v>
          </cell>
          <cell r="E541" t="str">
            <v>伯希和/PELLIOT</v>
          </cell>
          <cell r="F541" t="str">
            <v>服装-外套-软壳衣</v>
          </cell>
          <cell r="G541" t="str">
            <v>一品多商</v>
          </cell>
          <cell r="H541" t="str">
            <v>品牌直发</v>
          </cell>
          <cell r="I541">
            <v>0</v>
          </cell>
        </row>
        <row r="542">
          <cell r="D542">
            <v>124401042</v>
          </cell>
          <cell r="E542" t="str">
            <v>伯希和/PELLIOT</v>
          </cell>
          <cell r="F542" t="str">
            <v>女装-外套-冲锋衣</v>
          </cell>
          <cell r="G542" t="str">
            <v>一品多商</v>
          </cell>
          <cell r="H542" t="str">
            <v>品牌直发</v>
          </cell>
          <cell r="I542">
            <v>0</v>
          </cell>
        </row>
        <row r="543">
          <cell r="D543" t="str">
            <v>11421551-SG51</v>
          </cell>
          <cell r="E543" t="str">
            <v>伯希和/PELLIOT</v>
          </cell>
          <cell r="F543" t="str">
            <v>服装-上衣-Polo衫</v>
          </cell>
          <cell r="G543" t="str">
            <v>一品一商</v>
          </cell>
          <cell r="H543" t="str">
            <v>品牌直发</v>
          </cell>
          <cell r="I543">
            <v>0</v>
          </cell>
        </row>
        <row r="544">
          <cell r="D544">
            <v>124376410</v>
          </cell>
          <cell r="E544" t="str">
            <v>伯希和/PELLIOT</v>
          </cell>
          <cell r="F544" t="str">
            <v>服装-外套-棉服</v>
          </cell>
          <cell r="G544" t="str">
            <v>一品多商</v>
          </cell>
          <cell r="H544" t="str">
            <v>品牌直发</v>
          </cell>
          <cell r="I544">
            <v>0</v>
          </cell>
        </row>
        <row r="545">
          <cell r="D545">
            <v>124419012</v>
          </cell>
          <cell r="E545" t="str">
            <v>伯希和/PELLIOT</v>
          </cell>
          <cell r="F545" t="str">
            <v>鞋-运动鞋-登山鞋/徒步鞋</v>
          </cell>
          <cell r="G545" t="str">
            <v>一品一商</v>
          </cell>
          <cell r="H545" t="str">
            <v>品牌直发</v>
          </cell>
          <cell r="I545">
            <v>0</v>
          </cell>
        </row>
        <row r="546">
          <cell r="D546">
            <v>114419011</v>
          </cell>
          <cell r="E546" t="str">
            <v>伯希和/PELLIOT</v>
          </cell>
          <cell r="F546" t="str">
            <v>鞋-运动鞋-登山鞋/徒步鞋</v>
          </cell>
          <cell r="G546" t="str">
            <v>一品一商</v>
          </cell>
          <cell r="H546" t="str">
            <v>品牌直发</v>
          </cell>
          <cell r="I546">
            <v>0</v>
          </cell>
        </row>
        <row r="547">
          <cell r="D547">
            <v>114408241</v>
          </cell>
          <cell r="E547" t="str">
            <v>伯希和/PELLIOT</v>
          </cell>
          <cell r="F547" t="str">
            <v>服装-外套-羽绒马甲</v>
          </cell>
          <cell r="G547" t="str">
            <v>一品多商</v>
          </cell>
          <cell r="H547" t="str">
            <v>品牌直发</v>
          </cell>
          <cell r="I547">
            <v>0</v>
          </cell>
        </row>
        <row r="548">
          <cell r="D548">
            <v>134408269</v>
          </cell>
          <cell r="E548" t="str">
            <v>伯希和/PELLIOT</v>
          </cell>
          <cell r="F548" t="str">
            <v>童装-儿童上装-羽绒服</v>
          </cell>
          <cell r="G548" t="str">
            <v>一品一商</v>
          </cell>
          <cell r="H548" t="str">
            <v>品牌直发</v>
          </cell>
          <cell r="I548">
            <v>0</v>
          </cell>
        </row>
        <row r="549">
          <cell r="D549">
            <v>124408268</v>
          </cell>
          <cell r="E549" t="str">
            <v>伯希和/PELLIOT</v>
          </cell>
          <cell r="F549" t="str">
            <v>女装-外套-羽绒服</v>
          </cell>
          <cell r="G549" t="str">
            <v>一品多商</v>
          </cell>
          <cell r="H549" t="str">
            <v>品牌直发</v>
          </cell>
          <cell r="I549">
            <v>0</v>
          </cell>
        </row>
        <row r="550">
          <cell r="D550">
            <v>114408245</v>
          </cell>
          <cell r="E550" t="str">
            <v>伯希和/PELLIOT</v>
          </cell>
          <cell r="F550" t="str">
            <v>服装-外套-羽绒马甲</v>
          </cell>
          <cell r="G550" t="str">
            <v>一品多商</v>
          </cell>
          <cell r="H550" t="str">
            <v>品牌直发</v>
          </cell>
          <cell r="I550">
            <v>0</v>
          </cell>
        </row>
        <row r="551">
          <cell r="D551">
            <v>124376130</v>
          </cell>
          <cell r="E551" t="str">
            <v>伯希和/PELLIOT</v>
          </cell>
          <cell r="F551" t="str">
            <v>女装-外套-棉服</v>
          </cell>
          <cell r="G551" t="str">
            <v>一品多商</v>
          </cell>
          <cell r="H551" t="str">
            <v>品牌直发</v>
          </cell>
          <cell r="I551">
            <v>0</v>
          </cell>
        </row>
        <row r="552">
          <cell r="D552">
            <v>114310189</v>
          </cell>
          <cell r="E552" t="str">
            <v>伯希和/PELLIOT</v>
          </cell>
          <cell r="F552" t="str">
            <v>服装-户外运动服-抓绒衣</v>
          </cell>
          <cell r="G552" t="str">
            <v>一品一商</v>
          </cell>
          <cell r="H552" t="str">
            <v>品牌直发</v>
          </cell>
          <cell r="I552">
            <v>0</v>
          </cell>
        </row>
        <row r="553">
          <cell r="D553">
            <v>124420014</v>
          </cell>
          <cell r="E553" t="str">
            <v>伯希和/PELLIOT</v>
          </cell>
          <cell r="F553" t="str">
            <v>鞋-潮流休闲鞋-生活休闲鞋</v>
          </cell>
          <cell r="G553" t="str">
            <v>一品一商</v>
          </cell>
          <cell r="H553" t="str">
            <v>品牌直发</v>
          </cell>
          <cell r="I553">
            <v>0</v>
          </cell>
        </row>
        <row r="554">
          <cell r="D554">
            <v>124315394</v>
          </cell>
          <cell r="E554" t="str">
            <v>伯希和/PELLIOT</v>
          </cell>
          <cell r="F554" t="str">
            <v>女装-上衣-T恤</v>
          </cell>
          <cell r="G554" t="str">
            <v>一品一商</v>
          </cell>
          <cell r="H554" t="str">
            <v>品牌直发</v>
          </cell>
          <cell r="I554">
            <v>0</v>
          </cell>
        </row>
        <row r="555">
          <cell r="D555">
            <v>124401010</v>
          </cell>
          <cell r="E555" t="str">
            <v>伯希和/PELLIOT</v>
          </cell>
          <cell r="F555" t="str">
            <v>女装-外套-冲锋衣</v>
          </cell>
          <cell r="G555" t="str">
            <v>一品一商</v>
          </cell>
          <cell r="H555" t="str">
            <v>品牌直发</v>
          </cell>
          <cell r="I555">
            <v>0</v>
          </cell>
        </row>
        <row r="556">
          <cell r="D556">
            <v>124307170</v>
          </cell>
          <cell r="E556" t="str">
            <v>伯希和/PELLIOT</v>
          </cell>
          <cell r="F556" t="str">
            <v>女装-长裤-软壳裤</v>
          </cell>
          <cell r="G556" t="str">
            <v>一品多商</v>
          </cell>
          <cell r="H556" t="str">
            <v>品牌直发</v>
          </cell>
          <cell r="I556">
            <v>0</v>
          </cell>
        </row>
        <row r="557">
          <cell r="D557">
            <v>124419008</v>
          </cell>
          <cell r="E557" t="str">
            <v>伯希和/PELLIOT</v>
          </cell>
          <cell r="F557" t="str">
            <v>鞋-运动鞋-登山鞋/徒步鞋</v>
          </cell>
          <cell r="G557" t="str">
            <v>一品一商</v>
          </cell>
          <cell r="H557" t="str">
            <v>品牌直发</v>
          </cell>
          <cell r="I557">
            <v>0</v>
          </cell>
        </row>
        <row r="558">
          <cell r="D558">
            <v>114315393</v>
          </cell>
          <cell r="E558" t="str">
            <v>伯希和/PELLIOT</v>
          </cell>
          <cell r="F558" t="str">
            <v>服装-上衣-T恤</v>
          </cell>
          <cell r="G558" t="str">
            <v>一品多商</v>
          </cell>
          <cell r="H558" t="str">
            <v>品牌直发</v>
          </cell>
          <cell r="I558">
            <v>0</v>
          </cell>
        </row>
        <row r="559">
          <cell r="D559">
            <v>124318424</v>
          </cell>
          <cell r="E559" t="str">
            <v>伯希和/PELLIOT</v>
          </cell>
          <cell r="F559" t="str">
            <v>内衣-内衣裤-保暖套装</v>
          </cell>
          <cell r="G559" t="str">
            <v>一品一商</v>
          </cell>
          <cell r="H559" t="str">
            <v>品牌直发</v>
          </cell>
          <cell r="I559">
            <v>0</v>
          </cell>
        </row>
        <row r="560">
          <cell r="D560">
            <v>134307173</v>
          </cell>
          <cell r="E560" t="str">
            <v>伯希和/PELLIOT</v>
          </cell>
          <cell r="F560" t="str">
            <v>童装-儿童下装-儿童运动裤</v>
          </cell>
          <cell r="G560" t="str">
            <v>一品一商</v>
          </cell>
          <cell r="H560" t="str">
            <v>品牌直发</v>
          </cell>
          <cell r="I560">
            <v>0</v>
          </cell>
        </row>
        <row r="561">
          <cell r="D561">
            <v>134310199</v>
          </cell>
          <cell r="E561" t="str">
            <v>伯希和/PELLIOT</v>
          </cell>
          <cell r="F561" t="str">
            <v>童装-儿童上装-卫衣</v>
          </cell>
          <cell r="G561" t="str">
            <v>一品一商</v>
          </cell>
          <cell r="H561" t="str">
            <v>品牌直发</v>
          </cell>
          <cell r="I561">
            <v>0</v>
          </cell>
        </row>
        <row r="562">
          <cell r="D562">
            <v>124307162</v>
          </cell>
          <cell r="E562" t="str">
            <v>伯希和/PELLIOT</v>
          </cell>
          <cell r="F562" t="str">
            <v>女装-长裤-软壳裤</v>
          </cell>
          <cell r="G562" t="str">
            <v>一品多商</v>
          </cell>
          <cell r="H562" t="str">
            <v>品牌直发</v>
          </cell>
          <cell r="I562">
            <v>0</v>
          </cell>
        </row>
        <row r="563">
          <cell r="D563">
            <v>114376129</v>
          </cell>
          <cell r="E563" t="str">
            <v>伯希和/PELLIOT</v>
          </cell>
          <cell r="F563" t="str">
            <v>服装-外套-棉服</v>
          </cell>
          <cell r="G563" t="str">
            <v>一品多商</v>
          </cell>
          <cell r="H563" t="str">
            <v>品牌直发</v>
          </cell>
          <cell r="I563">
            <v>0</v>
          </cell>
        </row>
        <row r="564">
          <cell r="D564">
            <v>114301065</v>
          </cell>
          <cell r="E564" t="str">
            <v>伯希和/PELLIOT</v>
          </cell>
          <cell r="F564" t="str">
            <v>服装-外套-冲锋衣</v>
          </cell>
          <cell r="G564" t="str">
            <v>一品一商</v>
          </cell>
          <cell r="H564" t="str">
            <v>品牌直发</v>
          </cell>
          <cell r="I564">
            <v>0</v>
          </cell>
        </row>
        <row r="565">
          <cell r="D565">
            <v>134310200</v>
          </cell>
          <cell r="E565" t="str">
            <v>伯希和/PELLIOT</v>
          </cell>
          <cell r="F565" t="str">
            <v>童装-儿童上装-夹克</v>
          </cell>
          <cell r="G565" t="str">
            <v>一品一商</v>
          </cell>
          <cell r="H565" t="str">
            <v>品牌直发</v>
          </cell>
          <cell r="I565">
            <v>0</v>
          </cell>
        </row>
        <row r="566">
          <cell r="D566">
            <v>114307175</v>
          </cell>
          <cell r="E566" t="str">
            <v>伯希和/PELLIOT</v>
          </cell>
          <cell r="F566" t="str">
            <v>服装-长裤-软壳裤</v>
          </cell>
          <cell r="G566" t="str">
            <v>一品多商</v>
          </cell>
          <cell r="H566" t="str">
            <v>品牌直发</v>
          </cell>
          <cell r="I566">
            <v>0</v>
          </cell>
        </row>
        <row r="567">
          <cell r="D567">
            <v>114310201</v>
          </cell>
          <cell r="E567" t="str">
            <v>伯希和/PELLIOT</v>
          </cell>
          <cell r="F567" t="str">
            <v>服装-户外运动服-抓绒衣</v>
          </cell>
          <cell r="G567" t="str">
            <v>一品多商</v>
          </cell>
          <cell r="H567" t="str">
            <v>品牌直发</v>
          </cell>
          <cell r="I567">
            <v>0</v>
          </cell>
        </row>
        <row r="568">
          <cell r="D568">
            <v>11340305</v>
          </cell>
          <cell r="E568" t="str">
            <v>伯希和/PELLIOT</v>
          </cell>
          <cell r="F568" t="str">
            <v>服装-外套-棉服</v>
          </cell>
          <cell r="G568" t="str">
            <v>一品多商</v>
          </cell>
          <cell r="H568" t="str">
            <v>品牌直发</v>
          </cell>
          <cell r="I568">
            <v>0</v>
          </cell>
        </row>
        <row r="569">
          <cell r="D569">
            <v>114315385</v>
          </cell>
          <cell r="E569" t="str">
            <v>伯希和/PELLIOT</v>
          </cell>
          <cell r="F569" t="str">
            <v>服装-上衣-T恤</v>
          </cell>
          <cell r="G569" t="str">
            <v>一品多商</v>
          </cell>
          <cell r="H569" t="str">
            <v>品牌直发</v>
          </cell>
          <cell r="I569">
            <v>0</v>
          </cell>
        </row>
        <row r="570">
          <cell r="D570">
            <v>124315390</v>
          </cell>
          <cell r="E570" t="str">
            <v>伯希和/PELLIOT</v>
          </cell>
          <cell r="F570" t="str">
            <v>服装-户外运动服-速干衣</v>
          </cell>
          <cell r="G570" t="str">
            <v>一品一商</v>
          </cell>
          <cell r="H570" t="str">
            <v>品牌直发</v>
          </cell>
          <cell r="I570">
            <v>0</v>
          </cell>
        </row>
        <row r="571">
          <cell r="D571">
            <v>114314377</v>
          </cell>
          <cell r="E571" t="str">
            <v>伯希和/PELLIOT</v>
          </cell>
          <cell r="F571" t="str">
            <v>服装-长裤-软壳裤</v>
          </cell>
          <cell r="G571" t="str">
            <v>一品多商</v>
          </cell>
          <cell r="H571" t="str">
            <v>品牌直发</v>
          </cell>
          <cell r="I571">
            <v>0</v>
          </cell>
        </row>
        <row r="572">
          <cell r="D572">
            <v>124315386</v>
          </cell>
          <cell r="E572" t="str">
            <v>伯希和/PELLIOT</v>
          </cell>
          <cell r="F572" t="str">
            <v>女装-上衣-T恤</v>
          </cell>
          <cell r="G572" t="str">
            <v>一品一商</v>
          </cell>
          <cell r="H572" t="str">
            <v>品牌直发</v>
          </cell>
          <cell r="I572">
            <v>0</v>
          </cell>
        </row>
        <row r="573">
          <cell r="D573">
            <v>134301031</v>
          </cell>
          <cell r="E573" t="str">
            <v>伯希和/PELLIOT</v>
          </cell>
          <cell r="F573" t="str">
            <v>童装-儿童上装-冲锋衣</v>
          </cell>
          <cell r="G573" t="str">
            <v>一品一商</v>
          </cell>
          <cell r="H573" t="str">
            <v>品牌直发</v>
          </cell>
          <cell r="I573">
            <v>0</v>
          </cell>
        </row>
        <row r="574">
          <cell r="D574">
            <v>114307161</v>
          </cell>
          <cell r="E574" t="str">
            <v>伯希和/PELLIOT</v>
          </cell>
          <cell r="F574" t="str">
            <v>服装-长裤-软壳裤</v>
          </cell>
          <cell r="G574" t="str">
            <v>一品一商</v>
          </cell>
          <cell r="H574" t="str">
            <v>品牌直发</v>
          </cell>
          <cell r="I574">
            <v>0</v>
          </cell>
        </row>
        <row r="575">
          <cell r="D575" t="str">
            <v>PE114307167</v>
          </cell>
          <cell r="E575" t="str">
            <v>伯希和/PELLIOT</v>
          </cell>
          <cell r="F575" t="str">
            <v>服装-长裤-软壳裤</v>
          </cell>
          <cell r="G575" t="str">
            <v>一品多商</v>
          </cell>
          <cell r="H575" t="str">
            <v>品牌直发</v>
          </cell>
          <cell r="I575">
            <v>0</v>
          </cell>
        </row>
        <row r="576">
          <cell r="D576">
            <v>114307169</v>
          </cell>
          <cell r="E576" t="str">
            <v>伯希和/PELLIOT</v>
          </cell>
          <cell r="F576" t="str">
            <v>服装-长裤-软壳裤</v>
          </cell>
          <cell r="G576" t="str">
            <v>一品多商</v>
          </cell>
          <cell r="H576" t="str">
            <v>品牌直发</v>
          </cell>
          <cell r="I576">
            <v>0</v>
          </cell>
        </row>
        <row r="577">
          <cell r="D577" t="str">
            <v>PE124306150</v>
          </cell>
          <cell r="E577" t="str">
            <v>伯希和/PELLIOT</v>
          </cell>
          <cell r="F577" t="str">
            <v>女装-外套-软壳衣</v>
          </cell>
          <cell r="G577" t="str">
            <v>一品一商</v>
          </cell>
          <cell r="H577" t="str">
            <v>品牌直发</v>
          </cell>
          <cell r="I577">
            <v>0</v>
          </cell>
        </row>
        <row r="578">
          <cell r="D578">
            <v>114306149</v>
          </cell>
          <cell r="E578" t="str">
            <v>伯希和/PELLIOT</v>
          </cell>
          <cell r="F578" t="str">
            <v>服装-外套-软壳衣</v>
          </cell>
          <cell r="G578" t="str">
            <v>一品多商</v>
          </cell>
          <cell r="H578" t="str">
            <v>品牌直发</v>
          </cell>
          <cell r="I578">
            <v>0</v>
          </cell>
        </row>
        <row r="579">
          <cell r="D579">
            <v>164334406</v>
          </cell>
          <cell r="E579" t="str">
            <v>伯希和/PELLIOT</v>
          </cell>
          <cell r="F579" t="str">
            <v>流行饰品/眼镜/服配-帽子-其他帽子</v>
          </cell>
          <cell r="G579" t="str">
            <v>一品一商</v>
          </cell>
          <cell r="H579" t="str">
            <v>品牌直发</v>
          </cell>
          <cell r="I579">
            <v>0</v>
          </cell>
        </row>
        <row r="580">
          <cell r="D580" t="str">
            <v>PE124301004</v>
          </cell>
          <cell r="E580" t="str">
            <v>伯希和/PELLIOT</v>
          </cell>
          <cell r="F580" t="str">
            <v>服装-外套-冲锋衣</v>
          </cell>
          <cell r="G580" t="str">
            <v>一品多商</v>
          </cell>
          <cell r="H580" t="str">
            <v>品牌直发</v>
          </cell>
          <cell r="I580">
            <v>0</v>
          </cell>
        </row>
        <row r="581">
          <cell r="D581" t="str">
            <v>PE124302082</v>
          </cell>
          <cell r="E581" t="str">
            <v>伯希和/PELLIOT</v>
          </cell>
          <cell r="F581" t="str">
            <v>女装-长裤-冲锋裤</v>
          </cell>
          <cell r="G581" t="str">
            <v>一品多商</v>
          </cell>
          <cell r="H581" t="str">
            <v>品牌直发</v>
          </cell>
          <cell r="I581">
            <v>0</v>
          </cell>
        </row>
        <row r="582">
          <cell r="D582" t="str">
            <v>PE114376127</v>
          </cell>
          <cell r="E582" t="str">
            <v>伯希和/PELLIOT</v>
          </cell>
          <cell r="F582" t="str">
            <v>服装-外套-马甲</v>
          </cell>
          <cell r="G582" t="str">
            <v>一品多商</v>
          </cell>
          <cell r="H582" t="str">
            <v>品牌直发</v>
          </cell>
          <cell r="I582">
            <v>0</v>
          </cell>
        </row>
        <row r="583">
          <cell r="D583">
            <v>124306148</v>
          </cell>
          <cell r="E583" t="str">
            <v>伯希和/PELLIOT</v>
          </cell>
          <cell r="F583" t="str">
            <v>女装-外套-软壳衣</v>
          </cell>
          <cell r="G583" t="str">
            <v>一品多商</v>
          </cell>
          <cell r="H583" t="str">
            <v>品牌直发</v>
          </cell>
          <cell r="I583">
            <v>0</v>
          </cell>
        </row>
        <row r="584">
          <cell r="D584" t="str">
            <v>PE114310183</v>
          </cell>
          <cell r="E584" t="str">
            <v>伯希和/PELLIOT</v>
          </cell>
          <cell r="F584" t="str">
            <v>服装-户外运动服-抓绒衣</v>
          </cell>
          <cell r="G584" t="str">
            <v>一品一商</v>
          </cell>
          <cell r="H584" t="str">
            <v>品牌直发</v>
          </cell>
          <cell r="I584">
            <v>0</v>
          </cell>
        </row>
        <row r="585">
          <cell r="D585" t="str">
            <v>PE124315382</v>
          </cell>
          <cell r="E585" t="str">
            <v>伯希和/PELLIOT</v>
          </cell>
          <cell r="F585" t="str">
            <v>女装-上衣-T恤</v>
          </cell>
          <cell r="G585" t="str">
            <v>一品一商</v>
          </cell>
          <cell r="H585" t="str">
            <v>品牌直发</v>
          </cell>
          <cell r="I585">
            <v>0</v>
          </cell>
        </row>
        <row r="586">
          <cell r="D586" t="str">
            <v>PE114301013</v>
          </cell>
          <cell r="E586" t="str">
            <v>伯希和/PELLIOT</v>
          </cell>
          <cell r="F586" t="str">
            <v>服装-外套-冲锋衣</v>
          </cell>
          <cell r="G586" t="str">
            <v>一品多商</v>
          </cell>
          <cell r="H586" t="str">
            <v>品牌直发</v>
          </cell>
          <cell r="I586">
            <v>0</v>
          </cell>
        </row>
        <row r="587">
          <cell r="D587" t="str">
            <v>PE114301011</v>
          </cell>
          <cell r="E587" t="str">
            <v>伯希和/PELLIOT</v>
          </cell>
          <cell r="F587" t="str">
            <v>服装-外套-冲锋衣</v>
          </cell>
          <cell r="G587" t="str">
            <v>一品多商</v>
          </cell>
          <cell r="H587" t="str">
            <v>品牌直发</v>
          </cell>
          <cell r="I587">
            <v>0</v>
          </cell>
        </row>
        <row r="588">
          <cell r="D588" t="str">
            <v>PE114302081</v>
          </cell>
          <cell r="E588" t="str">
            <v>伯希和/PELLIOT</v>
          </cell>
          <cell r="F588" t="str">
            <v>服装-长裤-冲锋裤</v>
          </cell>
          <cell r="G588" t="str">
            <v>一品多商</v>
          </cell>
          <cell r="H588" t="str">
            <v>品牌直发</v>
          </cell>
          <cell r="I588">
            <v>0</v>
          </cell>
        </row>
        <row r="589">
          <cell r="D589" t="str">
            <v>PE114351093</v>
          </cell>
          <cell r="E589" t="str">
            <v>伯希和/PELLIOT</v>
          </cell>
          <cell r="F589" t="str">
            <v>服装-外套-夹克</v>
          </cell>
          <cell r="G589" t="str">
            <v>一品多商</v>
          </cell>
          <cell r="H589" t="str">
            <v>品牌直发</v>
          </cell>
          <cell r="I589">
            <v>0</v>
          </cell>
        </row>
        <row r="590">
          <cell r="D590" t="str">
            <v>PE124319002</v>
          </cell>
          <cell r="E590" t="str">
            <v>伯希和/PELLIOT</v>
          </cell>
          <cell r="F590" t="str">
            <v>鞋-运动鞋-越野跑鞋</v>
          </cell>
          <cell r="G590" t="str">
            <v>一品多商</v>
          </cell>
          <cell r="H590" t="str">
            <v>品牌直发</v>
          </cell>
          <cell r="I590">
            <v>0</v>
          </cell>
        </row>
        <row r="591">
          <cell r="D591" t="str">
            <v>PE124314376</v>
          </cell>
          <cell r="E591" t="str">
            <v>伯希和/PELLIOT</v>
          </cell>
          <cell r="F591" t="str">
            <v>服装-户外运动服-速干裤</v>
          </cell>
          <cell r="G591" t="str">
            <v>一品多商</v>
          </cell>
          <cell r="H591" t="str">
            <v>品牌直发</v>
          </cell>
          <cell r="I591">
            <v>0</v>
          </cell>
        </row>
        <row r="592">
          <cell r="D592">
            <v>16402502</v>
          </cell>
          <cell r="E592" t="str">
            <v>伯希和/PELLIOT</v>
          </cell>
          <cell r="F592" t="str">
            <v>箱包-包袋-户外包</v>
          </cell>
          <cell r="G592" t="str">
            <v>一品一商</v>
          </cell>
          <cell r="H592" t="str">
            <v>品牌直发</v>
          </cell>
          <cell r="I592">
            <v>0</v>
          </cell>
        </row>
        <row r="593">
          <cell r="D593" t="str">
            <v>114419005女款</v>
          </cell>
          <cell r="E593" t="str">
            <v>伯希和/PELLIOT</v>
          </cell>
          <cell r="F593" t="str">
            <v>鞋-运动鞋-登山鞋/徒步鞋</v>
          </cell>
          <cell r="G593" t="str">
            <v>一品一商</v>
          </cell>
          <cell r="H593" t="str">
            <v>品牌直发</v>
          </cell>
          <cell r="I593">
            <v>0</v>
          </cell>
        </row>
        <row r="594">
          <cell r="D594" t="str">
            <v>114419005男款</v>
          </cell>
          <cell r="E594" t="str">
            <v>伯希和/PELLIOT</v>
          </cell>
          <cell r="F594" t="str">
            <v>鞋-运动鞋-登山鞋/徒步鞋</v>
          </cell>
          <cell r="G594" t="str">
            <v>一品一商</v>
          </cell>
          <cell r="H594" t="str">
            <v>品牌直发</v>
          </cell>
          <cell r="I594">
            <v>0</v>
          </cell>
        </row>
        <row r="595">
          <cell r="D595">
            <v>164035001</v>
          </cell>
          <cell r="E595" t="str">
            <v>伯希和/PELLIOT</v>
          </cell>
          <cell r="F595" t="str">
            <v>内衣-袜子-高筒袜</v>
          </cell>
          <cell r="G595" t="str">
            <v>一品一商</v>
          </cell>
          <cell r="H595" t="str">
            <v>品牌直发</v>
          </cell>
          <cell r="I595">
            <v>0</v>
          </cell>
        </row>
        <row r="596">
          <cell r="D596" t="str">
            <v>PE124314372</v>
          </cell>
          <cell r="E596" t="str">
            <v>伯希和/PELLIOT</v>
          </cell>
          <cell r="F596" t="str">
            <v>女装-户外运动服-速干裤</v>
          </cell>
          <cell r="G596" t="str">
            <v>一品一商</v>
          </cell>
          <cell r="H596" t="str">
            <v>品牌直发</v>
          </cell>
          <cell r="I596">
            <v>0</v>
          </cell>
        </row>
        <row r="597">
          <cell r="D597" t="str">
            <v>PE12410202</v>
          </cell>
          <cell r="E597" t="str">
            <v>伯希和/PELLIOT</v>
          </cell>
          <cell r="F597" t="str">
            <v>女装-长裤-冲锋裤</v>
          </cell>
          <cell r="G597" t="str">
            <v>一品多商</v>
          </cell>
          <cell r="H597" t="str">
            <v>品牌直发</v>
          </cell>
          <cell r="I597">
            <v>0</v>
          </cell>
        </row>
        <row r="598">
          <cell r="D598">
            <v>124351094</v>
          </cell>
          <cell r="E598" t="str">
            <v>伯希和/PELLIOT</v>
          </cell>
          <cell r="F598" t="str">
            <v>女装-外套-夹克</v>
          </cell>
          <cell r="G598" t="str">
            <v>一品一商</v>
          </cell>
          <cell r="H598" t="str">
            <v>品牌直发</v>
          </cell>
          <cell r="I598">
            <v>0</v>
          </cell>
        </row>
        <row r="599">
          <cell r="D599" t="str">
            <v>ys124101048</v>
          </cell>
          <cell r="E599" t="str">
            <v>伯希和/PELLIOT</v>
          </cell>
          <cell r="F599" t="str">
            <v>服装-外套-冲锋衣</v>
          </cell>
          <cell r="G599" t="str">
            <v>一品多商</v>
          </cell>
          <cell r="H599" t="str">
            <v>品牌直发</v>
          </cell>
          <cell r="I599">
            <v>0</v>
          </cell>
        </row>
        <row r="600">
          <cell r="D600">
            <v>114314375</v>
          </cell>
          <cell r="E600" t="str">
            <v>伯希和/PELLIOT</v>
          </cell>
          <cell r="F600" t="str">
            <v>服装-户外运动服-速干裤</v>
          </cell>
          <cell r="G600" t="str">
            <v>一品多商</v>
          </cell>
          <cell r="H600" t="str">
            <v>品牌直发</v>
          </cell>
          <cell r="I600">
            <v>0</v>
          </cell>
        </row>
        <row r="601">
          <cell r="D601">
            <v>124310190</v>
          </cell>
          <cell r="E601" t="str">
            <v>伯希和/PELLIOT</v>
          </cell>
          <cell r="F601" t="str">
            <v>女装-户外运动服-抓绒衣</v>
          </cell>
          <cell r="G601" t="str">
            <v>一品一商</v>
          </cell>
          <cell r="H601" t="str">
            <v>品牌直发</v>
          </cell>
          <cell r="I601">
            <v>0</v>
          </cell>
        </row>
        <row r="602">
          <cell r="D602">
            <v>124307168</v>
          </cell>
          <cell r="E602" t="str">
            <v>伯希和/PELLIOT</v>
          </cell>
          <cell r="F602" t="str">
            <v>女装-长裤-软壳裤</v>
          </cell>
          <cell r="G602" t="str">
            <v>一品一商</v>
          </cell>
          <cell r="H602" t="str">
            <v>品牌直发</v>
          </cell>
          <cell r="I602">
            <v>0</v>
          </cell>
        </row>
        <row r="603">
          <cell r="D603">
            <v>124351092</v>
          </cell>
          <cell r="E603" t="str">
            <v>伯希和/PELLIOT</v>
          </cell>
          <cell r="F603" t="str">
            <v>女装-外套-软壳衣</v>
          </cell>
          <cell r="G603" t="str">
            <v>一品多商</v>
          </cell>
          <cell r="H603" t="str">
            <v>品牌直发</v>
          </cell>
          <cell r="I603">
            <v>0</v>
          </cell>
        </row>
        <row r="604">
          <cell r="D604">
            <v>114301039</v>
          </cell>
          <cell r="E604" t="str">
            <v>伯希和/PELLIOT</v>
          </cell>
          <cell r="F604" t="str">
            <v>服装-外套-冲锋衣</v>
          </cell>
          <cell r="G604" t="str">
            <v>一品一商</v>
          </cell>
          <cell r="H604" t="str">
            <v>品牌直发</v>
          </cell>
          <cell r="I604">
            <v>0</v>
          </cell>
        </row>
        <row r="605">
          <cell r="D605">
            <v>114306147</v>
          </cell>
          <cell r="E605" t="str">
            <v>伯希和/PELLIOT</v>
          </cell>
          <cell r="F605" t="str">
            <v>服装-外套-软壳衣</v>
          </cell>
          <cell r="G605" t="str">
            <v>一品多商</v>
          </cell>
          <cell r="H605" t="str">
            <v>品牌直发</v>
          </cell>
          <cell r="I605">
            <v>0</v>
          </cell>
        </row>
        <row r="606">
          <cell r="D606">
            <v>124314374</v>
          </cell>
          <cell r="E606" t="str">
            <v>伯希和/PELLIOT</v>
          </cell>
          <cell r="F606" t="str">
            <v>女装-长裤-软壳裤</v>
          </cell>
          <cell r="G606" t="str">
            <v>一品一商</v>
          </cell>
          <cell r="H606" t="str">
            <v>品牌直发</v>
          </cell>
          <cell r="I606">
            <v>0</v>
          </cell>
        </row>
        <row r="607">
          <cell r="D607" t="str">
            <v>PE124301012</v>
          </cell>
          <cell r="E607" t="str">
            <v>伯希和/PELLIOT</v>
          </cell>
          <cell r="F607" t="str">
            <v>女装-外套-冲锋衣</v>
          </cell>
          <cell r="G607" t="str">
            <v>一品一商</v>
          </cell>
          <cell r="H607" t="str">
            <v>品牌直发</v>
          </cell>
          <cell r="I607">
            <v>0</v>
          </cell>
        </row>
        <row r="608">
          <cell r="D608" t="str">
            <v>PE124301014</v>
          </cell>
          <cell r="E608" t="str">
            <v>伯希和/PELLIOT</v>
          </cell>
          <cell r="F608" t="str">
            <v>女装-外套-冲锋衣</v>
          </cell>
          <cell r="G608" t="str">
            <v>一品多商</v>
          </cell>
          <cell r="H608" t="str">
            <v>品牌直发</v>
          </cell>
          <cell r="I608">
            <v>0</v>
          </cell>
        </row>
        <row r="609">
          <cell r="D609">
            <v>134334002</v>
          </cell>
          <cell r="E609" t="str">
            <v>伯希和/PELLIOT</v>
          </cell>
          <cell r="F609" t="str">
            <v>流行饰品/眼镜/服配-帽子-雷锋帽</v>
          </cell>
          <cell r="G609" t="str">
            <v>一品一商</v>
          </cell>
          <cell r="H609" t="str">
            <v>品牌直发</v>
          </cell>
          <cell r="I609">
            <v>0</v>
          </cell>
        </row>
        <row r="610">
          <cell r="D610">
            <v>116243501</v>
          </cell>
          <cell r="E610" t="str">
            <v>伯希和/PELLIOT</v>
          </cell>
          <cell r="F610" t="str">
            <v>内衣-袜子-中筒袜</v>
          </cell>
          <cell r="G610" t="str">
            <v>一品一商</v>
          </cell>
          <cell r="H610" t="str">
            <v>品牌直发</v>
          </cell>
          <cell r="I610">
            <v>0</v>
          </cell>
        </row>
        <row r="611">
          <cell r="D611">
            <v>164025003</v>
          </cell>
          <cell r="E611" t="str">
            <v>伯希和/PELLIOT</v>
          </cell>
          <cell r="F611" t="str">
            <v>箱包-包袋-户外包</v>
          </cell>
          <cell r="G611" t="str">
            <v>一品一商</v>
          </cell>
          <cell r="H611" t="str">
            <v>品牌直发</v>
          </cell>
          <cell r="I611">
            <v>0</v>
          </cell>
        </row>
        <row r="612">
          <cell r="D612">
            <v>164334402</v>
          </cell>
          <cell r="E612" t="str">
            <v>伯希和/PELLIOT</v>
          </cell>
          <cell r="F612" t="str">
            <v>流行饰品/眼镜/服配-帽子-绒线帽</v>
          </cell>
          <cell r="G612" t="str">
            <v>一品一商</v>
          </cell>
          <cell r="H612" t="str">
            <v>品牌直发</v>
          </cell>
          <cell r="I612">
            <v>0</v>
          </cell>
        </row>
        <row r="613">
          <cell r="D613">
            <v>114314371</v>
          </cell>
          <cell r="E613" t="str">
            <v>伯希和/PELLIOT</v>
          </cell>
          <cell r="F613" t="str">
            <v>服装-户外运动服-速干裤</v>
          </cell>
          <cell r="G613" t="str">
            <v>一品一商</v>
          </cell>
          <cell r="H613" t="str">
            <v>品牌直发</v>
          </cell>
          <cell r="I613">
            <v>0</v>
          </cell>
        </row>
        <row r="614">
          <cell r="D614">
            <v>114314373</v>
          </cell>
          <cell r="E614" t="str">
            <v>伯希和/PELLIOT</v>
          </cell>
          <cell r="F614" t="str">
            <v>服装-户外运动服-速干裤</v>
          </cell>
          <cell r="G614" t="str">
            <v>一品一商</v>
          </cell>
          <cell r="H614" t="str">
            <v>品牌直发</v>
          </cell>
          <cell r="I614">
            <v>0</v>
          </cell>
        </row>
        <row r="615">
          <cell r="D615">
            <v>124307166</v>
          </cell>
          <cell r="E615" t="str">
            <v>伯希和/PELLIOT</v>
          </cell>
          <cell r="F615" t="str">
            <v>女装-长裤-软壳裤</v>
          </cell>
          <cell r="G615" t="str">
            <v>一品多商</v>
          </cell>
          <cell r="H615" t="str">
            <v>品牌直发</v>
          </cell>
          <cell r="I615">
            <v>0</v>
          </cell>
        </row>
        <row r="616">
          <cell r="D616">
            <v>114306143</v>
          </cell>
          <cell r="E616" t="str">
            <v>伯希和/PELLIOT</v>
          </cell>
          <cell r="F616" t="str">
            <v>服装-外套-软壳衣</v>
          </cell>
          <cell r="G616" t="str">
            <v>一品一商</v>
          </cell>
          <cell r="H616" t="str">
            <v>品牌直发</v>
          </cell>
          <cell r="I616">
            <v>0</v>
          </cell>
        </row>
        <row r="617">
          <cell r="D617">
            <v>114302083</v>
          </cell>
          <cell r="E617" t="str">
            <v>伯希和/PELLIOT</v>
          </cell>
          <cell r="F617" t="str">
            <v>服装-长裤-冲锋裤</v>
          </cell>
          <cell r="G617" t="str">
            <v>一品多商</v>
          </cell>
          <cell r="H617" t="str">
            <v>品牌直发</v>
          </cell>
          <cell r="I617">
            <v>0</v>
          </cell>
        </row>
        <row r="618">
          <cell r="D618">
            <v>114307165</v>
          </cell>
          <cell r="E618" t="str">
            <v>伯希和/PELLIOT</v>
          </cell>
          <cell r="F618" t="str">
            <v>服装-长裤-软壳裤</v>
          </cell>
          <cell r="G618" t="str">
            <v>一品一商</v>
          </cell>
          <cell r="H618" t="str">
            <v>品牌直发</v>
          </cell>
          <cell r="I618">
            <v>0</v>
          </cell>
        </row>
        <row r="619">
          <cell r="D619">
            <v>114307163</v>
          </cell>
          <cell r="E619" t="str">
            <v>伯希和/PELLIOT</v>
          </cell>
          <cell r="F619" t="str">
            <v>服装-长裤-软壳裤</v>
          </cell>
          <cell r="G619" t="str">
            <v>一品多商</v>
          </cell>
          <cell r="H619" t="str">
            <v>品牌直发</v>
          </cell>
          <cell r="I619">
            <v>0</v>
          </cell>
        </row>
        <row r="620">
          <cell r="D620">
            <v>124307164</v>
          </cell>
          <cell r="E620" t="str">
            <v>伯希和/PELLIOT</v>
          </cell>
          <cell r="F620" t="str">
            <v>女装-长裤-软壳裤</v>
          </cell>
          <cell r="G620" t="str">
            <v>一品一商</v>
          </cell>
          <cell r="H620" t="str">
            <v>品牌直发</v>
          </cell>
          <cell r="I620">
            <v>0</v>
          </cell>
        </row>
        <row r="621">
          <cell r="D621">
            <v>124319004</v>
          </cell>
          <cell r="E621" t="str">
            <v>伯希和/PELLIOT</v>
          </cell>
          <cell r="F621" t="str">
            <v>鞋-运动鞋-登山鞋/徒步鞋</v>
          </cell>
          <cell r="G621" t="str">
            <v>一品一商</v>
          </cell>
          <cell r="H621" t="str">
            <v>品牌直发</v>
          </cell>
          <cell r="I621">
            <v>0</v>
          </cell>
        </row>
        <row r="622">
          <cell r="D622">
            <v>114311231</v>
          </cell>
          <cell r="E622" t="str">
            <v>伯希和/PELLIOT</v>
          </cell>
          <cell r="F622" t="str">
            <v>服装-长裤-休闲裤</v>
          </cell>
          <cell r="G622" t="str">
            <v>一品一商</v>
          </cell>
          <cell r="H622" t="str">
            <v>品牌直发</v>
          </cell>
          <cell r="I622">
            <v>0</v>
          </cell>
        </row>
        <row r="623">
          <cell r="D623">
            <v>16843502</v>
          </cell>
          <cell r="E623" t="str">
            <v>伯希和/PELLIOT</v>
          </cell>
          <cell r="F623" t="str">
            <v>内衣-袜子-中筒袜</v>
          </cell>
          <cell r="G623" t="str">
            <v>一品一商</v>
          </cell>
          <cell r="H623" t="str">
            <v>品牌直发</v>
          </cell>
          <cell r="I623">
            <v>0</v>
          </cell>
        </row>
        <row r="624">
          <cell r="D624">
            <v>12421414</v>
          </cell>
          <cell r="E624" t="str">
            <v>伯希和/PELLIOT</v>
          </cell>
          <cell r="F624" t="str">
            <v>女装-户外运动服-速干裤</v>
          </cell>
          <cell r="G624" t="str">
            <v>一品多商</v>
          </cell>
          <cell r="H624" t="str">
            <v>品牌直发</v>
          </cell>
          <cell r="I624">
            <v>0</v>
          </cell>
        </row>
        <row r="625">
          <cell r="D625">
            <v>12421512</v>
          </cell>
          <cell r="E625" t="str">
            <v>伯希和/PELLIOT</v>
          </cell>
          <cell r="F625" t="str">
            <v>女装-户外运动服-速干T恤</v>
          </cell>
          <cell r="G625" t="str">
            <v>一品一商</v>
          </cell>
          <cell r="H625" t="str">
            <v>品牌直发</v>
          </cell>
          <cell r="I625">
            <v>0</v>
          </cell>
        </row>
        <row r="626">
          <cell r="D626">
            <v>12421510</v>
          </cell>
          <cell r="E626" t="str">
            <v>伯希和/PELLIOT</v>
          </cell>
          <cell r="F626" t="str">
            <v>女装-上衣-T恤</v>
          </cell>
          <cell r="G626" t="str">
            <v>一品一商</v>
          </cell>
          <cell r="H626" t="str">
            <v>品牌直发</v>
          </cell>
          <cell r="I626">
            <v>0</v>
          </cell>
        </row>
        <row r="627">
          <cell r="D627">
            <v>124311232</v>
          </cell>
          <cell r="E627" t="str">
            <v>伯希和/PELLIOT</v>
          </cell>
          <cell r="F627" t="str">
            <v>女装-户外运动服-抓绒裤</v>
          </cell>
          <cell r="G627" t="str">
            <v>一品一商</v>
          </cell>
          <cell r="H627" t="str">
            <v>品牌直发</v>
          </cell>
          <cell r="I627">
            <v>0</v>
          </cell>
        </row>
        <row r="628">
          <cell r="D628">
            <v>16402506</v>
          </cell>
          <cell r="E628" t="str">
            <v>伯希和/PELLIOT</v>
          </cell>
          <cell r="F628" t="str">
            <v>箱包-包袋-户外包</v>
          </cell>
          <cell r="G628" t="str">
            <v>一品多商</v>
          </cell>
          <cell r="H628" t="str">
            <v>品牌直发</v>
          </cell>
          <cell r="I628">
            <v>0</v>
          </cell>
        </row>
        <row r="629">
          <cell r="D629" t="str">
            <v>PE13415145</v>
          </cell>
          <cell r="E629" t="str">
            <v>伯希和/PELLIOT</v>
          </cell>
          <cell r="F629" t="str">
            <v>童装-儿童上装-其他上装</v>
          </cell>
          <cell r="G629" t="str">
            <v>一品一商</v>
          </cell>
          <cell r="H629" t="str">
            <v>品牌直发</v>
          </cell>
          <cell r="I629">
            <v>0</v>
          </cell>
        </row>
        <row r="630">
          <cell r="D630" t="str">
            <v>PE13421430</v>
          </cell>
          <cell r="E630" t="str">
            <v>伯希和/PELLIOT</v>
          </cell>
          <cell r="F630" t="str">
            <v>童装-儿童下装-卫裤</v>
          </cell>
          <cell r="G630" t="str">
            <v>一品一商</v>
          </cell>
          <cell r="H630" t="str">
            <v>品牌直发</v>
          </cell>
          <cell r="I630">
            <v>0</v>
          </cell>
        </row>
        <row r="631">
          <cell r="D631" t="str">
            <v>PE13421431</v>
          </cell>
          <cell r="E631" t="str">
            <v>伯希和/PELLIOT</v>
          </cell>
          <cell r="F631" t="str">
            <v>童装-儿童下装-短裤</v>
          </cell>
          <cell r="G631" t="str">
            <v>一品一商</v>
          </cell>
          <cell r="H631" t="str">
            <v>品牌直发</v>
          </cell>
          <cell r="I631">
            <v>0</v>
          </cell>
        </row>
        <row r="632">
          <cell r="D632">
            <v>13421235</v>
          </cell>
          <cell r="E632" t="str">
            <v>伯希和/PELLIOT</v>
          </cell>
          <cell r="F632" t="str">
            <v>童装-儿童上装-防晒衣</v>
          </cell>
          <cell r="G632" t="str">
            <v>一品一商</v>
          </cell>
          <cell r="H632" t="str">
            <v>品牌直发</v>
          </cell>
          <cell r="I632">
            <v>0</v>
          </cell>
        </row>
        <row r="633">
          <cell r="D633">
            <v>124222002</v>
          </cell>
          <cell r="E633" t="str">
            <v>伯希和/PELLIOT</v>
          </cell>
          <cell r="F633" t="str">
            <v>鞋-运动鞋-登山鞋/徒步鞋</v>
          </cell>
          <cell r="G633" t="str">
            <v>一品一商</v>
          </cell>
          <cell r="H633" t="str">
            <v>品牌直发</v>
          </cell>
          <cell r="I633">
            <v>0</v>
          </cell>
        </row>
        <row r="634">
          <cell r="D634">
            <v>13421546</v>
          </cell>
          <cell r="E634" t="str">
            <v>伯希和/PELLIOT</v>
          </cell>
          <cell r="F634" t="str">
            <v>童装-儿童上装-T恤</v>
          </cell>
          <cell r="G634" t="str">
            <v>一品一商</v>
          </cell>
          <cell r="H634" t="str">
            <v>品牌直发</v>
          </cell>
          <cell r="I634">
            <v>0</v>
          </cell>
        </row>
        <row r="635">
          <cell r="D635">
            <v>124301032</v>
          </cell>
          <cell r="E635" t="str">
            <v>伯希和/PELLIOT</v>
          </cell>
          <cell r="F635" t="str">
            <v>女装-外套-冲锋衣</v>
          </cell>
          <cell r="G635" t="str">
            <v>一品多商</v>
          </cell>
          <cell r="H635" t="str">
            <v>品牌直发</v>
          </cell>
          <cell r="I635">
            <v>0</v>
          </cell>
        </row>
        <row r="636">
          <cell r="D636">
            <v>124301034</v>
          </cell>
          <cell r="E636" t="str">
            <v>伯希和/PELLIOT</v>
          </cell>
          <cell r="F636" t="str">
            <v>女装-外套-冲锋衣</v>
          </cell>
          <cell r="G636" t="str">
            <v>一品一商</v>
          </cell>
          <cell r="H636" t="str">
            <v>品牌直发</v>
          </cell>
          <cell r="I636">
            <v>0</v>
          </cell>
        </row>
        <row r="637">
          <cell r="D637">
            <v>114301033</v>
          </cell>
          <cell r="E637" t="str">
            <v>伯希和/PELLIOT</v>
          </cell>
          <cell r="F637" t="str">
            <v>服装-外套-冲锋衣</v>
          </cell>
          <cell r="G637" t="str">
            <v>一品多商</v>
          </cell>
          <cell r="H637" t="str">
            <v>品牌直发</v>
          </cell>
          <cell r="I637">
            <v>0</v>
          </cell>
        </row>
        <row r="638">
          <cell r="D638">
            <v>124301030</v>
          </cell>
          <cell r="E638" t="str">
            <v>伯希和/PELLIOT</v>
          </cell>
          <cell r="F638" t="str">
            <v>女装-外套-冲锋衣</v>
          </cell>
          <cell r="G638" t="str">
            <v>一品多商</v>
          </cell>
          <cell r="H638" t="str">
            <v>品牌直发</v>
          </cell>
          <cell r="I638">
            <v>0</v>
          </cell>
        </row>
        <row r="639">
          <cell r="D639" t="str">
            <v>PE124101060</v>
          </cell>
          <cell r="E639" t="str">
            <v>伯希和/PELLIOT</v>
          </cell>
          <cell r="F639" t="str">
            <v>女装-外套-冲锋衣</v>
          </cell>
          <cell r="G639" t="str">
            <v>一品一商</v>
          </cell>
          <cell r="H639" t="str">
            <v>品牌直发</v>
          </cell>
          <cell r="I639">
            <v>0</v>
          </cell>
        </row>
        <row r="640">
          <cell r="D640">
            <v>114101059</v>
          </cell>
          <cell r="E640" t="str">
            <v>伯希和/PELLIOT</v>
          </cell>
          <cell r="F640" t="str">
            <v>服装-外套-冲锋衣</v>
          </cell>
          <cell r="G640" t="str">
            <v>一品一商</v>
          </cell>
          <cell r="H640" t="str">
            <v>品牌直发</v>
          </cell>
          <cell r="I640">
            <v>0</v>
          </cell>
        </row>
        <row r="641">
          <cell r="D641">
            <v>112321516</v>
          </cell>
          <cell r="E641" t="str">
            <v>伯希和/PELLIOT</v>
          </cell>
          <cell r="F641" t="str">
            <v>女装-上衣-Polo衫</v>
          </cell>
          <cell r="G641" t="str">
            <v>一品一商</v>
          </cell>
          <cell r="H641" t="str">
            <v>品牌直发</v>
          </cell>
          <cell r="I641">
            <v>0</v>
          </cell>
        </row>
        <row r="642">
          <cell r="D642">
            <v>113240815</v>
          </cell>
          <cell r="E642" t="str">
            <v>伯希和/PELLIOT</v>
          </cell>
          <cell r="F642" t="str">
            <v>童装-儿童上装-羽绒服</v>
          </cell>
          <cell r="G642" t="str">
            <v>一品一商</v>
          </cell>
          <cell r="H642" t="str">
            <v>品牌直发</v>
          </cell>
          <cell r="I642">
            <v>0</v>
          </cell>
        </row>
        <row r="643">
          <cell r="D643">
            <v>114301087</v>
          </cell>
          <cell r="E643" t="str">
            <v>伯希和/PELLIOT</v>
          </cell>
          <cell r="F643" t="str">
            <v>服装-外套-冲锋衣</v>
          </cell>
          <cell r="G643" t="str">
            <v>一品多商</v>
          </cell>
          <cell r="H643" t="str">
            <v>品牌直发</v>
          </cell>
          <cell r="I643">
            <v>0</v>
          </cell>
        </row>
        <row r="644">
          <cell r="D644">
            <v>124301038</v>
          </cell>
          <cell r="E644" t="str">
            <v>伯希和/PELLIOT</v>
          </cell>
          <cell r="F644" t="str">
            <v>女装-外套-冲锋衣</v>
          </cell>
          <cell r="G644" t="str">
            <v>一品多商</v>
          </cell>
          <cell r="H644" t="str">
            <v>品牌直发</v>
          </cell>
          <cell r="I644">
            <v>0</v>
          </cell>
        </row>
        <row r="645">
          <cell r="D645">
            <v>111040303</v>
          </cell>
          <cell r="E645" t="str">
            <v>伯希和/PELLIOT</v>
          </cell>
          <cell r="F645" t="str">
            <v>服装-户外运动服-登山服</v>
          </cell>
          <cell r="G645" t="str">
            <v>一品一商</v>
          </cell>
          <cell r="H645" t="str">
            <v>品牌直发</v>
          </cell>
          <cell r="I645">
            <v>0</v>
          </cell>
        </row>
        <row r="646">
          <cell r="D646">
            <v>112340158</v>
          </cell>
          <cell r="E646" t="str">
            <v>伯希和/PELLIOT</v>
          </cell>
          <cell r="F646" t="str">
            <v>女装-外套-冲锋衣</v>
          </cell>
          <cell r="G646" t="str">
            <v>一品一商</v>
          </cell>
          <cell r="H646" t="str">
            <v>品牌直发</v>
          </cell>
          <cell r="I646">
            <v>0</v>
          </cell>
        </row>
        <row r="647">
          <cell r="D647">
            <v>16702609</v>
          </cell>
          <cell r="E647" t="str">
            <v>伯希和/PELLIOT</v>
          </cell>
          <cell r="F647" t="str">
            <v>箱包-包袋-手机包</v>
          </cell>
          <cell r="G647" t="str">
            <v>一品一商</v>
          </cell>
          <cell r="H647" t="str">
            <v>品牌直发</v>
          </cell>
          <cell r="I647">
            <v>0</v>
          </cell>
        </row>
        <row r="648">
          <cell r="D648">
            <v>16702618</v>
          </cell>
          <cell r="E648" t="str">
            <v>伯希和/PELLIOT</v>
          </cell>
          <cell r="F648" t="str">
            <v>箱包-包袋-出行收纳包</v>
          </cell>
          <cell r="G648" t="str">
            <v>一品一商</v>
          </cell>
          <cell r="H648" t="str">
            <v>品牌直发</v>
          </cell>
          <cell r="I648">
            <v>0</v>
          </cell>
        </row>
        <row r="649">
          <cell r="D649">
            <v>113140132</v>
          </cell>
          <cell r="E649" t="str">
            <v>伯希和/PELLIOT</v>
          </cell>
          <cell r="F649" t="str">
            <v>童装-儿童上装-冲锋衣</v>
          </cell>
          <cell r="G649" t="str">
            <v>一品一商</v>
          </cell>
          <cell r="H649" t="str">
            <v>品牌直发</v>
          </cell>
          <cell r="I649">
            <v>0</v>
          </cell>
        </row>
        <row r="650">
          <cell r="D650">
            <v>124301002</v>
          </cell>
          <cell r="E650" t="str">
            <v>伯希和/PELLIOT</v>
          </cell>
          <cell r="F650" t="str">
            <v>女装-外套-冲锋衣</v>
          </cell>
          <cell r="G650" t="str">
            <v>一品多商</v>
          </cell>
          <cell r="H650" t="str">
            <v>品牌直发</v>
          </cell>
          <cell r="I650">
            <v>0</v>
          </cell>
        </row>
        <row r="651">
          <cell r="D651">
            <v>114301001</v>
          </cell>
          <cell r="E651" t="str">
            <v>伯希和/PELLIOT</v>
          </cell>
          <cell r="F651" t="str">
            <v>服装-外套-冲锋衣</v>
          </cell>
          <cell r="G651" t="str">
            <v>一品多商</v>
          </cell>
          <cell r="H651" t="str">
            <v>品牌直发</v>
          </cell>
          <cell r="I651">
            <v>0</v>
          </cell>
        </row>
        <row r="652">
          <cell r="D652">
            <v>124301024</v>
          </cell>
          <cell r="E652" t="str">
            <v>伯希和/PELLIOT</v>
          </cell>
          <cell r="F652" t="str">
            <v>女装-外套-冲锋衣</v>
          </cell>
          <cell r="G652" t="str">
            <v>一品多商</v>
          </cell>
          <cell r="H652" t="str">
            <v>品牌直发</v>
          </cell>
          <cell r="I652">
            <v>0</v>
          </cell>
        </row>
        <row r="653">
          <cell r="D653">
            <v>114301023</v>
          </cell>
          <cell r="E653" t="str">
            <v>伯希和/PELLIOT</v>
          </cell>
          <cell r="F653" t="str">
            <v>服装-外套-冲锋衣</v>
          </cell>
          <cell r="G653" t="str">
            <v>一品多商</v>
          </cell>
          <cell r="H653" t="str">
            <v>品牌直发</v>
          </cell>
          <cell r="I653">
            <v>0</v>
          </cell>
        </row>
        <row r="654">
          <cell r="D654">
            <v>112331010</v>
          </cell>
          <cell r="E654" t="str">
            <v>伯希和/PELLIOT</v>
          </cell>
          <cell r="F654" t="str">
            <v>女装-户外运动服-抓绒衣</v>
          </cell>
          <cell r="G654" t="str">
            <v>一品一商</v>
          </cell>
          <cell r="H654" t="str">
            <v>品牌直发</v>
          </cell>
          <cell r="I654">
            <v>0</v>
          </cell>
        </row>
        <row r="655">
          <cell r="D655">
            <v>111331805</v>
          </cell>
          <cell r="E655" t="str">
            <v>伯希和/PELLIOT</v>
          </cell>
          <cell r="F655" t="str">
            <v>内衣-内衣裤-保暖套装</v>
          </cell>
          <cell r="G655" t="str">
            <v>一品一商</v>
          </cell>
          <cell r="H655" t="str">
            <v>品牌直发</v>
          </cell>
          <cell r="I655">
            <v>0</v>
          </cell>
        </row>
        <row r="656">
          <cell r="D656">
            <v>112331026</v>
          </cell>
          <cell r="E656" t="str">
            <v>伯希和/PELLIOT</v>
          </cell>
          <cell r="F656" t="str">
            <v>女装-户外运动服-抓绒衣</v>
          </cell>
          <cell r="G656" t="str">
            <v>一品一商</v>
          </cell>
          <cell r="H656" t="str">
            <v>品牌直发</v>
          </cell>
          <cell r="I656">
            <v>0</v>
          </cell>
        </row>
        <row r="657">
          <cell r="D657">
            <v>111421301</v>
          </cell>
          <cell r="E657" t="str">
            <v>伯希和/PELLIOT</v>
          </cell>
          <cell r="F657" t="str">
            <v>服装-上衣-衬衫</v>
          </cell>
          <cell r="G657" t="str">
            <v>一品一商</v>
          </cell>
          <cell r="H657" t="str">
            <v>品牌直发</v>
          </cell>
          <cell r="I657">
            <v>0</v>
          </cell>
        </row>
        <row r="658">
          <cell r="D658">
            <v>12415104</v>
          </cell>
          <cell r="E658" t="str">
            <v>伯希和/PELLIOT</v>
          </cell>
          <cell r="F658" t="str">
            <v>女装-外套-软壳衣</v>
          </cell>
          <cell r="G658" t="str">
            <v>一品一商</v>
          </cell>
          <cell r="H658" t="str">
            <v>品牌直发</v>
          </cell>
          <cell r="I658">
            <v>0</v>
          </cell>
        </row>
        <row r="659">
          <cell r="D659">
            <v>11415103</v>
          </cell>
          <cell r="E659" t="str">
            <v>伯希和/PELLIOT</v>
          </cell>
          <cell r="F659" t="str">
            <v>服装-户外运动服-风壳</v>
          </cell>
          <cell r="G659" t="str">
            <v>一品多商</v>
          </cell>
          <cell r="H659" t="str">
            <v>品牌直发</v>
          </cell>
          <cell r="I659">
            <v>0</v>
          </cell>
        </row>
        <row r="660">
          <cell r="D660">
            <v>12421216</v>
          </cell>
          <cell r="E660" t="str">
            <v>伯希和/PELLIOT</v>
          </cell>
          <cell r="F660" t="str">
            <v>女装-外套-防晒服</v>
          </cell>
          <cell r="G660" t="str">
            <v>一品多商</v>
          </cell>
          <cell r="H660" t="str">
            <v>品牌直发</v>
          </cell>
          <cell r="I660">
            <v>0</v>
          </cell>
        </row>
        <row r="661">
          <cell r="D661">
            <v>12421428</v>
          </cell>
          <cell r="E661" t="str">
            <v>伯希和/PELLIOT</v>
          </cell>
          <cell r="F661" t="str">
            <v>服装-长裤-工装裤</v>
          </cell>
          <cell r="G661" t="str">
            <v>一品一商</v>
          </cell>
          <cell r="H661" t="str">
            <v>品牌直发</v>
          </cell>
          <cell r="I661">
            <v>0</v>
          </cell>
        </row>
        <row r="662">
          <cell r="D662">
            <v>11421419</v>
          </cell>
          <cell r="E662" t="str">
            <v>伯希和/PELLIOT</v>
          </cell>
          <cell r="F662" t="str">
            <v>服装-健身服-运动短裤</v>
          </cell>
          <cell r="G662" t="str">
            <v>一品一商</v>
          </cell>
          <cell r="H662" t="str">
            <v>品牌直发</v>
          </cell>
          <cell r="I662">
            <v>0</v>
          </cell>
        </row>
        <row r="663">
          <cell r="D663">
            <v>11421301</v>
          </cell>
          <cell r="E663" t="str">
            <v>伯希和/PELLIOT</v>
          </cell>
          <cell r="F663" t="str">
            <v>服装-上衣-衬衫</v>
          </cell>
          <cell r="G663" t="str">
            <v>一品一商</v>
          </cell>
          <cell r="H663" t="str">
            <v>品牌直发</v>
          </cell>
          <cell r="I663">
            <v>0</v>
          </cell>
        </row>
        <row r="664">
          <cell r="D664">
            <v>16402504</v>
          </cell>
          <cell r="E664" t="str">
            <v>伯希和/PELLIOT</v>
          </cell>
          <cell r="F664" t="str">
            <v>箱包-包袋-户外包</v>
          </cell>
          <cell r="G664" t="str">
            <v>一品一商</v>
          </cell>
          <cell r="H664" t="str">
            <v>品牌直发</v>
          </cell>
          <cell r="I664">
            <v>0</v>
          </cell>
        </row>
        <row r="665">
          <cell r="D665">
            <v>16402501</v>
          </cell>
          <cell r="E665" t="str">
            <v>伯希和/PELLIOT</v>
          </cell>
          <cell r="F665" t="str">
            <v>箱包-包袋-户外包</v>
          </cell>
          <cell r="G665" t="str">
            <v>一品一商</v>
          </cell>
          <cell r="H665" t="str">
            <v>品牌直发</v>
          </cell>
          <cell r="I665">
            <v>0</v>
          </cell>
        </row>
        <row r="666">
          <cell r="D666">
            <v>16402608</v>
          </cell>
          <cell r="E666" t="str">
            <v>伯希和/PELLIOT</v>
          </cell>
          <cell r="F666" t="str">
            <v>箱包-包袋-手拿包</v>
          </cell>
          <cell r="G666" t="str">
            <v>一品一商</v>
          </cell>
          <cell r="H666" t="str">
            <v>品牌直发</v>
          </cell>
          <cell r="I666">
            <v>0</v>
          </cell>
        </row>
        <row r="667">
          <cell r="D667">
            <v>12111901</v>
          </cell>
          <cell r="E667" t="str">
            <v>伯希和/PELLIOT</v>
          </cell>
          <cell r="F667" t="str">
            <v>鞋-运动鞋-跑步鞋</v>
          </cell>
          <cell r="G667" t="str">
            <v>一品一商</v>
          </cell>
          <cell r="H667" t="str">
            <v>品牌直发</v>
          </cell>
          <cell r="I667">
            <v>0</v>
          </cell>
        </row>
        <row r="668">
          <cell r="D668">
            <v>12331902</v>
          </cell>
          <cell r="E668" t="str">
            <v>伯希和/PELLIOT</v>
          </cell>
          <cell r="F668" t="str">
            <v>鞋-运动鞋-登山鞋/徒步鞋</v>
          </cell>
          <cell r="G668" t="str">
            <v>一品一商</v>
          </cell>
          <cell r="H668" t="str">
            <v>品牌直发</v>
          </cell>
          <cell r="I668">
            <v>0</v>
          </cell>
        </row>
        <row r="669">
          <cell r="D669">
            <v>11111905</v>
          </cell>
          <cell r="E669" t="str">
            <v>伯希和/PELLIOT</v>
          </cell>
          <cell r="F669" t="str">
            <v>鞋-运动鞋-跑步鞋</v>
          </cell>
          <cell r="G669" t="str">
            <v>一品一商</v>
          </cell>
          <cell r="H669" t="str">
            <v>品牌直发</v>
          </cell>
          <cell r="I669">
            <v>0</v>
          </cell>
        </row>
        <row r="670">
          <cell r="D670">
            <v>12422004</v>
          </cell>
          <cell r="E670" t="str">
            <v>伯希和/PELLIOT</v>
          </cell>
          <cell r="F670" t="str">
            <v>鞋-运动鞋-户外功能鞋</v>
          </cell>
          <cell r="G670" t="str">
            <v>一品一商</v>
          </cell>
          <cell r="H670" t="str">
            <v>品牌直发</v>
          </cell>
          <cell r="I670">
            <v>0</v>
          </cell>
        </row>
        <row r="671">
          <cell r="D671">
            <v>12421238</v>
          </cell>
          <cell r="E671" t="str">
            <v>伯希和/PELLIOT</v>
          </cell>
          <cell r="F671" t="str">
            <v>女装-外套-防晒服</v>
          </cell>
          <cell r="G671" t="str">
            <v>一品一商</v>
          </cell>
          <cell r="H671" t="str">
            <v>品牌直发</v>
          </cell>
          <cell r="I671">
            <v>0</v>
          </cell>
        </row>
        <row r="672">
          <cell r="D672">
            <v>11011901</v>
          </cell>
          <cell r="E672" t="str">
            <v>伯希和/PELLIOT</v>
          </cell>
          <cell r="F672" t="str">
            <v>鞋-运动鞋-跑步鞋</v>
          </cell>
          <cell r="G672" t="str">
            <v>一品一商</v>
          </cell>
          <cell r="H672" t="str">
            <v>品牌直发</v>
          </cell>
          <cell r="I672">
            <v>0</v>
          </cell>
        </row>
        <row r="673">
          <cell r="D673">
            <v>12022104</v>
          </cell>
          <cell r="E673" t="str">
            <v>伯希和/PELLIOT</v>
          </cell>
          <cell r="F673" t="str">
            <v>鞋-运动鞋-户外功能鞋</v>
          </cell>
          <cell r="G673" t="str">
            <v>一品一商</v>
          </cell>
          <cell r="H673" t="str">
            <v>品牌直发</v>
          </cell>
          <cell r="I673">
            <v>0</v>
          </cell>
        </row>
        <row r="674">
          <cell r="D674">
            <v>16123406</v>
          </cell>
          <cell r="E674" t="str">
            <v>伯希和/PELLIOT</v>
          </cell>
          <cell r="F674" t="str">
            <v>流行饰品/眼镜/服配-帽子-鸭舌帽</v>
          </cell>
          <cell r="G674" t="str">
            <v>一品一商</v>
          </cell>
          <cell r="H674" t="str">
            <v>品牌直发</v>
          </cell>
          <cell r="I674">
            <v>0</v>
          </cell>
        </row>
        <row r="675">
          <cell r="D675">
            <v>1116023410</v>
          </cell>
          <cell r="E675" t="str">
            <v>伯希和/PELLIOT</v>
          </cell>
          <cell r="F675" t="str">
            <v>流行饰品/眼镜/服配-防晒服配-防晒帽</v>
          </cell>
          <cell r="G675" t="str">
            <v>一品一商</v>
          </cell>
          <cell r="H675" t="str">
            <v>品牌直发</v>
          </cell>
          <cell r="I675">
            <v>0</v>
          </cell>
        </row>
        <row r="676">
          <cell r="D676">
            <v>16325602</v>
          </cell>
          <cell r="E676" t="str">
            <v>伯希和/PELLIOT</v>
          </cell>
          <cell r="F676" t="str">
            <v>流行饰品/眼镜/服配-配饰-口罩</v>
          </cell>
          <cell r="G676" t="str">
            <v>一品一商</v>
          </cell>
          <cell r="H676" t="str">
            <v>品牌直发</v>
          </cell>
          <cell r="I676">
            <v>0</v>
          </cell>
        </row>
        <row r="677">
          <cell r="D677">
            <v>12421410</v>
          </cell>
          <cell r="E677" t="str">
            <v>伯希和/PELLIOT</v>
          </cell>
          <cell r="F677" t="str">
            <v>女装-户外运动服-速干裤</v>
          </cell>
          <cell r="G677" t="str">
            <v>一品一商</v>
          </cell>
          <cell r="H677" t="str">
            <v>品牌直发</v>
          </cell>
          <cell r="I677">
            <v>0</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s>
    <sheetDataSet>
      <sheetData sheetId="0">
        <row r="1">
          <cell r="D1" t="str">
            <v>商品货号</v>
          </cell>
          <cell r="E1" t="str">
            <v>品牌名称</v>
          </cell>
          <cell r="F1" t="str">
            <v>类目名称</v>
          </cell>
          <cell r="G1" t="str">
            <v>商品类型</v>
          </cell>
          <cell r="H1" t="str">
            <v>出价渠道</v>
          </cell>
          <cell r="I1" t="str">
            <v>支付金额</v>
          </cell>
        </row>
        <row r="2">
          <cell r="D2">
            <v>11421507</v>
          </cell>
          <cell r="E2" t="str">
            <v>伯希和/PELLIOT</v>
          </cell>
          <cell r="F2" t="str">
            <v>服装-上衣-Polo衫</v>
          </cell>
          <cell r="G2" t="str">
            <v>一品多商</v>
          </cell>
          <cell r="H2" t="str">
            <v>品牌直发</v>
          </cell>
          <cell r="I2">
            <v>10676.89</v>
          </cell>
        </row>
        <row r="3">
          <cell r="D3">
            <v>11421415</v>
          </cell>
          <cell r="E3" t="str">
            <v>伯希和/PELLIOT</v>
          </cell>
          <cell r="F3" t="str">
            <v>服装-户外运动服-速干裤</v>
          </cell>
          <cell r="G3" t="str">
            <v>一品多商</v>
          </cell>
          <cell r="H3" t="str">
            <v>品牌直发</v>
          </cell>
          <cell r="I3">
            <v>6519.9</v>
          </cell>
        </row>
        <row r="4">
          <cell r="D4">
            <v>11421509</v>
          </cell>
          <cell r="E4" t="str">
            <v>伯希和/PELLIOT</v>
          </cell>
          <cell r="F4" t="str">
            <v>服装-上衣-T恤</v>
          </cell>
          <cell r="G4" t="str">
            <v>一品多商</v>
          </cell>
          <cell r="H4" t="str">
            <v>品牌直发</v>
          </cell>
          <cell r="I4">
            <v>2690</v>
          </cell>
        </row>
        <row r="5">
          <cell r="D5">
            <v>115214024</v>
          </cell>
          <cell r="E5" t="str">
            <v>伯希和/PELLIOT</v>
          </cell>
          <cell r="F5" t="str">
            <v>服装-户外运动服-速干裤</v>
          </cell>
          <cell r="G5" t="str">
            <v>一品多商</v>
          </cell>
          <cell r="H5" t="str">
            <v>品牌直发</v>
          </cell>
          <cell r="I5">
            <v>4777</v>
          </cell>
        </row>
        <row r="6">
          <cell r="D6" t="str">
            <v>x1622</v>
          </cell>
          <cell r="E6" t="str">
            <v>伯希和/PELLIOT</v>
          </cell>
          <cell r="F6" t="str">
            <v>流行饰品/眼镜/服配-帽子-渔夫帽</v>
          </cell>
          <cell r="G6" t="str">
            <v>一品一商</v>
          </cell>
          <cell r="H6" t="str">
            <v>品牌直发</v>
          </cell>
          <cell r="I6">
            <v>1635</v>
          </cell>
        </row>
        <row r="7">
          <cell r="D7">
            <v>12421220</v>
          </cell>
          <cell r="E7" t="str">
            <v>伯希和/PELLIOT</v>
          </cell>
          <cell r="F7" t="str">
            <v>服装-外套-防晒服</v>
          </cell>
          <cell r="G7" t="str">
            <v>一品多商</v>
          </cell>
          <cell r="H7" t="str">
            <v>品牌直发</v>
          </cell>
          <cell r="I7">
            <v>4412</v>
          </cell>
        </row>
        <row r="8">
          <cell r="D8">
            <v>115215019</v>
          </cell>
          <cell r="E8" t="str">
            <v>伯希和/PELLIOT</v>
          </cell>
          <cell r="F8" t="str">
            <v>服装-上衣-Polo衫</v>
          </cell>
          <cell r="G8" t="str">
            <v>一品多商</v>
          </cell>
          <cell r="H8" t="str">
            <v>品牌直发</v>
          </cell>
          <cell r="I8">
            <v>3108</v>
          </cell>
        </row>
        <row r="9">
          <cell r="D9">
            <v>11421241</v>
          </cell>
          <cell r="E9" t="str">
            <v>伯希和/PELLIOT</v>
          </cell>
          <cell r="F9" t="str">
            <v>服装-外套-防晒服</v>
          </cell>
          <cell r="G9" t="str">
            <v>一品多商</v>
          </cell>
          <cell r="H9" t="str">
            <v>品牌直发</v>
          </cell>
          <cell r="I9">
            <v>2251</v>
          </cell>
        </row>
        <row r="10">
          <cell r="D10">
            <v>115214021</v>
          </cell>
          <cell r="E10" t="str">
            <v>伯希和/PELLIOT</v>
          </cell>
          <cell r="F10" t="str">
            <v>服装-户外运动服-速干裤</v>
          </cell>
          <cell r="G10" t="str">
            <v>一品多商</v>
          </cell>
          <cell r="H10" t="str">
            <v>品牌直发</v>
          </cell>
          <cell r="I10">
            <v>3399</v>
          </cell>
        </row>
        <row r="11">
          <cell r="D11">
            <v>115215025</v>
          </cell>
          <cell r="E11" t="str">
            <v>伯希和/PELLIOT</v>
          </cell>
          <cell r="F11" t="str">
            <v>服装-户外运动服-速干T恤</v>
          </cell>
          <cell r="G11" t="str">
            <v>一品多商</v>
          </cell>
          <cell r="H11" t="str">
            <v>品牌直发</v>
          </cell>
          <cell r="I11">
            <v>3027</v>
          </cell>
        </row>
        <row r="12">
          <cell r="D12">
            <v>115214025</v>
          </cell>
          <cell r="E12" t="str">
            <v>伯希和/PELLIOT</v>
          </cell>
          <cell r="F12" t="str">
            <v>服装-户外运动服-速干裤</v>
          </cell>
          <cell r="G12" t="str">
            <v>一品多商</v>
          </cell>
          <cell r="H12" t="str">
            <v>品牌直发</v>
          </cell>
          <cell r="I12">
            <v>1971</v>
          </cell>
        </row>
        <row r="13">
          <cell r="D13">
            <v>11321405</v>
          </cell>
          <cell r="E13" t="str">
            <v>伯希和/PELLIOT</v>
          </cell>
          <cell r="F13" t="str">
            <v>服装-户外运动服-速干裤</v>
          </cell>
          <cell r="G13" t="str">
            <v>一品多商</v>
          </cell>
          <cell r="H13" t="str">
            <v>品牌直发</v>
          </cell>
          <cell r="I13">
            <v>1969</v>
          </cell>
        </row>
        <row r="14">
          <cell r="D14">
            <v>125215020</v>
          </cell>
          <cell r="E14" t="str">
            <v>伯希和/PELLIOT</v>
          </cell>
          <cell r="F14" t="str">
            <v>女装-上衣-Polo衫</v>
          </cell>
          <cell r="G14" t="str">
            <v>一品多商</v>
          </cell>
          <cell r="H14" t="str">
            <v>品牌直发</v>
          </cell>
          <cell r="I14">
            <v>1223</v>
          </cell>
        </row>
        <row r="15">
          <cell r="D15">
            <v>115215047</v>
          </cell>
          <cell r="E15" t="str">
            <v>伯希和/PELLIOT</v>
          </cell>
          <cell r="F15" t="str">
            <v>服装-上衣-T恤</v>
          </cell>
          <cell r="G15" t="str">
            <v>一品一商</v>
          </cell>
          <cell r="H15" t="str">
            <v>品牌直发</v>
          </cell>
          <cell r="I15">
            <v>615</v>
          </cell>
        </row>
        <row r="16">
          <cell r="D16">
            <v>12421250</v>
          </cell>
          <cell r="E16" t="str">
            <v>伯希和/PELLIOT</v>
          </cell>
          <cell r="F16" t="str">
            <v>女装-外套-防晒服</v>
          </cell>
          <cell r="G16" t="str">
            <v>一品多商</v>
          </cell>
          <cell r="H16" t="str">
            <v>品牌直发</v>
          </cell>
          <cell r="I16">
            <v>1242</v>
          </cell>
        </row>
        <row r="17">
          <cell r="D17">
            <v>11421201</v>
          </cell>
          <cell r="E17" t="str">
            <v>伯希和/PELLIOT</v>
          </cell>
          <cell r="F17" t="str">
            <v>服装-外套-防晒服</v>
          </cell>
          <cell r="G17" t="str">
            <v>一品多商</v>
          </cell>
          <cell r="H17" t="str">
            <v>品牌直发</v>
          </cell>
          <cell r="I17">
            <v>1282</v>
          </cell>
        </row>
        <row r="18">
          <cell r="D18">
            <v>115116021</v>
          </cell>
          <cell r="E18" t="str">
            <v>伯希和/PELLIOT</v>
          </cell>
          <cell r="F18" t="str">
            <v>服装-上衣-T恤</v>
          </cell>
          <cell r="G18" t="str">
            <v>一品多商</v>
          </cell>
          <cell r="H18" t="str">
            <v>品牌直发</v>
          </cell>
          <cell r="I18">
            <v>793</v>
          </cell>
        </row>
        <row r="19">
          <cell r="D19">
            <v>16403404</v>
          </cell>
          <cell r="E19" t="str">
            <v>伯希和/PELLIOT</v>
          </cell>
          <cell r="F19" t="str">
            <v>流行饰品/眼镜/服配-帽子-鸭舌帽</v>
          </cell>
          <cell r="G19" t="str">
            <v>一品一商</v>
          </cell>
          <cell r="H19" t="str">
            <v>品牌直发</v>
          </cell>
          <cell r="I19">
            <v>276</v>
          </cell>
        </row>
        <row r="20">
          <cell r="D20">
            <v>16202612</v>
          </cell>
          <cell r="E20" t="str">
            <v>伯希和/PELLIOT</v>
          </cell>
          <cell r="F20" t="str">
            <v>箱包-包袋-户外包</v>
          </cell>
          <cell r="G20" t="str">
            <v>一品一商</v>
          </cell>
          <cell r="H20" t="str">
            <v>品牌直发</v>
          </cell>
          <cell r="I20">
            <v>130</v>
          </cell>
        </row>
        <row r="21">
          <cell r="D21">
            <v>12421440</v>
          </cell>
          <cell r="E21" t="str">
            <v>伯希和/PELLIOT</v>
          </cell>
          <cell r="F21" t="str">
            <v>服装-健身服-运动短裤</v>
          </cell>
          <cell r="G21" t="str">
            <v>一品多商</v>
          </cell>
          <cell r="H21" t="str">
            <v>品牌直发</v>
          </cell>
          <cell r="I21">
            <v>905</v>
          </cell>
        </row>
        <row r="22">
          <cell r="D22">
            <v>165041001</v>
          </cell>
          <cell r="E22" t="str">
            <v>伯希和/PELLIOT</v>
          </cell>
          <cell r="F22" t="str">
            <v>流行饰品/眼镜/服配-防晒服配-防晒脖套</v>
          </cell>
          <cell r="G22" t="str">
            <v>一品一商</v>
          </cell>
          <cell r="H22" t="str">
            <v>品牌直发</v>
          </cell>
          <cell r="I22">
            <v>109</v>
          </cell>
        </row>
        <row r="23">
          <cell r="D23">
            <v>114401041</v>
          </cell>
          <cell r="E23" t="str">
            <v>伯希和/PELLIOT</v>
          </cell>
          <cell r="F23" t="str">
            <v>服装-外套-冲锋衣</v>
          </cell>
          <cell r="G23" t="str">
            <v>一品多商</v>
          </cell>
          <cell r="H23" t="str">
            <v>品牌直发</v>
          </cell>
          <cell r="I23">
            <v>4542</v>
          </cell>
        </row>
        <row r="24">
          <cell r="D24">
            <v>16402503</v>
          </cell>
          <cell r="E24" t="str">
            <v>伯希和/PELLIOT</v>
          </cell>
          <cell r="F24" t="str">
            <v>箱包-包袋-户外包</v>
          </cell>
          <cell r="G24" t="str">
            <v>一品多商</v>
          </cell>
          <cell r="H24" t="str">
            <v>品牌直发</v>
          </cell>
          <cell r="I24">
            <v>1465</v>
          </cell>
        </row>
        <row r="25">
          <cell r="D25">
            <v>12321218</v>
          </cell>
          <cell r="E25" t="str">
            <v>伯希和/PELLIOT</v>
          </cell>
          <cell r="F25" t="str">
            <v>女装-外套-防晒服</v>
          </cell>
          <cell r="G25" t="str">
            <v>一品多商</v>
          </cell>
          <cell r="H25" t="str">
            <v>品牌直发</v>
          </cell>
          <cell r="I25">
            <v>496</v>
          </cell>
        </row>
        <row r="26">
          <cell r="D26">
            <v>11230601</v>
          </cell>
          <cell r="E26" t="str">
            <v>伯希和/PELLIOT</v>
          </cell>
          <cell r="F26" t="str">
            <v>服装-外套-软壳衣</v>
          </cell>
          <cell r="G26" t="str">
            <v>一品多商</v>
          </cell>
          <cell r="H26" t="str">
            <v>品牌直发</v>
          </cell>
          <cell r="I26">
            <v>1355</v>
          </cell>
        </row>
        <row r="27">
          <cell r="D27">
            <v>135212023</v>
          </cell>
          <cell r="E27" t="str">
            <v>伯希和/PELLIOT</v>
          </cell>
          <cell r="F27" t="str">
            <v>童装-儿童上装-防晒衣</v>
          </cell>
          <cell r="G27" t="str">
            <v>一品多商</v>
          </cell>
          <cell r="H27" t="str">
            <v>品牌直发</v>
          </cell>
          <cell r="I27">
            <v>834</v>
          </cell>
        </row>
        <row r="28">
          <cell r="D28">
            <v>125214022</v>
          </cell>
          <cell r="E28" t="str">
            <v>伯希和/PELLIOT</v>
          </cell>
          <cell r="F28" t="str">
            <v>女装-户外运动服-速干裤</v>
          </cell>
          <cell r="G28" t="str">
            <v>一品一商</v>
          </cell>
          <cell r="H28" t="str">
            <v>品牌直发</v>
          </cell>
          <cell r="I28">
            <v>968</v>
          </cell>
        </row>
        <row r="29">
          <cell r="D29">
            <v>135101022</v>
          </cell>
          <cell r="E29" t="str">
            <v>伯希和/PELLIOT</v>
          </cell>
          <cell r="F29" t="str">
            <v>童装-儿童上装-冲锋衣</v>
          </cell>
          <cell r="G29" t="str">
            <v>一品一商</v>
          </cell>
          <cell r="H29" t="str">
            <v>品牌直发</v>
          </cell>
          <cell r="I29">
            <v>1378</v>
          </cell>
        </row>
        <row r="30">
          <cell r="D30">
            <v>116202507</v>
          </cell>
          <cell r="E30" t="str">
            <v>伯希和/PELLIOT</v>
          </cell>
          <cell r="F30" t="str">
            <v>箱包-包袋-户外包</v>
          </cell>
          <cell r="G30" t="str">
            <v>一品多商</v>
          </cell>
          <cell r="H30" t="str">
            <v>品牌直发</v>
          </cell>
          <cell r="I30">
            <v>1228.52</v>
          </cell>
        </row>
        <row r="31">
          <cell r="D31">
            <v>16402511</v>
          </cell>
          <cell r="E31" t="str">
            <v>伯希和/PELLIOT</v>
          </cell>
          <cell r="F31" t="str">
            <v>箱包-包袋-户外包</v>
          </cell>
          <cell r="G31" t="str">
            <v>一品多商</v>
          </cell>
          <cell r="H31" t="str">
            <v>品牌直发</v>
          </cell>
          <cell r="I31">
            <v>968</v>
          </cell>
        </row>
        <row r="32">
          <cell r="D32">
            <v>124301006</v>
          </cell>
          <cell r="E32" t="str">
            <v>伯希和/PELLIOT</v>
          </cell>
          <cell r="F32" t="str">
            <v>服装-外套-冲锋衣</v>
          </cell>
          <cell r="G32" t="str">
            <v>一品多商</v>
          </cell>
          <cell r="H32" t="str">
            <v>品牌直发</v>
          </cell>
          <cell r="I32">
            <v>3116</v>
          </cell>
        </row>
        <row r="33">
          <cell r="D33">
            <v>11421533</v>
          </cell>
          <cell r="E33" t="str">
            <v>伯希和/PELLIOT</v>
          </cell>
          <cell r="F33" t="str">
            <v>服装-上衣-Polo衫</v>
          </cell>
          <cell r="G33" t="str">
            <v>一品多商</v>
          </cell>
          <cell r="H33" t="str">
            <v>品牌直发</v>
          </cell>
          <cell r="I33">
            <v>753</v>
          </cell>
        </row>
        <row r="34">
          <cell r="D34">
            <v>11331801</v>
          </cell>
          <cell r="E34" t="str">
            <v>伯希和/PELLIOT</v>
          </cell>
          <cell r="F34" t="str">
            <v>内衣-内衣裤-保暖套装</v>
          </cell>
          <cell r="G34" t="str">
            <v>一品多商</v>
          </cell>
          <cell r="H34" t="str">
            <v>品牌直发</v>
          </cell>
          <cell r="I34">
            <v>783</v>
          </cell>
        </row>
        <row r="35">
          <cell r="D35">
            <v>12340164</v>
          </cell>
          <cell r="E35" t="str">
            <v>伯希和/PELLIOT</v>
          </cell>
          <cell r="F35" t="str">
            <v>服装-外套-冲锋衣</v>
          </cell>
          <cell r="G35" t="str">
            <v>一品多商</v>
          </cell>
          <cell r="H35" t="str">
            <v>品牌直发</v>
          </cell>
          <cell r="I35">
            <v>2055</v>
          </cell>
        </row>
        <row r="36">
          <cell r="D36">
            <v>115181001</v>
          </cell>
          <cell r="E36" t="str">
            <v>伯希和/PELLIOT</v>
          </cell>
          <cell r="F36" t="str">
            <v>鞋-运动鞋-登山鞋/徒步鞋</v>
          </cell>
          <cell r="G36" t="str">
            <v>一品多商</v>
          </cell>
          <cell r="H36" t="str">
            <v>品牌直发</v>
          </cell>
          <cell r="I36">
            <v>1589</v>
          </cell>
        </row>
        <row r="37">
          <cell r="D37" t="str">
            <v>12421220-新加色</v>
          </cell>
          <cell r="E37" t="str">
            <v>伯希和/PELLIOT</v>
          </cell>
          <cell r="F37" t="str">
            <v>服装-外套-防晒服</v>
          </cell>
          <cell r="G37" t="str">
            <v>一品多商</v>
          </cell>
          <cell r="H37" t="str">
            <v>品牌直发</v>
          </cell>
          <cell r="I37">
            <v>726</v>
          </cell>
        </row>
        <row r="38">
          <cell r="D38">
            <v>115151005</v>
          </cell>
          <cell r="E38" t="str">
            <v>伯希和/PELLIOT</v>
          </cell>
          <cell r="F38" t="str">
            <v>服装-外套-夹克</v>
          </cell>
          <cell r="G38" t="str">
            <v>一品一商</v>
          </cell>
          <cell r="H38" t="str">
            <v>品牌直发</v>
          </cell>
          <cell r="I38">
            <v>1816</v>
          </cell>
        </row>
        <row r="39">
          <cell r="D39">
            <v>105212020</v>
          </cell>
          <cell r="E39" t="str">
            <v>伯希和/PELLIOT</v>
          </cell>
          <cell r="F39" t="str">
            <v>服装-外套-防晒服</v>
          </cell>
          <cell r="G39" t="str">
            <v>一品多商</v>
          </cell>
          <cell r="H39" t="str">
            <v>品牌直发</v>
          </cell>
          <cell r="I39">
            <v>848</v>
          </cell>
        </row>
        <row r="40">
          <cell r="D40" t="str">
            <v>124101048-新加色</v>
          </cell>
          <cell r="E40" t="str">
            <v>伯希和/PELLIOT</v>
          </cell>
          <cell r="F40" t="str">
            <v>服装-外套-冲锋衣</v>
          </cell>
          <cell r="G40" t="str">
            <v>一品多商</v>
          </cell>
          <cell r="H40" t="str">
            <v>品牌直发</v>
          </cell>
          <cell r="I40">
            <v>2034</v>
          </cell>
        </row>
        <row r="41">
          <cell r="D41" t="str">
            <v>12340164-2025</v>
          </cell>
          <cell r="E41" t="str">
            <v>伯希和/PELLIOT</v>
          </cell>
          <cell r="F41" t="str">
            <v>服装-外套-冲锋衣</v>
          </cell>
          <cell r="G41" t="str">
            <v>一品多商</v>
          </cell>
          <cell r="H41" t="str">
            <v>品牌直发</v>
          </cell>
          <cell r="I41">
            <v>2043</v>
          </cell>
        </row>
        <row r="42">
          <cell r="D42">
            <v>164334405</v>
          </cell>
          <cell r="E42" t="str">
            <v>伯希和/PELLIOT</v>
          </cell>
          <cell r="F42" t="str">
            <v>流行饰品/眼镜/服配-帽子-绒线帽</v>
          </cell>
          <cell r="G42" t="str">
            <v>一品一商</v>
          </cell>
          <cell r="H42" t="str">
            <v>品牌直发</v>
          </cell>
          <cell r="I42">
            <v>239</v>
          </cell>
        </row>
        <row r="43">
          <cell r="D43" t="str">
            <v>PE1124101048</v>
          </cell>
          <cell r="E43" t="str">
            <v>伯希和/PELLIOT</v>
          </cell>
          <cell r="F43" t="str">
            <v>服装-外套-冲锋衣</v>
          </cell>
          <cell r="G43" t="str">
            <v>一品多商</v>
          </cell>
          <cell r="H43" t="str">
            <v>品牌直发</v>
          </cell>
          <cell r="I43">
            <v>1886</v>
          </cell>
        </row>
        <row r="44">
          <cell r="D44" t="str">
            <v>112340164-271037</v>
          </cell>
          <cell r="E44" t="str">
            <v>伯希和/PELLIOT</v>
          </cell>
          <cell r="F44" t="str">
            <v>服装-外套-冲锋衣</v>
          </cell>
          <cell r="G44" t="str">
            <v>一品多商</v>
          </cell>
          <cell r="H44" t="str">
            <v>品牌直发</v>
          </cell>
          <cell r="I44">
            <v>1232</v>
          </cell>
        </row>
        <row r="45">
          <cell r="D45">
            <v>11331003</v>
          </cell>
          <cell r="E45" t="str">
            <v>伯希和/PELLIOT</v>
          </cell>
          <cell r="F45" t="str">
            <v>服装-户外运动服-抓绒衣</v>
          </cell>
          <cell r="G45" t="str">
            <v>一品一商</v>
          </cell>
          <cell r="H45" t="str">
            <v>品牌直发</v>
          </cell>
          <cell r="I45">
            <v>528</v>
          </cell>
        </row>
        <row r="46">
          <cell r="D46">
            <v>11321207</v>
          </cell>
          <cell r="E46" t="str">
            <v>伯希和/PELLIOT</v>
          </cell>
          <cell r="F46" t="str">
            <v>服装-外套-防晒服</v>
          </cell>
          <cell r="G46" t="str">
            <v>一品多商</v>
          </cell>
          <cell r="H46" t="str">
            <v>品牌直发</v>
          </cell>
          <cell r="I46">
            <v>285</v>
          </cell>
        </row>
        <row r="47">
          <cell r="D47">
            <v>12040106</v>
          </cell>
          <cell r="E47" t="str">
            <v>伯希和/PELLIOT</v>
          </cell>
          <cell r="F47" t="str">
            <v>女装-外套-冲锋衣</v>
          </cell>
          <cell r="G47" t="str">
            <v>一品多商</v>
          </cell>
          <cell r="H47" t="str">
            <v>品牌直发</v>
          </cell>
          <cell r="I47">
            <v>1088</v>
          </cell>
        </row>
        <row r="48">
          <cell r="D48">
            <v>105301051</v>
          </cell>
          <cell r="E48" t="str">
            <v>伯希和/PELLIOT</v>
          </cell>
          <cell r="F48" t="str">
            <v>服装-外套-冲锋衣</v>
          </cell>
          <cell r="G48" t="str">
            <v>一品多商</v>
          </cell>
          <cell r="H48" t="str">
            <v>普通现货</v>
          </cell>
          <cell r="I48">
            <v>2544</v>
          </cell>
        </row>
        <row r="49">
          <cell r="D49">
            <v>115302007</v>
          </cell>
          <cell r="E49" t="str">
            <v>伯希和/PELLIOT</v>
          </cell>
          <cell r="F49" t="str">
            <v>服装-长裤-冲锋裤</v>
          </cell>
          <cell r="G49" t="str">
            <v>一品多商</v>
          </cell>
          <cell r="H49" t="str">
            <v>品牌直发</v>
          </cell>
          <cell r="I49">
            <v>1144</v>
          </cell>
        </row>
        <row r="50">
          <cell r="D50">
            <v>115316032</v>
          </cell>
          <cell r="E50" t="str">
            <v>伯希和/PELLIOT</v>
          </cell>
          <cell r="F50" t="str">
            <v>服装-上衣-T恤</v>
          </cell>
          <cell r="G50" t="str">
            <v>一品多商</v>
          </cell>
          <cell r="H50" t="str">
            <v>品牌直发</v>
          </cell>
          <cell r="I50">
            <v>554</v>
          </cell>
        </row>
        <row r="51">
          <cell r="D51">
            <v>115215045</v>
          </cell>
          <cell r="E51" t="str">
            <v>伯希和/PELLIOT</v>
          </cell>
          <cell r="F51" t="str">
            <v>服装-上衣-T恤</v>
          </cell>
          <cell r="G51" t="str">
            <v>一品一商</v>
          </cell>
          <cell r="H51" t="str">
            <v>品牌直发</v>
          </cell>
          <cell r="I51">
            <v>232</v>
          </cell>
        </row>
        <row r="52">
          <cell r="D52">
            <v>115214005</v>
          </cell>
          <cell r="E52" t="str">
            <v>伯希和/PELLIOT</v>
          </cell>
          <cell r="F52" t="str">
            <v>服装-户外运动服-速干裤</v>
          </cell>
          <cell r="G52" t="str">
            <v>一品多商</v>
          </cell>
          <cell r="H52" t="str">
            <v>品牌直发</v>
          </cell>
          <cell r="I52">
            <v>489</v>
          </cell>
        </row>
        <row r="53">
          <cell r="D53">
            <v>115212003</v>
          </cell>
          <cell r="E53" t="str">
            <v>伯希和/PELLIOT</v>
          </cell>
          <cell r="F53" t="str">
            <v>服装-外套-防晒服</v>
          </cell>
          <cell r="G53" t="str">
            <v>一品多商</v>
          </cell>
          <cell r="H53" t="str">
            <v>品牌直发</v>
          </cell>
          <cell r="I53">
            <v>502</v>
          </cell>
        </row>
        <row r="54">
          <cell r="D54">
            <v>115220021</v>
          </cell>
          <cell r="E54" t="str">
            <v>伯希和/PELLIOT</v>
          </cell>
          <cell r="F54" t="str">
            <v>鞋-凉鞋/拖鞋-溯溪鞋</v>
          </cell>
          <cell r="G54" t="str">
            <v>一品一商</v>
          </cell>
          <cell r="H54" t="str">
            <v>品牌直发</v>
          </cell>
          <cell r="I54">
            <v>846</v>
          </cell>
        </row>
        <row r="55">
          <cell r="D55">
            <v>115107003</v>
          </cell>
          <cell r="E55" t="str">
            <v>伯希和/PELLIOT</v>
          </cell>
          <cell r="F55" t="str">
            <v>服装-长裤-软壳裤</v>
          </cell>
          <cell r="G55" t="str">
            <v>一品多商</v>
          </cell>
          <cell r="H55" t="str">
            <v>品牌直发</v>
          </cell>
          <cell r="I55">
            <v>973</v>
          </cell>
        </row>
        <row r="56">
          <cell r="D56">
            <v>115119025</v>
          </cell>
          <cell r="E56" t="str">
            <v>伯希和/PELLIOT</v>
          </cell>
          <cell r="F56" t="str">
            <v>鞋-运动鞋-越野跑鞋</v>
          </cell>
          <cell r="G56" t="str">
            <v>一品多商</v>
          </cell>
          <cell r="H56" t="str">
            <v>品牌直发</v>
          </cell>
          <cell r="I56">
            <v>718</v>
          </cell>
        </row>
        <row r="57">
          <cell r="D57" t="str">
            <v>11340105-新加色</v>
          </cell>
          <cell r="E57" t="str">
            <v>伯希和/PELLIOT</v>
          </cell>
          <cell r="F57" t="str">
            <v>服装-外套-冲锋衣</v>
          </cell>
          <cell r="G57" t="str">
            <v>一品多商</v>
          </cell>
          <cell r="H57" t="str">
            <v>品牌直发</v>
          </cell>
          <cell r="I57">
            <v>955</v>
          </cell>
        </row>
        <row r="58">
          <cell r="D58">
            <v>124301038</v>
          </cell>
          <cell r="E58" t="str">
            <v>伯希和/PELLIOT</v>
          </cell>
          <cell r="F58" t="str">
            <v>女装-外套-冲锋衣</v>
          </cell>
          <cell r="G58" t="str">
            <v>一品多商</v>
          </cell>
          <cell r="H58" t="str">
            <v>品牌直发</v>
          </cell>
          <cell r="I58">
            <v>1258</v>
          </cell>
        </row>
        <row r="59">
          <cell r="D59">
            <v>12421252</v>
          </cell>
          <cell r="E59" t="str">
            <v>伯希和/PELLIOT</v>
          </cell>
          <cell r="F59" t="str">
            <v>女装-外套-防晒服</v>
          </cell>
          <cell r="G59" t="str">
            <v>一品多商</v>
          </cell>
          <cell r="H59" t="str">
            <v>品牌直发</v>
          </cell>
          <cell r="I59">
            <v>167</v>
          </cell>
        </row>
        <row r="60">
          <cell r="D60">
            <v>16423433</v>
          </cell>
          <cell r="E60" t="str">
            <v>伯希和/PELLIOT</v>
          </cell>
          <cell r="F60" t="str">
            <v>流行饰品/眼镜/服配-防晒服配-防晒帽</v>
          </cell>
          <cell r="G60" t="str">
            <v>一品一商</v>
          </cell>
          <cell r="H60" t="str">
            <v>品牌直发</v>
          </cell>
          <cell r="I60">
            <v>54</v>
          </cell>
        </row>
        <row r="61">
          <cell r="D61">
            <v>11421519</v>
          </cell>
          <cell r="E61" t="str">
            <v>伯希和/PELLIOT</v>
          </cell>
          <cell r="F61" t="str">
            <v>服装-上衣-Polo衫</v>
          </cell>
          <cell r="G61" t="str">
            <v>一品一商</v>
          </cell>
          <cell r="H61" t="str">
            <v>品牌直发</v>
          </cell>
          <cell r="I61">
            <v>281</v>
          </cell>
        </row>
        <row r="62">
          <cell r="D62">
            <v>11421503</v>
          </cell>
          <cell r="E62" t="str">
            <v>伯希和/PELLIOT</v>
          </cell>
          <cell r="F62" t="str">
            <v>服装-上衣-Polo衫</v>
          </cell>
          <cell r="G62" t="str">
            <v>一品多商</v>
          </cell>
          <cell r="H62" t="str">
            <v>品牌直发</v>
          </cell>
          <cell r="I62">
            <v>281</v>
          </cell>
        </row>
        <row r="63">
          <cell r="D63">
            <v>12421228</v>
          </cell>
          <cell r="E63" t="str">
            <v>伯希和/PELLIOT</v>
          </cell>
          <cell r="F63" t="str">
            <v>女装-外套-防晒服</v>
          </cell>
          <cell r="G63" t="str">
            <v>一品多商</v>
          </cell>
          <cell r="H63" t="str">
            <v>品牌直发</v>
          </cell>
          <cell r="I63">
            <v>164</v>
          </cell>
        </row>
        <row r="64">
          <cell r="D64">
            <v>12421534</v>
          </cell>
          <cell r="E64" t="str">
            <v>伯希和/PELLIOT</v>
          </cell>
          <cell r="F64" t="str">
            <v>女装-上衣-Polo衫</v>
          </cell>
          <cell r="G64" t="str">
            <v>一品多商</v>
          </cell>
          <cell r="H64" t="str">
            <v>品牌直发</v>
          </cell>
          <cell r="I64">
            <v>235</v>
          </cell>
        </row>
        <row r="65">
          <cell r="D65">
            <v>12425112</v>
          </cell>
          <cell r="E65" t="str">
            <v>伯希和/PELLIOT</v>
          </cell>
          <cell r="F65" t="str">
            <v>女装-外套-防晒服</v>
          </cell>
          <cell r="G65" t="str">
            <v>一品多商</v>
          </cell>
          <cell r="H65" t="str">
            <v>品牌直发</v>
          </cell>
          <cell r="I65">
            <v>221</v>
          </cell>
        </row>
        <row r="66">
          <cell r="D66">
            <v>11410201</v>
          </cell>
          <cell r="E66" t="str">
            <v>伯希和/PELLIOT</v>
          </cell>
          <cell r="F66" t="str">
            <v>服装-长裤-冲锋裤</v>
          </cell>
          <cell r="G66" t="str">
            <v>一品多商</v>
          </cell>
          <cell r="H66" t="str">
            <v>品牌直发</v>
          </cell>
          <cell r="I66">
            <v>461</v>
          </cell>
        </row>
        <row r="67">
          <cell r="D67">
            <v>12331032</v>
          </cell>
          <cell r="E67" t="str">
            <v>伯希和/PELLIOT</v>
          </cell>
          <cell r="F67" t="str">
            <v>服装-户外运动服-抓绒衣</v>
          </cell>
          <cell r="G67" t="str">
            <v>一品一商</v>
          </cell>
          <cell r="H67" t="str">
            <v>品牌直发</v>
          </cell>
          <cell r="I67">
            <v>631</v>
          </cell>
        </row>
        <row r="68">
          <cell r="D68">
            <v>11331011</v>
          </cell>
          <cell r="E68" t="str">
            <v>伯希和/PELLIOT</v>
          </cell>
          <cell r="F68" t="str">
            <v>服装-户外运动服-抓绒衣</v>
          </cell>
          <cell r="G68" t="str">
            <v>一品多商</v>
          </cell>
          <cell r="H68" t="str">
            <v>品牌直发</v>
          </cell>
          <cell r="I68">
            <v>167</v>
          </cell>
        </row>
        <row r="69">
          <cell r="D69">
            <v>114301085</v>
          </cell>
          <cell r="E69" t="str">
            <v>伯希和/PELLIOT</v>
          </cell>
          <cell r="F69" t="str">
            <v>服装-外套-冲锋衣</v>
          </cell>
          <cell r="G69" t="str">
            <v>一品多商</v>
          </cell>
          <cell r="H69" t="str">
            <v>品牌直发</v>
          </cell>
          <cell r="I69">
            <v>1768</v>
          </cell>
        </row>
        <row r="70">
          <cell r="D70">
            <v>112230602</v>
          </cell>
          <cell r="E70" t="str">
            <v>伯希和/PELLIOT</v>
          </cell>
          <cell r="F70" t="str">
            <v>女装-外套-软壳衣</v>
          </cell>
          <cell r="G70" t="str">
            <v>一品一商</v>
          </cell>
          <cell r="H70" t="str">
            <v>品牌直发</v>
          </cell>
          <cell r="I70">
            <v>339</v>
          </cell>
        </row>
        <row r="71">
          <cell r="D71">
            <v>12340106</v>
          </cell>
          <cell r="E71" t="str">
            <v>伯希和/PELLIOT</v>
          </cell>
          <cell r="F71" t="str">
            <v>女装-外套-冲锋衣</v>
          </cell>
          <cell r="G71" t="str">
            <v>一品多商</v>
          </cell>
          <cell r="H71" t="str">
            <v>品牌直发</v>
          </cell>
          <cell r="I71">
            <v>469</v>
          </cell>
        </row>
        <row r="72">
          <cell r="D72">
            <v>11340105</v>
          </cell>
          <cell r="E72" t="str">
            <v>伯希和/PELLIOT</v>
          </cell>
          <cell r="F72" t="str">
            <v>服装-外套-冲锋衣</v>
          </cell>
          <cell r="G72" t="str">
            <v>一品多商</v>
          </cell>
          <cell r="H72" t="str">
            <v>品牌直发</v>
          </cell>
          <cell r="I72">
            <v>478</v>
          </cell>
        </row>
        <row r="73">
          <cell r="D73">
            <v>11121411</v>
          </cell>
          <cell r="E73" t="str">
            <v>伯希和/PELLIOT</v>
          </cell>
          <cell r="F73" t="str">
            <v>服装-户外运动服-速干裤</v>
          </cell>
          <cell r="G73" t="str">
            <v>一品多商</v>
          </cell>
          <cell r="H73" t="str">
            <v>品牌直发</v>
          </cell>
          <cell r="I73">
            <v>180</v>
          </cell>
        </row>
        <row r="74">
          <cell r="D74">
            <v>12321224</v>
          </cell>
          <cell r="E74" t="str">
            <v>伯希和/PELLIOT</v>
          </cell>
          <cell r="F74" t="str">
            <v>服装-外套-防晒服</v>
          </cell>
          <cell r="G74" t="str">
            <v>一品一商</v>
          </cell>
          <cell r="H74" t="str">
            <v>品牌直发</v>
          </cell>
          <cell r="I74">
            <v>394</v>
          </cell>
        </row>
        <row r="75">
          <cell r="D75">
            <v>115110021</v>
          </cell>
          <cell r="E75" t="str">
            <v>伯希和/PELLIOT</v>
          </cell>
          <cell r="F75" t="str">
            <v>服装-户外运动服-抓绒衣</v>
          </cell>
          <cell r="G75" t="str">
            <v>一品多商</v>
          </cell>
          <cell r="H75" t="str">
            <v>品牌直发</v>
          </cell>
          <cell r="I75">
            <v>204</v>
          </cell>
        </row>
        <row r="76">
          <cell r="D76">
            <v>11040105</v>
          </cell>
          <cell r="E76" t="str">
            <v>伯希和/PELLIOT</v>
          </cell>
          <cell r="F76" t="str">
            <v>服装-外套-冲锋衣</v>
          </cell>
          <cell r="G76" t="str">
            <v>一品多商</v>
          </cell>
          <cell r="H76" t="str">
            <v>品牌直发</v>
          </cell>
          <cell r="I76">
            <v>535</v>
          </cell>
        </row>
        <row r="77">
          <cell r="D77">
            <v>12321248</v>
          </cell>
          <cell r="E77" t="str">
            <v>伯希和/PELLIOT</v>
          </cell>
          <cell r="F77" t="str">
            <v>女装-外套-防晒服</v>
          </cell>
          <cell r="G77" t="str">
            <v>一品多商</v>
          </cell>
          <cell r="H77" t="str">
            <v>品牌直发</v>
          </cell>
          <cell r="I77">
            <v>184</v>
          </cell>
        </row>
        <row r="78">
          <cell r="D78">
            <v>12121262</v>
          </cell>
          <cell r="E78" t="str">
            <v>伯希和/PELLIOT</v>
          </cell>
          <cell r="F78" t="str">
            <v>女装-外套-防晒服</v>
          </cell>
          <cell r="G78" t="str">
            <v>一品多商</v>
          </cell>
          <cell r="H78" t="str">
            <v>品牌直发</v>
          </cell>
          <cell r="I78">
            <v>164</v>
          </cell>
        </row>
        <row r="79">
          <cell r="D79">
            <v>105301083</v>
          </cell>
          <cell r="E79" t="str">
            <v>伯希和/PELLIOT</v>
          </cell>
          <cell r="F79" t="str">
            <v>服装-外套-冲锋衣</v>
          </cell>
          <cell r="G79" t="str">
            <v>一品多商</v>
          </cell>
          <cell r="H79" t="str">
            <v>品牌直发</v>
          </cell>
          <cell r="I79">
            <v>593</v>
          </cell>
        </row>
        <row r="80">
          <cell r="D80">
            <v>115302003</v>
          </cell>
          <cell r="E80" t="str">
            <v>伯希和/PELLIOT</v>
          </cell>
          <cell r="F80" t="str">
            <v>服装-长裤-冲锋裤</v>
          </cell>
          <cell r="G80" t="str">
            <v>一品多商</v>
          </cell>
          <cell r="H80" t="str">
            <v>品牌直发</v>
          </cell>
          <cell r="I80">
            <v>677</v>
          </cell>
        </row>
        <row r="81">
          <cell r="D81">
            <v>125302008</v>
          </cell>
          <cell r="E81" t="str">
            <v>伯希和/PELLIOT</v>
          </cell>
          <cell r="F81" t="str">
            <v>女装-长裤-冲锋裤</v>
          </cell>
          <cell r="G81" t="str">
            <v>一品多商</v>
          </cell>
          <cell r="H81" t="str">
            <v>品牌直发</v>
          </cell>
          <cell r="I81">
            <v>547</v>
          </cell>
        </row>
        <row r="82">
          <cell r="D82">
            <v>105301059</v>
          </cell>
          <cell r="E82" t="str">
            <v>伯希和/PELLIOT</v>
          </cell>
          <cell r="F82" t="str">
            <v>服装-外套-冲锋衣</v>
          </cell>
          <cell r="G82" t="str">
            <v>一品多商</v>
          </cell>
          <cell r="H82" t="str">
            <v>品牌直发</v>
          </cell>
          <cell r="I82">
            <v>819</v>
          </cell>
        </row>
        <row r="83">
          <cell r="D83" t="str">
            <v>125301055-新加色</v>
          </cell>
          <cell r="E83" t="str">
            <v>伯希和/PELLIOT</v>
          </cell>
          <cell r="F83" t="str">
            <v>女装-外套-冲锋衣</v>
          </cell>
          <cell r="G83" t="str">
            <v>一品多商</v>
          </cell>
          <cell r="H83" t="str">
            <v>品牌直发</v>
          </cell>
          <cell r="I83">
            <v>581</v>
          </cell>
        </row>
        <row r="84">
          <cell r="D84" t="str">
            <v>115301054-新加色</v>
          </cell>
          <cell r="E84" t="str">
            <v>伯希和/PELLIOT</v>
          </cell>
          <cell r="F84" t="str">
            <v>服装-外套-冲锋衣</v>
          </cell>
          <cell r="G84" t="str">
            <v>一品多商</v>
          </cell>
          <cell r="H84" t="str">
            <v>品牌直发</v>
          </cell>
          <cell r="I84">
            <v>546</v>
          </cell>
        </row>
        <row r="85">
          <cell r="D85">
            <v>115220001</v>
          </cell>
          <cell r="E85" t="str">
            <v>伯希和/PELLIOT</v>
          </cell>
          <cell r="F85" t="str">
            <v>鞋-凉鞋/拖鞋-溯溪鞋</v>
          </cell>
          <cell r="G85" t="str">
            <v>一品多商</v>
          </cell>
          <cell r="H85" t="str">
            <v>品牌直发</v>
          </cell>
          <cell r="I85">
            <v>478</v>
          </cell>
        </row>
        <row r="86">
          <cell r="D86">
            <v>115215037</v>
          </cell>
          <cell r="E86" t="str">
            <v>伯希和/PELLIOT</v>
          </cell>
          <cell r="F86" t="str">
            <v>服装-上衣-Polo衫</v>
          </cell>
          <cell r="G86" t="str">
            <v>一品一商</v>
          </cell>
          <cell r="H86" t="str">
            <v>品牌直发</v>
          </cell>
          <cell r="I86">
            <v>402</v>
          </cell>
        </row>
        <row r="87">
          <cell r="D87">
            <v>115215030</v>
          </cell>
          <cell r="E87" t="str">
            <v>伯希和/PELLIOT</v>
          </cell>
          <cell r="F87" t="str">
            <v>服装-上衣-T恤</v>
          </cell>
          <cell r="G87" t="str">
            <v>一品一商</v>
          </cell>
          <cell r="H87" t="str">
            <v>品牌直发</v>
          </cell>
          <cell r="I87">
            <v>165</v>
          </cell>
        </row>
        <row r="88">
          <cell r="D88">
            <v>115215021</v>
          </cell>
          <cell r="E88" t="str">
            <v>伯希和/PELLIOT</v>
          </cell>
          <cell r="F88" t="str">
            <v>服装-上衣-T恤</v>
          </cell>
          <cell r="G88" t="str">
            <v>一品一商</v>
          </cell>
          <cell r="H88" t="str">
            <v>品牌直发</v>
          </cell>
          <cell r="I88">
            <v>192</v>
          </cell>
        </row>
        <row r="89">
          <cell r="D89">
            <v>115215001</v>
          </cell>
          <cell r="E89" t="str">
            <v>伯希和/PELLIOT</v>
          </cell>
          <cell r="F89" t="str">
            <v>服装-上衣-T恤</v>
          </cell>
          <cell r="G89" t="str">
            <v>一品多商</v>
          </cell>
          <cell r="H89" t="str">
            <v>品牌直发</v>
          </cell>
          <cell r="I89">
            <v>199</v>
          </cell>
        </row>
        <row r="90">
          <cell r="D90">
            <v>115215039</v>
          </cell>
          <cell r="E90" t="str">
            <v>伯希和/PELLIOT</v>
          </cell>
          <cell r="F90" t="str">
            <v>服装-上衣-Polo衫</v>
          </cell>
          <cell r="G90" t="str">
            <v>一品多商</v>
          </cell>
          <cell r="H90" t="str">
            <v>品牌直发</v>
          </cell>
          <cell r="I90">
            <v>372</v>
          </cell>
        </row>
        <row r="91">
          <cell r="D91" t="str">
            <v>PE125215026</v>
          </cell>
          <cell r="E91" t="str">
            <v>伯希和/PELLIOT</v>
          </cell>
          <cell r="F91" t="str">
            <v>女装-户外运动服-速干T恤</v>
          </cell>
          <cell r="G91" t="str">
            <v>一品一商</v>
          </cell>
          <cell r="H91" t="str">
            <v>品牌直发</v>
          </cell>
          <cell r="I91">
            <v>272</v>
          </cell>
        </row>
        <row r="92">
          <cell r="D92">
            <v>115106003</v>
          </cell>
          <cell r="E92" t="str">
            <v>伯希和/PELLIOT</v>
          </cell>
          <cell r="F92" t="str">
            <v>服装-外套-软壳衣</v>
          </cell>
          <cell r="G92" t="str">
            <v>一品多商</v>
          </cell>
          <cell r="H92" t="str">
            <v>品牌直发</v>
          </cell>
          <cell r="I92">
            <v>632</v>
          </cell>
        </row>
        <row r="93">
          <cell r="D93">
            <v>105112021</v>
          </cell>
          <cell r="E93" t="str">
            <v>伯希和/PELLIOT</v>
          </cell>
          <cell r="F93" t="str">
            <v>服装-外套-防晒服</v>
          </cell>
          <cell r="G93" t="str">
            <v>一品多商</v>
          </cell>
          <cell r="H93" t="str">
            <v>品牌直发</v>
          </cell>
          <cell r="I93">
            <v>332</v>
          </cell>
        </row>
        <row r="94">
          <cell r="D94">
            <v>115102001</v>
          </cell>
          <cell r="E94" t="str">
            <v>伯希和/PELLIOT</v>
          </cell>
          <cell r="F94" t="str">
            <v>服装-长裤-冲锋裤</v>
          </cell>
          <cell r="G94" t="str">
            <v>一品多商</v>
          </cell>
          <cell r="H94" t="str">
            <v>品牌直发</v>
          </cell>
          <cell r="I94">
            <v>725</v>
          </cell>
        </row>
        <row r="95">
          <cell r="D95" t="str">
            <v>PE115106001</v>
          </cell>
          <cell r="E95" t="str">
            <v>伯希和/PELLIOT</v>
          </cell>
          <cell r="F95" t="str">
            <v>服装-外套-软壳衣</v>
          </cell>
          <cell r="G95" t="str">
            <v>一品多商</v>
          </cell>
          <cell r="H95" t="str">
            <v>品牌直发</v>
          </cell>
          <cell r="I95">
            <v>482</v>
          </cell>
        </row>
        <row r="96">
          <cell r="D96">
            <v>1125178002</v>
          </cell>
          <cell r="E96" t="str">
            <v>伯希和/PELLIOT</v>
          </cell>
          <cell r="F96" t="str">
            <v>女装-长裤-休闲裤</v>
          </cell>
          <cell r="G96" t="str">
            <v>一品一商</v>
          </cell>
          <cell r="H96" t="str">
            <v>品牌直发</v>
          </cell>
          <cell r="I96">
            <v>281</v>
          </cell>
        </row>
        <row r="97">
          <cell r="D97">
            <v>16323204</v>
          </cell>
          <cell r="E97" t="str">
            <v>伯希和/PELLIOT</v>
          </cell>
          <cell r="F97" t="str">
            <v>流行饰品/眼镜/服配-防晒服配-防晒脖套</v>
          </cell>
          <cell r="G97" t="str">
            <v>一品一商</v>
          </cell>
          <cell r="H97" t="str">
            <v>品牌直发</v>
          </cell>
          <cell r="I97">
            <v>26</v>
          </cell>
        </row>
        <row r="98">
          <cell r="D98">
            <v>134301043</v>
          </cell>
          <cell r="E98" t="str">
            <v>伯希和/PELLIOT</v>
          </cell>
          <cell r="F98" t="str">
            <v>童装-儿童上装-冲锋衣</v>
          </cell>
          <cell r="G98" t="str">
            <v>一品一商</v>
          </cell>
          <cell r="H98" t="str">
            <v>品牌直发</v>
          </cell>
          <cell r="I98">
            <v>372</v>
          </cell>
        </row>
        <row r="99">
          <cell r="D99">
            <v>114401069</v>
          </cell>
          <cell r="E99" t="str">
            <v>伯希和/PELLIOT</v>
          </cell>
          <cell r="F99" t="str">
            <v>服装-外套-冲锋衣</v>
          </cell>
          <cell r="G99" t="str">
            <v>一品一商</v>
          </cell>
          <cell r="H99" t="str">
            <v>品牌直发</v>
          </cell>
          <cell r="I99">
            <v>1930</v>
          </cell>
        </row>
        <row r="100">
          <cell r="D100">
            <v>124311234</v>
          </cell>
          <cell r="E100" t="str">
            <v>伯希和/PELLIOT</v>
          </cell>
          <cell r="F100" t="str">
            <v>女装-户外运动服-抓绒裤</v>
          </cell>
          <cell r="G100" t="str">
            <v>一品多商</v>
          </cell>
          <cell r="H100" t="str">
            <v>品牌直发</v>
          </cell>
          <cell r="I100">
            <v>272</v>
          </cell>
        </row>
        <row r="101">
          <cell r="D101">
            <v>114306151</v>
          </cell>
          <cell r="E101" t="str">
            <v>伯希和/PELLIOT</v>
          </cell>
          <cell r="F101" t="str">
            <v>服装-外套-软壳衣</v>
          </cell>
          <cell r="G101" t="str">
            <v>一品多商</v>
          </cell>
          <cell r="H101" t="str">
            <v>品牌直发</v>
          </cell>
          <cell r="I101">
            <v>632</v>
          </cell>
        </row>
        <row r="102">
          <cell r="D102">
            <v>114311233</v>
          </cell>
          <cell r="E102" t="str">
            <v>伯希和/PELLIOT</v>
          </cell>
          <cell r="F102" t="str">
            <v>服装-户外运动服-抓绒裤</v>
          </cell>
          <cell r="G102" t="str">
            <v>一品多商</v>
          </cell>
          <cell r="H102" t="str">
            <v>品牌直发</v>
          </cell>
          <cell r="I102">
            <v>272</v>
          </cell>
        </row>
        <row r="103">
          <cell r="D103" t="str">
            <v>PE114310183</v>
          </cell>
          <cell r="E103" t="str">
            <v>伯希和/PELLIOT</v>
          </cell>
          <cell r="F103" t="str">
            <v>服装-户外运动服-抓绒衣</v>
          </cell>
          <cell r="G103" t="str">
            <v>一品一商</v>
          </cell>
          <cell r="H103" t="str">
            <v>品牌直发</v>
          </cell>
          <cell r="I103">
            <v>272</v>
          </cell>
        </row>
        <row r="104">
          <cell r="D104" t="str">
            <v>PE124319002</v>
          </cell>
          <cell r="E104" t="str">
            <v>伯希和/PELLIOT</v>
          </cell>
          <cell r="F104" t="str">
            <v>鞋-运动鞋-越野跑鞋</v>
          </cell>
          <cell r="G104" t="str">
            <v>一品多商</v>
          </cell>
          <cell r="H104" t="str">
            <v>品牌直发</v>
          </cell>
          <cell r="I104">
            <v>472</v>
          </cell>
        </row>
        <row r="105">
          <cell r="D105" t="str">
            <v>PE124314376</v>
          </cell>
          <cell r="E105" t="str">
            <v>伯希和/PELLIOT</v>
          </cell>
          <cell r="F105" t="str">
            <v>服装-户外运动服-速干裤</v>
          </cell>
          <cell r="G105" t="str">
            <v>一品多商</v>
          </cell>
          <cell r="H105" t="str">
            <v>品牌直发</v>
          </cell>
          <cell r="I105">
            <v>349</v>
          </cell>
        </row>
        <row r="106">
          <cell r="D106">
            <v>124301070</v>
          </cell>
          <cell r="E106" t="str">
            <v>伯希和/PELLIOT</v>
          </cell>
          <cell r="F106" t="str">
            <v>服装-外套-冲锋衣</v>
          </cell>
          <cell r="G106" t="str">
            <v>一品多商</v>
          </cell>
          <cell r="H106" t="str">
            <v>品牌直发</v>
          </cell>
          <cell r="I106">
            <v>672</v>
          </cell>
        </row>
        <row r="107">
          <cell r="D107" t="str">
            <v>PE12410202</v>
          </cell>
          <cell r="E107" t="str">
            <v>伯希和/PELLIOT</v>
          </cell>
          <cell r="F107" t="str">
            <v>女装-长裤-冲锋裤</v>
          </cell>
          <cell r="G107" t="str">
            <v>一品多商</v>
          </cell>
          <cell r="H107" t="str">
            <v>品牌直发</v>
          </cell>
          <cell r="I107">
            <v>461</v>
          </cell>
        </row>
        <row r="108">
          <cell r="D108">
            <v>12421512</v>
          </cell>
          <cell r="E108" t="str">
            <v>伯希和/PELLIOT</v>
          </cell>
          <cell r="F108" t="str">
            <v>女装-户外运动服-速干T恤</v>
          </cell>
          <cell r="G108" t="str">
            <v>一品一商</v>
          </cell>
          <cell r="H108" t="str">
            <v>品牌直发</v>
          </cell>
          <cell r="I108">
            <v>151</v>
          </cell>
        </row>
        <row r="109">
          <cell r="D109">
            <v>114301037</v>
          </cell>
          <cell r="E109" t="str">
            <v>伯希和/PELLIOT</v>
          </cell>
          <cell r="F109" t="str">
            <v>服装-外套-冲锋衣</v>
          </cell>
          <cell r="G109" t="str">
            <v>一品多商</v>
          </cell>
          <cell r="H109" t="str">
            <v>品牌直发</v>
          </cell>
          <cell r="I109">
            <v>629</v>
          </cell>
        </row>
        <row r="110">
          <cell r="D110">
            <v>124301024</v>
          </cell>
          <cell r="E110" t="str">
            <v>伯希和/PELLIOT</v>
          </cell>
          <cell r="F110" t="str">
            <v>女装-外套-冲锋衣</v>
          </cell>
          <cell r="G110" t="str">
            <v>一品多商</v>
          </cell>
          <cell r="H110" t="str">
            <v>品牌直发</v>
          </cell>
          <cell r="I110">
            <v>768</v>
          </cell>
        </row>
        <row r="111">
          <cell r="D111">
            <v>16402501</v>
          </cell>
          <cell r="E111" t="str">
            <v>伯希和/PELLIOT</v>
          </cell>
          <cell r="F111" t="str">
            <v>箱包-包袋-户外包</v>
          </cell>
          <cell r="G111" t="str">
            <v>一品一商</v>
          </cell>
          <cell r="H111" t="str">
            <v>品牌直发</v>
          </cell>
          <cell r="I111">
            <v>156</v>
          </cell>
        </row>
        <row r="112">
          <cell r="D112" t="str">
            <v>11340105-CF05</v>
          </cell>
          <cell r="E112" t="str">
            <v>伯希和/PELLIOT</v>
          </cell>
          <cell r="F112" t="str">
            <v>服装-外套-冲锋衣</v>
          </cell>
          <cell r="G112" t="str">
            <v>一品多商</v>
          </cell>
          <cell r="H112" t="str">
            <v>品牌直发</v>
          </cell>
          <cell r="I112">
            <v>484</v>
          </cell>
        </row>
        <row r="113">
          <cell r="D113">
            <v>16325602</v>
          </cell>
          <cell r="E113" t="str">
            <v>伯希和/PELLIOT</v>
          </cell>
          <cell r="F113" t="str">
            <v>流行饰品/眼镜/服配-配饰-口罩</v>
          </cell>
          <cell r="G113" t="str">
            <v>一品一商</v>
          </cell>
          <cell r="H113" t="str">
            <v>品牌直发</v>
          </cell>
          <cell r="I113">
            <v>27</v>
          </cell>
        </row>
        <row r="114">
          <cell r="D114">
            <v>11411401</v>
          </cell>
          <cell r="E114" t="str">
            <v>伯希和/PELLIOT</v>
          </cell>
          <cell r="F114" t="str">
            <v>服装-长裤-软壳裤</v>
          </cell>
          <cell r="G114" t="str">
            <v>一品多商</v>
          </cell>
          <cell r="H114" t="str">
            <v>品牌直发</v>
          </cell>
          <cell r="I114">
            <v>0</v>
          </cell>
        </row>
        <row r="115">
          <cell r="D115">
            <v>12421230</v>
          </cell>
          <cell r="E115" t="str">
            <v>伯希和/PELLIOT</v>
          </cell>
          <cell r="F115" t="str">
            <v>女装-外套-防晒服</v>
          </cell>
          <cell r="G115" t="str">
            <v>一品多商</v>
          </cell>
          <cell r="H115" t="str">
            <v>品牌直发</v>
          </cell>
          <cell r="I115">
            <v>0</v>
          </cell>
        </row>
        <row r="116">
          <cell r="D116">
            <v>12421212</v>
          </cell>
          <cell r="E116" t="str">
            <v>伯希和/PELLIOT</v>
          </cell>
          <cell r="F116" t="str">
            <v>女装-外套-防晒服</v>
          </cell>
          <cell r="G116" t="str">
            <v>一品多商</v>
          </cell>
          <cell r="H116" t="str">
            <v>品牌直发</v>
          </cell>
          <cell r="I116">
            <v>0</v>
          </cell>
        </row>
        <row r="117">
          <cell r="D117">
            <v>11421411</v>
          </cell>
          <cell r="E117" t="str">
            <v>伯希和/PELLIOT</v>
          </cell>
          <cell r="F117" t="str">
            <v>服装-户外运动服-速干裤</v>
          </cell>
          <cell r="G117" t="str">
            <v>一品多商</v>
          </cell>
          <cell r="H117" t="str">
            <v>品牌直发</v>
          </cell>
          <cell r="I117">
            <v>0</v>
          </cell>
        </row>
        <row r="118">
          <cell r="D118">
            <v>11421409</v>
          </cell>
          <cell r="E118" t="str">
            <v>伯希和/PELLIOT</v>
          </cell>
          <cell r="F118" t="str">
            <v>服装-户外运动服-速干裤</v>
          </cell>
          <cell r="G118" t="str">
            <v>一品多商</v>
          </cell>
          <cell r="H118" t="str">
            <v>品牌直发</v>
          </cell>
          <cell r="I118">
            <v>0</v>
          </cell>
        </row>
        <row r="119">
          <cell r="D119">
            <v>11411405</v>
          </cell>
          <cell r="E119" t="str">
            <v>伯希和/PELLIOT</v>
          </cell>
          <cell r="F119" t="str">
            <v>服装-长裤-软壳裤</v>
          </cell>
          <cell r="G119" t="str">
            <v>一品一商</v>
          </cell>
          <cell r="H119" t="str">
            <v>品牌直发</v>
          </cell>
          <cell r="I119">
            <v>0</v>
          </cell>
        </row>
        <row r="120">
          <cell r="D120">
            <v>11421211</v>
          </cell>
          <cell r="E120" t="str">
            <v>伯希和/PELLIOT</v>
          </cell>
          <cell r="F120" t="str">
            <v>服装-外套-防晒服</v>
          </cell>
          <cell r="G120" t="str">
            <v>一品多商</v>
          </cell>
          <cell r="H120" t="str">
            <v>品牌直发</v>
          </cell>
          <cell r="I120">
            <v>0</v>
          </cell>
        </row>
        <row r="121">
          <cell r="D121">
            <v>12421538</v>
          </cell>
          <cell r="E121" t="str">
            <v>伯希和/PELLIOT</v>
          </cell>
          <cell r="F121" t="str">
            <v>女装-户外运动服-跑步T恤</v>
          </cell>
          <cell r="G121" t="str">
            <v>一品一商</v>
          </cell>
          <cell r="H121" t="str">
            <v>品牌直发</v>
          </cell>
          <cell r="I121">
            <v>0</v>
          </cell>
        </row>
        <row r="122">
          <cell r="D122">
            <v>12421508</v>
          </cell>
          <cell r="E122" t="str">
            <v>伯希和/PELLIOT</v>
          </cell>
          <cell r="F122" t="str">
            <v>女装-上衣-Polo衫</v>
          </cell>
          <cell r="G122" t="str">
            <v>一品多商</v>
          </cell>
          <cell r="H122" t="str">
            <v>品牌直发</v>
          </cell>
          <cell r="I122">
            <v>0</v>
          </cell>
        </row>
        <row r="123">
          <cell r="D123">
            <v>11421215</v>
          </cell>
          <cell r="E123" t="str">
            <v>伯希和/PELLIOT</v>
          </cell>
          <cell r="F123" t="str">
            <v>服装-外套-防晒服</v>
          </cell>
          <cell r="G123" t="str">
            <v>一品多商</v>
          </cell>
          <cell r="H123" t="str">
            <v>品牌直发</v>
          </cell>
          <cell r="I123">
            <v>0</v>
          </cell>
        </row>
        <row r="124">
          <cell r="D124">
            <v>12421226</v>
          </cell>
          <cell r="E124" t="str">
            <v>伯希和/PELLIOT</v>
          </cell>
          <cell r="F124" t="str">
            <v>女装-外套-防晒服</v>
          </cell>
          <cell r="G124" t="str">
            <v>一品一商</v>
          </cell>
          <cell r="H124" t="str">
            <v>品牌直发</v>
          </cell>
          <cell r="I124">
            <v>0</v>
          </cell>
        </row>
        <row r="125">
          <cell r="D125">
            <v>12410306</v>
          </cell>
          <cell r="E125" t="str">
            <v>伯希和/PELLIOT</v>
          </cell>
          <cell r="F125" t="str">
            <v>女装-户外运动服-滑雪衣</v>
          </cell>
          <cell r="G125" t="str">
            <v>一品多商</v>
          </cell>
          <cell r="H125" t="str">
            <v>品牌直发</v>
          </cell>
          <cell r="I125">
            <v>0</v>
          </cell>
        </row>
        <row r="126">
          <cell r="D126">
            <v>11340157</v>
          </cell>
          <cell r="E126" t="str">
            <v>伯希和/PELLIOT</v>
          </cell>
          <cell r="F126" t="str">
            <v>服装-外套-冲锋衣</v>
          </cell>
          <cell r="G126" t="str">
            <v>一品一商</v>
          </cell>
          <cell r="H126" t="str">
            <v>品牌直发</v>
          </cell>
          <cell r="I126">
            <v>0</v>
          </cell>
        </row>
        <row r="127">
          <cell r="D127">
            <v>12421502</v>
          </cell>
          <cell r="E127" t="str">
            <v>伯希和/PELLIOT</v>
          </cell>
          <cell r="F127" t="str">
            <v>女装-户外运动服-速干衣</v>
          </cell>
          <cell r="G127" t="str">
            <v>一品多商</v>
          </cell>
          <cell r="H127" t="str">
            <v>品牌直发</v>
          </cell>
          <cell r="I127">
            <v>0</v>
          </cell>
        </row>
        <row r="128">
          <cell r="D128">
            <v>11421501</v>
          </cell>
          <cell r="E128" t="str">
            <v>伯希和/PELLIOT</v>
          </cell>
          <cell r="F128" t="str">
            <v>服装-上衣-T恤</v>
          </cell>
          <cell r="G128" t="str">
            <v>一品多商</v>
          </cell>
          <cell r="H128" t="str">
            <v>品牌直发</v>
          </cell>
          <cell r="I128">
            <v>0</v>
          </cell>
        </row>
        <row r="129">
          <cell r="D129">
            <v>16423408</v>
          </cell>
          <cell r="E129" t="str">
            <v>伯希和/PELLIOT</v>
          </cell>
          <cell r="F129" t="str">
            <v>流行饰品/眼镜/服配-防晒服配-防晒帽</v>
          </cell>
          <cell r="G129" t="str">
            <v>一品一商</v>
          </cell>
          <cell r="H129" t="str">
            <v>品牌直发</v>
          </cell>
          <cell r="I129">
            <v>0</v>
          </cell>
        </row>
        <row r="130">
          <cell r="D130">
            <v>116423401</v>
          </cell>
          <cell r="E130" t="str">
            <v>伯希和/PELLIOT</v>
          </cell>
          <cell r="F130" t="str">
            <v>流行饰品/眼镜/服配-帽子-渔夫帽</v>
          </cell>
          <cell r="G130" t="str">
            <v>一品一商</v>
          </cell>
          <cell r="H130" t="str">
            <v>品牌直发</v>
          </cell>
          <cell r="I130">
            <v>0</v>
          </cell>
        </row>
        <row r="131">
          <cell r="D131">
            <v>16423407</v>
          </cell>
          <cell r="E131" t="str">
            <v>伯希和/PELLIOT</v>
          </cell>
          <cell r="F131" t="str">
            <v>流行饰品/眼镜/服配-防晒服配-防晒帽</v>
          </cell>
          <cell r="G131" t="str">
            <v>一品一商</v>
          </cell>
          <cell r="H131" t="str">
            <v>品牌直发</v>
          </cell>
          <cell r="I131">
            <v>0</v>
          </cell>
        </row>
        <row r="132">
          <cell r="D132">
            <v>164332401</v>
          </cell>
          <cell r="E132" t="str">
            <v>伯希和/PELLIOT</v>
          </cell>
          <cell r="F132" t="str">
            <v>流行饰品/眼镜/服配-围巾-绒线围巾</v>
          </cell>
          <cell r="G132" t="str">
            <v>一品一商</v>
          </cell>
          <cell r="H132" t="str">
            <v>品牌直发</v>
          </cell>
          <cell r="I132">
            <v>0</v>
          </cell>
        </row>
        <row r="133">
          <cell r="D133">
            <v>16424601</v>
          </cell>
          <cell r="E133" t="str">
            <v>伯希和/PELLIOT</v>
          </cell>
          <cell r="F133" t="str">
            <v>流行饰品/眼镜/服配-防晒服配-防晒袖</v>
          </cell>
          <cell r="G133" t="str">
            <v>一品一商</v>
          </cell>
          <cell r="H133" t="str">
            <v>品牌直发</v>
          </cell>
          <cell r="I133">
            <v>0</v>
          </cell>
        </row>
        <row r="134">
          <cell r="D134">
            <v>11410305</v>
          </cell>
          <cell r="E134" t="str">
            <v>伯希和/PELLIOT</v>
          </cell>
          <cell r="F134" t="str">
            <v>服装-户外运动服-滑雪衣</v>
          </cell>
          <cell r="G134" t="str">
            <v>一品多商</v>
          </cell>
          <cell r="H134" t="str">
            <v>品牌直发</v>
          </cell>
          <cell r="I134">
            <v>0</v>
          </cell>
        </row>
        <row r="135">
          <cell r="D135">
            <v>11410303</v>
          </cell>
          <cell r="E135" t="str">
            <v>伯希和/PELLIOT</v>
          </cell>
          <cell r="F135" t="str">
            <v>服装-外套-棉服</v>
          </cell>
          <cell r="G135" t="str">
            <v>一品多商</v>
          </cell>
          <cell r="H135" t="str">
            <v>品牌直发</v>
          </cell>
          <cell r="I135">
            <v>0</v>
          </cell>
        </row>
        <row r="136">
          <cell r="D136">
            <v>116123408</v>
          </cell>
          <cell r="E136" t="str">
            <v>伯希和/PELLIOT</v>
          </cell>
          <cell r="F136" t="str">
            <v>流行饰品/眼镜/服配-防晒服配-防晒帽</v>
          </cell>
          <cell r="G136" t="str">
            <v>一品一商</v>
          </cell>
          <cell r="H136" t="str">
            <v>品牌直发</v>
          </cell>
          <cell r="I136">
            <v>0</v>
          </cell>
        </row>
        <row r="137">
          <cell r="D137">
            <v>16223401</v>
          </cell>
          <cell r="E137" t="str">
            <v>伯希和/PELLIOT</v>
          </cell>
          <cell r="F137" t="str">
            <v>流行饰品/眼镜/服配-防晒服配-防晒帽</v>
          </cell>
          <cell r="G137" t="str">
            <v>一品一商</v>
          </cell>
          <cell r="H137" t="str">
            <v>品牌直发</v>
          </cell>
          <cell r="I137">
            <v>0</v>
          </cell>
        </row>
        <row r="138">
          <cell r="D138">
            <v>116223402</v>
          </cell>
          <cell r="E138" t="str">
            <v>伯希和/PELLIOT</v>
          </cell>
          <cell r="F138" t="str">
            <v>流行饰品/眼镜/服配-防晒服配-防晒帽</v>
          </cell>
          <cell r="G138" t="str">
            <v>一品一商</v>
          </cell>
          <cell r="H138" t="str">
            <v>品牌直发</v>
          </cell>
          <cell r="I138">
            <v>0</v>
          </cell>
        </row>
        <row r="139">
          <cell r="D139">
            <v>16225604</v>
          </cell>
          <cell r="E139" t="str">
            <v>伯希和/PELLIOT</v>
          </cell>
          <cell r="F139" t="str">
            <v>流行饰品/眼镜/服配-防晒服配-防晒面罩</v>
          </cell>
          <cell r="G139" t="str">
            <v>一品一商</v>
          </cell>
          <cell r="H139" t="str">
            <v>品牌直发</v>
          </cell>
          <cell r="I139">
            <v>0</v>
          </cell>
        </row>
        <row r="140">
          <cell r="D140">
            <v>16423401</v>
          </cell>
          <cell r="E140" t="str">
            <v>伯希和/PELLIOT</v>
          </cell>
          <cell r="F140" t="str">
            <v>流行饰品/眼镜/服配-帽子-渔夫帽</v>
          </cell>
          <cell r="G140" t="str">
            <v>一品一商</v>
          </cell>
          <cell r="H140" t="str">
            <v>品牌直发</v>
          </cell>
          <cell r="I140">
            <v>0</v>
          </cell>
        </row>
        <row r="141">
          <cell r="D141">
            <v>16423406</v>
          </cell>
          <cell r="E141" t="str">
            <v>伯希和/PELLIOT</v>
          </cell>
          <cell r="F141" t="str">
            <v>流行饰品/眼镜/服配-防晒服配-防晒帽</v>
          </cell>
          <cell r="G141" t="str">
            <v>一品一商</v>
          </cell>
          <cell r="H141" t="str">
            <v>品牌直发</v>
          </cell>
          <cell r="I141">
            <v>0</v>
          </cell>
        </row>
        <row r="142">
          <cell r="D142">
            <v>16425601</v>
          </cell>
          <cell r="E142" t="str">
            <v>伯希和/PELLIOT</v>
          </cell>
          <cell r="F142" t="str">
            <v>流行饰品/眼镜/服配-防晒服配-防晒面罩</v>
          </cell>
          <cell r="G142" t="str">
            <v>一品一商</v>
          </cell>
          <cell r="H142" t="str">
            <v>品牌直发</v>
          </cell>
          <cell r="I142">
            <v>0</v>
          </cell>
        </row>
        <row r="143">
          <cell r="D143">
            <v>12421214</v>
          </cell>
          <cell r="E143" t="str">
            <v>伯希和/PELLIOT</v>
          </cell>
          <cell r="F143" t="str">
            <v>女装-外套-防晒服</v>
          </cell>
          <cell r="G143" t="str">
            <v>一品一商</v>
          </cell>
          <cell r="H143" t="str">
            <v>品牌直发</v>
          </cell>
          <cell r="I143">
            <v>0</v>
          </cell>
        </row>
        <row r="144">
          <cell r="D144">
            <v>16023203</v>
          </cell>
          <cell r="E144" t="str">
            <v>伯希和/PELLIOT</v>
          </cell>
          <cell r="F144" t="str">
            <v>流行饰品/眼镜/服配-防晒服配-防晒脖套</v>
          </cell>
          <cell r="G144" t="str">
            <v>一品一商</v>
          </cell>
          <cell r="H144" t="str">
            <v>品牌直发</v>
          </cell>
          <cell r="I144">
            <v>0</v>
          </cell>
        </row>
        <row r="145">
          <cell r="D145">
            <v>16943407</v>
          </cell>
          <cell r="E145" t="str">
            <v>伯希和/PELLIOT</v>
          </cell>
          <cell r="F145" t="str">
            <v>流行饰品/眼镜/服配-帽子-绒线帽</v>
          </cell>
          <cell r="G145" t="str">
            <v>一品一商</v>
          </cell>
          <cell r="H145" t="str">
            <v>品牌直发</v>
          </cell>
          <cell r="I145">
            <v>0</v>
          </cell>
        </row>
        <row r="146">
          <cell r="D146">
            <v>11421425</v>
          </cell>
          <cell r="E146" t="str">
            <v>伯希和/PELLIOT</v>
          </cell>
          <cell r="F146" t="str">
            <v>服装-长裤-针织运动裤</v>
          </cell>
          <cell r="G146" t="str">
            <v>一品多商</v>
          </cell>
          <cell r="H146" t="str">
            <v>品牌直发</v>
          </cell>
          <cell r="I146">
            <v>0</v>
          </cell>
        </row>
        <row r="147">
          <cell r="D147">
            <v>16903501</v>
          </cell>
          <cell r="E147" t="str">
            <v>伯希和/PELLIOT</v>
          </cell>
          <cell r="F147" t="str">
            <v>内衣-袜子-短袜</v>
          </cell>
          <cell r="G147" t="str">
            <v>一品一商</v>
          </cell>
          <cell r="H147" t="str">
            <v>品牌直发</v>
          </cell>
          <cell r="I147">
            <v>0</v>
          </cell>
        </row>
        <row r="148">
          <cell r="D148">
            <v>12421426</v>
          </cell>
          <cell r="E148" t="str">
            <v>伯希和/PELLIOT</v>
          </cell>
          <cell r="F148" t="str">
            <v>女装-户外运动服-速干裤</v>
          </cell>
          <cell r="G148" t="str">
            <v>一品多商</v>
          </cell>
          <cell r="H148" t="str">
            <v>品牌直发</v>
          </cell>
          <cell r="I148">
            <v>0</v>
          </cell>
        </row>
        <row r="149">
          <cell r="D149">
            <v>16023101</v>
          </cell>
          <cell r="E149" t="str">
            <v>伯希和/PELLIOT</v>
          </cell>
          <cell r="F149" t="str">
            <v>流行饰品/眼镜/服配-防晒服配-防晒手套</v>
          </cell>
          <cell r="G149" t="str">
            <v>一品一商</v>
          </cell>
          <cell r="H149" t="str">
            <v>品牌直发</v>
          </cell>
          <cell r="I149">
            <v>0</v>
          </cell>
        </row>
        <row r="150">
          <cell r="D150">
            <v>12421412</v>
          </cell>
          <cell r="E150" t="str">
            <v>伯希和/PELLIOT</v>
          </cell>
          <cell r="F150" t="str">
            <v>女装-户外运动服-速干裤</v>
          </cell>
          <cell r="G150" t="str">
            <v>一品多商</v>
          </cell>
          <cell r="H150" t="str">
            <v>品牌直发</v>
          </cell>
          <cell r="I150">
            <v>0</v>
          </cell>
        </row>
        <row r="151">
          <cell r="D151">
            <v>12421254</v>
          </cell>
          <cell r="E151" t="str">
            <v>伯希和/PELLIOT</v>
          </cell>
          <cell r="F151" t="str">
            <v>女装-外套-防晒服</v>
          </cell>
          <cell r="G151" t="str">
            <v>一品多商</v>
          </cell>
          <cell r="H151" t="str">
            <v>品牌直发</v>
          </cell>
          <cell r="I151">
            <v>0</v>
          </cell>
        </row>
        <row r="152">
          <cell r="D152">
            <v>6902507</v>
          </cell>
          <cell r="E152" t="str">
            <v>伯希和/PELLIOT</v>
          </cell>
          <cell r="F152" t="str">
            <v>箱包-包袋-户外包</v>
          </cell>
          <cell r="G152" t="str">
            <v>一品一商</v>
          </cell>
          <cell r="H152" t="str">
            <v>品牌直发</v>
          </cell>
          <cell r="I152">
            <v>0</v>
          </cell>
        </row>
        <row r="153">
          <cell r="D153">
            <v>11331905</v>
          </cell>
          <cell r="E153" t="str">
            <v>伯希和/PELLIOT</v>
          </cell>
          <cell r="F153" t="str">
            <v>鞋-运动鞋-跑步鞋</v>
          </cell>
          <cell r="G153" t="str">
            <v>一品一商</v>
          </cell>
          <cell r="H153" t="str">
            <v>品牌直发</v>
          </cell>
          <cell r="I153">
            <v>0</v>
          </cell>
        </row>
        <row r="154">
          <cell r="D154" t="str">
            <v>12340164-新加色</v>
          </cell>
          <cell r="E154" t="str">
            <v>伯希和/PELLIOT</v>
          </cell>
          <cell r="F154" t="str">
            <v>服装-外套-冲锋衣</v>
          </cell>
          <cell r="G154" t="str">
            <v>一品多商</v>
          </cell>
          <cell r="H154" t="str">
            <v>品牌直发</v>
          </cell>
          <cell r="I154">
            <v>0</v>
          </cell>
        </row>
        <row r="155">
          <cell r="D155">
            <v>16043429</v>
          </cell>
          <cell r="E155" t="str">
            <v>伯希和/PELLIOT</v>
          </cell>
          <cell r="F155" t="str">
            <v>流行饰品/眼镜/服配-帽子-绒线帽</v>
          </cell>
          <cell r="G155" t="str">
            <v>一品一商</v>
          </cell>
          <cell r="H155" t="str">
            <v>品牌直发</v>
          </cell>
          <cell r="I155">
            <v>0</v>
          </cell>
        </row>
        <row r="156">
          <cell r="D156">
            <v>16302836</v>
          </cell>
          <cell r="E156" t="str">
            <v>伯希和/PELLIOT</v>
          </cell>
          <cell r="F156" t="str">
            <v>户外装备-露营/野炊装备-户外充气床</v>
          </cell>
          <cell r="G156" t="str">
            <v>一品一商</v>
          </cell>
          <cell r="H156" t="str">
            <v>普通现货</v>
          </cell>
          <cell r="I156">
            <v>0</v>
          </cell>
        </row>
        <row r="157">
          <cell r="D157">
            <v>11325109</v>
          </cell>
          <cell r="E157" t="str">
            <v>伯希和/PELLIOT</v>
          </cell>
          <cell r="F157" t="str">
            <v>服装-外套-夹克</v>
          </cell>
          <cell r="G157" t="str">
            <v>一品一商</v>
          </cell>
          <cell r="H157" t="str">
            <v>品牌直发</v>
          </cell>
          <cell r="I157">
            <v>0</v>
          </cell>
        </row>
        <row r="158">
          <cell r="D158" t="str">
            <v>12331902-黑灰色</v>
          </cell>
          <cell r="E158" t="str">
            <v>伯希和/PELLIOT</v>
          </cell>
          <cell r="F158" t="str">
            <v>鞋-运动鞋-跑步鞋</v>
          </cell>
          <cell r="G158" t="str">
            <v>一品一商</v>
          </cell>
          <cell r="H158" t="str">
            <v>品牌直发</v>
          </cell>
          <cell r="I158">
            <v>0</v>
          </cell>
        </row>
        <row r="159">
          <cell r="D159" t="str">
            <v>12331902-浅卡其</v>
          </cell>
          <cell r="E159" t="str">
            <v>伯希和/PELLIOT</v>
          </cell>
          <cell r="F159" t="str">
            <v>鞋-运动鞋-跑步鞋</v>
          </cell>
          <cell r="G159" t="str">
            <v>一品多商</v>
          </cell>
          <cell r="H159" t="str">
            <v>品牌直发</v>
          </cell>
          <cell r="I159">
            <v>0</v>
          </cell>
        </row>
        <row r="160">
          <cell r="D160" t="str">
            <v>12331902-活力红</v>
          </cell>
          <cell r="E160" t="str">
            <v>伯希和/PELLIOT</v>
          </cell>
          <cell r="F160" t="str">
            <v>鞋-运动鞋-跑步鞋</v>
          </cell>
          <cell r="G160" t="str">
            <v>一品一商</v>
          </cell>
          <cell r="H160" t="str">
            <v>品牌直发</v>
          </cell>
          <cell r="I160">
            <v>0</v>
          </cell>
        </row>
        <row r="161">
          <cell r="D161">
            <v>12340820</v>
          </cell>
          <cell r="E161" t="str">
            <v>伯希和/PELLIOT</v>
          </cell>
          <cell r="F161" t="str">
            <v>服装-外套-羽绒服</v>
          </cell>
          <cell r="G161" t="str">
            <v>一品一商</v>
          </cell>
          <cell r="H161" t="str">
            <v>品牌直发</v>
          </cell>
          <cell r="I161">
            <v>0</v>
          </cell>
        </row>
        <row r="162">
          <cell r="D162">
            <v>12331028</v>
          </cell>
          <cell r="E162" t="str">
            <v>伯希和/PELLIOT</v>
          </cell>
          <cell r="F162" t="str">
            <v>服装-户外运动服-抓绒衣</v>
          </cell>
          <cell r="G162" t="str">
            <v>一品一商</v>
          </cell>
          <cell r="H162" t="str">
            <v>品牌直发</v>
          </cell>
          <cell r="I162">
            <v>0</v>
          </cell>
        </row>
        <row r="163">
          <cell r="D163">
            <v>12340806</v>
          </cell>
          <cell r="E163" t="str">
            <v>伯希和/PELLIOT</v>
          </cell>
          <cell r="F163" t="str">
            <v>女装-外套-羽绒服</v>
          </cell>
          <cell r="G163" t="str">
            <v>一品多商</v>
          </cell>
          <cell r="H163" t="str">
            <v>品牌直发</v>
          </cell>
          <cell r="I163">
            <v>0</v>
          </cell>
        </row>
        <row r="164">
          <cell r="D164">
            <v>12331030</v>
          </cell>
          <cell r="E164" t="str">
            <v>伯希和/PELLIOT</v>
          </cell>
          <cell r="F164" t="str">
            <v>服装-户外运动服-抓绒衣</v>
          </cell>
          <cell r="G164" t="str">
            <v>一品一商</v>
          </cell>
          <cell r="H164" t="str">
            <v>品牌直发</v>
          </cell>
          <cell r="I164">
            <v>0</v>
          </cell>
        </row>
        <row r="165">
          <cell r="D165">
            <v>11340805</v>
          </cell>
          <cell r="E165" t="str">
            <v>伯希和/PELLIOT</v>
          </cell>
          <cell r="F165" t="str">
            <v>服装-外套-羽绒服</v>
          </cell>
          <cell r="G165" t="str">
            <v>一品多商</v>
          </cell>
          <cell r="H165" t="str">
            <v>品牌直发</v>
          </cell>
          <cell r="I165">
            <v>0</v>
          </cell>
        </row>
        <row r="166">
          <cell r="D166">
            <v>11331021</v>
          </cell>
          <cell r="E166" t="str">
            <v>伯希和/PELLIOT</v>
          </cell>
          <cell r="F166" t="str">
            <v>服装-户外运动服-抓绒衣</v>
          </cell>
          <cell r="G166" t="str">
            <v>一品一商</v>
          </cell>
          <cell r="H166" t="str">
            <v>品牌直发</v>
          </cell>
          <cell r="I166">
            <v>0</v>
          </cell>
        </row>
        <row r="167">
          <cell r="D167">
            <v>11331057</v>
          </cell>
          <cell r="E167" t="str">
            <v>伯希和/PELLIOT</v>
          </cell>
          <cell r="F167" t="str">
            <v>服装-户外运动服-抓绒衣</v>
          </cell>
          <cell r="G167" t="str">
            <v>一品一商</v>
          </cell>
          <cell r="H167" t="str">
            <v>品牌直发</v>
          </cell>
          <cell r="I167">
            <v>0</v>
          </cell>
        </row>
        <row r="168">
          <cell r="D168">
            <v>12340836</v>
          </cell>
          <cell r="E168" t="str">
            <v>伯希和/PELLIOT</v>
          </cell>
          <cell r="F168" t="str">
            <v>服装-外套-羽绒服</v>
          </cell>
          <cell r="G168" t="str">
            <v>一品多商</v>
          </cell>
          <cell r="H168" t="str">
            <v>品牌直发</v>
          </cell>
          <cell r="I168">
            <v>0</v>
          </cell>
        </row>
        <row r="169">
          <cell r="D169">
            <v>12331058</v>
          </cell>
          <cell r="E169" t="str">
            <v>伯希和/PELLIOT</v>
          </cell>
          <cell r="F169" t="str">
            <v>女装-户外运动服-抓绒衣</v>
          </cell>
          <cell r="G169" t="str">
            <v>一品一商</v>
          </cell>
          <cell r="H169" t="str">
            <v>品牌直发</v>
          </cell>
          <cell r="I169">
            <v>0</v>
          </cell>
        </row>
        <row r="170">
          <cell r="D170">
            <v>11340821</v>
          </cell>
          <cell r="E170" t="str">
            <v>伯希和/PELLIOT</v>
          </cell>
          <cell r="F170" t="str">
            <v>服装-外套-羽绒服</v>
          </cell>
          <cell r="G170" t="str">
            <v>一品多商</v>
          </cell>
          <cell r="H170" t="str">
            <v>品牌直发</v>
          </cell>
          <cell r="I170">
            <v>0</v>
          </cell>
        </row>
        <row r="171">
          <cell r="D171">
            <v>12340828</v>
          </cell>
          <cell r="E171" t="str">
            <v>伯希和/PELLIOT</v>
          </cell>
          <cell r="F171" t="str">
            <v>服装-外套-羽绒服</v>
          </cell>
          <cell r="G171" t="str">
            <v>一品多商</v>
          </cell>
          <cell r="H171" t="str">
            <v>品牌直发</v>
          </cell>
          <cell r="I171">
            <v>0</v>
          </cell>
        </row>
        <row r="172">
          <cell r="D172">
            <v>12340812</v>
          </cell>
          <cell r="E172" t="str">
            <v>伯希和/PELLIOT</v>
          </cell>
          <cell r="F172" t="str">
            <v>服装-外套-羽绒服</v>
          </cell>
          <cell r="G172" t="str">
            <v>一品多商</v>
          </cell>
          <cell r="H172" t="str">
            <v>品牌直发</v>
          </cell>
          <cell r="I172">
            <v>0</v>
          </cell>
        </row>
        <row r="173">
          <cell r="D173">
            <v>12340134</v>
          </cell>
          <cell r="E173" t="str">
            <v>伯希和/PELLIOT</v>
          </cell>
          <cell r="F173" t="str">
            <v>服装-外套-冲锋衣</v>
          </cell>
          <cell r="G173" t="str">
            <v>一品一商</v>
          </cell>
          <cell r="H173" t="str">
            <v>品牌直发</v>
          </cell>
          <cell r="I173">
            <v>0</v>
          </cell>
        </row>
        <row r="174">
          <cell r="D174">
            <v>114408281</v>
          </cell>
          <cell r="E174" t="str">
            <v>伯希和/PELLIOT</v>
          </cell>
          <cell r="F174" t="str">
            <v>服装-外套-羽绒服</v>
          </cell>
          <cell r="G174" t="str">
            <v>一品多商</v>
          </cell>
          <cell r="H174" t="str">
            <v>品牌直发</v>
          </cell>
          <cell r="I174">
            <v>0</v>
          </cell>
        </row>
        <row r="175">
          <cell r="D175">
            <v>12340804</v>
          </cell>
          <cell r="E175" t="str">
            <v>伯希和/PELLIOT</v>
          </cell>
          <cell r="F175" t="str">
            <v>女装-外套-羽绒服</v>
          </cell>
          <cell r="G175" t="str">
            <v>一品多商</v>
          </cell>
          <cell r="H175" t="str">
            <v>品牌直发</v>
          </cell>
          <cell r="I175">
            <v>0</v>
          </cell>
        </row>
        <row r="176">
          <cell r="D176">
            <v>12340814</v>
          </cell>
          <cell r="E176" t="str">
            <v>伯希和/PELLIOT</v>
          </cell>
          <cell r="F176" t="str">
            <v>服装-外套-羽绒服</v>
          </cell>
          <cell r="G176" t="str">
            <v>一品多商</v>
          </cell>
          <cell r="H176" t="str">
            <v>品牌直发</v>
          </cell>
          <cell r="I176">
            <v>0</v>
          </cell>
        </row>
        <row r="177">
          <cell r="D177">
            <v>11340139</v>
          </cell>
          <cell r="E177" t="str">
            <v>伯希和/PELLIOT</v>
          </cell>
          <cell r="F177" t="str">
            <v>服装-外套-冲锋衣</v>
          </cell>
          <cell r="G177" t="str">
            <v>一品多商</v>
          </cell>
          <cell r="H177" t="str">
            <v>品牌直发</v>
          </cell>
          <cell r="I177">
            <v>0</v>
          </cell>
        </row>
        <row r="178">
          <cell r="D178">
            <v>12331018</v>
          </cell>
          <cell r="E178" t="str">
            <v>伯希和/PELLIOT</v>
          </cell>
          <cell r="F178" t="str">
            <v>服装-户外运动服-抓绒衣</v>
          </cell>
          <cell r="G178" t="str">
            <v>一品一商</v>
          </cell>
          <cell r="H178" t="str">
            <v>品牌直发</v>
          </cell>
          <cell r="I178">
            <v>0</v>
          </cell>
        </row>
        <row r="179">
          <cell r="D179">
            <v>12331026</v>
          </cell>
          <cell r="E179" t="str">
            <v>伯希和/PELLIOT</v>
          </cell>
          <cell r="F179" t="str">
            <v>女装-户外运动服-抓绒衣</v>
          </cell>
          <cell r="G179" t="str">
            <v>一品多商</v>
          </cell>
          <cell r="H179" t="str">
            <v>品牌直发</v>
          </cell>
          <cell r="I179">
            <v>0</v>
          </cell>
        </row>
        <row r="180">
          <cell r="D180">
            <v>11331027</v>
          </cell>
          <cell r="E180" t="str">
            <v>伯希和/PELLIOT</v>
          </cell>
          <cell r="F180" t="str">
            <v>服装-户外运动服-抓绒衣</v>
          </cell>
          <cell r="G180" t="str">
            <v>一品一商</v>
          </cell>
          <cell r="H180" t="str">
            <v>品牌直发</v>
          </cell>
          <cell r="I180">
            <v>0</v>
          </cell>
        </row>
        <row r="181">
          <cell r="D181">
            <v>12331008</v>
          </cell>
          <cell r="E181" t="str">
            <v>伯希和/PELLIOT</v>
          </cell>
          <cell r="F181" t="str">
            <v>女装-户外运动服-抓绒衣</v>
          </cell>
          <cell r="G181" t="str">
            <v>一品一商</v>
          </cell>
          <cell r="H181" t="str">
            <v>品牌直发</v>
          </cell>
          <cell r="I181">
            <v>0</v>
          </cell>
        </row>
        <row r="182">
          <cell r="D182">
            <v>12331004</v>
          </cell>
          <cell r="E182" t="str">
            <v>伯希和/PELLIOT</v>
          </cell>
          <cell r="F182" t="str">
            <v>女装-户外运动服-抓绒衣</v>
          </cell>
          <cell r="G182" t="str">
            <v>一品一商</v>
          </cell>
          <cell r="H182" t="str">
            <v>品牌直发</v>
          </cell>
          <cell r="I182">
            <v>0</v>
          </cell>
        </row>
        <row r="183">
          <cell r="D183">
            <v>12331012</v>
          </cell>
          <cell r="E183" t="str">
            <v>伯希和/PELLIOT</v>
          </cell>
          <cell r="F183" t="str">
            <v>女装-户外运动服-抓绒衣</v>
          </cell>
          <cell r="G183" t="str">
            <v>一品多商</v>
          </cell>
          <cell r="H183" t="str">
            <v>品牌直发</v>
          </cell>
          <cell r="I183">
            <v>0</v>
          </cell>
        </row>
        <row r="184">
          <cell r="D184">
            <v>12340822</v>
          </cell>
          <cell r="E184" t="str">
            <v>伯希和/PELLIOT</v>
          </cell>
          <cell r="F184" t="str">
            <v>女装-外套-羽绒服</v>
          </cell>
          <cell r="G184" t="str">
            <v>一品多商</v>
          </cell>
          <cell r="H184" t="str">
            <v>品牌直发</v>
          </cell>
          <cell r="I184">
            <v>0</v>
          </cell>
        </row>
        <row r="185">
          <cell r="D185">
            <v>11330601</v>
          </cell>
          <cell r="E185" t="str">
            <v>伯希和/PELLIOT</v>
          </cell>
          <cell r="F185" t="str">
            <v>服装-外套-软壳衣</v>
          </cell>
          <cell r="G185" t="str">
            <v>一品一商</v>
          </cell>
          <cell r="H185" t="str">
            <v>品牌直发</v>
          </cell>
          <cell r="I185">
            <v>0</v>
          </cell>
        </row>
        <row r="186">
          <cell r="D186">
            <v>12330706</v>
          </cell>
          <cell r="E186" t="str">
            <v>伯希和/PELLIOT</v>
          </cell>
          <cell r="F186" t="str">
            <v>女装-长裤-软壳裤</v>
          </cell>
          <cell r="G186" t="str">
            <v>一品一商</v>
          </cell>
          <cell r="H186" t="str">
            <v>品牌直发</v>
          </cell>
          <cell r="I186">
            <v>0</v>
          </cell>
        </row>
        <row r="187">
          <cell r="D187" t="str">
            <v>12815108-yc</v>
          </cell>
          <cell r="E187" t="str">
            <v>伯希和/PELLIOT</v>
          </cell>
          <cell r="F187" t="str">
            <v>服装-外套-防晒服</v>
          </cell>
          <cell r="G187" t="str">
            <v>一品一商</v>
          </cell>
          <cell r="H187" t="str">
            <v>品牌直发</v>
          </cell>
          <cell r="I187">
            <v>0</v>
          </cell>
        </row>
        <row r="188">
          <cell r="D188">
            <v>12933728</v>
          </cell>
          <cell r="E188" t="str">
            <v>伯希和/PELLIOT</v>
          </cell>
          <cell r="F188" t="str">
            <v>女装-上衣-卫衣</v>
          </cell>
          <cell r="G188" t="str">
            <v>一品一商</v>
          </cell>
          <cell r="H188" t="str">
            <v>品牌直发</v>
          </cell>
          <cell r="I188">
            <v>0</v>
          </cell>
        </row>
        <row r="189">
          <cell r="D189">
            <v>11235109</v>
          </cell>
          <cell r="E189" t="str">
            <v>伯希和/PELLIOT</v>
          </cell>
          <cell r="F189" t="str">
            <v>服装-外套-夹克</v>
          </cell>
          <cell r="G189" t="str">
            <v>一品一商</v>
          </cell>
          <cell r="H189" t="str">
            <v>品牌直发</v>
          </cell>
          <cell r="I189">
            <v>0</v>
          </cell>
        </row>
        <row r="190">
          <cell r="D190">
            <v>11140127</v>
          </cell>
          <cell r="E190" t="str">
            <v>伯希和/PELLIOT</v>
          </cell>
          <cell r="F190" t="str">
            <v>服装-外套-冲锋衣</v>
          </cell>
          <cell r="G190" t="str">
            <v>一品一商</v>
          </cell>
          <cell r="H190" t="str">
            <v>品牌直发</v>
          </cell>
          <cell r="I190">
            <v>0</v>
          </cell>
        </row>
        <row r="191">
          <cell r="D191">
            <v>12131002</v>
          </cell>
          <cell r="E191" t="str">
            <v>伯希和/PELLIOT</v>
          </cell>
          <cell r="F191" t="str">
            <v>女装-户外运动服-抓绒衣</v>
          </cell>
          <cell r="G191" t="str">
            <v>一品一商</v>
          </cell>
          <cell r="H191" t="str">
            <v>品牌直发</v>
          </cell>
          <cell r="I191">
            <v>0</v>
          </cell>
        </row>
        <row r="192">
          <cell r="D192">
            <v>12330602</v>
          </cell>
          <cell r="E192" t="str">
            <v>伯希和/PELLIOT</v>
          </cell>
          <cell r="F192" t="str">
            <v>女装-外套-软壳衣</v>
          </cell>
          <cell r="G192" t="str">
            <v>一品多商</v>
          </cell>
          <cell r="H192" t="str">
            <v>品牌直发</v>
          </cell>
          <cell r="I192">
            <v>0</v>
          </cell>
        </row>
        <row r="193">
          <cell r="D193">
            <v>12221258</v>
          </cell>
          <cell r="E193" t="str">
            <v>伯希和/PELLIOT</v>
          </cell>
          <cell r="F193" t="str">
            <v>女装-外套-防晒服</v>
          </cell>
          <cell r="G193" t="str">
            <v>一品一商</v>
          </cell>
          <cell r="H193" t="str">
            <v>普通现货</v>
          </cell>
          <cell r="I193">
            <v>0</v>
          </cell>
        </row>
        <row r="194">
          <cell r="D194">
            <v>112221210</v>
          </cell>
          <cell r="E194" t="str">
            <v>伯希和/PELLIOT</v>
          </cell>
          <cell r="F194" t="str">
            <v>女装-外套-防晒服</v>
          </cell>
          <cell r="G194" t="str">
            <v>一品一商</v>
          </cell>
          <cell r="H194" t="str">
            <v>品牌直发</v>
          </cell>
          <cell r="I194">
            <v>0</v>
          </cell>
        </row>
        <row r="195">
          <cell r="D195">
            <v>12133802</v>
          </cell>
          <cell r="E195" t="str">
            <v>伯希和/PELLIOT</v>
          </cell>
          <cell r="F195" t="str">
            <v>女装-长裤-针织运动裤</v>
          </cell>
          <cell r="G195" t="str">
            <v>一品一商</v>
          </cell>
          <cell r="H195" t="str">
            <v>品牌直发</v>
          </cell>
          <cell r="I195">
            <v>0</v>
          </cell>
        </row>
        <row r="196">
          <cell r="D196">
            <v>112325110</v>
          </cell>
          <cell r="E196" t="str">
            <v>伯希和/PELLIOT</v>
          </cell>
          <cell r="F196" t="str">
            <v>女装-外套-夹克</v>
          </cell>
          <cell r="G196" t="str">
            <v>一品一商</v>
          </cell>
          <cell r="H196" t="str">
            <v>普通现货</v>
          </cell>
          <cell r="I196">
            <v>0</v>
          </cell>
        </row>
        <row r="197">
          <cell r="D197">
            <v>12340132</v>
          </cell>
          <cell r="E197" t="str">
            <v>伯希和/PELLIOT</v>
          </cell>
          <cell r="F197" t="str">
            <v>服装-外套-冲锋衣</v>
          </cell>
          <cell r="G197" t="str">
            <v>一品一商</v>
          </cell>
          <cell r="H197" t="str">
            <v>品牌直发</v>
          </cell>
          <cell r="I197">
            <v>0</v>
          </cell>
        </row>
        <row r="198">
          <cell r="D198">
            <v>16202509</v>
          </cell>
          <cell r="E198" t="str">
            <v>伯希和/PELLIOT</v>
          </cell>
          <cell r="F198" t="str">
            <v>箱包-包袋-户外包</v>
          </cell>
          <cell r="G198" t="str">
            <v>一品一商</v>
          </cell>
          <cell r="H198" t="str">
            <v>品牌直发</v>
          </cell>
          <cell r="I198">
            <v>0</v>
          </cell>
        </row>
        <row r="199">
          <cell r="D199">
            <v>12340104</v>
          </cell>
          <cell r="E199" t="str">
            <v>伯希和/PELLIOT</v>
          </cell>
          <cell r="F199" t="str">
            <v>女装-外套-冲锋衣</v>
          </cell>
          <cell r="G199" t="str">
            <v>一品多商</v>
          </cell>
          <cell r="H199" t="str">
            <v>品牌直发</v>
          </cell>
          <cell r="I199">
            <v>0</v>
          </cell>
        </row>
        <row r="200">
          <cell r="D200">
            <v>12340130</v>
          </cell>
          <cell r="E200" t="str">
            <v>伯希和/PELLIOT</v>
          </cell>
          <cell r="F200" t="str">
            <v>服装-外套-冲锋衣</v>
          </cell>
          <cell r="G200" t="str">
            <v>一品多商</v>
          </cell>
          <cell r="H200" t="str">
            <v>品牌直发</v>
          </cell>
          <cell r="I200">
            <v>0</v>
          </cell>
        </row>
        <row r="201">
          <cell r="D201" t="str">
            <v>12011902-樱花粉</v>
          </cell>
          <cell r="E201" t="str">
            <v>伯希和/PELLIOT</v>
          </cell>
          <cell r="F201" t="str">
            <v>鞋-运动鞋-跑步鞋</v>
          </cell>
          <cell r="G201" t="str">
            <v>一品一商</v>
          </cell>
          <cell r="H201" t="str">
            <v>品牌直发</v>
          </cell>
          <cell r="I201">
            <v>0</v>
          </cell>
        </row>
        <row r="202">
          <cell r="D202" t="str">
            <v>12211904-经典黑</v>
          </cell>
          <cell r="E202" t="str">
            <v>伯希和/PELLIOT</v>
          </cell>
          <cell r="F202" t="str">
            <v>鞋-运动鞋-跑步鞋</v>
          </cell>
          <cell r="G202" t="str">
            <v>一品一商</v>
          </cell>
          <cell r="H202" t="str">
            <v>品牌直发</v>
          </cell>
          <cell r="I202">
            <v>0</v>
          </cell>
        </row>
        <row r="203">
          <cell r="D203">
            <v>12231034</v>
          </cell>
          <cell r="E203" t="str">
            <v>伯希和/PELLIOT</v>
          </cell>
          <cell r="F203" t="str">
            <v>女装-户外运动服-抓绒衣</v>
          </cell>
          <cell r="G203" t="str">
            <v>一品一商</v>
          </cell>
          <cell r="H203" t="str">
            <v>品牌直发</v>
          </cell>
          <cell r="I203">
            <v>0</v>
          </cell>
        </row>
        <row r="204">
          <cell r="D204">
            <v>12231026</v>
          </cell>
          <cell r="E204" t="str">
            <v>伯希和/PELLIOT</v>
          </cell>
          <cell r="F204" t="str">
            <v>女装-户外运动服-抓绒衣</v>
          </cell>
          <cell r="G204" t="str">
            <v>一品一商</v>
          </cell>
          <cell r="H204" t="str">
            <v>品牌直发</v>
          </cell>
          <cell r="I204">
            <v>0</v>
          </cell>
        </row>
        <row r="205">
          <cell r="D205">
            <v>11813705</v>
          </cell>
          <cell r="E205" t="str">
            <v>伯希和/PELLIOT</v>
          </cell>
          <cell r="F205" t="str">
            <v>服装-上衣-卫衣</v>
          </cell>
          <cell r="G205" t="str">
            <v>一品一商</v>
          </cell>
          <cell r="H205" t="str">
            <v>品牌直发</v>
          </cell>
          <cell r="I205">
            <v>0</v>
          </cell>
        </row>
        <row r="206">
          <cell r="D206">
            <v>11133803</v>
          </cell>
          <cell r="E206" t="str">
            <v>伯希和/PELLIOT</v>
          </cell>
          <cell r="F206" t="str">
            <v>服装-长裤-针织运动裤</v>
          </cell>
          <cell r="G206" t="str">
            <v>一品一商</v>
          </cell>
          <cell r="H206" t="str">
            <v>品牌直发</v>
          </cell>
          <cell r="I206">
            <v>0</v>
          </cell>
        </row>
        <row r="207">
          <cell r="D207">
            <v>13321435</v>
          </cell>
          <cell r="E207" t="str">
            <v>伯希和/PELLIOT</v>
          </cell>
          <cell r="F207" t="str">
            <v>童装-儿童下装-针织运动裤</v>
          </cell>
          <cell r="G207" t="str">
            <v>一品一商</v>
          </cell>
          <cell r="H207" t="str">
            <v>品牌直发</v>
          </cell>
          <cell r="I207">
            <v>0</v>
          </cell>
        </row>
        <row r="208">
          <cell r="D208">
            <v>23930709</v>
          </cell>
          <cell r="E208" t="str">
            <v>伯希和/PELLIOT</v>
          </cell>
          <cell r="F208" t="str">
            <v>童装-儿童下装-儿童软壳裤</v>
          </cell>
          <cell r="G208" t="str">
            <v>一品一商</v>
          </cell>
          <cell r="H208" t="str">
            <v>品牌直发</v>
          </cell>
          <cell r="I208">
            <v>0</v>
          </cell>
        </row>
        <row r="209">
          <cell r="D209">
            <v>12121216</v>
          </cell>
          <cell r="E209" t="str">
            <v>伯希和/PELLIOT</v>
          </cell>
          <cell r="F209" t="str">
            <v>女装-外套-防晒服</v>
          </cell>
          <cell r="G209" t="str">
            <v>一品多商</v>
          </cell>
          <cell r="H209" t="str">
            <v>品牌直发</v>
          </cell>
          <cell r="I209">
            <v>0</v>
          </cell>
        </row>
        <row r="210">
          <cell r="D210">
            <v>13131023</v>
          </cell>
          <cell r="E210" t="str">
            <v>伯希和/PELLIOT</v>
          </cell>
          <cell r="F210" t="str">
            <v>童装-儿童上装-夹克</v>
          </cell>
          <cell r="G210" t="str">
            <v>一品一商</v>
          </cell>
          <cell r="H210" t="str">
            <v>品牌直发</v>
          </cell>
          <cell r="I210">
            <v>0</v>
          </cell>
        </row>
        <row r="211">
          <cell r="D211">
            <v>13231017</v>
          </cell>
          <cell r="E211" t="str">
            <v>伯希和/PELLIOT</v>
          </cell>
          <cell r="F211" t="str">
            <v>童装-儿童上装-其他上装</v>
          </cell>
          <cell r="G211" t="str">
            <v>一品一商</v>
          </cell>
          <cell r="H211" t="str">
            <v>品牌直发</v>
          </cell>
          <cell r="I211">
            <v>0</v>
          </cell>
        </row>
        <row r="212">
          <cell r="D212">
            <v>12131004</v>
          </cell>
          <cell r="E212" t="str">
            <v>伯希和/PELLIOT</v>
          </cell>
          <cell r="F212" t="str">
            <v>女装-户外运动服-抓绒衣</v>
          </cell>
          <cell r="G212" t="str">
            <v>一品一商</v>
          </cell>
          <cell r="H212" t="str">
            <v>品牌直发</v>
          </cell>
          <cell r="I212">
            <v>0</v>
          </cell>
        </row>
        <row r="213">
          <cell r="D213">
            <v>13131026</v>
          </cell>
          <cell r="E213" t="str">
            <v>伯希和/PELLIOT</v>
          </cell>
          <cell r="F213" t="str">
            <v>童装-儿童上装-马甲</v>
          </cell>
          <cell r="G213" t="str">
            <v>一品一商</v>
          </cell>
          <cell r="H213" t="str">
            <v>品牌直发</v>
          </cell>
          <cell r="I213">
            <v>0</v>
          </cell>
        </row>
        <row r="214">
          <cell r="D214">
            <v>13131501</v>
          </cell>
          <cell r="E214" t="str">
            <v>伯希和/PELLIOT</v>
          </cell>
          <cell r="F214" t="str">
            <v>童装-儿童上装-T恤</v>
          </cell>
          <cell r="G214" t="str">
            <v>一品一商</v>
          </cell>
          <cell r="H214" t="str">
            <v>品牌直发</v>
          </cell>
          <cell r="I214">
            <v>0</v>
          </cell>
        </row>
        <row r="215">
          <cell r="D215">
            <v>13221533</v>
          </cell>
          <cell r="E215" t="str">
            <v>伯希和/PELLIOT</v>
          </cell>
          <cell r="F215" t="str">
            <v>童装-儿童上装-T恤</v>
          </cell>
          <cell r="G215" t="str">
            <v>一品一商</v>
          </cell>
          <cell r="H215" t="str">
            <v>品牌直发</v>
          </cell>
          <cell r="I215">
            <v>0</v>
          </cell>
        </row>
        <row r="216">
          <cell r="D216">
            <v>12123812</v>
          </cell>
          <cell r="E216" t="str">
            <v>伯希和/PELLIOT</v>
          </cell>
          <cell r="F216" t="str">
            <v>女装-短裤-休闲短裤</v>
          </cell>
          <cell r="G216" t="str">
            <v>一品一商</v>
          </cell>
          <cell r="H216" t="str">
            <v>品牌直发</v>
          </cell>
          <cell r="I216">
            <v>0</v>
          </cell>
        </row>
        <row r="217">
          <cell r="D217">
            <v>13113706</v>
          </cell>
          <cell r="E217" t="str">
            <v>伯希和/PELLIOT</v>
          </cell>
          <cell r="F217" t="str">
            <v>童装-儿童上装-卫衣</v>
          </cell>
          <cell r="G217" t="str">
            <v>一品一商</v>
          </cell>
          <cell r="H217" t="str">
            <v>品牌直发</v>
          </cell>
          <cell r="I217">
            <v>0</v>
          </cell>
        </row>
        <row r="218">
          <cell r="D218">
            <v>13221525</v>
          </cell>
          <cell r="E218" t="str">
            <v>伯希和/PELLIOT</v>
          </cell>
          <cell r="F218" t="str">
            <v>童装-儿童上装-T恤</v>
          </cell>
          <cell r="G218" t="str">
            <v>一品一商</v>
          </cell>
          <cell r="H218" t="str">
            <v>品牌直发</v>
          </cell>
          <cell r="I218">
            <v>0</v>
          </cell>
        </row>
        <row r="219">
          <cell r="D219">
            <v>113221526</v>
          </cell>
          <cell r="E219" t="str">
            <v>伯希和/PELLIOT</v>
          </cell>
          <cell r="F219" t="str">
            <v>童装-儿童上装-T恤</v>
          </cell>
          <cell r="G219" t="str">
            <v>一品一商</v>
          </cell>
          <cell r="H219" t="str">
            <v>品牌直发</v>
          </cell>
          <cell r="I219">
            <v>0</v>
          </cell>
        </row>
        <row r="220">
          <cell r="D220">
            <v>12133704</v>
          </cell>
          <cell r="E220" t="str">
            <v>伯希和/PELLIOT</v>
          </cell>
          <cell r="F220" t="str">
            <v>女装-上衣-卫衣</v>
          </cell>
          <cell r="G220" t="str">
            <v>一品一商</v>
          </cell>
          <cell r="H220" t="str">
            <v>品牌直发</v>
          </cell>
          <cell r="I220">
            <v>0</v>
          </cell>
        </row>
        <row r="221">
          <cell r="D221">
            <v>11133707</v>
          </cell>
          <cell r="E221" t="str">
            <v>伯希和/PELLIOT</v>
          </cell>
          <cell r="F221" t="str">
            <v>服装-上衣-卫衣</v>
          </cell>
          <cell r="G221" t="str">
            <v>一品一商</v>
          </cell>
          <cell r="H221" t="str">
            <v>品牌直发</v>
          </cell>
          <cell r="I221">
            <v>0</v>
          </cell>
        </row>
        <row r="222">
          <cell r="D222">
            <v>11133805</v>
          </cell>
          <cell r="E222" t="str">
            <v>伯希和/PELLIOT</v>
          </cell>
          <cell r="F222" t="str">
            <v>服装-长裤-针织运动裤</v>
          </cell>
          <cell r="G222" t="str">
            <v>一品一商</v>
          </cell>
          <cell r="H222" t="str">
            <v>品牌直发</v>
          </cell>
          <cell r="I222">
            <v>0</v>
          </cell>
        </row>
        <row r="223">
          <cell r="D223">
            <v>11131105</v>
          </cell>
          <cell r="E223" t="str">
            <v>伯希和/PELLIOT</v>
          </cell>
          <cell r="F223" t="str">
            <v>服装-户外运动服-抓绒裤</v>
          </cell>
          <cell r="G223" t="str">
            <v>一品一商</v>
          </cell>
          <cell r="H223" t="str">
            <v>品牌直发</v>
          </cell>
          <cell r="I223">
            <v>0</v>
          </cell>
        </row>
        <row r="224">
          <cell r="D224">
            <v>112221508</v>
          </cell>
          <cell r="E224" t="str">
            <v>伯希和/PELLIOT</v>
          </cell>
          <cell r="F224" t="str">
            <v>女装-上衣-T恤</v>
          </cell>
          <cell r="G224" t="str">
            <v>一品一商</v>
          </cell>
          <cell r="H224" t="str">
            <v>品牌直发</v>
          </cell>
          <cell r="I224">
            <v>0</v>
          </cell>
        </row>
        <row r="225">
          <cell r="D225">
            <v>13213709</v>
          </cell>
          <cell r="E225" t="str">
            <v>伯希和/PELLIOT</v>
          </cell>
          <cell r="F225" t="str">
            <v>童装-儿童上装-夹克</v>
          </cell>
          <cell r="G225" t="str">
            <v>一品一商</v>
          </cell>
          <cell r="H225" t="str">
            <v>品牌直发</v>
          </cell>
          <cell r="I225">
            <v>0</v>
          </cell>
        </row>
        <row r="226">
          <cell r="D226">
            <v>13121426</v>
          </cell>
          <cell r="E226" t="str">
            <v>伯希和/PELLIOT</v>
          </cell>
          <cell r="F226" t="str">
            <v>童装-儿童下装-针织运动裤</v>
          </cell>
          <cell r="G226" t="str">
            <v>一品一商</v>
          </cell>
          <cell r="H226" t="str">
            <v>品牌直发</v>
          </cell>
          <cell r="I226">
            <v>0</v>
          </cell>
        </row>
        <row r="227">
          <cell r="D227">
            <v>111121427</v>
          </cell>
          <cell r="E227" t="str">
            <v>伯希和/PELLIOT</v>
          </cell>
          <cell r="F227" t="str">
            <v>服装-户外运动服-速干裤</v>
          </cell>
          <cell r="G227" t="str">
            <v>一品一商</v>
          </cell>
          <cell r="H227" t="str">
            <v>品牌直发</v>
          </cell>
          <cell r="I227">
            <v>0</v>
          </cell>
        </row>
        <row r="228">
          <cell r="D228">
            <v>13231018</v>
          </cell>
          <cell r="E228" t="str">
            <v>伯希和/PELLIOT</v>
          </cell>
          <cell r="F228" t="str">
            <v>童装-儿童上装-卫衣</v>
          </cell>
          <cell r="G228" t="str">
            <v>一品一商</v>
          </cell>
          <cell r="H228" t="str">
            <v>品牌直发</v>
          </cell>
          <cell r="I228">
            <v>0</v>
          </cell>
        </row>
        <row r="229">
          <cell r="D229">
            <v>112221424</v>
          </cell>
          <cell r="E229" t="str">
            <v>伯希和/PELLIOT</v>
          </cell>
          <cell r="F229" t="str">
            <v>女装-健身服-运动短裤</v>
          </cell>
          <cell r="G229" t="str">
            <v>一品一商</v>
          </cell>
          <cell r="H229" t="str">
            <v>品牌直发</v>
          </cell>
          <cell r="I229">
            <v>0</v>
          </cell>
        </row>
        <row r="230">
          <cell r="D230">
            <v>13213805</v>
          </cell>
          <cell r="E230" t="str">
            <v>伯希和/PELLIOT</v>
          </cell>
          <cell r="F230" t="str">
            <v>童装-儿童下装-针织运动裤</v>
          </cell>
          <cell r="G230" t="str">
            <v>一品一商</v>
          </cell>
          <cell r="H230" t="str">
            <v>品牌直发</v>
          </cell>
          <cell r="I230">
            <v>0</v>
          </cell>
        </row>
        <row r="231">
          <cell r="D231">
            <v>13121220</v>
          </cell>
          <cell r="E231" t="str">
            <v>伯希和/PELLIOT</v>
          </cell>
          <cell r="F231" t="str">
            <v>童装-儿童上装-防晒衣</v>
          </cell>
          <cell r="G231" t="str">
            <v>一品一商</v>
          </cell>
          <cell r="H231" t="str">
            <v>品牌直发</v>
          </cell>
          <cell r="I231">
            <v>0</v>
          </cell>
        </row>
        <row r="232">
          <cell r="D232">
            <v>112121402</v>
          </cell>
          <cell r="E232" t="str">
            <v>伯希和/PELLIOT</v>
          </cell>
          <cell r="F232" t="str">
            <v>女装-健身服-运动短裤</v>
          </cell>
          <cell r="G232" t="str">
            <v>一品一商</v>
          </cell>
          <cell r="H232" t="str">
            <v>品牌直发</v>
          </cell>
          <cell r="I232">
            <v>0</v>
          </cell>
        </row>
        <row r="233">
          <cell r="D233">
            <v>113021234</v>
          </cell>
          <cell r="E233" t="str">
            <v>伯希和/PELLIOT</v>
          </cell>
          <cell r="F233" t="str">
            <v>童装-儿童上装-防晒衣</v>
          </cell>
          <cell r="G233" t="str">
            <v>一品一商</v>
          </cell>
          <cell r="H233" t="str">
            <v>普通现货</v>
          </cell>
          <cell r="I233">
            <v>0</v>
          </cell>
        </row>
        <row r="234">
          <cell r="D234">
            <v>113121276</v>
          </cell>
          <cell r="E234" t="str">
            <v>伯希和/PELLIOT</v>
          </cell>
          <cell r="F234" t="str">
            <v>童装-儿童上装-防晒衣</v>
          </cell>
          <cell r="G234" t="str">
            <v>一品一商</v>
          </cell>
          <cell r="H234" t="str">
            <v>品牌直发</v>
          </cell>
          <cell r="I234">
            <v>0</v>
          </cell>
        </row>
        <row r="235">
          <cell r="D235">
            <v>13113805</v>
          </cell>
          <cell r="E235" t="str">
            <v>伯希和/PELLIOT</v>
          </cell>
          <cell r="F235" t="str">
            <v>童装-儿童下装-针织运动裤</v>
          </cell>
          <cell r="G235" t="str">
            <v>一品一商</v>
          </cell>
          <cell r="H235" t="str">
            <v>品牌直发</v>
          </cell>
          <cell r="I235">
            <v>0</v>
          </cell>
        </row>
        <row r="236">
          <cell r="D236">
            <v>113231543</v>
          </cell>
          <cell r="E236" t="str">
            <v>伯希和/PELLIOT</v>
          </cell>
          <cell r="F236" t="str">
            <v>童装-儿童上装-T恤</v>
          </cell>
          <cell r="G236" t="str">
            <v>一品一商</v>
          </cell>
          <cell r="H236" t="str">
            <v>品牌直发</v>
          </cell>
          <cell r="I236">
            <v>0</v>
          </cell>
        </row>
        <row r="237">
          <cell r="D237">
            <v>11021525</v>
          </cell>
          <cell r="E237" t="str">
            <v>伯希和/PELLIOT</v>
          </cell>
          <cell r="F237" t="str">
            <v>服装-上衣-T恤</v>
          </cell>
          <cell r="G237" t="str">
            <v>一品一商</v>
          </cell>
          <cell r="H237" t="str">
            <v>品牌直发</v>
          </cell>
          <cell r="I237">
            <v>0</v>
          </cell>
        </row>
        <row r="238">
          <cell r="D238">
            <v>13221427</v>
          </cell>
          <cell r="E238" t="str">
            <v>伯希和/PELLIOT</v>
          </cell>
          <cell r="F238" t="str">
            <v>童装-儿童下装-针织运动裤</v>
          </cell>
          <cell r="G238" t="str">
            <v>一品一商</v>
          </cell>
          <cell r="H238" t="str">
            <v>品牌直发</v>
          </cell>
          <cell r="I238">
            <v>0</v>
          </cell>
        </row>
        <row r="239">
          <cell r="D239">
            <v>13245112</v>
          </cell>
          <cell r="E239" t="str">
            <v>伯希和/PELLIOT</v>
          </cell>
          <cell r="F239" t="str">
            <v>童装-儿童上装-冲锋衣</v>
          </cell>
          <cell r="G239" t="str">
            <v>一品多商</v>
          </cell>
          <cell r="H239" t="str">
            <v>品牌直发</v>
          </cell>
          <cell r="I239">
            <v>0</v>
          </cell>
        </row>
        <row r="240">
          <cell r="D240">
            <v>113115106</v>
          </cell>
          <cell r="E240" t="str">
            <v>伯希和/PELLIOT</v>
          </cell>
          <cell r="F240" t="str">
            <v>童装-儿童上装-冲锋衣</v>
          </cell>
          <cell r="G240" t="str">
            <v>一品一商</v>
          </cell>
          <cell r="H240" t="str">
            <v>品牌直发</v>
          </cell>
          <cell r="I240">
            <v>0</v>
          </cell>
        </row>
        <row r="241">
          <cell r="D241">
            <v>13040127</v>
          </cell>
          <cell r="E241" t="str">
            <v>伯希和/PELLIOT</v>
          </cell>
          <cell r="F241" t="str">
            <v>童装-儿童上装-冲锋衣</v>
          </cell>
          <cell r="G241" t="str">
            <v>一品一商</v>
          </cell>
          <cell r="H241" t="str">
            <v>品牌直发</v>
          </cell>
          <cell r="I241">
            <v>0</v>
          </cell>
        </row>
        <row r="242">
          <cell r="D242">
            <v>13921412</v>
          </cell>
          <cell r="E242" t="str">
            <v>伯希和/PELLIOT</v>
          </cell>
          <cell r="F242" t="str">
            <v>童装-儿童下装-针织运动裤</v>
          </cell>
          <cell r="G242" t="str">
            <v>一品一商</v>
          </cell>
          <cell r="H242" t="str">
            <v>品牌直发</v>
          </cell>
          <cell r="I242">
            <v>0</v>
          </cell>
        </row>
        <row r="243">
          <cell r="D243">
            <v>11115101</v>
          </cell>
          <cell r="E243" t="str">
            <v>伯希和/PELLIOT</v>
          </cell>
          <cell r="F243" t="str">
            <v>服装-外套-夹克</v>
          </cell>
          <cell r="G243" t="str">
            <v>一品一商</v>
          </cell>
          <cell r="H243" t="str">
            <v>品牌直发</v>
          </cell>
          <cell r="I243">
            <v>0</v>
          </cell>
        </row>
        <row r="244">
          <cell r="D244">
            <v>13930611</v>
          </cell>
          <cell r="E244" t="str">
            <v>伯希和/PELLIOT</v>
          </cell>
          <cell r="F244" t="str">
            <v>童装-儿童上装-冲锋衣</v>
          </cell>
          <cell r="G244" t="str">
            <v>一品多商</v>
          </cell>
          <cell r="H244" t="str">
            <v>品牌直发</v>
          </cell>
          <cell r="I244">
            <v>0</v>
          </cell>
        </row>
        <row r="245">
          <cell r="D245">
            <v>113321236</v>
          </cell>
          <cell r="E245" t="str">
            <v>伯希和/PELLIOT</v>
          </cell>
          <cell r="F245" t="str">
            <v>童装-儿童上装-防晒衣</v>
          </cell>
          <cell r="G245" t="str">
            <v>一品一商</v>
          </cell>
          <cell r="H245" t="str">
            <v>品牌直发</v>
          </cell>
          <cell r="I245">
            <v>0</v>
          </cell>
        </row>
        <row r="246">
          <cell r="D246">
            <v>13221249</v>
          </cell>
          <cell r="E246" t="str">
            <v>伯希和/PELLIOT</v>
          </cell>
          <cell r="F246" t="str">
            <v>童装-儿童上装-防晒衣</v>
          </cell>
          <cell r="G246" t="str">
            <v>一品一商</v>
          </cell>
          <cell r="H246" t="str">
            <v>品牌直发</v>
          </cell>
          <cell r="I246">
            <v>0</v>
          </cell>
        </row>
        <row r="247">
          <cell r="D247">
            <v>13031019</v>
          </cell>
          <cell r="E247" t="str">
            <v>伯希和/PELLIOT</v>
          </cell>
          <cell r="F247" t="str">
            <v>童装-儿童上装-马甲</v>
          </cell>
          <cell r="G247" t="str">
            <v>一品一商</v>
          </cell>
          <cell r="H247" t="str">
            <v>品牌直发</v>
          </cell>
          <cell r="I247">
            <v>0</v>
          </cell>
        </row>
        <row r="248">
          <cell r="D248">
            <v>13121530</v>
          </cell>
          <cell r="E248" t="str">
            <v>伯希和/PELLIOT</v>
          </cell>
          <cell r="F248" t="str">
            <v>童装-儿童上装-T恤</v>
          </cell>
          <cell r="G248" t="str">
            <v>一品一商</v>
          </cell>
          <cell r="H248" t="str">
            <v>品牌直发</v>
          </cell>
          <cell r="I248">
            <v>0</v>
          </cell>
        </row>
        <row r="249">
          <cell r="D249">
            <v>13133807</v>
          </cell>
          <cell r="E249" t="str">
            <v>伯希和/PELLIOT</v>
          </cell>
          <cell r="F249" t="str">
            <v>童装-儿童下装-针织运动裤</v>
          </cell>
          <cell r="G249" t="str">
            <v>一品一商</v>
          </cell>
          <cell r="H249" t="str">
            <v>品牌直发</v>
          </cell>
          <cell r="I249">
            <v>0</v>
          </cell>
        </row>
        <row r="250">
          <cell r="D250">
            <v>13121274</v>
          </cell>
          <cell r="E250" t="str">
            <v>伯希和/PELLIOT</v>
          </cell>
          <cell r="F250" t="str">
            <v>童装-儿童上装-防晒衣</v>
          </cell>
          <cell r="G250" t="str">
            <v>一品一商</v>
          </cell>
          <cell r="H250" t="str">
            <v>品牌直发</v>
          </cell>
          <cell r="I250">
            <v>0</v>
          </cell>
        </row>
        <row r="251">
          <cell r="D251">
            <v>13321235</v>
          </cell>
          <cell r="E251" t="str">
            <v>伯希和/PELLIOT</v>
          </cell>
          <cell r="F251" t="str">
            <v>童装-儿童上装-防晒衣</v>
          </cell>
          <cell r="G251" t="str">
            <v>一品一商</v>
          </cell>
          <cell r="H251" t="str">
            <v>品牌直发</v>
          </cell>
          <cell r="I251">
            <v>0</v>
          </cell>
        </row>
        <row r="252">
          <cell r="D252">
            <v>13221245</v>
          </cell>
          <cell r="E252" t="str">
            <v>伯希和/PELLIOT</v>
          </cell>
          <cell r="F252" t="str">
            <v>童装-儿童上装-防晒衣</v>
          </cell>
          <cell r="G252" t="str">
            <v>一品一商</v>
          </cell>
          <cell r="H252" t="str">
            <v>品牌直发</v>
          </cell>
          <cell r="I252">
            <v>0</v>
          </cell>
        </row>
        <row r="253">
          <cell r="D253">
            <v>13031113</v>
          </cell>
          <cell r="E253" t="str">
            <v>伯希和/PELLIOT</v>
          </cell>
          <cell r="F253" t="str">
            <v>童装-儿童下装-针织运动裤</v>
          </cell>
          <cell r="G253" t="str">
            <v>一品一商</v>
          </cell>
          <cell r="H253" t="str">
            <v>品牌直发</v>
          </cell>
          <cell r="I253">
            <v>0</v>
          </cell>
        </row>
        <row r="254">
          <cell r="D254">
            <v>13121436</v>
          </cell>
          <cell r="E254" t="str">
            <v>伯希和/PELLIOT</v>
          </cell>
          <cell r="F254" t="str">
            <v>童装-儿童下装-针织运动裤</v>
          </cell>
          <cell r="G254" t="str">
            <v>一品多商</v>
          </cell>
          <cell r="H254" t="str">
            <v>品牌直发</v>
          </cell>
          <cell r="I254">
            <v>0</v>
          </cell>
        </row>
        <row r="255">
          <cell r="D255">
            <v>112031026</v>
          </cell>
          <cell r="E255" t="str">
            <v>伯希和/PELLIOT</v>
          </cell>
          <cell r="F255" t="str">
            <v>女装-户外运动服-抓绒衣</v>
          </cell>
          <cell r="G255" t="str">
            <v>一品一商</v>
          </cell>
          <cell r="H255" t="str">
            <v>品牌直发</v>
          </cell>
          <cell r="I255">
            <v>0</v>
          </cell>
        </row>
        <row r="256">
          <cell r="D256">
            <v>12140128</v>
          </cell>
          <cell r="E256" t="str">
            <v>伯希和/PELLIOT</v>
          </cell>
          <cell r="F256" t="str">
            <v>女装-外套-冲锋衣</v>
          </cell>
          <cell r="G256" t="str">
            <v>一品一商</v>
          </cell>
          <cell r="H256" t="str">
            <v>品牌直发</v>
          </cell>
          <cell r="I256">
            <v>0</v>
          </cell>
        </row>
        <row r="257">
          <cell r="D257">
            <v>12121418</v>
          </cell>
          <cell r="E257" t="str">
            <v>伯希和/PELLIOT</v>
          </cell>
          <cell r="F257" t="str">
            <v>女装-长裤-针织运动裤</v>
          </cell>
          <cell r="G257" t="str">
            <v>一品一商</v>
          </cell>
          <cell r="H257" t="str">
            <v>品牌直发</v>
          </cell>
          <cell r="I257">
            <v>0</v>
          </cell>
        </row>
        <row r="258">
          <cell r="D258">
            <v>12221402</v>
          </cell>
          <cell r="E258" t="str">
            <v>伯希和/PELLIOT</v>
          </cell>
          <cell r="F258" t="str">
            <v>女装-户外运动服-速干裤</v>
          </cell>
          <cell r="G258" t="str">
            <v>一品一商</v>
          </cell>
          <cell r="H258" t="str">
            <v>品牌直发</v>
          </cell>
          <cell r="I258">
            <v>0</v>
          </cell>
        </row>
        <row r="259">
          <cell r="D259">
            <v>112321408</v>
          </cell>
          <cell r="E259" t="str">
            <v>伯希和/PELLIOT</v>
          </cell>
          <cell r="F259" t="str">
            <v>女装-户外运动服-速干裤</v>
          </cell>
          <cell r="G259" t="str">
            <v>一品多商</v>
          </cell>
          <cell r="H259" t="str">
            <v>品牌直发</v>
          </cell>
          <cell r="I259">
            <v>0</v>
          </cell>
        </row>
        <row r="260">
          <cell r="D260">
            <v>124408280</v>
          </cell>
          <cell r="E260" t="str">
            <v>伯希和/PELLIOT</v>
          </cell>
          <cell r="F260" t="str">
            <v>女装-外套-羽绒服</v>
          </cell>
          <cell r="G260" t="str">
            <v>一品多商</v>
          </cell>
          <cell r="H260" t="str">
            <v>品牌直发</v>
          </cell>
          <cell r="I260">
            <v>0</v>
          </cell>
        </row>
        <row r="261">
          <cell r="D261">
            <v>111021401</v>
          </cell>
          <cell r="E261" t="str">
            <v>伯希和/PELLIOT</v>
          </cell>
          <cell r="F261" t="str">
            <v>服装-短裤-休闲短裤</v>
          </cell>
          <cell r="G261" t="str">
            <v>一品多商</v>
          </cell>
          <cell r="H261" t="str">
            <v>品牌直发</v>
          </cell>
          <cell r="I261">
            <v>0</v>
          </cell>
        </row>
        <row r="262">
          <cell r="D262">
            <v>12940130</v>
          </cell>
          <cell r="E262" t="str">
            <v>伯希和/PELLIOT</v>
          </cell>
          <cell r="F262" t="str">
            <v>女装-外套-冲锋衣</v>
          </cell>
          <cell r="G262" t="str">
            <v>一品一商</v>
          </cell>
          <cell r="H262" t="str">
            <v>品牌直发</v>
          </cell>
          <cell r="I262">
            <v>0</v>
          </cell>
        </row>
        <row r="263">
          <cell r="D263">
            <v>112321426</v>
          </cell>
          <cell r="E263" t="str">
            <v>伯希和/PELLIOT</v>
          </cell>
          <cell r="F263" t="str">
            <v>女装-长裙-休闲长裙</v>
          </cell>
          <cell r="G263" t="str">
            <v>一品一商</v>
          </cell>
          <cell r="H263" t="str">
            <v>品牌直发</v>
          </cell>
          <cell r="I263">
            <v>0</v>
          </cell>
        </row>
        <row r="264">
          <cell r="D264">
            <v>12321502</v>
          </cell>
          <cell r="E264" t="str">
            <v>伯希和/PELLIOT</v>
          </cell>
          <cell r="F264" t="str">
            <v>女装-上衣-Polo衫</v>
          </cell>
          <cell r="G264" t="str">
            <v>一品一商</v>
          </cell>
          <cell r="H264" t="str">
            <v>品牌直发</v>
          </cell>
          <cell r="I264">
            <v>0</v>
          </cell>
        </row>
        <row r="265">
          <cell r="D265">
            <v>12130710</v>
          </cell>
          <cell r="E265" t="str">
            <v>伯希和/PELLIOT</v>
          </cell>
          <cell r="F265" t="str">
            <v>女装-长裤-软壳裤</v>
          </cell>
          <cell r="G265" t="str">
            <v>一品一商</v>
          </cell>
          <cell r="H265" t="str">
            <v>品牌直发</v>
          </cell>
          <cell r="I265">
            <v>0</v>
          </cell>
        </row>
        <row r="266">
          <cell r="D266">
            <v>11130701</v>
          </cell>
          <cell r="E266" t="str">
            <v>伯希和/PELLIOT</v>
          </cell>
          <cell r="F266" t="str">
            <v>服装-长裤-软壳裤</v>
          </cell>
          <cell r="G266" t="str">
            <v>一品多商</v>
          </cell>
          <cell r="H266" t="str">
            <v>品牌直发</v>
          </cell>
          <cell r="I266">
            <v>0</v>
          </cell>
        </row>
        <row r="267">
          <cell r="D267">
            <v>12021510</v>
          </cell>
          <cell r="E267" t="str">
            <v>伯希和/PELLIOT</v>
          </cell>
          <cell r="F267" t="str">
            <v>女装-户外运动服-跑步T恤</v>
          </cell>
          <cell r="G267" t="str">
            <v>一品一商</v>
          </cell>
          <cell r="H267" t="str">
            <v>品牌直发</v>
          </cell>
          <cell r="I267">
            <v>0</v>
          </cell>
        </row>
        <row r="268">
          <cell r="D268">
            <v>11231103</v>
          </cell>
          <cell r="E268" t="str">
            <v>伯希和/PELLIOT</v>
          </cell>
          <cell r="F268" t="str">
            <v>服装-户外运动服-抓绒裤</v>
          </cell>
          <cell r="G268" t="str">
            <v>一品一商</v>
          </cell>
          <cell r="H268" t="str">
            <v>品牌直发</v>
          </cell>
          <cell r="I268">
            <v>0</v>
          </cell>
        </row>
        <row r="269">
          <cell r="D269">
            <v>12221536</v>
          </cell>
          <cell r="E269" t="str">
            <v>伯希和/PELLIOT</v>
          </cell>
          <cell r="F269" t="str">
            <v>女装-户外运动服-速干T恤</v>
          </cell>
          <cell r="G269" t="str">
            <v>一品一商</v>
          </cell>
          <cell r="H269" t="str">
            <v>品牌直发</v>
          </cell>
          <cell r="I269">
            <v>0</v>
          </cell>
        </row>
        <row r="270">
          <cell r="D270">
            <v>12830708</v>
          </cell>
          <cell r="E270" t="str">
            <v>伯希和/PELLIOT</v>
          </cell>
          <cell r="F270" t="str">
            <v>女装-长裤-软壳裤</v>
          </cell>
          <cell r="G270" t="str">
            <v>一品多商</v>
          </cell>
          <cell r="H270" t="str">
            <v>品牌直发</v>
          </cell>
          <cell r="I270">
            <v>0</v>
          </cell>
        </row>
        <row r="271">
          <cell r="D271">
            <v>12321402</v>
          </cell>
          <cell r="E271" t="str">
            <v>伯希和/PELLIOT</v>
          </cell>
          <cell r="F271" t="str">
            <v>女装-户外运动服-速干裤</v>
          </cell>
          <cell r="G271" t="str">
            <v>一品一商</v>
          </cell>
          <cell r="H271" t="str">
            <v>品牌直发</v>
          </cell>
          <cell r="I271">
            <v>0</v>
          </cell>
        </row>
        <row r="272">
          <cell r="D272">
            <v>12221514</v>
          </cell>
          <cell r="E272" t="str">
            <v>伯希和/PELLIOT</v>
          </cell>
          <cell r="F272" t="str">
            <v>女装-上衣-Polo衫</v>
          </cell>
          <cell r="G272" t="str">
            <v>一品一商</v>
          </cell>
          <cell r="H272" t="str">
            <v>品牌直发</v>
          </cell>
          <cell r="I272">
            <v>0</v>
          </cell>
        </row>
        <row r="273">
          <cell r="D273">
            <v>12231104</v>
          </cell>
          <cell r="E273" t="str">
            <v>伯希和/PELLIOT</v>
          </cell>
          <cell r="F273" t="str">
            <v>女装-户外运动服-抓绒裤</v>
          </cell>
          <cell r="G273" t="str">
            <v>一品一商</v>
          </cell>
          <cell r="H273" t="str">
            <v>品牌直发</v>
          </cell>
          <cell r="I273">
            <v>0</v>
          </cell>
        </row>
        <row r="274">
          <cell r="D274">
            <v>115107016</v>
          </cell>
          <cell r="E274" t="str">
            <v>伯希和/PELLIOT</v>
          </cell>
          <cell r="F274" t="str">
            <v>服装-长裤-软壳裤</v>
          </cell>
          <cell r="G274" t="str">
            <v>一品多商</v>
          </cell>
          <cell r="H274" t="str">
            <v>品牌直发</v>
          </cell>
          <cell r="I274">
            <v>0</v>
          </cell>
        </row>
        <row r="275">
          <cell r="D275">
            <v>12131106</v>
          </cell>
          <cell r="E275" t="str">
            <v>伯希和/PELLIOT</v>
          </cell>
          <cell r="F275" t="str">
            <v>女装-户外运动服-抓绒裤</v>
          </cell>
          <cell r="G275" t="str">
            <v>一品一商</v>
          </cell>
          <cell r="H275" t="str">
            <v>品牌直发</v>
          </cell>
          <cell r="I275">
            <v>0</v>
          </cell>
        </row>
        <row r="276">
          <cell r="D276">
            <v>11321401</v>
          </cell>
          <cell r="E276" t="str">
            <v>伯希和/PELLIOT</v>
          </cell>
          <cell r="F276" t="str">
            <v>服装-户外运动服-速干裤</v>
          </cell>
          <cell r="G276" t="str">
            <v>一品一商</v>
          </cell>
          <cell r="H276" t="str">
            <v>品牌直发</v>
          </cell>
          <cell r="I276">
            <v>0</v>
          </cell>
        </row>
        <row r="277">
          <cell r="D277">
            <v>11830603</v>
          </cell>
          <cell r="E277" t="str">
            <v>伯希和/PELLIOT</v>
          </cell>
          <cell r="F277" t="str">
            <v>服装-外套-软壳衣</v>
          </cell>
          <cell r="G277" t="str">
            <v>一品多商</v>
          </cell>
          <cell r="H277" t="str">
            <v>品牌直发</v>
          </cell>
          <cell r="I277">
            <v>0</v>
          </cell>
        </row>
        <row r="278">
          <cell r="D278">
            <v>12830604</v>
          </cell>
          <cell r="E278" t="str">
            <v>伯希和/PELLIOT</v>
          </cell>
          <cell r="F278" t="str">
            <v>女装-外套-软壳衣</v>
          </cell>
          <cell r="G278" t="str">
            <v>一品多商</v>
          </cell>
          <cell r="H278" t="str">
            <v>品牌直发</v>
          </cell>
          <cell r="I278">
            <v>0</v>
          </cell>
        </row>
        <row r="279">
          <cell r="D279">
            <v>12321406</v>
          </cell>
          <cell r="E279" t="str">
            <v>伯希和/PELLIOT</v>
          </cell>
          <cell r="F279" t="str">
            <v>女装-户外运动服-速干裤</v>
          </cell>
          <cell r="G279" t="str">
            <v>一品一商</v>
          </cell>
          <cell r="H279" t="str">
            <v>品牌直发</v>
          </cell>
          <cell r="I279">
            <v>0</v>
          </cell>
        </row>
        <row r="280">
          <cell r="D280">
            <v>11021509</v>
          </cell>
          <cell r="E280" t="str">
            <v>伯希和/PELLIOT</v>
          </cell>
          <cell r="F280" t="str">
            <v>服装-上衣-T恤</v>
          </cell>
          <cell r="G280" t="str">
            <v>一品一商</v>
          </cell>
          <cell r="H280" t="str">
            <v>品牌直发</v>
          </cell>
          <cell r="I280">
            <v>0</v>
          </cell>
        </row>
        <row r="281">
          <cell r="D281">
            <v>12213804</v>
          </cell>
          <cell r="E281" t="str">
            <v>伯希和/PELLIOT</v>
          </cell>
          <cell r="F281" t="str">
            <v>女装-长裤-休闲裤</v>
          </cell>
          <cell r="G281" t="str">
            <v>一品一商</v>
          </cell>
          <cell r="H281" t="str">
            <v>品牌直发</v>
          </cell>
          <cell r="I281">
            <v>0</v>
          </cell>
        </row>
        <row r="282">
          <cell r="D282">
            <v>12230702</v>
          </cell>
          <cell r="E282" t="str">
            <v>伯希和/PELLIOT</v>
          </cell>
          <cell r="F282" t="str">
            <v>女装-长裤-软壳裤</v>
          </cell>
          <cell r="G282" t="str">
            <v>一品多商</v>
          </cell>
          <cell r="H282" t="str">
            <v>品牌直发</v>
          </cell>
          <cell r="I282">
            <v>0</v>
          </cell>
        </row>
        <row r="283">
          <cell r="D283">
            <v>12033806</v>
          </cell>
          <cell r="E283" t="str">
            <v>伯希和/PELLIOT</v>
          </cell>
          <cell r="F283" t="str">
            <v>女装-长裤-休闲裤</v>
          </cell>
          <cell r="G283" t="str">
            <v>一品一商</v>
          </cell>
          <cell r="H283" t="str">
            <v>品牌直发</v>
          </cell>
          <cell r="I283">
            <v>0</v>
          </cell>
        </row>
        <row r="284">
          <cell r="D284" t="str">
            <v>125116022-服</v>
          </cell>
          <cell r="E284" t="str">
            <v>伯希和/PELLIOT</v>
          </cell>
          <cell r="F284" t="str">
            <v>女装-户外运动服-跑步T恤</v>
          </cell>
          <cell r="G284" t="str">
            <v>一品多商</v>
          </cell>
          <cell r="H284" t="str">
            <v>品牌直发</v>
          </cell>
          <cell r="I284">
            <v>0</v>
          </cell>
        </row>
        <row r="285">
          <cell r="D285">
            <v>12321414</v>
          </cell>
          <cell r="E285" t="str">
            <v>伯希和/PELLIOT</v>
          </cell>
          <cell r="F285" t="str">
            <v>女装-户外运动服-速干裤</v>
          </cell>
          <cell r="G285" t="str">
            <v>一品一商</v>
          </cell>
          <cell r="H285" t="str">
            <v>品牌直发</v>
          </cell>
          <cell r="I285">
            <v>0</v>
          </cell>
        </row>
        <row r="286">
          <cell r="D286">
            <v>112040112</v>
          </cell>
          <cell r="E286" t="str">
            <v>伯希和/PELLIOT</v>
          </cell>
          <cell r="F286" t="str">
            <v>女装-外套-冲锋衣</v>
          </cell>
          <cell r="G286" t="str">
            <v>一品一商</v>
          </cell>
          <cell r="H286" t="str">
            <v>品牌直发</v>
          </cell>
          <cell r="I286">
            <v>0</v>
          </cell>
        </row>
        <row r="287">
          <cell r="D287">
            <v>11230701</v>
          </cell>
          <cell r="E287" t="str">
            <v>伯希和/PELLIOT</v>
          </cell>
          <cell r="F287" t="str">
            <v>服装-长裤-软壳裤</v>
          </cell>
          <cell r="G287" t="str">
            <v>一品多商</v>
          </cell>
          <cell r="H287" t="str">
            <v>品牌直发</v>
          </cell>
          <cell r="I287">
            <v>0</v>
          </cell>
        </row>
        <row r="288">
          <cell r="D288">
            <v>11231443</v>
          </cell>
          <cell r="E288" t="str">
            <v>伯希和/PELLIOT</v>
          </cell>
          <cell r="F288" t="str">
            <v>服装-户外运动服-速干裤</v>
          </cell>
          <cell r="G288" t="str">
            <v>一品一商</v>
          </cell>
          <cell r="H288" t="str">
            <v>品牌直发</v>
          </cell>
          <cell r="I288">
            <v>0</v>
          </cell>
        </row>
        <row r="289">
          <cell r="D289">
            <v>12215104</v>
          </cell>
          <cell r="E289" t="str">
            <v>伯希和/PELLIOT</v>
          </cell>
          <cell r="F289" t="str">
            <v>女装-外套-夹克</v>
          </cell>
          <cell r="G289" t="str">
            <v>一品一商</v>
          </cell>
          <cell r="H289" t="str">
            <v>品牌直发</v>
          </cell>
          <cell r="I289">
            <v>0</v>
          </cell>
        </row>
        <row r="290">
          <cell r="D290">
            <v>112213710</v>
          </cell>
          <cell r="E290" t="str">
            <v>伯希和/PELLIOT</v>
          </cell>
          <cell r="F290" t="str">
            <v>服装-上衣-卫衣</v>
          </cell>
          <cell r="G290" t="str">
            <v>一品一商</v>
          </cell>
          <cell r="H290" t="str">
            <v>品牌直发</v>
          </cell>
          <cell r="I290">
            <v>0</v>
          </cell>
        </row>
        <row r="291">
          <cell r="D291">
            <v>111240115</v>
          </cell>
          <cell r="E291" t="str">
            <v>伯希和/PELLIOT</v>
          </cell>
          <cell r="F291" t="str">
            <v>服装-外套-冲锋衣</v>
          </cell>
          <cell r="G291" t="str">
            <v>一品一商</v>
          </cell>
          <cell r="H291" t="str">
            <v>品牌直发</v>
          </cell>
          <cell r="I291">
            <v>0</v>
          </cell>
        </row>
        <row r="292">
          <cell r="D292">
            <v>12321204</v>
          </cell>
          <cell r="E292" t="str">
            <v>伯希和/PELLIOT</v>
          </cell>
          <cell r="F292" t="str">
            <v>女装-外套-防晒服</v>
          </cell>
          <cell r="G292" t="str">
            <v>一品一商</v>
          </cell>
          <cell r="H292" t="str">
            <v>品牌直发</v>
          </cell>
          <cell r="I292">
            <v>0</v>
          </cell>
        </row>
        <row r="293">
          <cell r="D293">
            <v>11240203</v>
          </cell>
          <cell r="E293" t="str">
            <v>伯希和/PELLIOT</v>
          </cell>
          <cell r="F293" t="str">
            <v>服装-长裤-冲锋裤</v>
          </cell>
          <cell r="G293" t="str">
            <v>一品多商</v>
          </cell>
          <cell r="H293" t="str">
            <v>品牌直发</v>
          </cell>
          <cell r="I293">
            <v>0</v>
          </cell>
        </row>
        <row r="294">
          <cell r="D294">
            <v>11040107</v>
          </cell>
          <cell r="E294" t="str">
            <v>伯希和/PELLIOT</v>
          </cell>
          <cell r="F294" t="str">
            <v>服装-外套-冲锋衣</v>
          </cell>
          <cell r="G294" t="str">
            <v>一品多商</v>
          </cell>
          <cell r="H294" t="str">
            <v>品牌直发</v>
          </cell>
          <cell r="I294">
            <v>0</v>
          </cell>
        </row>
        <row r="295">
          <cell r="D295">
            <v>12221522</v>
          </cell>
          <cell r="E295" t="str">
            <v>伯希和/PELLIOT</v>
          </cell>
          <cell r="F295" t="str">
            <v>女装-户外运动服-跑步T恤</v>
          </cell>
          <cell r="G295" t="str">
            <v>一品一商</v>
          </cell>
          <cell r="H295" t="str">
            <v>品牌直发</v>
          </cell>
          <cell r="I295">
            <v>0</v>
          </cell>
        </row>
        <row r="296">
          <cell r="D296">
            <v>12230618</v>
          </cell>
          <cell r="E296" t="str">
            <v>伯希和/PELLIOT</v>
          </cell>
          <cell r="F296" t="str">
            <v>女装-外套-软壳衣</v>
          </cell>
          <cell r="G296" t="str">
            <v>一品一商</v>
          </cell>
          <cell r="H296" t="str">
            <v>品牌直发</v>
          </cell>
          <cell r="I296">
            <v>0</v>
          </cell>
        </row>
        <row r="297">
          <cell r="D297">
            <v>12130608</v>
          </cell>
          <cell r="E297" t="str">
            <v>伯希和/PELLIOT</v>
          </cell>
          <cell r="F297" t="str">
            <v>女装-外套-软壳衣</v>
          </cell>
          <cell r="G297" t="str">
            <v>一品多商</v>
          </cell>
          <cell r="H297" t="str">
            <v>品牌直发</v>
          </cell>
          <cell r="I297">
            <v>0</v>
          </cell>
        </row>
        <row r="298">
          <cell r="D298">
            <v>12313706</v>
          </cell>
          <cell r="E298" t="str">
            <v>伯希和/PELLIOT</v>
          </cell>
          <cell r="F298" t="str">
            <v>女装-上衣-卫衣</v>
          </cell>
          <cell r="G298" t="str">
            <v>一品一商</v>
          </cell>
          <cell r="H298" t="str">
            <v>品牌直发</v>
          </cell>
          <cell r="I298">
            <v>0</v>
          </cell>
        </row>
        <row r="299">
          <cell r="D299">
            <v>11213803</v>
          </cell>
          <cell r="E299" t="str">
            <v>伯希和/PELLIOT</v>
          </cell>
          <cell r="F299" t="str">
            <v>服装-长裤-针织运动裤</v>
          </cell>
          <cell r="G299" t="str">
            <v>一品一商</v>
          </cell>
          <cell r="H299" t="str">
            <v>品牌直发</v>
          </cell>
          <cell r="I299">
            <v>0</v>
          </cell>
        </row>
        <row r="300">
          <cell r="D300">
            <v>12221504</v>
          </cell>
          <cell r="E300" t="str">
            <v>伯希和/PELLIOT</v>
          </cell>
          <cell r="F300" t="str">
            <v>女装-上衣-T恤</v>
          </cell>
          <cell r="G300" t="str">
            <v>一品一商</v>
          </cell>
          <cell r="H300" t="str">
            <v>品牌直发</v>
          </cell>
          <cell r="I300">
            <v>0</v>
          </cell>
        </row>
        <row r="301">
          <cell r="D301">
            <v>12031016</v>
          </cell>
          <cell r="E301" t="str">
            <v>伯希和/PELLIOT</v>
          </cell>
          <cell r="F301" t="str">
            <v>女装-户外运动服-抓绒衣</v>
          </cell>
          <cell r="G301" t="str">
            <v>一品一商</v>
          </cell>
          <cell r="H301" t="str">
            <v>品牌直发</v>
          </cell>
          <cell r="I301">
            <v>0</v>
          </cell>
        </row>
        <row r="302">
          <cell r="D302">
            <v>12131022</v>
          </cell>
          <cell r="E302" t="str">
            <v>伯希和/PELLIOT</v>
          </cell>
          <cell r="F302" t="str">
            <v>女装-户外运动服-抓绒衣</v>
          </cell>
          <cell r="G302" t="str">
            <v>一品一商</v>
          </cell>
          <cell r="H302" t="str">
            <v>品牌直发</v>
          </cell>
          <cell r="I302">
            <v>0</v>
          </cell>
        </row>
        <row r="303">
          <cell r="D303">
            <v>112140110</v>
          </cell>
          <cell r="E303" t="str">
            <v>伯希和/PELLIOT</v>
          </cell>
          <cell r="F303" t="str">
            <v>女装-外套-冲锋衣</v>
          </cell>
          <cell r="G303" t="str">
            <v>一品一商</v>
          </cell>
          <cell r="H303" t="str">
            <v>品牌直发</v>
          </cell>
          <cell r="I303">
            <v>0</v>
          </cell>
        </row>
        <row r="304">
          <cell r="D304">
            <v>12121218</v>
          </cell>
          <cell r="E304" t="str">
            <v>伯希和/PELLIOT</v>
          </cell>
          <cell r="F304" t="str">
            <v>女装-外套-防晒服</v>
          </cell>
          <cell r="G304" t="str">
            <v>一品一商</v>
          </cell>
          <cell r="H304" t="str">
            <v>品牌直发</v>
          </cell>
          <cell r="I304">
            <v>0</v>
          </cell>
        </row>
        <row r="305">
          <cell r="D305">
            <v>16804501</v>
          </cell>
          <cell r="E305" t="str">
            <v>伯希和/PELLIOT</v>
          </cell>
          <cell r="F305" t="str">
            <v>户外装备-露营/野炊装备-秋千</v>
          </cell>
          <cell r="G305" t="str">
            <v>一品多商</v>
          </cell>
          <cell r="H305" t="str">
            <v>普通现货</v>
          </cell>
          <cell r="I305">
            <v>0</v>
          </cell>
        </row>
        <row r="306">
          <cell r="D306">
            <v>11221203</v>
          </cell>
          <cell r="E306" t="str">
            <v>伯希和/PELLIOT</v>
          </cell>
          <cell r="F306" t="str">
            <v>服装-外套-防晒服</v>
          </cell>
          <cell r="G306" t="str">
            <v>一品一商</v>
          </cell>
          <cell r="H306" t="str">
            <v>品牌直发</v>
          </cell>
          <cell r="I306">
            <v>0</v>
          </cell>
        </row>
        <row r="307">
          <cell r="D307">
            <v>12221202</v>
          </cell>
          <cell r="E307" t="str">
            <v>伯希和/PELLIOT</v>
          </cell>
          <cell r="F307" t="str">
            <v>女装-外套-防晒服</v>
          </cell>
          <cell r="G307" t="str">
            <v>一品多商</v>
          </cell>
          <cell r="H307" t="str">
            <v>品牌直发</v>
          </cell>
          <cell r="I307">
            <v>0</v>
          </cell>
        </row>
        <row r="308">
          <cell r="D308">
            <v>12215102</v>
          </cell>
          <cell r="E308" t="str">
            <v>伯希和/PELLIOT</v>
          </cell>
          <cell r="F308" t="str">
            <v>女装-外套-夹克</v>
          </cell>
          <cell r="G308" t="str">
            <v>一品一商</v>
          </cell>
          <cell r="H308" t="str">
            <v>品牌直发</v>
          </cell>
          <cell r="I308">
            <v>0</v>
          </cell>
        </row>
        <row r="309">
          <cell r="D309">
            <v>12121412</v>
          </cell>
          <cell r="E309" t="str">
            <v>伯希和/PELLIOT</v>
          </cell>
          <cell r="F309" t="str">
            <v>女装-户外运动服-速干裤</v>
          </cell>
          <cell r="G309" t="str">
            <v>一品多商</v>
          </cell>
          <cell r="H309" t="str">
            <v>品牌直发</v>
          </cell>
          <cell r="I309">
            <v>0</v>
          </cell>
        </row>
        <row r="310">
          <cell r="D310">
            <v>12231006</v>
          </cell>
          <cell r="E310" t="str">
            <v>伯希和/PELLIOT</v>
          </cell>
          <cell r="F310" t="str">
            <v>女装-户外运动服-抓绒衣</v>
          </cell>
          <cell r="G310" t="str">
            <v>一品一商</v>
          </cell>
          <cell r="H310" t="str">
            <v>品牌直发</v>
          </cell>
          <cell r="I310">
            <v>0</v>
          </cell>
        </row>
        <row r="311">
          <cell r="D311">
            <v>12231004</v>
          </cell>
          <cell r="E311" t="str">
            <v>伯希和/PELLIOT</v>
          </cell>
          <cell r="F311" t="str">
            <v>女装-户外运动服-抓绒衣</v>
          </cell>
          <cell r="G311" t="str">
            <v>一品一商</v>
          </cell>
          <cell r="H311" t="str">
            <v>品牌直发</v>
          </cell>
          <cell r="I311">
            <v>0</v>
          </cell>
        </row>
        <row r="312">
          <cell r="D312">
            <v>12130702</v>
          </cell>
          <cell r="E312" t="str">
            <v>伯希和/PELLIOT</v>
          </cell>
          <cell r="F312" t="str">
            <v>女装-长裤-软壳裤</v>
          </cell>
          <cell r="G312" t="str">
            <v>一品多商</v>
          </cell>
          <cell r="H312" t="str">
            <v>品牌直发</v>
          </cell>
          <cell r="I312">
            <v>0</v>
          </cell>
        </row>
        <row r="313">
          <cell r="D313">
            <v>12321222</v>
          </cell>
          <cell r="E313" t="str">
            <v>伯希和/PELLIOT</v>
          </cell>
          <cell r="F313" t="str">
            <v>女装-外套-防晒服</v>
          </cell>
          <cell r="G313" t="str">
            <v>一品多商</v>
          </cell>
          <cell r="H313" t="str">
            <v>品牌直发</v>
          </cell>
          <cell r="I313">
            <v>0</v>
          </cell>
        </row>
        <row r="314">
          <cell r="D314">
            <v>12131006</v>
          </cell>
          <cell r="E314" t="str">
            <v>伯希和/PELLIOT</v>
          </cell>
          <cell r="F314" t="str">
            <v>女装-户外运动服-抓绒衣</v>
          </cell>
          <cell r="G314" t="str">
            <v>一品一商</v>
          </cell>
          <cell r="H314" t="str">
            <v>普通现货</v>
          </cell>
          <cell r="I314">
            <v>0</v>
          </cell>
        </row>
        <row r="315">
          <cell r="D315">
            <v>12230706</v>
          </cell>
          <cell r="E315" t="str">
            <v>伯希和/PELLIOT</v>
          </cell>
          <cell r="F315" t="str">
            <v>女装-长裤-软壳裤</v>
          </cell>
          <cell r="G315" t="str">
            <v>一品多商</v>
          </cell>
          <cell r="H315" t="str">
            <v>品牌直发</v>
          </cell>
          <cell r="I315">
            <v>0</v>
          </cell>
        </row>
        <row r="316">
          <cell r="D316">
            <v>11240121</v>
          </cell>
          <cell r="E316" t="str">
            <v>伯希和/PELLIOT</v>
          </cell>
          <cell r="F316" t="str">
            <v>服装-外套-冲锋衣</v>
          </cell>
          <cell r="G316" t="str">
            <v>一品一商</v>
          </cell>
          <cell r="H316" t="str">
            <v>品牌直发</v>
          </cell>
          <cell r="I316">
            <v>0</v>
          </cell>
        </row>
        <row r="317">
          <cell r="D317">
            <v>12231016</v>
          </cell>
          <cell r="E317" t="str">
            <v>伯希和/PELLIOT</v>
          </cell>
          <cell r="F317" t="str">
            <v>女装-户外运动服-抓绒衣</v>
          </cell>
          <cell r="G317" t="str">
            <v>一品一商</v>
          </cell>
          <cell r="H317" t="str">
            <v>品牌直发</v>
          </cell>
          <cell r="I317">
            <v>0</v>
          </cell>
        </row>
        <row r="318">
          <cell r="D318">
            <v>12231032</v>
          </cell>
          <cell r="E318" t="str">
            <v>伯希和/PELLIOT</v>
          </cell>
          <cell r="F318" t="str">
            <v>女装-户外运动服-抓绒衣</v>
          </cell>
          <cell r="G318" t="str">
            <v>一品一商</v>
          </cell>
          <cell r="H318" t="str">
            <v>品牌直发</v>
          </cell>
          <cell r="I318">
            <v>0</v>
          </cell>
        </row>
        <row r="319">
          <cell r="D319">
            <v>12231802</v>
          </cell>
          <cell r="E319" t="str">
            <v>伯希和/PELLIOT</v>
          </cell>
          <cell r="F319" t="str">
            <v>内衣-内衣裤-保暖套装</v>
          </cell>
          <cell r="G319" t="str">
            <v>一品一商</v>
          </cell>
          <cell r="H319" t="str">
            <v>品牌直发</v>
          </cell>
          <cell r="I319">
            <v>0</v>
          </cell>
        </row>
        <row r="320">
          <cell r="D320">
            <v>12240834</v>
          </cell>
          <cell r="E320" t="str">
            <v>伯希和/PELLIOT</v>
          </cell>
          <cell r="F320" t="str">
            <v>女装-外套-羽绒服</v>
          </cell>
          <cell r="G320" t="str">
            <v>一品多商</v>
          </cell>
          <cell r="H320" t="str">
            <v>品牌直发</v>
          </cell>
          <cell r="I320">
            <v>0</v>
          </cell>
        </row>
        <row r="321">
          <cell r="D321">
            <v>12230602</v>
          </cell>
          <cell r="E321" t="str">
            <v>伯希和/PELLIOT</v>
          </cell>
          <cell r="F321" t="str">
            <v>女装-外套-软壳衣</v>
          </cell>
          <cell r="G321" t="str">
            <v>一品多商</v>
          </cell>
          <cell r="H321" t="str">
            <v>品牌直发</v>
          </cell>
          <cell r="I321">
            <v>0</v>
          </cell>
        </row>
        <row r="322">
          <cell r="D322">
            <v>11140809</v>
          </cell>
          <cell r="E322" t="str">
            <v>伯希和/PELLIOT</v>
          </cell>
          <cell r="F322" t="str">
            <v>服装-外套-羽绒服</v>
          </cell>
          <cell r="G322" t="str">
            <v>一品多商</v>
          </cell>
          <cell r="H322" t="str">
            <v>品牌直发</v>
          </cell>
          <cell r="I322">
            <v>0</v>
          </cell>
        </row>
        <row r="323">
          <cell r="D323">
            <v>12140810</v>
          </cell>
          <cell r="E323" t="str">
            <v>伯希和/PELLIOT</v>
          </cell>
          <cell r="F323" t="str">
            <v>女装-外套-羽绒服</v>
          </cell>
          <cell r="G323" t="str">
            <v>一品多商</v>
          </cell>
          <cell r="H323" t="str">
            <v>品牌直发</v>
          </cell>
          <cell r="I323">
            <v>0</v>
          </cell>
        </row>
        <row r="324">
          <cell r="D324">
            <v>12740808</v>
          </cell>
          <cell r="E324" t="str">
            <v>伯希和/PELLIOT</v>
          </cell>
          <cell r="F324" t="str">
            <v>服装-外套-羽绒服</v>
          </cell>
          <cell r="G324" t="str">
            <v>一品一商</v>
          </cell>
          <cell r="H324" t="str">
            <v>品牌直发</v>
          </cell>
          <cell r="I324">
            <v>0</v>
          </cell>
        </row>
        <row r="325">
          <cell r="D325">
            <v>11140813</v>
          </cell>
          <cell r="E325" t="str">
            <v>伯希和/PELLIOT</v>
          </cell>
          <cell r="F325" t="str">
            <v>服装-外套-羽绒服</v>
          </cell>
          <cell r="G325" t="str">
            <v>一品多商</v>
          </cell>
          <cell r="H325" t="str">
            <v>品牌直发</v>
          </cell>
          <cell r="I325">
            <v>0</v>
          </cell>
        </row>
        <row r="326">
          <cell r="D326">
            <v>11240301</v>
          </cell>
          <cell r="E326" t="str">
            <v>伯希和/PELLIOT</v>
          </cell>
          <cell r="F326" t="str">
            <v>服装-外套-棉服</v>
          </cell>
          <cell r="G326" t="str">
            <v>一品多商</v>
          </cell>
          <cell r="H326" t="str">
            <v>品牌直发</v>
          </cell>
          <cell r="I326">
            <v>0</v>
          </cell>
        </row>
        <row r="327">
          <cell r="D327">
            <v>12140814</v>
          </cell>
          <cell r="E327" t="str">
            <v>伯希和/PELLIOT</v>
          </cell>
          <cell r="F327" t="str">
            <v>女装-外套-羽绒服</v>
          </cell>
          <cell r="G327" t="str">
            <v>一品多商</v>
          </cell>
          <cell r="H327" t="str">
            <v>品牌直发</v>
          </cell>
          <cell r="I327">
            <v>0</v>
          </cell>
        </row>
        <row r="328">
          <cell r="D328">
            <v>12140804</v>
          </cell>
          <cell r="E328" t="str">
            <v>伯希和/PELLIOT</v>
          </cell>
          <cell r="F328" t="str">
            <v>女装-外套-羽绒服</v>
          </cell>
          <cell r="G328" t="str">
            <v>一品一商</v>
          </cell>
          <cell r="H328" t="str">
            <v>品牌直发</v>
          </cell>
          <cell r="I328">
            <v>0</v>
          </cell>
        </row>
        <row r="329">
          <cell r="D329">
            <v>12131802</v>
          </cell>
          <cell r="E329" t="str">
            <v>伯希和/PELLIOT</v>
          </cell>
          <cell r="F329" t="str">
            <v>内衣-内衣裤-保暖套装</v>
          </cell>
          <cell r="G329" t="str">
            <v>一品一商</v>
          </cell>
          <cell r="H329" t="str">
            <v>品牌直发</v>
          </cell>
          <cell r="I329">
            <v>0</v>
          </cell>
        </row>
        <row r="330">
          <cell r="D330">
            <v>11240823</v>
          </cell>
          <cell r="E330" t="str">
            <v>伯希和/PELLIOT</v>
          </cell>
          <cell r="F330" t="str">
            <v>服装-外套-羽绒服</v>
          </cell>
          <cell r="G330" t="str">
            <v>一品多商</v>
          </cell>
          <cell r="H330" t="str">
            <v>品牌直发</v>
          </cell>
          <cell r="I330">
            <v>0</v>
          </cell>
        </row>
        <row r="331">
          <cell r="D331">
            <v>11140101</v>
          </cell>
          <cell r="E331" t="str">
            <v>伯希和/PELLIOT</v>
          </cell>
          <cell r="F331" t="str">
            <v>服装-外套-冲锋衣</v>
          </cell>
          <cell r="G331" t="str">
            <v>一品多商</v>
          </cell>
          <cell r="H331" t="str">
            <v>品牌直发</v>
          </cell>
          <cell r="I331">
            <v>0</v>
          </cell>
        </row>
        <row r="332">
          <cell r="D332">
            <v>12140102</v>
          </cell>
          <cell r="E332" t="str">
            <v>伯希和/PELLIOT</v>
          </cell>
          <cell r="F332" t="str">
            <v>女装-外套-冲锋衣</v>
          </cell>
          <cell r="G332" t="str">
            <v>一品多商</v>
          </cell>
          <cell r="H332" t="str">
            <v>品牌直发</v>
          </cell>
          <cell r="I332">
            <v>0</v>
          </cell>
        </row>
        <row r="333">
          <cell r="D333">
            <v>11140121</v>
          </cell>
          <cell r="E333" t="str">
            <v>伯希和/PELLIOT</v>
          </cell>
          <cell r="F333" t="str">
            <v>服装-外套-冲锋衣</v>
          </cell>
          <cell r="G333" t="str">
            <v>一品一商</v>
          </cell>
          <cell r="H333" t="str">
            <v>品牌直发</v>
          </cell>
          <cell r="I333">
            <v>0</v>
          </cell>
        </row>
        <row r="334">
          <cell r="D334">
            <v>11240828</v>
          </cell>
          <cell r="E334" t="str">
            <v>伯希和/PELLIOT</v>
          </cell>
          <cell r="F334" t="str">
            <v>女装-外套-羽绒服</v>
          </cell>
          <cell r="G334" t="str">
            <v>一品一商</v>
          </cell>
          <cell r="H334" t="str">
            <v>品牌直发</v>
          </cell>
          <cell r="I334">
            <v>0</v>
          </cell>
        </row>
        <row r="335">
          <cell r="D335">
            <v>114408279</v>
          </cell>
          <cell r="E335" t="str">
            <v>伯希和/PELLIOT</v>
          </cell>
          <cell r="F335" t="str">
            <v>服装-外套-羽绒服</v>
          </cell>
          <cell r="G335" t="str">
            <v>一品多商</v>
          </cell>
          <cell r="H335" t="str">
            <v>品牌直发</v>
          </cell>
          <cell r="I335">
            <v>0</v>
          </cell>
        </row>
        <row r="336">
          <cell r="D336">
            <v>12240822</v>
          </cell>
          <cell r="E336" t="str">
            <v>伯希和/PELLIOT</v>
          </cell>
          <cell r="F336" t="str">
            <v>女装-外套-羽绒服</v>
          </cell>
          <cell r="G336" t="str">
            <v>一品多商</v>
          </cell>
          <cell r="H336" t="str">
            <v>品牌直发</v>
          </cell>
          <cell r="I336">
            <v>0</v>
          </cell>
        </row>
        <row r="337">
          <cell r="D337">
            <v>12231022</v>
          </cell>
          <cell r="E337" t="str">
            <v>伯希和/PELLIOT</v>
          </cell>
          <cell r="F337" t="str">
            <v>服装-户外运动服-抓绒衣</v>
          </cell>
          <cell r="G337" t="str">
            <v>一品一商</v>
          </cell>
          <cell r="H337" t="str">
            <v>品牌直发</v>
          </cell>
          <cell r="I337">
            <v>0</v>
          </cell>
        </row>
        <row r="338">
          <cell r="D338">
            <v>12231024</v>
          </cell>
          <cell r="E338" t="str">
            <v>伯希和/PELLIOT</v>
          </cell>
          <cell r="F338" t="str">
            <v>服装-户外运动服-抓绒衣</v>
          </cell>
          <cell r="G338" t="str">
            <v>一品一商</v>
          </cell>
          <cell r="H338" t="str">
            <v>品牌直发</v>
          </cell>
          <cell r="I338">
            <v>0</v>
          </cell>
        </row>
        <row r="339">
          <cell r="D339">
            <v>11240821</v>
          </cell>
          <cell r="E339" t="str">
            <v>伯希和/PELLIOT</v>
          </cell>
          <cell r="F339" t="str">
            <v>服装-外套-羽绒服</v>
          </cell>
          <cell r="G339" t="str">
            <v>一品多商</v>
          </cell>
          <cell r="H339" t="str">
            <v>品牌直发</v>
          </cell>
          <cell r="I339">
            <v>0</v>
          </cell>
        </row>
        <row r="340">
          <cell r="D340">
            <v>12240112</v>
          </cell>
          <cell r="E340" t="str">
            <v>伯希和/PELLIOT</v>
          </cell>
          <cell r="F340" t="str">
            <v>女装-外套-冲锋衣</v>
          </cell>
          <cell r="G340" t="str">
            <v>一品多商</v>
          </cell>
          <cell r="H340" t="str">
            <v>品牌直发</v>
          </cell>
          <cell r="I340">
            <v>0</v>
          </cell>
        </row>
        <row r="341">
          <cell r="D341">
            <v>11240129</v>
          </cell>
          <cell r="E341" t="str">
            <v>伯希和/PELLIOT</v>
          </cell>
          <cell r="F341" t="str">
            <v>服装-外套-冲锋衣</v>
          </cell>
          <cell r="G341" t="str">
            <v>一品多商</v>
          </cell>
          <cell r="H341" t="str">
            <v>品牌直发</v>
          </cell>
          <cell r="I341">
            <v>0</v>
          </cell>
        </row>
        <row r="342">
          <cell r="D342">
            <v>11040139</v>
          </cell>
          <cell r="E342" t="str">
            <v>伯希和/PELLIOT</v>
          </cell>
          <cell r="F342" t="str">
            <v>服装-外套-冲锋衣</v>
          </cell>
          <cell r="G342" t="str">
            <v>一品一商</v>
          </cell>
          <cell r="H342" t="str">
            <v>品牌直发</v>
          </cell>
          <cell r="I342">
            <v>0</v>
          </cell>
        </row>
        <row r="343">
          <cell r="D343">
            <v>11231031</v>
          </cell>
          <cell r="E343" t="str">
            <v>伯希和/PELLIOT</v>
          </cell>
          <cell r="F343" t="str">
            <v>服装-户外运动服-抓绒衣</v>
          </cell>
          <cell r="G343" t="str">
            <v>一品一商</v>
          </cell>
          <cell r="H343" t="str">
            <v>品牌直发</v>
          </cell>
          <cell r="I343">
            <v>0</v>
          </cell>
        </row>
        <row r="344">
          <cell r="D344">
            <v>112240824</v>
          </cell>
          <cell r="E344" t="str">
            <v>伯希和/PELLIOT</v>
          </cell>
          <cell r="F344" t="str">
            <v>服装-外套-羽绒马甲</v>
          </cell>
          <cell r="G344" t="str">
            <v>一品一商</v>
          </cell>
          <cell r="H344" t="str">
            <v>品牌直发</v>
          </cell>
          <cell r="I344">
            <v>0</v>
          </cell>
        </row>
        <row r="345">
          <cell r="D345">
            <v>112240128</v>
          </cell>
          <cell r="E345" t="str">
            <v>伯希和/PELLIOT</v>
          </cell>
          <cell r="F345" t="str">
            <v>服装-外套-冲锋衣</v>
          </cell>
          <cell r="G345" t="str">
            <v>一品多商</v>
          </cell>
          <cell r="H345" t="str">
            <v>品牌直发</v>
          </cell>
          <cell r="I345">
            <v>0</v>
          </cell>
        </row>
        <row r="346">
          <cell r="D346">
            <v>111230705</v>
          </cell>
          <cell r="E346" t="str">
            <v>伯希和/PELLIOT</v>
          </cell>
          <cell r="F346" t="str">
            <v>服装-长裤-冲锋裤</v>
          </cell>
          <cell r="G346" t="str">
            <v>一品多商</v>
          </cell>
          <cell r="H346" t="str">
            <v>品牌直发</v>
          </cell>
          <cell r="I346">
            <v>0</v>
          </cell>
        </row>
        <row r="347">
          <cell r="D347">
            <v>12040134</v>
          </cell>
          <cell r="E347" t="str">
            <v>伯希和/PELLIOT</v>
          </cell>
          <cell r="F347" t="str">
            <v>女装-外套-冲锋衣</v>
          </cell>
          <cell r="G347" t="str">
            <v>一品一商</v>
          </cell>
          <cell r="H347" t="str">
            <v>品牌直发</v>
          </cell>
          <cell r="I347">
            <v>0</v>
          </cell>
        </row>
        <row r="348">
          <cell r="D348">
            <v>11133703</v>
          </cell>
          <cell r="E348" t="str">
            <v>伯希和/PELLIOT</v>
          </cell>
          <cell r="F348" t="str">
            <v>服装-上衣-卫衣</v>
          </cell>
          <cell r="G348" t="str">
            <v>一品一商</v>
          </cell>
          <cell r="H348" t="str">
            <v>品牌直发</v>
          </cell>
          <cell r="I348">
            <v>0</v>
          </cell>
        </row>
        <row r="349">
          <cell r="D349">
            <v>12221528</v>
          </cell>
          <cell r="E349" t="str">
            <v>伯希和/PELLIOT</v>
          </cell>
          <cell r="F349" t="str">
            <v>女装-上衣-T恤</v>
          </cell>
          <cell r="G349" t="str">
            <v>一品一商</v>
          </cell>
          <cell r="H349" t="str">
            <v>品牌直发</v>
          </cell>
          <cell r="I349">
            <v>0</v>
          </cell>
        </row>
        <row r="350">
          <cell r="D350">
            <v>12140112</v>
          </cell>
          <cell r="E350" t="str">
            <v>伯希和/PELLIOT</v>
          </cell>
          <cell r="F350" t="str">
            <v>女装-外套-冲锋衣</v>
          </cell>
          <cell r="G350" t="str">
            <v>一品多商</v>
          </cell>
          <cell r="H350" t="str">
            <v>品牌直发</v>
          </cell>
          <cell r="I350">
            <v>0</v>
          </cell>
        </row>
        <row r="351">
          <cell r="D351">
            <v>125110022</v>
          </cell>
          <cell r="E351" t="str">
            <v>伯希和/PELLIOT</v>
          </cell>
          <cell r="F351" t="str">
            <v>女装-户外运动服-抓绒衣</v>
          </cell>
          <cell r="G351" t="str">
            <v>一品多商</v>
          </cell>
          <cell r="H351" t="str">
            <v>品牌直发</v>
          </cell>
          <cell r="I351">
            <v>0</v>
          </cell>
        </row>
        <row r="352">
          <cell r="D352">
            <v>11130709</v>
          </cell>
          <cell r="E352" t="str">
            <v>伯希和/PELLIOT</v>
          </cell>
          <cell r="F352" t="str">
            <v>服装-长裤-软壳裤</v>
          </cell>
          <cell r="G352" t="str">
            <v>一品一商</v>
          </cell>
          <cell r="H352" t="str">
            <v>品牌直发</v>
          </cell>
          <cell r="I352">
            <v>0</v>
          </cell>
        </row>
        <row r="353">
          <cell r="D353">
            <v>11121269</v>
          </cell>
          <cell r="E353" t="str">
            <v>伯希和/PELLIOT</v>
          </cell>
          <cell r="F353" t="str">
            <v>服装-外套-防晒服</v>
          </cell>
          <cell r="G353" t="str">
            <v>一品一商</v>
          </cell>
          <cell r="H353" t="str">
            <v>品牌直发</v>
          </cell>
          <cell r="I353">
            <v>0</v>
          </cell>
        </row>
        <row r="354">
          <cell r="D354">
            <v>11221219</v>
          </cell>
          <cell r="E354" t="str">
            <v>伯希和/PELLIOT</v>
          </cell>
          <cell r="F354" t="str">
            <v>服装-外套-防晒服</v>
          </cell>
          <cell r="G354" t="str">
            <v>一品多商</v>
          </cell>
          <cell r="H354" t="str">
            <v>品牌直发</v>
          </cell>
          <cell r="I354">
            <v>0</v>
          </cell>
        </row>
        <row r="355">
          <cell r="D355">
            <v>12221440</v>
          </cell>
          <cell r="E355" t="str">
            <v>伯希和/PELLIOT</v>
          </cell>
          <cell r="F355" t="str">
            <v>女装-户外运动服-速干裤</v>
          </cell>
          <cell r="G355" t="str">
            <v>一品一商</v>
          </cell>
          <cell r="H355" t="str">
            <v>品牌直发</v>
          </cell>
          <cell r="I355">
            <v>0</v>
          </cell>
        </row>
        <row r="356">
          <cell r="D356">
            <v>112221430</v>
          </cell>
          <cell r="E356" t="str">
            <v>伯希和/PELLIOT</v>
          </cell>
          <cell r="F356" t="str">
            <v>服装-户外运动服-速干裤</v>
          </cell>
          <cell r="G356" t="str">
            <v>一品一商</v>
          </cell>
          <cell r="H356" t="str">
            <v>品牌直发</v>
          </cell>
          <cell r="I356">
            <v>0</v>
          </cell>
        </row>
        <row r="357">
          <cell r="D357">
            <v>112121202</v>
          </cell>
          <cell r="E357" t="str">
            <v>伯希和/PELLIOT</v>
          </cell>
          <cell r="F357" t="str">
            <v>女装-外套-防晒服</v>
          </cell>
          <cell r="G357" t="str">
            <v>一品一商</v>
          </cell>
          <cell r="H357" t="str">
            <v>品牌直发</v>
          </cell>
          <cell r="I357">
            <v>0</v>
          </cell>
        </row>
        <row r="358">
          <cell r="D358">
            <v>112221530</v>
          </cell>
          <cell r="E358" t="str">
            <v>伯希和/PELLIOT</v>
          </cell>
          <cell r="F358" t="str">
            <v>服装-上衣-T恤</v>
          </cell>
          <cell r="G358" t="str">
            <v>一品多商</v>
          </cell>
          <cell r="H358" t="str">
            <v>品牌直发</v>
          </cell>
          <cell r="I358">
            <v>0</v>
          </cell>
        </row>
        <row r="359">
          <cell r="D359" t="str">
            <v>16403641-2025</v>
          </cell>
          <cell r="E359" t="str">
            <v>伯希和/PELLIOT</v>
          </cell>
          <cell r="F359" t="str">
            <v>户外装备-徒步/攀登-登山杖/手杖</v>
          </cell>
          <cell r="G359" t="str">
            <v>一品一商</v>
          </cell>
          <cell r="H359" t="str">
            <v>品牌直发</v>
          </cell>
          <cell r="I359">
            <v>0</v>
          </cell>
        </row>
        <row r="360">
          <cell r="D360" t="str">
            <v>16003601-2025</v>
          </cell>
          <cell r="E360" t="str">
            <v>伯希和/PELLIOT</v>
          </cell>
          <cell r="F360" t="str">
            <v>户外装备-徒步/攀登-登山杖/手杖</v>
          </cell>
          <cell r="G360" t="str">
            <v>一品一商</v>
          </cell>
          <cell r="H360" t="str">
            <v>品牌直发</v>
          </cell>
          <cell r="I360">
            <v>0</v>
          </cell>
        </row>
        <row r="361">
          <cell r="D361" t="str">
            <v>16303650-2025</v>
          </cell>
          <cell r="E361" t="str">
            <v>伯希和/PELLIOT</v>
          </cell>
          <cell r="F361" t="str">
            <v>户外装备-徒步/攀登-登山杖/手杖</v>
          </cell>
          <cell r="G361" t="str">
            <v>一品一商</v>
          </cell>
          <cell r="H361" t="str">
            <v>普通现货</v>
          </cell>
          <cell r="I361">
            <v>0</v>
          </cell>
        </row>
        <row r="362">
          <cell r="D362">
            <v>115376009</v>
          </cell>
          <cell r="E362" t="str">
            <v>伯希和/PELLIOT</v>
          </cell>
          <cell r="F362" t="str">
            <v>服装-外套-棉服</v>
          </cell>
          <cell r="G362" t="str">
            <v>一品多商</v>
          </cell>
          <cell r="H362" t="str">
            <v>普通现货</v>
          </cell>
          <cell r="I362">
            <v>0</v>
          </cell>
        </row>
        <row r="363">
          <cell r="D363" t="str">
            <v>16403602-2025</v>
          </cell>
          <cell r="E363" t="str">
            <v>伯希和/PELLIOT</v>
          </cell>
          <cell r="F363" t="str">
            <v>户外装备-徒步/攀登-登山杖/手杖</v>
          </cell>
          <cell r="G363" t="str">
            <v>一品一商</v>
          </cell>
          <cell r="H363" t="str">
            <v>品牌直发</v>
          </cell>
          <cell r="I363">
            <v>0</v>
          </cell>
        </row>
        <row r="364">
          <cell r="D364" t="str">
            <v>16403644-2025</v>
          </cell>
          <cell r="E364" t="str">
            <v>伯希和/PELLIOT</v>
          </cell>
          <cell r="F364" t="str">
            <v>户外装备-徒步/攀登-登山杖/手杖</v>
          </cell>
          <cell r="G364" t="str">
            <v>一品一商</v>
          </cell>
          <cell r="H364" t="str">
            <v>品牌直发</v>
          </cell>
          <cell r="I364">
            <v>0</v>
          </cell>
        </row>
        <row r="365">
          <cell r="D365" t="str">
            <v>16105717-2025</v>
          </cell>
          <cell r="E365" t="str">
            <v>伯希和/PELLIOT</v>
          </cell>
          <cell r="F365" t="str">
            <v>户外装备-露营/野炊装备-户外折叠椅/凳</v>
          </cell>
          <cell r="G365" t="str">
            <v>一品一商</v>
          </cell>
          <cell r="H365" t="str">
            <v>品牌直发</v>
          </cell>
          <cell r="I365">
            <v>0</v>
          </cell>
        </row>
        <row r="366">
          <cell r="D366">
            <v>105025023</v>
          </cell>
          <cell r="E366" t="str">
            <v>伯希和/PELLIOT</v>
          </cell>
          <cell r="F366" t="str">
            <v>箱包-包袋-双肩包</v>
          </cell>
          <cell r="G366" t="str">
            <v>一品一商</v>
          </cell>
          <cell r="H366" t="str">
            <v>品牌直发</v>
          </cell>
          <cell r="I366">
            <v>0</v>
          </cell>
        </row>
        <row r="367">
          <cell r="D367">
            <v>165025027</v>
          </cell>
          <cell r="E367" t="str">
            <v>伯希和/PELLIOT</v>
          </cell>
          <cell r="F367" t="str">
            <v>箱包-包袋-户外包</v>
          </cell>
          <cell r="G367" t="str">
            <v>一品一商</v>
          </cell>
          <cell r="H367" t="str">
            <v>品牌直发</v>
          </cell>
          <cell r="I367">
            <v>0</v>
          </cell>
        </row>
        <row r="368">
          <cell r="D368" t="str">
            <v>16302602-2025</v>
          </cell>
          <cell r="E368" t="str">
            <v>伯希和/PELLIOT</v>
          </cell>
          <cell r="F368" t="str">
            <v>箱包-包袋-手机包</v>
          </cell>
          <cell r="G368" t="str">
            <v>一品一商</v>
          </cell>
          <cell r="H368" t="str">
            <v>品牌直发</v>
          </cell>
          <cell r="I368">
            <v>0</v>
          </cell>
        </row>
        <row r="369">
          <cell r="D369" t="str">
            <v>125307006-2025</v>
          </cell>
          <cell r="E369" t="str">
            <v>伯希和/PELLIOT</v>
          </cell>
          <cell r="F369" t="str">
            <v>女装-长裤-软壳裤</v>
          </cell>
          <cell r="G369" t="str">
            <v>一品多商</v>
          </cell>
          <cell r="H369" t="str">
            <v>普通现货</v>
          </cell>
          <cell r="I369">
            <v>0</v>
          </cell>
        </row>
        <row r="370">
          <cell r="D370">
            <v>125316033</v>
          </cell>
          <cell r="E370" t="str">
            <v>伯希和/PELLIOT</v>
          </cell>
          <cell r="F370" t="str">
            <v>女装-上衣-T恤</v>
          </cell>
          <cell r="G370" t="str">
            <v>一品多商</v>
          </cell>
          <cell r="H370" t="str">
            <v>品牌直发</v>
          </cell>
          <cell r="I370">
            <v>0</v>
          </cell>
        </row>
        <row r="371">
          <cell r="D371" t="str">
            <v>105301056-2025</v>
          </cell>
          <cell r="E371" t="str">
            <v>伯希和/PELLIOT</v>
          </cell>
          <cell r="F371" t="str">
            <v>女装-外套-冲锋衣</v>
          </cell>
          <cell r="G371" t="str">
            <v>一品多商</v>
          </cell>
          <cell r="H371" t="str">
            <v>品牌直发</v>
          </cell>
          <cell r="I371">
            <v>0</v>
          </cell>
        </row>
        <row r="372">
          <cell r="D372" t="str">
            <v>124301006-2025</v>
          </cell>
          <cell r="E372" t="str">
            <v>伯希和/PELLIOT</v>
          </cell>
          <cell r="F372" t="str">
            <v>女装-外套-冲锋衣</v>
          </cell>
          <cell r="G372" t="str">
            <v>一品一商</v>
          </cell>
          <cell r="H372" t="str">
            <v>品牌直发</v>
          </cell>
          <cell r="I372">
            <v>0</v>
          </cell>
        </row>
        <row r="373">
          <cell r="D373" t="str">
            <v>124101048-2025</v>
          </cell>
          <cell r="E373" t="str">
            <v>伯希和/PELLIOT</v>
          </cell>
          <cell r="F373" t="str">
            <v>女装-外套-冲锋衣</v>
          </cell>
          <cell r="G373" t="str">
            <v>一品多商</v>
          </cell>
          <cell r="H373" t="str">
            <v>品牌直发</v>
          </cell>
          <cell r="I373">
            <v>0</v>
          </cell>
        </row>
        <row r="374">
          <cell r="D374" t="str">
            <v>124301070-2025</v>
          </cell>
          <cell r="E374" t="str">
            <v>伯希和/PELLIOT</v>
          </cell>
          <cell r="F374" t="str">
            <v>女装-外套-冲锋衣</v>
          </cell>
          <cell r="G374" t="str">
            <v>一品多商</v>
          </cell>
          <cell r="H374" t="str">
            <v>品牌直发</v>
          </cell>
          <cell r="I374">
            <v>0</v>
          </cell>
        </row>
        <row r="375">
          <cell r="D375" t="str">
            <v>PE12340164</v>
          </cell>
          <cell r="E375" t="str">
            <v>伯希和/PELLIOT</v>
          </cell>
          <cell r="F375" t="str">
            <v>女装-外套-冲锋衣</v>
          </cell>
          <cell r="G375" t="str">
            <v>一品多商</v>
          </cell>
          <cell r="H375" t="str">
            <v>品牌直发</v>
          </cell>
          <cell r="I375">
            <v>0</v>
          </cell>
        </row>
        <row r="376">
          <cell r="D376">
            <v>115306017</v>
          </cell>
          <cell r="E376" t="str">
            <v>伯希和/PELLIOT</v>
          </cell>
          <cell r="F376" t="str">
            <v>服装-外套-软壳衣</v>
          </cell>
          <cell r="G376" t="str">
            <v>一品多商</v>
          </cell>
          <cell r="H376" t="str">
            <v>品牌直发</v>
          </cell>
          <cell r="I376">
            <v>0</v>
          </cell>
        </row>
        <row r="377">
          <cell r="D377">
            <v>125306018</v>
          </cell>
          <cell r="E377" t="str">
            <v>伯希和/PELLIOT</v>
          </cell>
          <cell r="F377" t="str">
            <v>女装-外套-软壳衣</v>
          </cell>
          <cell r="G377" t="str">
            <v>一品多商</v>
          </cell>
          <cell r="H377" t="str">
            <v>品牌直发</v>
          </cell>
          <cell r="I377">
            <v>0</v>
          </cell>
        </row>
        <row r="378">
          <cell r="D378">
            <v>105101023</v>
          </cell>
          <cell r="E378" t="str">
            <v>伯希和/PELLIOT</v>
          </cell>
          <cell r="F378" t="str">
            <v>服装-外套-冲锋衣</v>
          </cell>
          <cell r="G378" t="str">
            <v>一品多商</v>
          </cell>
          <cell r="H378" t="str">
            <v>品牌直发</v>
          </cell>
          <cell r="I378">
            <v>0</v>
          </cell>
        </row>
        <row r="379">
          <cell r="D379">
            <v>125302004</v>
          </cell>
          <cell r="E379" t="str">
            <v>伯希和/PELLIOT</v>
          </cell>
          <cell r="F379" t="str">
            <v>女装-长裤-冲锋裤</v>
          </cell>
          <cell r="G379" t="str">
            <v>一品多商</v>
          </cell>
          <cell r="H379" t="str">
            <v>品牌直发</v>
          </cell>
          <cell r="I379">
            <v>0</v>
          </cell>
        </row>
        <row r="380">
          <cell r="D380" t="str">
            <v>12040106-新加色</v>
          </cell>
          <cell r="E380" t="str">
            <v>伯希和/PELLIOT</v>
          </cell>
          <cell r="F380" t="str">
            <v>女装-外套-冲锋衣</v>
          </cell>
          <cell r="G380" t="str">
            <v>一品一商</v>
          </cell>
          <cell r="H380" t="str">
            <v>品牌直发</v>
          </cell>
          <cell r="I380">
            <v>0</v>
          </cell>
        </row>
        <row r="381">
          <cell r="D381" t="str">
            <v>11040105-新加色</v>
          </cell>
          <cell r="E381" t="str">
            <v>伯希和/PELLIOT</v>
          </cell>
          <cell r="F381" t="str">
            <v>服装-外套-冲锋衣</v>
          </cell>
          <cell r="G381" t="str">
            <v>一品一商</v>
          </cell>
          <cell r="H381" t="str">
            <v>品牌直发</v>
          </cell>
          <cell r="I381">
            <v>0</v>
          </cell>
        </row>
        <row r="382">
          <cell r="D382">
            <v>125220002</v>
          </cell>
          <cell r="E382" t="str">
            <v>伯希和/PELLIOT</v>
          </cell>
          <cell r="F382" t="str">
            <v>鞋-凉鞋/拖鞋-溯溪鞋</v>
          </cell>
          <cell r="G382" t="str">
            <v>一品一商</v>
          </cell>
          <cell r="H382" t="str">
            <v>品牌直发</v>
          </cell>
          <cell r="I382">
            <v>0</v>
          </cell>
        </row>
        <row r="383">
          <cell r="D383">
            <v>115106014</v>
          </cell>
          <cell r="E383" t="str">
            <v>伯希和/PELLIOT</v>
          </cell>
          <cell r="F383" t="str">
            <v>服装-外套-软壳衣</v>
          </cell>
          <cell r="G383" t="str">
            <v>一品多商</v>
          </cell>
          <cell r="H383" t="str">
            <v>品牌直发</v>
          </cell>
          <cell r="I383">
            <v>0</v>
          </cell>
        </row>
        <row r="384">
          <cell r="D384">
            <v>105301056</v>
          </cell>
          <cell r="E384" t="str">
            <v>伯希和/PELLIOT</v>
          </cell>
          <cell r="F384" t="str">
            <v>服装-外套-冲锋衣</v>
          </cell>
          <cell r="G384" t="str">
            <v>一品多商</v>
          </cell>
          <cell r="H384" t="str">
            <v>品牌直发</v>
          </cell>
          <cell r="I384">
            <v>0</v>
          </cell>
        </row>
        <row r="385">
          <cell r="D385">
            <v>135101016</v>
          </cell>
          <cell r="E385" t="str">
            <v>伯希和/PELLIOT</v>
          </cell>
          <cell r="F385" t="str">
            <v>童装-儿童上装-冲锋衣</v>
          </cell>
          <cell r="G385" t="str">
            <v>一品一商</v>
          </cell>
          <cell r="H385" t="str">
            <v>品牌直发</v>
          </cell>
          <cell r="I385">
            <v>0</v>
          </cell>
        </row>
        <row r="386">
          <cell r="D386">
            <v>125251019</v>
          </cell>
          <cell r="E386" t="str">
            <v>伯希和/PELLIOT</v>
          </cell>
          <cell r="F386" t="str">
            <v>女装-外套-夹克</v>
          </cell>
          <cell r="G386" t="str">
            <v>一品多商</v>
          </cell>
          <cell r="H386" t="str">
            <v>品牌直发</v>
          </cell>
          <cell r="I386">
            <v>0</v>
          </cell>
        </row>
        <row r="387">
          <cell r="D387">
            <v>115251018</v>
          </cell>
          <cell r="E387" t="str">
            <v>伯希和/PELLIOT</v>
          </cell>
          <cell r="F387" t="str">
            <v>服装-外套-夹克</v>
          </cell>
          <cell r="G387" t="str">
            <v>一品多商</v>
          </cell>
          <cell r="H387" t="str">
            <v>品牌直发</v>
          </cell>
          <cell r="I387">
            <v>0</v>
          </cell>
        </row>
        <row r="388">
          <cell r="D388">
            <v>105101076</v>
          </cell>
          <cell r="E388" t="str">
            <v>伯希和/PELLIOT</v>
          </cell>
          <cell r="F388" t="str">
            <v>服装-外套-冲锋衣</v>
          </cell>
          <cell r="G388" t="str">
            <v>一品多商</v>
          </cell>
          <cell r="H388" t="str">
            <v>品牌直发</v>
          </cell>
          <cell r="I388">
            <v>0</v>
          </cell>
        </row>
        <row r="389">
          <cell r="D389" t="str">
            <v>11340105-2025</v>
          </cell>
          <cell r="E389" t="str">
            <v>伯希和/PELLIOT</v>
          </cell>
          <cell r="F389" t="str">
            <v>服装-外套-冲锋衣</v>
          </cell>
          <cell r="G389" t="str">
            <v>一品多商</v>
          </cell>
          <cell r="H389" t="str">
            <v>品牌直发</v>
          </cell>
          <cell r="I389">
            <v>0</v>
          </cell>
        </row>
        <row r="390">
          <cell r="D390">
            <v>135178022</v>
          </cell>
          <cell r="E390" t="str">
            <v>伯希和/PELLIOT</v>
          </cell>
          <cell r="F390" t="str">
            <v>童装-儿童下装-儿童运动裤</v>
          </cell>
          <cell r="G390" t="str">
            <v>一品一商</v>
          </cell>
          <cell r="H390" t="str">
            <v>品牌直发</v>
          </cell>
          <cell r="I390">
            <v>0</v>
          </cell>
        </row>
        <row r="391">
          <cell r="D391">
            <v>115119029</v>
          </cell>
          <cell r="E391" t="str">
            <v>伯希和/PELLIOT</v>
          </cell>
          <cell r="F391" t="str">
            <v>鞋-运动鞋-越野跑鞋</v>
          </cell>
          <cell r="G391" t="str">
            <v>一品多商</v>
          </cell>
          <cell r="H391" t="str">
            <v>品牌直发</v>
          </cell>
          <cell r="I391">
            <v>0</v>
          </cell>
        </row>
        <row r="392">
          <cell r="D392">
            <v>125119030</v>
          </cell>
          <cell r="E392" t="str">
            <v>伯希和/PELLIOT</v>
          </cell>
          <cell r="F392" t="str">
            <v>鞋-运动鞋-越野跑鞋</v>
          </cell>
          <cell r="G392" t="str">
            <v>一品多商</v>
          </cell>
          <cell r="H392" t="str">
            <v>品牌直发</v>
          </cell>
          <cell r="I392">
            <v>0</v>
          </cell>
        </row>
        <row r="393">
          <cell r="D393">
            <v>1124301070</v>
          </cell>
          <cell r="E393" t="str">
            <v>伯希和/PELLIOT</v>
          </cell>
          <cell r="F393" t="str">
            <v>服装-外套-冲锋衣</v>
          </cell>
          <cell r="G393" t="str">
            <v>一品多商</v>
          </cell>
          <cell r="H393" t="str">
            <v>品牌直发</v>
          </cell>
          <cell r="I393">
            <v>0</v>
          </cell>
        </row>
        <row r="394">
          <cell r="D394">
            <v>115214007</v>
          </cell>
          <cell r="E394" t="str">
            <v>伯希和/PELLIOT</v>
          </cell>
          <cell r="F394" t="str">
            <v>服装-短裤-休闲短裤</v>
          </cell>
          <cell r="G394" t="str">
            <v>一品一商</v>
          </cell>
          <cell r="H394" t="str">
            <v>品牌直发</v>
          </cell>
          <cell r="I394">
            <v>0</v>
          </cell>
        </row>
        <row r="395">
          <cell r="D395">
            <v>125181002</v>
          </cell>
          <cell r="E395" t="str">
            <v>伯希和/PELLIOT</v>
          </cell>
          <cell r="F395" t="str">
            <v>鞋-运动鞋-登山鞋/徒步鞋</v>
          </cell>
          <cell r="G395" t="str">
            <v>一品多商</v>
          </cell>
          <cell r="H395" t="str">
            <v>品牌直发</v>
          </cell>
          <cell r="I395">
            <v>0</v>
          </cell>
        </row>
        <row r="396">
          <cell r="D396">
            <v>115151007</v>
          </cell>
          <cell r="E396" t="str">
            <v>伯希和/PELLIOT</v>
          </cell>
          <cell r="F396" t="str">
            <v>服装-外套-夹克</v>
          </cell>
          <cell r="G396" t="str">
            <v>一品多商</v>
          </cell>
          <cell r="H396" t="str">
            <v>品牌直发</v>
          </cell>
          <cell r="I396">
            <v>0</v>
          </cell>
        </row>
        <row r="397">
          <cell r="D397">
            <v>115215009</v>
          </cell>
          <cell r="E397" t="str">
            <v>伯希和/PELLIOT</v>
          </cell>
          <cell r="F397" t="str">
            <v>服装-上衣-Polo衫</v>
          </cell>
          <cell r="G397" t="str">
            <v>一品一商</v>
          </cell>
          <cell r="H397" t="str">
            <v>品牌直发</v>
          </cell>
          <cell r="I397">
            <v>0</v>
          </cell>
        </row>
        <row r="398">
          <cell r="D398">
            <v>115122023</v>
          </cell>
          <cell r="E398" t="str">
            <v>伯希和/PELLIOT</v>
          </cell>
          <cell r="F398" t="str">
            <v>鞋-运动鞋-登山鞋/徒步鞋</v>
          </cell>
          <cell r="G398" t="str">
            <v>一品一商</v>
          </cell>
          <cell r="H398" t="str">
            <v>品牌直发</v>
          </cell>
          <cell r="I398">
            <v>0</v>
          </cell>
        </row>
        <row r="399">
          <cell r="D399">
            <v>125122024</v>
          </cell>
          <cell r="E399" t="str">
            <v>伯希和/PELLIOT</v>
          </cell>
          <cell r="F399" t="str">
            <v>鞋-运动鞋-登山鞋/徒步鞋</v>
          </cell>
          <cell r="G399" t="str">
            <v>一品一商</v>
          </cell>
          <cell r="H399" t="str">
            <v>品牌直发</v>
          </cell>
          <cell r="I399">
            <v>0</v>
          </cell>
        </row>
        <row r="400">
          <cell r="D400">
            <v>125215048</v>
          </cell>
          <cell r="E400" t="str">
            <v>伯希和/PELLIOT</v>
          </cell>
          <cell r="F400" t="str">
            <v>女装-户外运动服-速干T恤</v>
          </cell>
          <cell r="G400" t="str">
            <v>一品一商</v>
          </cell>
          <cell r="H400" t="str">
            <v>品牌直发</v>
          </cell>
          <cell r="I400">
            <v>0</v>
          </cell>
        </row>
        <row r="401">
          <cell r="D401">
            <v>115214015</v>
          </cell>
          <cell r="E401" t="str">
            <v>伯希和/PELLIOT</v>
          </cell>
          <cell r="F401" t="str">
            <v>服装-户外运动服-速干裤</v>
          </cell>
          <cell r="G401" t="str">
            <v>一品一商</v>
          </cell>
          <cell r="H401" t="str">
            <v>品牌直发</v>
          </cell>
          <cell r="I401">
            <v>0</v>
          </cell>
        </row>
        <row r="402">
          <cell r="D402">
            <v>135212024</v>
          </cell>
          <cell r="E402" t="str">
            <v>伯希和/PELLIOT</v>
          </cell>
          <cell r="F402" t="str">
            <v>童装-儿童上装-防晒衣</v>
          </cell>
          <cell r="G402" t="str">
            <v>一品多商</v>
          </cell>
          <cell r="H402" t="str">
            <v>品牌直发</v>
          </cell>
          <cell r="I402">
            <v>0</v>
          </cell>
        </row>
        <row r="403">
          <cell r="D403">
            <v>135215035</v>
          </cell>
          <cell r="E403" t="str">
            <v>伯希和/PELLIOT</v>
          </cell>
          <cell r="F403" t="str">
            <v>童装-儿童上装-T恤</v>
          </cell>
          <cell r="G403" t="str">
            <v>一品一商</v>
          </cell>
          <cell r="H403" t="str">
            <v>品牌直发</v>
          </cell>
          <cell r="I403">
            <v>0</v>
          </cell>
        </row>
        <row r="404">
          <cell r="D404">
            <v>125214019</v>
          </cell>
          <cell r="E404" t="str">
            <v>伯希和/PELLIOT</v>
          </cell>
          <cell r="F404" t="str">
            <v>女装-长裙-休闲长裙</v>
          </cell>
          <cell r="G404" t="str">
            <v>一品多商</v>
          </cell>
          <cell r="H404" t="str">
            <v>品牌直发</v>
          </cell>
          <cell r="I404">
            <v>0</v>
          </cell>
        </row>
        <row r="405">
          <cell r="D405">
            <v>135215036</v>
          </cell>
          <cell r="E405" t="str">
            <v>伯希和/PELLIOT</v>
          </cell>
          <cell r="F405" t="str">
            <v>童装-儿童上装-T恤</v>
          </cell>
          <cell r="G405" t="str">
            <v>一品一商</v>
          </cell>
          <cell r="H405" t="str">
            <v>品牌直发</v>
          </cell>
          <cell r="I405">
            <v>0</v>
          </cell>
        </row>
        <row r="406">
          <cell r="D406">
            <v>135214018</v>
          </cell>
          <cell r="E406" t="str">
            <v>伯希和/PELLIOT</v>
          </cell>
          <cell r="F406" t="str">
            <v>童装-儿童下装-儿童速干裤</v>
          </cell>
          <cell r="G406" t="str">
            <v>一品多商</v>
          </cell>
          <cell r="H406" t="str">
            <v>品牌直发</v>
          </cell>
          <cell r="I406">
            <v>0</v>
          </cell>
        </row>
        <row r="407">
          <cell r="D407">
            <v>115215005</v>
          </cell>
          <cell r="E407" t="str">
            <v>伯希和/PELLIOT</v>
          </cell>
          <cell r="F407" t="str">
            <v>服装-户外运动服-速干T恤</v>
          </cell>
          <cell r="G407" t="str">
            <v>一品多商</v>
          </cell>
          <cell r="H407" t="str">
            <v>品牌直发</v>
          </cell>
          <cell r="I407">
            <v>0</v>
          </cell>
        </row>
        <row r="408">
          <cell r="D408">
            <v>125119028</v>
          </cell>
          <cell r="E408" t="str">
            <v>伯希和/PELLIOT</v>
          </cell>
          <cell r="F408" t="str">
            <v>鞋-运动鞋-登山鞋/徒步鞋</v>
          </cell>
          <cell r="G408" t="str">
            <v>一品一商</v>
          </cell>
          <cell r="H408" t="str">
            <v>品牌直发</v>
          </cell>
          <cell r="I408">
            <v>0</v>
          </cell>
        </row>
        <row r="409">
          <cell r="D409">
            <v>125215046</v>
          </cell>
          <cell r="E409" t="str">
            <v>伯希和/PELLIOT</v>
          </cell>
          <cell r="F409" t="str">
            <v>女装-上衣-T恤</v>
          </cell>
          <cell r="G409" t="str">
            <v>一品一商</v>
          </cell>
          <cell r="H409" t="str">
            <v>品牌直发</v>
          </cell>
          <cell r="I409">
            <v>0</v>
          </cell>
        </row>
        <row r="410">
          <cell r="D410">
            <v>115119027</v>
          </cell>
          <cell r="E410" t="str">
            <v>伯希和/PELLIOT</v>
          </cell>
          <cell r="F410" t="str">
            <v>鞋-运动鞋-越野跑鞋</v>
          </cell>
          <cell r="G410" t="str">
            <v>一品多商</v>
          </cell>
          <cell r="H410" t="str">
            <v>品牌直发</v>
          </cell>
          <cell r="I410">
            <v>0</v>
          </cell>
        </row>
        <row r="411">
          <cell r="D411">
            <v>105101011</v>
          </cell>
          <cell r="E411" t="str">
            <v>伯希和/PELLIOT</v>
          </cell>
          <cell r="F411" t="str">
            <v>服装-外套-冲锋衣</v>
          </cell>
          <cell r="G411" t="str">
            <v>一品多商</v>
          </cell>
          <cell r="H411" t="str">
            <v>品牌直发</v>
          </cell>
          <cell r="I411">
            <v>0</v>
          </cell>
        </row>
        <row r="412">
          <cell r="D412">
            <v>125215038</v>
          </cell>
          <cell r="E412" t="str">
            <v>伯希和/PELLIOT</v>
          </cell>
          <cell r="F412" t="str">
            <v>女装-上衣-Polo衫</v>
          </cell>
          <cell r="G412" t="str">
            <v>一品一商</v>
          </cell>
          <cell r="H412" t="str">
            <v>品牌直发</v>
          </cell>
          <cell r="I412">
            <v>0</v>
          </cell>
        </row>
        <row r="413">
          <cell r="D413">
            <v>125215022</v>
          </cell>
          <cell r="E413" t="str">
            <v>伯希和/PELLIOT</v>
          </cell>
          <cell r="F413" t="str">
            <v>女装-户外运动服-跑步T恤</v>
          </cell>
          <cell r="G413" t="str">
            <v>一品一商</v>
          </cell>
          <cell r="H413" t="str">
            <v>品牌直发</v>
          </cell>
          <cell r="I413">
            <v>0</v>
          </cell>
        </row>
        <row r="414">
          <cell r="D414">
            <v>105025008</v>
          </cell>
          <cell r="E414" t="str">
            <v>伯希和/PELLIOT</v>
          </cell>
          <cell r="F414" t="str">
            <v>箱包-包袋-户外包</v>
          </cell>
          <cell r="G414" t="str">
            <v>一品多商</v>
          </cell>
          <cell r="H414" t="str">
            <v>品牌直发</v>
          </cell>
          <cell r="I414">
            <v>0</v>
          </cell>
        </row>
        <row r="415">
          <cell r="D415">
            <v>125220022</v>
          </cell>
          <cell r="E415" t="str">
            <v>伯希和/PELLIOT</v>
          </cell>
          <cell r="F415" t="str">
            <v>鞋-凉鞋/拖鞋-溯溪鞋</v>
          </cell>
          <cell r="G415" t="str">
            <v>一品多商</v>
          </cell>
          <cell r="H415" t="str">
            <v>品牌直发</v>
          </cell>
          <cell r="I415">
            <v>0</v>
          </cell>
        </row>
        <row r="416">
          <cell r="D416">
            <v>115278007</v>
          </cell>
          <cell r="E416" t="str">
            <v>伯希和/PELLIOT</v>
          </cell>
          <cell r="F416" t="str">
            <v>服装-长裤-休闲裤</v>
          </cell>
          <cell r="G416" t="str">
            <v>一品一商</v>
          </cell>
          <cell r="H416" t="str">
            <v>品牌直发</v>
          </cell>
          <cell r="I416">
            <v>0</v>
          </cell>
        </row>
        <row r="417">
          <cell r="D417">
            <v>115212005</v>
          </cell>
          <cell r="E417" t="str">
            <v>伯希和/PELLIOT</v>
          </cell>
          <cell r="F417" t="str">
            <v>服装-外套-防晒服</v>
          </cell>
          <cell r="G417" t="str">
            <v>一品多商</v>
          </cell>
          <cell r="H417" t="str">
            <v>品牌直发</v>
          </cell>
          <cell r="I417">
            <v>0</v>
          </cell>
        </row>
        <row r="418">
          <cell r="D418">
            <v>115114001</v>
          </cell>
          <cell r="E418" t="str">
            <v>伯希和/PELLIOT</v>
          </cell>
          <cell r="F418" t="str">
            <v>服装-户外运动服-速干裤</v>
          </cell>
          <cell r="G418" t="str">
            <v>一品一商</v>
          </cell>
          <cell r="H418" t="str">
            <v>品牌直发</v>
          </cell>
          <cell r="I418">
            <v>0</v>
          </cell>
        </row>
        <row r="419">
          <cell r="D419">
            <v>125106002</v>
          </cell>
          <cell r="E419" t="str">
            <v>伯希和/PELLIOT</v>
          </cell>
          <cell r="F419" t="str">
            <v>女装-外套-软壳衣</v>
          </cell>
          <cell r="G419" t="str">
            <v>一品一商</v>
          </cell>
          <cell r="H419" t="str">
            <v>品牌直发</v>
          </cell>
          <cell r="I419">
            <v>0</v>
          </cell>
        </row>
        <row r="420">
          <cell r="D420" t="str">
            <v>PE125107004</v>
          </cell>
          <cell r="E420" t="str">
            <v>伯希和/PELLIOT</v>
          </cell>
          <cell r="F420" t="str">
            <v>女装-长裤-软壳裤</v>
          </cell>
          <cell r="G420" t="str">
            <v>一品多商</v>
          </cell>
          <cell r="H420" t="str">
            <v>品牌直发</v>
          </cell>
          <cell r="I420">
            <v>0</v>
          </cell>
        </row>
        <row r="421">
          <cell r="D421">
            <v>115107001</v>
          </cell>
          <cell r="E421" t="str">
            <v>伯希和/PELLIOT</v>
          </cell>
          <cell r="F421" t="str">
            <v>服装-长裤-软壳裤</v>
          </cell>
          <cell r="G421" t="str">
            <v>一品多商</v>
          </cell>
          <cell r="H421" t="str">
            <v>品牌直发</v>
          </cell>
          <cell r="I421">
            <v>0</v>
          </cell>
        </row>
        <row r="422">
          <cell r="D422">
            <v>125119036</v>
          </cell>
          <cell r="E422" t="str">
            <v>伯希和/PELLIOT</v>
          </cell>
          <cell r="F422" t="str">
            <v>鞋-运动鞋-登山鞋/徒步鞋</v>
          </cell>
          <cell r="G422" t="str">
            <v>一品多商</v>
          </cell>
          <cell r="H422" t="str">
            <v>品牌直发</v>
          </cell>
          <cell r="I422">
            <v>0</v>
          </cell>
        </row>
        <row r="423">
          <cell r="D423">
            <v>115119035</v>
          </cell>
          <cell r="E423" t="str">
            <v>伯希和/PELLIOT</v>
          </cell>
          <cell r="F423" t="str">
            <v>鞋-运动鞋-登山鞋/徒步鞋</v>
          </cell>
          <cell r="G423" t="str">
            <v>一品多商</v>
          </cell>
          <cell r="H423" t="str">
            <v>品牌直发</v>
          </cell>
          <cell r="I423">
            <v>0</v>
          </cell>
        </row>
        <row r="424">
          <cell r="D424" t="str">
            <v>PE125101014</v>
          </cell>
          <cell r="E424" t="str">
            <v>伯希和/PELLIOT</v>
          </cell>
          <cell r="F424" t="str">
            <v>女装-外套-冲锋衣</v>
          </cell>
          <cell r="G424" t="str">
            <v>一品多商</v>
          </cell>
          <cell r="H424" t="str">
            <v>品牌直发</v>
          </cell>
          <cell r="I424">
            <v>0</v>
          </cell>
        </row>
        <row r="425">
          <cell r="D425">
            <v>135101017</v>
          </cell>
          <cell r="E425" t="str">
            <v>伯希和/PELLIOT</v>
          </cell>
          <cell r="F425" t="str">
            <v>童装-儿童上装-冲锋衣</v>
          </cell>
          <cell r="G425" t="str">
            <v>一品多商</v>
          </cell>
          <cell r="H425" t="str">
            <v>品牌直发</v>
          </cell>
          <cell r="I425">
            <v>0</v>
          </cell>
        </row>
        <row r="426">
          <cell r="D426">
            <v>115101013</v>
          </cell>
          <cell r="E426" t="str">
            <v>伯希和/PELLIOT</v>
          </cell>
          <cell r="F426" t="str">
            <v>服装-外套-冲锋衣</v>
          </cell>
          <cell r="G426" t="str">
            <v>一品多商</v>
          </cell>
          <cell r="H426" t="str">
            <v>品牌直发</v>
          </cell>
          <cell r="I426">
            <v>0</v>
          </cell>
        </row>
        <row r="427">
          <cell r="D427">
            <v>115101001</v>
          </cell>
          <cell r="E427" t="str">
            <v>伯希和/PELLIOT</v>
          </cell>
          <cell r="F427" t="str">
            <v>服装-外套-冲锋衣</v>
          </cell>
          <cell r="G427" t="str">
            <v>一品多商</v>
          </cell>
          <cell r="H427" t="str">
            <v>品牌直发</v>
          </cell>
          <cell r="I427">
            <v>0</v>
          </cell>
        </row>
        <row r="428">
          <cell r="D428">
            <v>125212014</v>
          </cell>
          <cell r="E428" t="str">
            <v>伯希和/PELLIOT</v>
          </cell>
          <cell r="F428" t="str">
            <v>女装-外套-防晒服</v>
          </cell>
          <cell r="G428" t="str">
            <v>一品一商</v>
          </cell>
          <cell r="H428" t="str">
            <v>品牌直发</v>
          </cell>
          <cell r="I428">
            <v>0</v>
          </cell>
        </row>
        <row r="429">
          <cell r="D429" t="str">
            <v>125102002-新</v>
          </cell>
          <cell r="E429" t="str">
            <v>伯希和/PELLIOT</v>
          </cell>
          <cell r="F429" t="str">
            <v>女装-长裤-冲锋裤</v>
          </cell>
          <cell r="G429" t="str">
            <v>一品一商</v>
          </cell>
          <cell r="H429" t="str">
            <v>品牌直发</v>
          </cell>
          <cell r="I429">
            <v>0</v>
          </cell>
        </row>
        <row r="430">
          <cell r="D430">
            <v>115212013</v>
          </cell>
          <cell r="E430" t="str">
            <v>伯希和/PELLIOT</v>
          </cell>
          <cell r="F430" t="str">
            <v>服装-外套-防晒服</v>
          </cell>
          <cell r="G430" t="str">
            <v>一品一商</v>
          </cell>
          <cell r="H430" t="str">
            <v>品牌直发</v>
          </cell>
          <cell r="I430">
            <v>0</v>
          </cell>
        </row>
        <row r="431">
          <cell r="D431">
            <v>1105212020</v>
          </cell>
          <cell r="E431" t="str">
            <v>伯希和/PELLIOT</v>
          </cell>
          <cell r="F431" t="str">
            <v>服装-外套-防晒服</v>
          </cell>
          <cell r="G431" t="str">
            <v>一品一商</v>
          </cell>
          <cell r="H431" t="str">
            <v>品牌直发</v>
          </cell>
          <cell r="I431">
            <v>0</v>
          </cell>
        </row>
        <row r="432">
          <cell r="D432">
            <v>125212004</v>
          </cell>
          <cell r="E432" t="str">
            <v>伯希和/PELLIOT</v>
          </cell>
          <cell r="F432" t="str">
            <v>女装-外套-防晒服</v>
          </cell>
          <cell r="G432" t="str">
            <v>一品多商</v>
          </cell>
          <cell r="H432" t="str">
            <v>品牌直发</v>
          </cell>
          <cell r="I432">
            <v>0</v>
          </cell>
        </row>
        <row r="433">
          <cell r="D433">
            <v>125301055</v>
          </cell>
          <cell r="E433" t="str">
            <v>伯希和/PELLIOT</v>
          </cell>
          <cell r="F433" t="str">
            <v>女装-外套-冲锋衣</v>
          </cell>
          <cell r="G433" t="str">
            <v>一品多商</v>
          </cell>
          <cell r="H433" t="str">
            <v>品牌直发</v>
          </cell>
          <cell r="I433">
            <v>0</v>
          </cell>
        </row>
        <row r="434">
          <cell r="D434">
            <v>115101019</v>
          </cell>
          <cell r="E434" t="str">
            <v>伯希和/PELLIOT</v>
          </cell>
          <cell r="F434" t="str">
            <v>服装-外套-冲锋衣</v>
          </cell>
          <cell r="G434" t="str">
            <v>一品多商</v>
          </cell>
          <cell r="H434" t="str">
            <v>品牌直发</v>
          </cell>
          <cell r="I434">
            <v>0</v>
          </cell>
        </row>
        <row r="435">
          <cell r="D435">
            <v>115301054</v>
          </cell>
          <cell r="E435" t="str">
            <v>伯希和/PELLIOT</v>
          </cell>
          <cell r="F435" t="str">
            <v>服装-外套-冲锋衣</v>
          </cell>
          <cell r="G435" t="str">
            <v>一品多商</v>
          </cell>
          <cell r="H435" t="str">
            <v>品牌直发</v>
          </cell>
          <cell r="I435">
            <v>0</v>
          </cell>
        </row>
        <row r="436">
          <cell r="D436">
            <v>135116010</v>
          </cell>
          <cell r="E436" t="str">
            <v>伯希和/PELLIOT</v>
          </cell>
          <cell r="F436" t="str">
            <v>童装-儿童上装-T恤</v>
          </cell>
          <cell r="G436" t="str">
            <v>一品多商</v>
          </cell>
          <cell r="H436" t="str">
            <v>品牌直发</v>
          </cell>
          <cell r="I436">
            <v>0</v>
          </cell>
        </row>
        <row r="437">
          <cell r="D437" t="str">
            <v>PE125119032</v>
          </cell>
          <cell r="E437" t="str">
            <v>伯希和/PELLIOT</v>
          </cell>
          <cell r="F437" t="str">
            <v>鞋-运动鞋-登山鞋/徒步鞋</v>
          </cell>
          <cell r="G437" t="str">
            <v>一品多商</v>
          </cell>
          <cell r="H437" t="str">
            <v>品牌直发</v>
          </cell>
          <cell r="I437">
            <v>0</v>
          </cell>
        </row>
        <row r="438">
          <cell r="D438" t="str">
            <v>PE125119026</v>
          </cell>
          <cell r="E438" t="str">
            <v>伯希和/PELLIOT</v>
          </cell>
          <cell r="F438" t="str">
            <v>鞋-运动鞋-跑步鞋</v>
          </cell>
          <cell r="G438" t="str">
            <v>一品多商</v>
          </cell>
          <cell r="H438" t="str">
            <v>品牌直发</v>
          </cell>
          <cell r="I438">
            <v>0</v>
          </cell>
        </row>
        <row r="439">
          <cell r="D439">
            <v>115119031</v>
          </cell>
          <cell r="E439" t="str">
            <v>伯希和/PELLIOT</v>
          </cell>
          <cell r="F439" t="str">
            <v>鞋-运动鞋-登山鞋/徒步鞋</v>
          </cell>
          <cell r="G439" t="str">
            <v>一品多商</v>
          </cell>
          <cell r="H439" t="str">
            <v>品牌直发</v>
          </cell>
          <cell r="I439">
            <v>0</v>
          </cell>
        </row>
        <row r="440">
          <cell r="D440">
            <v>115101007</v>
          </cell>
          <cell r="E440" t="str">
            <v>伯希和/PELLIOT</v>
          </cell>
          <cell r="F440" t="str">
            <v>服装-外套-冲锋衣</v>
          </cell>
          <cell r="G440" t="str">
            <v>一品多商</v>
          </cell>
          <cell r="H440" t="str">
            <v>品牌直发</v>
          </cell>
          <cell r="I440">
            <v>0</v>
          </cell>
        </row>
        <row r="441">
          <cell r="D441">
            <v>1125107002</v>
          </cell>
          <cell r="E441" t="str">
            <v>伯希和/PELLIOT</v>
          </cell>
          <cell r="F441" t="str">
            <v>女装-长裤-软壳裤</v>
          </cell>
          <cell r="G441" t="str">
            <v>一品一商</v>
          </cell>
          <cell r="H441" t="str">
            <v>品牌直发</v>
          </cell>
          <cell r="I441">
            <v>0</v>
          </cell>
        </row>
        <row r="442">
          <cell r="D442">
            <v>1125116008</v>
          </cell>
          <cell r="E442" t="str">
            <v>伯希和/PELLIOT</v>
          </cell>
          <cell r="F442" t="str">
            <v>女装-户外运动服-跑步T恤</v>
          </cell>
          <cell r="G442" t="str">
            <v>一品一商</v>
          </cell>
          <cell r="H442" t="str">
            <v>品牌直发</v>
          </cell>
          <cell r="I442">
            <v>0</v>
          </cell>
        </row>
        <row r="443">
          <cell r="D443">
            <v>1115116007</v>
          </cell>
          <cell r="E443" t="str">
            <v>伯希和/PELLIOT</v>
          </cell>
          <cell r="F443" t="str">
            <v>服装-上衣-T恤</v>
          </cell>
          <cell r="G443" t="str">
            <v>一品多商</v>
          </cell>
          <cell r="H443" t="str">
            <v>品牌直发</v>
          </cell>
          <cell r="I443">
            <v>0</v>
          </cell>
        </row>
        <row r="444">
          <cell r="D444">
            <v>125151008</v>
          </cell>
          <cell r="E444" t="str">
            <v>伯希和/PELLIOT</v>
          </cell>
          <cell r="F444" t="str">
            <v>女装-外套-夹克</v>
          </cell>
          <cell r="G444" t="str">
            <v>一品一商</v>
          </cell>
          <cell r="H444" t="str">
            <v>品牌直发</v>
          </cell>
          <cell r="I444">
            <v>0</v>
          </cell>
        </row>
        <row r="445">
          <cell r="D445">
            <v>125151010</v>
          </cell>
          <cell r="E445" t="str">
            <v>伯希和/PELLIOT</v>
          </cell>
          <cell r="F445" t="str">
            <v>女装-外套-夹克</v>
          </cell>
          <cell r="G445" t="str">
            <v>一品一商</v>
          </cell>
          <cell r="H445" t="str">
            <v>品牌直发</v>
          </cell>
          <cell r="I445">
            <v>0</v>
          </cell>
        </row>
        <row r="446">
          <cell r="D446">
            <v>115151009</v>
          </cell>
          <cell r="E446" t="str">
            <v>伯希和/PELLIOT</v>
          </cell>
          <cell r="F446" t="str">
            <v>服装-外套-夹克</v>
          </cell>
          <cell r="G446" t="str">
            <v>一品一商</v>
          </cell>
          <cell r="H446" t="str">
            <v>品牌直发</v>
          </cell>
          <cell r="I446">
            <v>0</v>
          </cell>
        </row>
        <row r="447">
          <cell r="D447">
            <v>1125101020</v>
          </cell>
          <cell r="E447" t="str">
            <v>伯希和/PELLIOT</v>
          </cell>
          <cell r="F447" t="str">
            <v>女装-外套-冲锋衣</v>
          </cell>
          <cell r="G447" t="str">
            <v>一品多商</v>
          </cell>
          <cell r="H447" t="str">
            <v>品牌直发</v>
          </cell>
          <cell r="I447">
            <v>0</v>
          </cell>
        </row>
        <row r="448">
          <cell r="D448">
            <v>1125101008</v>
          </cell>
          <cell r="E448" t="str">
            <v>伯希和/PELLIOT</v>
          </cell>
          <cell r="F448" t="str">
            <v>女装-外套-冲锋衣</v>
          </cell>
          <cell r="G448" t="str">
            <v>一品多商</v>
          </cell>
          <cell r="H448" t="str">
            <v>品牌直发</v>
          </cell>
          <cell r="I448">
            <v>0</v>
          </cell>
        </row>
        <row r="449">
          <cell r="D449" t="str">
            <v>PE105151011</v>
          </cell>
          <cell r="E449" t="str">
            <v>伯希和/PELLIOT</v>
          </cell>
          <cell r="F449" t="str">
            <v>服装-外套-夹克</v>
          </cell>
          <cell r="G449" t="str">
            <v>一品一商</v>
          </cell>
          <cell r="H449" t="str">
            <v>品牌直发</v>
          </cell>
          <cell r="I449">
            <v>0</v>
          </cell>
        </row>
        <row r="450">
          <cell r="D450" t="str">
            <v>PE114310205</v>
          </cell>
          <cell r="E450" t="str">
            <v>伯希和/PELLIOT</v>
          </cell>
          <cell r="F450" t="str">
            <v>服装-户外运动服-抓绒衣</v>
          </cell>
          <cell r="G450" t="str">
            <v>一品一商</v>
          </cell>
          <cell r="H450" t="str">
            <v>品牌直发</v>
          </cell>
          <cell r="I450">
            <v>0</v>
          </cell>
        </row>
        <row r="451">
          <cell r="D451" t="str">
            <v>PE124310206</v>
          </cell>
          <cell r="E451" t="str">
            <v>伯希和/PELLIOT</v>
          </cell>
          <cell r="F451" t="str">
            <v>女装-上衣-T恤</v>
          </cell>
          <cell r="G451" t="str">
            <v>一品一商</v>
          </cell>
          <cell r="H451" t="str">
            <v>品牌直发</v>
          </cell>
          <cell r="I451">
            <v>0</v>
          </cell>
        </row>
        <row r="452">
          <cell r="D452">
            <v>124310206</v>
          </cell>
          <cell r="E452" t="str">
            <v>伯希和/PELLIOT</v>
          </cell>
          <cell r="F452" t="str">
            <v>女装-户外运动服-抓绒衣</v>
          </cell>
          <cell r="G452" t="str">
            <v>一品一商</v>
          </cell>
          <cell r="H452" t="str">
            <v>品牌直发</v>
          </cell>
          <cell r="I452">
            <v>0</v>
          </cell>
        </row>
        <row r="453">
          <cell r="D453">
            <v>114310205</v>
          </cell>
          <cell r="E453" t="str">
            <v>伯希和/PELLIOT</v>
          </cell>
          <cell r="F453" t="str">
            <v>内衣-内衣裤-保暖上装</v>
          </cell>
          <cell r="G453" t="str">
            <v>一品多商</v>
          </cell>
          <cell r="H453" t="str">
            <v>品牌直发</v>
          </cell>
          <cell r="I453">
            <v>0</v>
          </cell>
        </row>
        <row r="454">
          <cell r="D454">
            <v>105025005</v>
          </cell>
          <cell r="E454" t="str">
            <v>伯希和/PELLIOT</v>
          </cell>
          <cell r="F454" t="str">
            <v>箱包-包袋-户外包</v>
          </cell>
          <cell r="G454" t="str">
            <v>一品一商</v>
          </cell>
          <cell r="H454" t="str">
            <v>普通现货</v>
          </cell>
          <cell r="I454">
            <v>0</v>
          </cell>
        </row>
        <row r="455">
          <cell r="D455">
            <v>11340303</v>
          </cell>
          <cell r="E455" t="str">
            <v>伯希和/PELLIOT</v>
          </cell>
          <cell r="F455" t="str">
            <v>服装-外套-棉服</v>
          </cell>
          <cell r="G455" t="str">
            <v>一品多商</v>
          </cell>
          <cell r="H455" t="str">
            <v>品牌直发</v>
          </cell>
          <cell r="I455">
            <v>0</v>
          </cell>
        </row>
        <row r="456">
          <cell r="D456">
            <v>105025003</v>
          </cell>
          <cell r="E456" t="str">
            <v>伯希和/PELLIOT</v>
          </cell>
          <cell r="F456" t="str">
            <v>箱包-包袋-户外包</v>
          </cell>
          <cell r="G456" t="str">
            <v>一品一商</v>
          </cell>
          <cell r="H456" t="str">
            <v>品牌直发</v>
          </cell>
          <cell r="I456">
            <v>0</v>
          </cell>
        </row>
        <row r="457">
          <cell r="D457">
            <v>16123410</v>
          </cell>
          <cell r="E457" t="str">
            <v>伯希和/PELLIOT</v>
          </cell>
          <cell r="F457" t="str">
            <v>流行饰品/眼镜/服配-防晒服配-防晒帽</v>
          </cell>
          <cell r="G457" t="str">
            <v>一品一商</v>
          </cell>
          <cell r="H457" t="str">
            <v>品牌直发</v>
          </cell>
          <cell r="I457">
            <v>0</v>
          </cell>
        </row>
        <row r="458">
          <cell r="D458">
            <v>16223409</v>
          </cell>
          <cell r="E458" t="str">
            <v>伯希和/PELLIOT</v>
          </cell>
          <cell r="F458" t="str">
            <v>流行饰品/眼镜/服配-防晒服配-防晒帽</v>
          </cell>
          <cell r="G458" t="str">
            <v>一品一商</v>
          </cell>
          <cell r="H458" t="str">
            <v>品牌直发</v>
          </cell>
          <cell r="I458">
            <v>0</v>
          </cell>
        </row>
        <row r="459">
          <cell r="D459">
            <v>116206303</v>
          </cell>
          <cell r="E459" t="str">
            <v>伯希和/PELLIOT</v>
          </cell>
          <cell r="F459" t="str">
            <v>流行饰品/眼镜/服配-配饰-其他配饰</v>
          </cell>
          <cell r="G459" t="str">
            <v>一品一商</v>
          </cell>
          <cell r="H459" t="str">
            <v>普通现货</v>
          </cell>
          <cell r="I459">
            <v>0</v>
          </cell>
        </row>
        <row r="460">
          <cell r="D460">
            <v>16123407</v>
          </cell>
          <cell r="E460" t="str">
            <v>伯希和/PELLIOT</v>
          </cell>
          <cell r="F460" t="str">
            <v>流行饰品/眼镜/服配-防晒服配-防晒帽</v>
          </cell>
          <cell r="G460" t="str">
            <v>一品一商</v>
          </cell>
          <cell r="H460" t="str">
            <v>普通现货</v>
          </cell>
          <cell r="I460">
            <v>0</v>
          </cell>
        </row>
        <row r="461">
          <cell r="D461">
            <v>16423417</v>
          </cell>
          <cell r="E461" t="str">
            <v>伯希和/PELLIOT</v>
          </cell>
          <cell r="F461" t="str">
            <v>流行饰品/眼镜/服配-防晒服配-防晒帽</v>
          </cell>
          <cell r="G461" t="str">
            <v>一品一商</v>
          </cell>
          <cell r="H461" t="str">
            <v>品牌直发</v>
          </cell>
          <cell r="I461">
            <v>0</v>
          </cell>
        </row>
        <row r="462">
          <cell r="D462">
            <v>16123409</v>
          </cell>
          <cell r="E462" t="str">
            <v>伯希和/PELLIOT</v>
          </cell>
          <cell r="F462" t="str">
            <v>流行饰品/眼镜/服配-防晒服配-防晒帽</v>
          </cell>
          <cell r="G462" t="str">
            <v>一品一商</v>
          </cell>
          <cell r="H462" t="str">
            <v>品牌直发</v>
          </cell>
          <cell r="I462">
            <v>0</v>
          </cell>
        </row>
        <row r="463">
          <cell r="D463">
            <v>16123403</v>
          </cell>
          <cell r="E463" t="str">
            <v>伯希和/PELLIOT</v>
          </cell>
          <cell r="F463" t="str">
            <v>流行饰品/眼镜/服配-帽子-渔夫帽</v>
          </cell>
          <cell r="G463" t="str">
            <v>一品一商</v>
          </cell>
          <cell r="H463" t="str">
            <v>品牌直发</v>
          </cell>
          <cell r="I463">
            <v>0</v>
          </cell>
        </row>
        <row r="464">
          <cell r="D464">
            <v>16223101</v>
          </cell>
          <cell r="E464" t="str">
            <v>伯希和/PELLIOT</v>
          </cell>
          <cell r="F464" t="str">
            <v>流行饰品/眼镜/服配-防晒服配-防晒手套</v>
          </cell>
          <cell r="G464" t="str">
            <v>一品一商</v>
          </cell>
          <cell r="H464" t="str">
            <v>品牌直发</v>
          </cell>
          <cell r="I464">
            <v>0</v>
          </cell>
        </row>
        <row r="465">
          <cell r="D465">
            <v>16043428</v>
          </cell>
          <cell r="E465" t="str">
            <v>伯希和/PELLIOT</v>
          </cell>
          <cell r="F465" t="str">
            <v>流行饰品/眼镜/服配-帽子-渔夫帽</v>
          </cell>
          <cell r="G465" t="str">
            <v>一品一商</v>
          </cell>
          <cell r="H465" t="str">
            <v>品牌直发</v>
          </cell>
          <cell r="I465">
            <v>0</v>
          </cell>
        </row>
        <row r="466">
          <cell r="D466">
            <v>16423418</v>
          </cell>
          <cell r="E466" t="str">
            <v>伯希和/PELLIOT</v>
          </cell>
          <cell r="F466" t="str">
            <v>流行饰品/眼镜/服配-帽子-鸭舌帽</v>
          </cell>
          <cell r="G466" t="str">
            <v>一品一商</v>
          </cell>
          <cell r="H466" t="str">
            <v>品牌直发</v>
          </cell>
          <cell r="I466">
            <v>0</v>
          </cell>
        </row>
        <row r="467">
          <cell r="D467">
            <v>16143205</v>
          </cell>
          <cell r="E467" t="str">
            <v>伯希和/PELLIOT</v>
          </cell>
          <cell r="F467" t="str">
            <v>流行饰品/眼镜/服配-围巾-围脖</v>
          </cell>
          <cell r="G467" t="str">
            <v>一品一商</v>
          </cell>
          <cell r="H467" t="str">
            <v>品牌直发</v>
          </cell>
          <cell r="I467">
            <v>0</v>
          </cell>
        </row>
        <row r="468">
          <cell r="D468">
            <v>16323402</v>
          </cell>
          <cell r="E468" t="str">
            <v>伯希和/PELLIOT</v>
          </cell>
          <cell r="F468" t="str">
            <v>流行饰品/眼镜/服配-防晒服配-防晒帽</v>
          </cell>
          <cell r="G468" t="str">
            <v>一品一商</v>
          </cell>
          <cell r="H468" t="str">
            <v>品牌直发</v>
          </cell>
          <cell r="I468">
            <v>0</v>
          </cell>
        </row>
        <row r="469">
          <cell r="D469">
            <v>16243103</v>
          </cell>
          <cell r="E469" t="str">
            <v>伯希和/PELLIOT</v>
          </cell>
          <cell r="F469" t="str">
            <v>流行饰品/眼镜/服配-手套-其他手套</v>
          </cell>
          <cell r="G469" t="str">
            <v>一品一商</v>
          </cell>
          <cell r="H469" t="str">
            <v>品牌直发</v>
          </cell>
          <cell r="I469">
            <v>0</v>
          </cell>
        </row>
        <row r="470">
          <cell r="D470">
            <v>16343418</v>
          </cell>
          <cell r="E470" t="str">
            <v>伯希和/PELLIOT</v>
          </cell>
          <cell r="F470" t="str">
            <v>流行饰品/眼镜/服配-帽子-其他帽子</v>
          </cell>
          <cell r="G470" t="str">
            <v>一品一商</v>
          </cell>
          <cell r="H470" t="str">
            <v>品牌直发</v>
          </cell>
          <cell r="I470">
            <v>0</v>
          </cell>
        </row>
        <row r="471">
          <cell r="D471">
            <v>1124310184</v>
          </cell>
          <cell r="E471" t="str">
            <v>伯希和/PELLIOT</v>
          </cell>
          <cell r="F471" t="str">
            <v>女装-户外运动服-抓绒衣</v>
          </cell>
          <cell r="G471" t="str">
            <v>一品一商</v>
          </cell>
          <cell r="H471" t="str">
            <v>品牌直发</v>
          </cell>
          <cell r="I471">
            <v>0</v>
          </cell>
        </row>
        <row r="472">
          <cell r="D472">
            <v>124401056</v>
          </cell>
          <cell r="E472" t="str">
            <v>伯希和/PELLIOT</v>
          </cell>
          <cell r="F472" t="str">
            <v>服装-外套-冲锋衣</v>
          </cell>
          <cell r="G472" t="str">
            <v>一品一商</v>
          </cell>
          <cell r="H472" t="str">
            <v>品牌直发</v>
          </cell>
          <cell r="I472">
            <v>0</v>
          </cell>
        </row>
        <row r="473">
          <cell r="D473">
            <v>124306142</v>
          </cell>
          <cell r="E473" t="str">
            <v>伯希和/PELLIOT</v>
          </cell>
          <cell r="F473" t="str">
            <v>女装-外套-软壳衣</v>
          </cell>
          <cell r="G473" t="str">
            <v>一品多商</v>
          </cell>
          <cell r="H473" t="str">
            <v>品牌直发</v>
          </cell>
          <cell r="I473">
            <v>0</v>
          </cell>
        </row>
        <row r="474">
          <cell r="D474">
            <v>114408263</v>
          </cell>
          <cell r="E474" t="str">
            <v>伯希和/PELLIOT</v>
          </cell>
          <cell r="F474" t="str">
            <v>服装-外套-羽绒服</v>
          </cell>
          <cell r="G474" t="str">
            <v>一品多商</v>
          </cell>
          <cell r="H474" t="str">
            <v>品牌直发</v>
          </cell>
          <cell r="I474">
            <v>0</v>
          </cell>
        </row>
        <row r="475">
          <cell r="D475">
            <v>114401077</v>
          </cell>
          <cell r="E475" t="str">
            <v>伯希和/PELLIOT</v>
          </cell>
          <cell r="F475" t="str">
            <v>服装-外套-冲锋衣</v>
          </cell>
          <cell r="G475" t="str">
            <v>一品多商</v>
          </cell>
          <cell r="H475" t="str">
            <v>品牌直发</v>
          </cell>
          <cell r="I475">
            <v>0</v>
          </cell>
        </row>
        <row r="476">
          <cell r="D476" t="str">
            <v>PE124423019</v>
          </cell>
          <cell r="E476" t="str">
            <v>伯希和/PELLIOT</v>
          </cell>
          <cell r="F476" t="str">
            <v>鞋-靴子-雪地靴</v>
          </cell>
          <cell r="G476" t="str">
            <v>一品一商</v>
          </cell>
          <cell r="H476" t="str">
            <v>品牌直发</v>
          </cell>
          <cell r="I476">
            <v>0</v>
          </cell>
        </row>
        <row r="477">
          <cell r="D477">
            <v>124310204</v>
          </cell>
          <cell r="E477" t="str">
            <v>伯希和/PELLIOT</v>
          </cell>
          <cell r="F477" t="str">
            <v>女装-户外运动服-抓绒衣</v>
          </cell>
          <cell r="G477" t="str">
            <v>一品一商</v>
          </cell>
          <cell r="H477" t="str">
            <v>品牌直发</v>
          </cell>
          <cell r="I477">
            <v>0</v>
          </cell>
        </row>
        <row r="478">
          <cell r="D478">
            <v>124306144</v>
          </cell>
          <cell r="E478" t="str">
            <v>伯希和/PELLIOT</v>
          </cell>
          <cell r="F478" t="str">
            <v>女装-外套-软壳衣</v>
          </cell>
          <cell r="G478" t="str">
            <v>一品多商</v>
          </cell>
          <cell r="H478" t="str">
            <v>品牌直发</v>
          </cell>
          <cell r="I478">
            <v>0</v>
          </cell>
        </row>
        <row r="479">
          <cell r="D479" t="str">
            <v>PE114377365</v>
          </cell>
          <cell r="E479" t="str">
            <v>伯希和/PELLIOT</v>
          </cell>
          <cell r="F479" t="str">
            <v>服装-健身服-运动长裤</v>
          </cell>
          <cell r="G479" t="str">
            <v>一品多商</v>
          </cell>
          <cell r="H479" t="str">
            <v>品牌直发</v>
          </cell>
          <cell r="I479">
            <v>0</v>
          </cell>
        </row>
        <row r="480">
          <cell r="D480">
            <v>114376411</v>
          </cell>
          <cell r="E480" t="str">
            <v>伯希和/PELLIOT</v>
          </cell>
          <cell r="F480" t="str">
            <v>服装-外套-棉服</v>
          </cell>
          <cell r="G480" t="str">
            <v>一品一商</v>
          </cell>
          <cell r="H480" t="str">
            <v>品牌直发</v>
          </cell>
          <cell r="I480">
            <v>0</v>
          </cell>
        </row>
        <row r="481">
          <cell r="D481" t="str">
            <v>PE124408264</v>
          </cell>
          <cell r="E481" t="str">
            <v>伯希和/PELLIOT</v>
          </cell>
          <cell r="F481" t="str">
            <v>服装-外套-羽绒服</v>
          </cell>
          <cell r="G481" t="str">
            <v>一品多商</v>
          </cell>
          <cell r="H481" t="str">
            <v>品牌直发</v>
          </cell>
          <cell r="I481">
            <v>0</v>
          </cell>
        </row>
        <row r="482">
          <cell r="D482">
            <v>114401061</v>
          </cell>
          <cell r="E482" t="str">
            <v>伯希和/PELLIOT</v>
          </cell>
          <cell r="F482" t="str">
            <v>服装-外套-冲锋衣</v>
          </cell>
          <cell r="G482" t="str">
            <v>一品一商</v>
          </cell>
          <cell r="H482" t="str">
            <v>品牌直发</v>
          </cell>
          <cell r="I482">
            <v>0</v>
          </cell>
        </row>
        <row r="483">
          <cell r="D483">
            <v>114408259</v>
          </cell>
          <cell r="E483" t="str">
            <v>伯希和/PELLIOT</v>
          </cell>
          <cell r="F483" t="str">
            <v>服装-外套-羽绒服</v>
          </cell>
          <cell r="G483" t="str">
            <v>一品多商</v>
          </cell>
          <cell r="H483" t="str">
            <v>品牌直发</v>
          </cell>
          <cell r="I483">
            <v>0</v>
          </cell>
        </row>
        <row r="484">
          <cell r="D484">
            <v>114408257</v>
          </cell>
          <cell r="E484" t="str">
            <v>伯希和/PELLIOT</v>
          </cell>
          <cell r="F484" t="str">
            <v>服装-外套-羽绒服</v>
          </cell>
          <cell r="G484" t="str">
            <v>一品多商</v>
          </cell>
          <cell r="H484" t="str">
            <v>品牌直发</v>
          </cell>
          <cell r="I484">
            <v>0</v>
          </cell>
        </row>
        <row r="485">
          <cell r="D485">
            <v>124301066</v>
          </cell>
          <cell r="E485" t="str">
            <v>伯希和/PELLIOT</v>
          </cell>
          <cell r="F485" t="str">
            <v>女装-外套-冲锋衣</v>
          </cell>
          <cell r="G485" t="str">
            <v>一品一商</v>
          </cell>
          <cell r="H485" t="str">
            <v>品牌直发</v>
          </cell>
          <cell r="I485">
            <v>0</v>
          </cell>
        </row>
        <row r="486">
          <cell r="D486">
            <v>124408254</v>
          </cell>
          <cell r="E486" t="str">
            <v>伯希和/PELLIOT</v>
          </cell>
          <cell r="F486" t="str">
            <v>服装-外套-羽绒服</v>
          </cell>
          <cell r="G486" t="str">
            <v>一品多商</v>
          </cell>
          <cell r="H486" t="str">
            <v>品牌直发</v>
          </cell>
          <cell r="I486">
            <v>0</v>
          </cell>
        </row>
        <row r="487">
          <cell r="D487">
            <v>124403128</v>
          </cell>
          <cell r="E487" t="str">
            <v>伯希和/PELLIOT</v>
          </cell>
          <cell r="F487" t="str">
            <v>服装-户外运动服-滑雪衣</v>
          </cell>
          <cell r="G487" t="str">
            <v>一品多商</v>
          </cell>
          <cell r="H487" t="str">
            <v>品牌直发</v>
          </cell>
          <cell r="I487">
            <v>0</v>
          </cell>
        </row>
        <row r="488">
          <cell r="D488">
            <v>114301071</v>
          </cell>
          <cell r="E488" t="str">
            <v>伯希和/PELLIOT</v>
          </cell>
          <cell r="F488" t="str">
            <v>服装-外套-冲锋衣</v>
          </cell>
          <cell r="G488" t="str">
            <v>一品多商</v>
          </cell>
          <cell r="H488" t="str">
            <v>品牌直发</v>
          </cell>
          <cell r="I488">
            <v>0</v>
          </cell>
        </row>
        <row r="489">
          <cell r="D489">
            <v>114408277</v>
          </cell>
          <cell r="E489" t="str">
            <v>伯希和/PELLIOT</v>
          </cell>
          <cell r="F489" t="str">
            <v>服装-外套-羽绒服</v>
          </cell>
          <cell r="G489" t="str">
            <v>一品多商</v>
          </cell>
          <cell r="H489" t="str">
            <v>品牌直发</v>
          </cell>
          <cell r="I489">
            <v>0</v>
          </cell>
        </row>
        <row r="490">
          <cell r="D490">
            <v>134401045</v>
          </cell>
          <cell r="E490" t="str">
            <v>伯希和/PELLIOT</v>
          </cell>
          <cell r="F490" t="str">
            <v>童装-儿童上装-冲锋衣</v>
          </cell>
          <cell r="G490" t="str">
            <v>一品一商</v>
          </cell>
          <cell r="H490" t="str">
            <v>品牌直发</v>
          </cell>
          <cell r="I490">
            <v>0</v>
          </cell>
        </row>
        <row r="491">
          <cell r="D491">
            <v>124403126</v>
          </cell>
          <cell r="E491" t="str">
            <v>伯希和/PELLIOT</v>
          </cell>
          <cell r="F491" t="str">
            <v>服装-户外运动服-滑雪衣</v>
          </cell>
          <cell r="G491" t="str">
            <v>一品一商</v>
          </cell>
          <cell r="H491" t="str">
            <v>品牌直发</v>
          </cell>
          <cell r="I491">
            <v>0</v>
          </cell>
        </row>
        <row r="492">
          <cell r="D492">
            <v>114408273</v>
          </cell>
          <cell r="E492" t="str">
            <v>伯希和/PELLIOT</v>
          </cell>
          <cell r="F492" t="str">
            <v>服装-外套-羽绒服</v>
          </cell>
          <cell r="G492" t="str">
            <v>一品多商</v>
          </cell>
          <cell r="H492" t="str">
            <v>品牌直发</v>
          </cell>
          <cell r="I492">
            <v>0</v>
          </cell>
        </row>
        <row r="493">
          <cell r="D493">
            <v>134408270</v>
          </cell>
          <cell r="E493" t="str">
            <v>伯希和/PELLIOT</v>
          </cell>
          <cell r="F493" t="str">
            <v>童装-儿童上装-羽绒服</v>
          </cell>
          <cell r="G493" t="str">
            <v>一品一商</v>
          </cell>
          <cell r="H493" t="str">
            <v>品牌直发</v>
          </cell>
          <cell r="I493">
            <v>0</v>
          </cell>
        </row>
        <row r="494">
          <cell r="D494" t="str">
            <v>PE124408260</v>
          </cell>
          <cell r="E494" t="str">
            <v>伯希和/PELLIOT</v>
          </cell>
          <cell r="F494" t="str">
            <v>女装-外套-羽绒服</v>
          </cell>
          <cell r="G494" t="str">
            <v>一品多商</v>
          </cell>
          <cell r="H494" t="str">
            <v>品牌直发</v>
          </cell>
          <cell r="I494">
            <v>0</v>
          </cell>
        </row>
        <row r="495">
          <cell r="D495">
            <v>124408240</v>
          </cell>
          <cell r="E495" t="str">
            <v>伯希和/PELLIOT</v>
          </cell>
          <cell r="F495" t="str">
            <v>服装-外套-羽绒服</v>
          </cell>
          <cell r="G495" t="str">
            <v>一品多商</v>
          </cell>
          <cell r="H495" t="str">
            <v>品牌直发</v>
          </cell>
          <cell r="I495">
            <v>0</v>
          </cell>
        </row>
        <row r="496">
          <cell r="D496" t="str">
            <v>PE114401055</v>
          </cell>
          <cell r="E496" t="str">
            <v>伯希和/PELLIOT</v>
          </cell>
          <cell r="F496" t="str">
            <v>服装-外套-冲锋衣</v>
          </cell>
          <cell r="G496" t="str">
            <v>一品一商</v>
          </cell>
          <cell r="H496" t="str">
            <v>品牌直发</v>
          </cell>
          <cell r="I496">
            <v>0</v>
          </cell>
        </row>
        <row r="497">
          <cell r="D497" t="str">
            <v>PE124408278</v>
          </cell>
          <cell r="E497" t="str">
            <v>伯希和/PELLIOT</v>
          </cell>
          <cell r="F497" t="str">
            <v>女装-外套-羽绒服</v>
          </cell>
          <cell r="G497" t="str">
            <v>一品多商</v>
          </cell>
          <cell r="H497" t="str">
            <v>品牌直发</v>
          </cell>
          <cell r="I497">
            <v>0</v>
          </cell>
        </row>
        <row r="498">
          <cell r="D498" t="str">
            <v>PE124315434</v>
          </cell>
          <cell r="E498" t="str">
            <v>伯希和/PELLIOT</v>
          </cell>
          <cell r="F498" t="str">
            <v>女装-上衣-T恤</v>
          </cell>
          <cell r="G498" t="str">
            <v>一品一商</v>
          </cell>
          <cell r="H498" t="str">
            <v>品牌直发</v>
          </cell>
          <cell r="I498">
            <v>0</v>
          </cell>
        </row>
        <row r="499">
          <cell r="D499" t="str">
            <v>PE114315433</v>
          </cell>
          <cell r="E499" t="str">
            <v>伯希和/PELLIOT</v>
          </cell>
          <cell r="F499" t="str">
            <v>服装-户外运动服-抓绒衣</v>
          </cell>
          <cell r="G499" t="str">
            <v>一品一商</v>
          </cell>
          <cell r="H499" t="str">
            <v>品牌直发</v>
          </cell>
          <cell r="I499">
            <v>0</v>
          </cell>
        </row>
        <row r="500">
          <cell r="D500" t="str">
            <v>PE124310192</v>
          </cell>
          <cell r="E500" t="str">
            <v>伯希和/PELLIOT</v>
          </cell>
          <cell r="F500" t="str">
            <v>女装-户外运动服-抓绒衣</v>
          </cell>
          <cell r="G500" t="str">
            <v>一品多商</v>
          </cell>
          <cell r="H500" t="str">
            <v>品牌直发</v>
          </cell>
          <cell r="I500">
            <v>0</v>
          </cell>
        </row>
        <row r="501">
          <cell r="D501">
            <v>134409343</v>
          </cell>
          <cell r="E501" t="str">
            <v>伯希和/PELLIOT</v>
          </cell>
          <cell r="F501" t="str">
            <v>童装-儿童下装-儿童运动裤</v>
          </cell>
          <cell r="G501" t="str">
            <v>一品一商</v>
          </cell>
          <cell r="H501" t="str">
            <v>品牌直发</v>
          </cell>
          <cell r="I501">
            <v>0</v>
          </cell>
        </row>
        <row r="502">
          <cell r="D502">
            <v>114311235</v>
          </cell>
          <cell r="E502" t="str">
            <v>伯希和/PELLIOT</v>
          </cell>
          <cell r="F502" t="str">
            <v>服装-长裤-休闲裤</v>
          </cell>
          <cell r="G502" t="str">
            <v>一品一商</v>
          </cell>
          <cell r="H502" t="str">
            <v>品牌直发</v>
          </cell>
          <cell r="I502">
            <v>0</v>
          </cell>
        </row>
        <row r="503">
          <cell r="D503">
            <v>134301049</v>
          </cell>
          <cell r="E503" t="str">
            <v>伯希和/PELLIOT</v>
          </cell>
          <cell r="F503" t="str">
            <v>童装-儿童上装-冲锋衣</v>
          </cell>
          <cell r="G503" t="str">
            <v>一品一商</v>
          </cell>
          <cell r="H503" t="str">
            <v>品牌直发</v>
          </cell>
          <cell r="I503">
            <v>0</v>
          </cell>
        </row>
        <row r="504">
          <cell r="D504">
            <v>134408267</v>
          </cell>
          <cell r="E504" t="str">
            <v>伯希和/PELLIOT</v>
          </cell>
          <cell r="F504" t="str">
            <v>童装-儿童上装-羽绒服</v>
          </cell>
          <cell r="G504" t="str">
            <v>一品一商</v>
          </cell>
          <cell r="H504" t="str">
            <v>品牌直发</v>
          </cell>
          <cell r="I504">
            <v>0</v>
          </cell>
        </row>
        <row r="505">
          <cell r="D505">
            <v>134306146</v>
          </cell>
          <cell r="E505" t="str">
            <v>伯希和/PELLIOT</v>
          </cell>
          <cell r="F505" t="str">
            <v>童装-儿童上装-夹克</v>
          </cell>
          <cell r="G505" t="str">
            <v>一品多商</v>
          </cell>
          <cell r="H505" t="str">
            <v>品牌直发</v>
          </cell>
          <cell r="I505">
            <v>0</v>
          </cell>
        </row>
        <row r="506">
          <cell r="D506">
            <v>114408265</v>
          </cell>
          <cell r="E506" t="str">
            <v>伯希和/PELLIOT</v>
          </cell>
          <cell r="F506" t="str">
            <v>服装-外套-羽绒服</v>
          </cell>
          <cell r="G506" t="str">
            <v>一品多商</v>
          </cell>
          <cell r="H506" t="str">
            <v>品牌直发</v>
          </cell>
          <cell r="I506">
            <v>0</v>
          </cell>
        </row>
        <row r="507">
          <cell r="D507">
            <v>114319017</v>
          </cell>
          <cell r="E507" t="str">
            <v>伯希和/PELLIOT</v>
          </cell>
          <cell r="F507" t="str">
            <v>鞋-运动鞋-登山鞋/徒步鞋</v>
          </cell>
          <cell r="G507" t="str">
            <v>一品一商</v>
          </cell>
          <cell r="H507" t="str">
            <v>品牌直发</v>
          </cell>
          <cell r="I507">
            <v>0</v>
          </cell>
        </row>
        <row r="508">
          <cell r="D508" t="str">
            <v>PE124408256</v>
          </cell>
          <cell r="E508" t="str">
            <v>伯希和/PELLIOT</v>
          </cell>
          <cell r="F508" t="str">
            <v>女装-外套-羽绒服</v>
          </cell>
          <cell r="G508" t="str">
            <v>一品多商</v>
          </cell>
          <cell r="H508" t="str">
            <v>品牌直发</v>
          </cell>
          <cell r="I508">
            <v>0</v>
          </cell>
        </row>
        <row r="509">
          <cell r="D509">
            <v>114408255</v>
          </cell>
          <cell r="E509" t="str">
            <v>伯希和/PELLIOT</v>
          </cell>
          <cell r="F509" t="str">
            <v>服装-外套-羽绒服</v>
          </cell>
          <cell r="G509" t="str">
            <v>一品多商</v>
          </cell>
          <cell r="H509" t="str">
            <v>品牌直发</v>
          </cell>
          <cell r="I509">
            <v>0</v>
          </cell>
        </row>
        <row r="510">
          <cell r="D510">
            <v>124408258</v>
          </cell>
          <cell r="E510" t="str">
            <v>伯希和/PELLIOT</v>
          </cell>
          <cell r="F510" t="str">
            <v>女装-外套-羽绒服</v>
          </cell>
          <cell r="G510" t="str">
            <v>一品多商</v>
          </cell>
          <cell r="H510" t="str">
            <v>品牌直发</v>
          </cell>
          <cell r="I510">
            <v>0</v>
          </cell>
        </row>
        <row r="511">
          <cell r="D511">
            <v>114301015</v>
          </cell>
          <cell r="E511" t="str">
            <v>伯希和/PELLIOT</v>
          </cell>
          <cell r="F511" t="str">
            <v>服装-外套-冲锋衣</v>
          </cell>
          <cell r="G511" t="str">
            <v>一品多商</v>
          </cell>
          <cell r="H511" t="str">
            <v>品牌直发</v>
          </cell>
          <cell r="I511">
            <v>0</v>
          </cell>
        </row>
        <row r="512">
          <cell r="D512">
            <v>124311236</v>
          </cell>
          <cell r="E512" t="str">
            <v>伯希和/PELLIOT</v>
          </cell>
          <cell r="F512" t="str">
            <v>女装-户外运动服-抓绒裤</v>
          </cell>
          <cell r="G512" t="str">
            <v>一品一商</v>
          </cell>
          <cell r="H512" t="str">
            <v>品牌直发</v>
          </cell>
          <cell r="I512">
            <v>0</v>
          </cell>
        </row>
        <row r="513">
          <cell r="D513">
            <v>114408251</v>
          </cell>
          <cell r="E513" t="str">
            <v>伯希和/PELLIOT</v>
          </cell>
          <cell r="F513" t="str">
            <v>服装-外套-羽绒服</v>
          </cell>
          <cell r="G513" t="str">
            <v>一品一商</v>
          </cell>
          <cell r="H513" t="str">
            <v>品牌直发</v>
          </cell>
          <cell r="I513">
            <v>0</v>
          </cell>
        </row>
        <row r="514">
          <cell r="D514" t="str">
            <v>PE124408250</v>
          </cell>
          <cell r="E514" t="str">
            <v>伯希和/PELLIOT</v>
          </cell>
          <cell r="F514" t="str">
            <v>女装-外套-羽绒服</v>
          </cell>
          <cell r="G514" t="str">
            <v>一品一商</v>
          </cell>
          <cell r="H514" t="str">
            <v>品牌直发</v>
          </cell>
          <cell r="I514">
            <v>0</v>
          </cell>
        </row>
        <row r="515">
          <cell r="D515">
            <v>114409341</v>
          </cell>
          <cell r="E515" t="str">
            <v>伯希和/PELLIOT</v>
          </cell>
          <cell r="F515" t="str">
            <v>服装-长裤-羽绒裤</v>
          </cell>
          <cell r="G515" t="str">
            <v>一品多商</v>
          </cell>
          <cell r="H515" t="str">
            <v>品牌直发</v>
          </cell>
          <cell r="I515">
            <v>0</v>
          </cell>
        </row>
        <row r="516">
          <cell r="D516">
            <v>124304118</v>
          </cell>
          <cell r="E516" t="str">
            <v>伯希和/PELLIOT</v>
          </cell>
          <cell r="F516" t="str">
            <v>服装-户外运动服-滑雪裤</v>
          </cell>
          <cell r="G516" t="str">
            <v>一品多商</v>
          </cell>
          <cell r="H516" t="str">
            <v>品牌直发</v>
          </cell>
          <cell r="I516">
            <v>0</v>
          </cell>
        </row>
        <row r="517">
          <cell r="D517" t="str">
            <v>PE124404116</v>
          </cell>
          <cell r="E517" t="str">
            <v>伯希和/PELLIOT</v>
          </cell>
          <cell r="F517" t="str">
            <v>服装-户外运动服-滑雪裤</v>
          </cell>
          <cell r="G517" t="str">
            <v>一品多商</v>
          </cell>
          <cell r="H517" t="str">
            <v>品牌直发</v>
          </cell>
          <cell r="I517">
            <v>0</v>
          </cell>
        </row>
        <row r="518">
          <cell r="D518">
            <v>114301079</v>
          </cell>
          <cell r="E518" t="str">
            <v>伯希和/PELLIOT</v>
          </cell>
          <cell r="F518" t="str">
            <v>服装-外套-冲锋衣</v>
          </cell>
          <cell r="G518" t="str">
            <v>一品多商</v>
          </cell>
          <cell r="H518" t="str">
            <v>品牌直发</v>
          </cell>
          <cell r="I518">
            <v>0</v>
          </cell>
        </row>
        <row r="519">
          <cell r="D519" t="str">
            <v>124319016曜石黑</v>
          </cell>
          <cell r="E519" t="str">
            <v>伯希和/PELLIOT</v>
          </cell>
          <cell r="F519" t="str">
            <v>鞋-运动鞋-登山鞋/徒步鞋</v>
          </cell>
          <cell r="G519" t="str">
            <v>一品一商</v>
          </cell>
          <cell r="H519" t="str">
            <v>品牌直发</v>
          </cell>
          <cell r="I519">
            <v>0</v>
          </cell>
        </row>
        <row r="520">
          <cell r="D520" t="str">
            <v>PE124310194</v>
          </cell>
          <cell r="E520" t="str">
            <v>伯希和/PELLIOT</v>
          </cell>
          <cell r="F520" t="str">
            <v>女装-户外运动服-抓绒衣</v>
          </cell>
          <cell r="G520" t="str">
            <v>一品一商</v>
          </cell>
          <cell r="H520" t="str">
            <v>品牌直发</v>
          </cell>
          <cell r="I520">
            <v>0</v>
          </cell>
        </row>
        <row r="521">
          <cell r="D521">
            <v>124408252</v>
          </cell>
          <cell r="E521" t="str">
            <v>伯希和/PELLIOT</v>
          </cell>
          <cell r="F521" t="str">
            <v>女装-外套-羽绒服</v>
          </cell>
          <cell r="G521" t="str">
            <v>一品多商</v>
          </cell>
          <cell r="H521" t="str">
            <v>品牌直发</v>
          </cell>
          <cell r="I521">
            <v>0</v>
          </cell>
        </row>
        <row r="522">
          <cell r="D522">
            <v>114351091</v>
          </cell>
          <cell r="E522" t="str">
            <v>伯希和/PELLIOT</v>
          </cell>
          <cell r="F522" t="str">
            <v>服装-外套-软壳衣</v>
          </cell>
          <cell r="G522" t="str">
            <v>一品多商</v>
          </cell>
          <cell r="H522" t="str">
            <v>品牌直发</v>
          </cell>
          <cell r="I522">
            <v>0</v>
          </cell>
        </row>
        <row r="523">
          <cell r="D523">
            <v>124310184</v>
          </cell>
          <cell r="E523" t="str">
            <v>伯希和/PELLIOT</v>
          </cell>
          <cell r="F523" t="str">
            <v>女装-上衣-卫衣</v>
          </cell>
          <cell r="G523" t="str">
            <v>一品一商</v>
          </cell>
          <cell r="H523" t="str">
            <v>品牌直发</v>
          </cell>
          <cell r="I523">
            <v>0</v>
          </cell>
        </row>
        <row r="524">
          <cell r="D524">
            <v>124377366</v>
          </cell>
          <cell r="E524" t="str">
            <v>伯希和/PELLIOT</v>
          </cell>
          <cell r="F524" t="str">
            <v>内衣-内衣裤-保暖裤</v>
          </cell>
          <cell r="G524" t="str">
            <v>一品一商</v>
          </cell>
          <cell r="H524" t="str">
            <v>品牌直发</v>
          </cell>
          <cell r="I524">
            <v>0</v>
          </cell>
        </row>
        <row r="525">
          <cell r="D525">
            <v>114315395</v>
          </cell>
          <cell r="E525" t="str">
            <v>伯希和/PELLIOT</v>
          </cell>
          <cell r="F525" t="str">
            <v>服装-户外运动服-速干衣</v>
          </cell>
          <cell r="G525" t="str">
            <v>一品一商</v>
          </cell>
          <cell r="H525" t="str">
            <v>品牌直发</v>
          </cell>
          <cell r="I525">
            <v>0</v>
          </cell>
        </row>
        <row r="526">
          <cell r="D526">
            <v>164334001</v>
          </cell>
          <cell r="E526" t="str">
            <v>伯希和/PELLIOT</v>
          </cell>
          <cell r="F526" t="str">
            <v>流行饰品/眼镜/服配-帽子-其他帽子</v>
          </cell>
          <cell r="G526" t="str">
            <v>一品一商</v>
          </cell>
          <cell r="H526" t="str">
            <v>品牌直发</v>
          </cell>
          <cell r="I526">
            <v>0</v>
          </cell>
        </row>
        <row r="527">
          <cell r="D527">
            <v>124315398</v>
          </cell>
          <cell r="E527" t="str">
            <v>伯希和/PELLIOT</v>
          </cell>
          <cell r="F527" t="str">
            <v>女装-上衣-T恤</v>
          </cell>
          <cell r="G527" t="str">
            <v>一品多商</v>
          </cell>
          <cell r="H527" t="str">
            <v>品牌直发</v>
          </cell>
          <cell r="I527">
            <v>0</v>
          </cell>
        </row>
        <row r="528">
          <cell r="D528">
            <v>124301080</v>
          </cell>
          <cell r="E528" t="str">
            <v>伯希和/PELLIOT</v>
          </cell>
          <cell r="F528" t="str">
            <v>女装-外套-冲锋衣</v>
          </cell>
          <cell r="G528" t="str">
            <v>一品多商</v>
          </cell>
          <cell r="H528" t="str">
            <v>品牌直发</v>
          </cell>
          <cell r="I528">
            <v>0</v>
          </cell>
        </row>
        <row r="529">
          <cell r="D529" t="str">
            <v>PE124306152</v>
          </cell>
          <cell r="E529" t="str">
            <v>伯希和/PELLIOT</v>
          </cell>
          <cell r="F529" t="str">
            <v>女装-外套-软壳衣</v>
          </cell>
          <cell r="G529" t="str">
            <v>一品多商</v>
          </cell>
          <cell r="H529" t="str">
            <v>品牌直发</v>
          </cell>
          <cell r="I529">
            <v>0</v>
          </cell>
        </row>
        <row r="530">
          <cell r="D530">
            <v>124408246</v>
          </cell>
          <cell r="E530" t="str">
            <v>伯希和/PELLIOT</v>
          </cell>
          <cell r="F530" t="str">
            <v>女装-外套-羽绒服</v>
          </cell>
          <cell r="G530" t="str">
            <v>一品多商</v>
          </cell>
          <cell r="H530" t="str">
            <v>品牌直发</v>
          </cell>
          <cell r="I530">
            <v>0</v>
          </cell>
        </row>
        <row r="531">
          <cell r="D531" t="str">
            <v>PE114401009</v>
          </cell>
          <cell r="E531" t="str">
            <v>伯希和/PELLIOT</v>
          </cell>
          <cell r="F531" t="str">
            <v>服装-外套-冲锋衣</v>
          </cell>
          <cell r="G531" t="str">
            <v>一品多商</v>
          </cell>
          <cell r="H531" t="str">
            <v>品牌直发</v>
          </cell>
          <cell r="I531">
            <v>0</v>
          </cell>
        </row>
        <row r="532">
          <cell r="D532">
            <v>114408249</v>
          </cell>
          <cell r="E532" t="str">
            <v>伯希和/PELLIOT</v>
          </cell>
          <cell r="F532" t="str">
            <v>服装-外套-羽绒服</v>
          </cell>
          <cell r="G532" t="str">
            <v>一品多商</v>
          </cell>
          <cell r="H532" t="str">
            <v>品牌直发</v>
          </cell>
          <cell r="I532">
            <v>0</v>
          </cell>
        </row>
        <row r="533">
          <cell r="D533" t="str">
            <v>124419010经典黑</v>
          </cell>
          <cell r="E533" t="str">
            <v>伯希和/PELLIOT</v>
          </cell>
          <cell r="F533" t="str">
            <v>鞋-运动鞋-登山鞋/徒步鞋</v>
          </cell>
          <cell r="G533" t="str">
            <v>一品一商</v>
          </cell>
          <cell r="H533" t="str">
            <v>品牌直发</v>
          </cell>
          <cell r="I533">
            <v>0</v>
          </cell>
        </row>
        <row r="534">
          <cell r="D534">
            <v>124318426</v>
          </cell>
          <cell r="E534" t="str">
            <v>伯希和/PELLIOT</v>
          </cell>
          <cell r="F534" t="str">
            <v>内衣-内衣裤-保暖套装</v>
          </cell>
          <cell r="G534" t="str">
            <v>一品一商</v>
          </cell>
          <cell r="H534" t="str">
            <v>普通现货</v>
          </cell>
          <cell r="I534">
            <v>0</v>
          </cell>
        </row>
        <row r="535">
          <cell r="D535">
            <v>124408244</v>
          </cell>
          <cell r="E535" t="str">
            <v>伯希和/PELLIOT</v>
          </cell>
          <cell r="F535" t="str">
            <v>服装-外套-羽绒服</v>
          </cell>
          <cell r="G535" t="str">
            <v>一品多商</v>
          </cell>
          <cell r="H535" t="str">
            <v>品牌直发</v>
          </cell>
          <cell r="I535">
            <v>0</v>
          </cell>
        </row>
        <row r="536">
          <cell r="D536">
            <v>114310191</v>
          </cell>
          <cell r="E536" t="str">
            <v>伯希和/PELLIOT</v>
          </cell>
          <cell r="F536" t="str">
            <v>服装-户外运动服-抓绒衣</v>
          </cell>
          <cell r="G536" t="str">
            <v>一品多商</v>
          </cell>
          <cell r="H536" t="str">
            <v>品牌直发</v>
          </cell>
          <cell r="I536">
            <v>0</v>
          </cell>
        </row>
        <row r="537">
          <cell r="D537">
            <v>124401042</v>
          </cell>
          <cell r="E537" t="str">
            <v>伯希和/PELLIOT</v>
          </cell>
          <cell r="F537" t="str">
            <v>女装-外套-冲锋衣</v>
          </cell>
          <cell r="G537" t="str">
            <v>一品多商</v>
          </cell>
          <cell r="H537" t="str">
            <v>品牌直发</v>
          </cell>
          <cell r="I537">
            <v>0</v>
          </cell>
        </row>
        <row r="538">
          <cell r="D538" t="str">
            <v>11421551-SG51</v>
          </cell>
          <cell r="E538" t="str">
            <v>伯希和/PELLIOT</v>
          </cell>
          <cell r="F538" t="str">
            <v>服装-上衣-Polo衫</v>
          </cell>
          <cell r="G538" t="str">
            <v>一品一商</v>
          </cell>
          <cell r="H538" t="str">
            <v>品牌直发</v>
          </cell>
          <cell r="I538">
            <v>0</v>
          </cell>
        </row>
        <row r="539">
          <cell r="D539">
            <v>124376410</v>
          </cell>
          <cell r="E539" t="str">
            <v>伯希和/PELLIOT</v>
          </cell>
          <cell r="F539" t="str">
            <v>服装-外套-棉服</v>
          </cell>
          <cell r="G539" t="str">
            <v>一品多商</v>
          </cell>
          <cell r="H539" t="str">
            <v>品牌直发</v>
          </cell>
          <cell r="I539">
            <v>0</v>
          </cell>
        </row>
        <row r="540">
          <cell r="D540">
            <v>124419012</v>
          </cell>
          <cell r="E540" t="str">
            <v>伯希和/PELLIOT</v>
          </cell>
          <cell r="F540" t="str">
            <v>鞋-运动鞋-登山鞋/徒步鞋</v>
          </cell>
          <cell r="G540" t="str">
            <v>一品一商</v>
          </cell>
          <cell r="H540" t="str">
            <v>品牌直发</v>
          </cell>
          <cell r="I540">
            <v>0</v>
          </cell>
        </row>
        <row r="541">
          <cell r="D541">
            <v>114419011</v>
          </cell>
          <cell r="E541" t="str">
            <v>伯希和/PELLIOT</v>
          </cell>
          <cell r="F541" t="str">
            <v>鞋-运动鞋-登山鞋/徒步鞋</v>
          </cell>
          <cell r="G541" t="str">
            <v>一品一商</v>
          </cell>
          <cell r="H541" t="str">
            <v>品牌直发</v>
          </cell>
          <cell r="I541">
            <v>0</v>
          </cell>
        </row>
        <row r="542">
          <cell r="D542">
            <v>114408241</v>
          </cell>
          <cell r="E542" t="str">
            <v>伯希和/PELLIOT</v>
          </cell>
          <cell r="F542" t="str">
            <v>服装-外套-羽绒马甲</v>
          </cell>
          <cell r="G542" t="str">
            <v>一品多商</v>
          </cell>
          <cell r="H542" t="str">
            <v>品牌直发</v>
          </cell>
          <cell r="I542">
            <v>0</v>
          </cell>
        </row>
        <row r="543">
          <cell r="D543">
            <v>134408269</v>
          </cell>
          <cell r="E543" t="str">
            <v>伯希和/PELLIOT</v>
          </cell>
          <cell r="F543" t="str">
            <v>童装-儿童上装-羽绒服</v>
          </cell>
          <cell r="G543" t="str">
            <v>一品一商</v>
          </cell>
          <cell r="H543" t="str">
            <v>品牌直发</v>
          </cell>
          <cell r="I543">
            <v>0</v>
          </cell>
        </row>
        <row r="544">
          <cell r="D544">
            <v>124408268</v>
          </cell>
          <cell r="E544" t="str">
            <v>伯希和/PELLIOT</v>
          </cell>
          <cell r="F544" t="str">
            <v>女装-外套-羽绒服</v>
          </cell>
          <cell r="G544" t="str">
            <v>一品多商</v>
          </cell>
          <cell r="H544" t="str">
            <v>品牌直发</v>
          </cell>
          <cell r="I544">
            <v>0</v>
          </cell>
        </row>
        <row r="545">
          <cell r="D545">
            <v>114408245</v>
          </cell>
          <cell r="E545" t="str">
            <v>伯希和/PELLIOT</v>
          </cell>
          <cell r="F545" t="str">
            <v>服装-外套-羽绒马甲</v>
          </cell>
          <cell r="G545" t="str">
            <v>一品多商</v>
          </cell>
          <cell r="H545" t="str">
            <v>品牌直发</v>
          </cell>
          <cell r="I545">
            <v>0</v>
          </cell>
        </row>
        <row r="546">
          <cell r="D546">
            <v>124376130</v>
          </cell>
          <cell r="E546" t="str">
            <v>伯希和/PELLIOT</v>
          </cell>
          <cell r="F546" t="str">
            <v>女装-外套-棉服</v>
          </cell>
          <cell r="G546" t="str">
            <v>一品多商</v>
          </cell>
          <cell r="H546" t="str">
            <v>品牌直发</v>
          </cell>
          <cell r="I546">
            <v>0</v>
          </cell>
        </row>
        <row r="547">
          <cell r="D547">
            <v>114310189</v>
          </cell>
          <cell r="E547" t="str">
            <v>伯希和/PELLIOT</v>
          </cell>
          <cell r="F547" t="str">
            <v>服装-户外运动服-抓绒衣</v>
          </cell>
          <cell r="G547" t="str">
            <v>一品一商</v>
          </cell>
          <cell r="H547" t="str">
            <v>品牌直发</v>
          </cell>
          <cell r="I547">
            <v>0</v>
          </cell>
        </row>
        <row r="548">
          <cell r="D548">
            <v>124420014</v>
          </cell>
          <cell r="E548" t="str">
            <v>伯希和/PELLIOT</v>
          </cell>
          <cell r="F548" t="str">
            <v>鞋-潮流休闲鞋-生活休闲鞋</v>
          </cell>
          <cell r="G548" t="str">
            <v>一品一商</v>
          </cell>
          <cell r="H548" t="str">
            <v>品牌直发</v>
          </cell>
          <cell r="I548">
            <v>0</v>
          </cell>
        </row>
        <row r="549">
          <cell r="D549">
            <v>124315394</v>
          </cell>
          <cell r="E549" t="str">
            <v>伯希和/PELLIOT</v>
          </cell>
          <cell r="F549" t="str">
            <v>女装-上衣-T恤</v>
          </cell>
          <cell r="G549" t="str">
            <v>一品一商</v>
          </cell>
          <cell r="H549" t="str">
            <v>品牌直发</v>
          </cell>
          <cell r="I549">
            <v>0</v>
          </cell>
        </row>
        <row r="550">
          <cell r="D550">
            <v>124401010</v>
          </cell>
          <cell r="E550" t="str">
            <v>伯希和/PELLIOT</v>
          </cell>
          <cell r="F550" t="str">
            <v>女装-外套-冲锋衣</v>
          </cell>
          <cell r="G550" t="str">
            <v>一品一商</v>
          </cell>
          <cell r="H550" t="str">
            <v>品牌直发</v>
          </cell>
          <cell r="I550">
            <v>0</v>
          </cell>
        </row>
        <row r="551">
          <cell r="D551">
            <v>124307170</v>
          </cell>
          <cell r="E551" t="str">
            <v>伯希和/PELLIOT</v>
          </cell>
          <cell r="F551" t="str">
            <v>女装-长裤-软壳裤</v>
          </cell>
          <cell r="G551" t="str">
            <v>一品多商</v>
          </cell>
          <cell r="H551" t="str">
            <v>品牌直发</v>
          </cell>
          <cell r="I551">
            <v>0</v>
          </cell>
        </row>
        <row r="552">
          <cell r="D552">
            <v>124419008</v>
          </cell>
          <cell r="E552" t="str">
            <v>伯希和/PELLIOT</v>
          </cell>
          <cell r="F552" t="str">
            <v>鞋-运动鞋-登山鞋/徒步鞋</v>
          </cell>
          <cell r="G552" t="str">
            <v>一品一商</v>
          </cell>
          <cell r="H552" t="str">
            <v>品牌直发</v>
          </cell>
          <cell r="I552">
            <v>0</v>
          </cell>
        </row>
        <row r="553">
          <cell r="D553">
            <v>114315393</v>
          </cell>
          <cell r="E553" t="str">
            <v>伯希和/PELLIOT</v>
          </cell>
          <cell r="F553" t="str">
            <v>服装-上衣-T恤</v>
          </cell>
          <cell r="G553" t="str">
            <v>一品多商</v>
          </cell>
          <cell r="H553" t="str">
            <v>品牌直发</v>
          </cell>
          <cell r="I553">
            <v>0</v>
          </cell>
        </row>
        <row r="554">
          <cell r="D554">
            <v>124318424</v>
          </cell>
          <cell r="E554" t="str">
            <v>伯希和/PELLIOT</v>
          </cell>
          <cell r="F554" t="str">
            <v>内衣-内衣裤-保暖套装</v>
          </cell>
          <cell r="G554" t="str">
            <v>一品一商</v>
          </cell>
          <cell r="H554" t="str">
            <v>品牌直发</v>
          </cell>
          <cell r="I554">
            <v>0</v>
          </cell>
        </row>
        <row r="555">
          <cell r="D555">
            <v>134307173</v>
          </cell>
          <cell r="E555" t="str">
            <v>伯希和/PELLIOT</v>
          </cell>
          <cell r="F555" t="str">
            <v>童装-儿童下装-儿童运动裤</v>
          </cell>
          <cell r="G555" t="str">
            <v>一品一商</v>
          </cell>
          <cell r="H555" t="str">
            <v>品牌直发</v>
          </cell>
          <cell r="I555">
            <v>0</v>
          </cell>
        </row>
        <row r="556">
          <cell r="D556">
            <v>134310199</v>
          </cell>
          <cell r="E556" t="str">
            <v>伯希和/PELLIOT</v>
          </cell>
          <cell r="F556" t="str">
            <v>童装-儿童上装-卫衣</v>
          </cell>
          <cell r="G556" t="str">
            <v>一品一商</v>
          </cell>
          <cell r="H556" t="str">
            <v>品牌直发</v>
          </cell>
          <cell r="I556">
            <v>0</v>
          </cell>
        </row>
        <row r="557">
          <cell r="D557">
            <v>124307162</v>
          </cell>
          <cell r="E557" t="str">
            <v>伯希和/PELLIOT</v>
          </cell>
          <cell r="F557" t="str">
            <v>女装-长裤-软壳裤</v>
          </cell>
          <cell r="G557" t="str">
            <v>一品多商</v>
          </cell>
          <cell r="H557" t="str">
            <v>品牌直发</v>
          </cell>
          <cell r="I557">
            <v>0</v>
          </cell>
        </row>
        <row r="558">
          <cell r="D558">
            <v>114376129</v>
          </cell>
          <cell r="E558" t="str">
            <v>伯希和/PELLIOT</v>
          </cell>
          <cell r="F558" t="str">
            <v>服装-外套-棉服</v>
          </cell>
          <cell r="G558" t="str">
            <v>一品多商</v>
          </cell>
          <cell r="H558" t="str">
            <v>品牌直发</v>
          </cell>
          <cell r="I558">
            <v>0</v>
          </cell>
        </row>
        <row r="559">
          <cell r="D559">
            <v>114301065</v>
          </cell>
          <cell r="E559" t="str">
            <v>伯希和/PELLIOT</v>
          </cell>
          <cell r="F559" t="str">
            <v>服装-外套-冲锋衣</v>
          </cell>
          <cell r="G559" t="str">
            <v>一品一商</v>
          </cell>
          <cell r="H559" t="str">
            <v>品牌直发</v>
          </cell>
          <cell r="I559">
            <v>0</v>
          </cell>
        </row>
        <row r="560">
          <cell r="D560">
            <v>134310200</v>
          </cell>
          <cell r="E560" t="str">
            <v>伯希和/PELLIOT</v>
          </cell>
          <cell r="F560" t="str">
            <v>童装-儿童上装-夹克</v>
          </cell>
          <cell r="G560" t="str">
            <v>一品一商</v>
          </cell>
          <cell r="H560" t="str">
            <v>品牌直发</v>
          </cell>
          <cell r="I560">
            <v>0</v>
          </cell>
        </row>
        <row r="561">
          <cell r="D561">
            <v>114307175</v>
          </cell>
          <cell r="E561" t="str">
            <v>伯希和/PELLIOT</v>
          </cell>
          <cell r="F561" t="str">
            <v>服装-长裤-软壳裤</v>
          </cell>
          <cell r="G561" t="str">
            <v>一品多商</v>
          </cell>
          <cell r="H561" t="str">
            <v>品牌直发</v>
          </cell>
          <cell r="I561">
            <v>0</v>
          </cell>
        </row>
        <row r="562">
          <cell r="D562">
            <v>114310201</v>
          </cell>
          <cell r="E562" t="str">
            <v>伯希和/PELLIOT</v>
          </cell>
          <cell r="F562" t="str">
            <v>服装-户外运动服-抓绒衣</v>
          </cell>
          <cell r="G562" t="str">
            <v>一品多商</v>
          </cell>
          <cell r="H562" t="str">
            <v>品牌直发</v>
          </cell>
          <cell r="I562">
            <v>0</v>
          </cell>
        </row>
        <row r="563">
          <cell r="D563">
            <v>11340305</v>
          </cell>
          <cell r="E563" t="str">
            <v>伯希和/PELLIOT</v>
          </cell>
          <cell r="F563" t="str">
            <v>服装-外套-棉服</v>
          </cell>
          <cell r="G563" t="str">
            <v>一品多商</v>
          </cell>
          <cell r="H563" t="str">
            <v>品牌直发</v>
          </cell>
          <cell r="I563">
            <v>0</v>
          </cell>
        </row>
        <row r="564">
          <cell r="D564">
            <v>114315385</v>
          </cell>
          <cell r="E564" t="str">
            <v>伯希和/PELLIOT</v>
          </cell>
          <cell r="F564" t="str">
            <v>服装-上衣-T恤</v>
          </cell>
          <cell r="G564" t="str">
            <v>一品多商</v>
          </cell>
          <cell r="H564" t="str">
            <v>品牌直发</v>
          </cell>
          <cell r="I564">
            <v>0</v>
          </cell>
        </row>
        <row r="565">
          <cell r="D565">
            <v>124315390</v>
          </cell>
          <cell r="E565" t="str">
            <v>伯希和/PELLIOT</v>
          </cell>
          <cell r="F565" t="str">
            <v>服装-户外运动服-速干衣</v>
          </cell>
          <cell r="G565" t="str">
            <v>一品一商</v>
          </cell>
          <cell r="H565" t="str">
            <v>品牌直发</v>
          </cell>
          <cell r="I565">
            <v>0</v>
          </cell>
        </row>
        <row r="566">
          <cell r="D566">
            <v>114314377</v>
          </cell>
          <cell r="E566" t="str">
            <v>伯希和/PELLIOT</v>
          </cell>
          <cell r="F566" t="str">
            <v>服装-长裤-软壳裤</v>
          </cell>
          <cell r="G566" t="str">
            <v>一品多商</v>
          </cell>
          <cell r="H566" t="str">
            <v>品牌直发</v>
          </cell>
          <cell r="I566">
            <v>0</v>
          </cell>
        </row>
        <row r="567">
          <cell r="D567">
            <v>124315386</v>
          </cell>
          <cell r="E567" t="str">
            <v>伯希和/PELLIOT</v>
          </cell>
          <cell r="F567" t="str">
            <v>女装-上衣-T恤</v>
          </cell>
          <cell r="G567" t="str">
            <v>一品一商</v>
          </cell>
          <cell r="H567" t="str">
            <v>品牌直发</v>
          </cell>
          <cell r="I567">
            <v>0</v>
          </cell>
        </row>
        <row r="568">
          <cell r="D568">
            <v>134301031</v>
          </cell>
          <cell r="E568" t="str">
            <v>伯希和/PELLIOT</v>
          </cell>
          <cell r="F568" t="str">
            <v>童装-儿童上装-冲锋衣</v>
          </cell>
          <cell r="G568" t="str">
            <v>一品一商</v>
          </cell>
          <cell r="H568" t="str">
            <v>品牌直发</v>
          </cell>
          <cell r="I568">
            <v>0</v>
          </cell>
        </row>
        <row r="569">
          <cell r="D569">
            <v>114307161</v>
          </cell>
          <cell r="E569" t="str">
            <v>伯希和/PELLIOT</v>
          </cell>
          <cell r="F569" t="str">
            <v>服装-长裤-软壳裤</v>
          </cell>
          <cell r="G569" t="str">
            <v>一品一商</v>
          </cell>
          <cell r="H569" t="str">
            <v>品牌直发</v>
          </cell>
          <cell r="I569">
            <v>0</v>
          </cell>
        </row>
        <row r="570">
          <cell r="D570" t="str">
            <v>PE114307167</v>
          </cell>
          <cell r="E570" t="str">
            <v>伯希和/PELLIOT</v>
          </cell>
          <cell r="F570" t="str">
            <v>服装-长裤-软壳裤</v>
          </cell>
          <cell r="G570" t="str">
            <v>一品多商</v>
          </cell>
          <cell r="H570" t="str">
            <v>品牌直发</v>
          </cell>
          <cell r="I570">
            <v>0</v>
          </cell>
        </row>
        <row r="571">
          <cell r="D571">
            <v>114307169</v>
          </cell>
          <cell r="E571" t="str">
            <v>伯希和/PELLIOT</v>
          </cell>
          <cell r="F571" t="str">
            <v>服装-长裤-软壳裤</v>
          </cell>
          <cell r="G571" t="str">
            <v>一品多商</v>
          </cell>
          <cell r="H571" t="str">
            <v>品牌直发</v>
          </cell>
          <cell r="I571">
            <v>0</v>
          </cell>
        </row>
        <row r="572">
          <cell r="D572" t="str">
            <v>PE124306150</v>
          </cell>
          <cell r="E572" t="str">
            <v>伯希和/PELLIOT</v>
          </cell>
          <cell r="F572" t="str">
            <v>女装-外套-软壳衣</v>
          </cell>
          <cell r="G572" t="str">
            <v>一品一商</v>
          </cell>
          <cell r="H572" t="str">
            <v>品牌直发</v>
          </cell>
          <cell r="I572">
            <v>0</v>
          </cell>
        </row>
        <row r="573">
          <cell r="D573">
            <v>12421552</v>
          </cell>
          <cell r="E573" t="str">
            <v>伯希和/PELLIOT</v>
          </cell>
          <cell r="F573" t="str">
            <v>女装-上衣-Polo衫</v>
          </cell>
          <cell r="G573" t="str">
            <v>一品一商</v>
          </cell>
          <cell r="H573" t="str">
            <v>品牌直发</v>
          </cell>
          <cell r="I573">
            <v>0</v>
          </cell>
        </row>
        <row r="574">
          <cell r="D574">
            <v>114306149</v>
          </cell>
          <cell r="E574" t="str">
            <v>伯希和/PELLIOT</v>
          </cell>
          <cell r="F574" t="str">
            <v>服装-外套-软壳衣</v>
          </cell>
          <cell r="G574" t="str">
            <v>一品多商</v>
          </cell>
          <cell r="H574" t="str">
            <v>品牌直发</v>
          </cell>
          <cell r="I574">
            <v>0</v>
          </cell>
        </row>
        <row r="575">
          <cell r="D575">
            <v>164334406</v>
          </cell>
          <cell r="E575" t="str">
            <v>伯希和/PELLIOT</v>
          </cell>
          <cell r="F575" t="str">
            <v>流行饰品/眼镜/服配-帽子-其他帽子</v>
          </cell>
          <cell r="G575" t="str">
            <v>一品一商</v>
          </cell>
          <cell r="H575" t="str">
            <v>品牌直发</v>
          </cell>
          <cell r="I575">
            <v>0</v>
          </cell>
        </row>
        <row r="576">
          <cell r="D576" t="str">
            <v>PE124301004</v>
          </cell>
          <cell r="E576" t="str">
            <v>伯希和/PELLIOT</v>
          </cell>
          <cell r="F576" t="str">
            <v>服装-外套-冲锋衣</v>
          </cell>
          <cell r="G576" t="str">
            <v>一品多商</v>
          </cell>
          <cell r="H576" t="str">
            <v>品牌直发</v>
          </cell>
          <cell r="I576">
            <v>0</v>
          </cell>
        </row>
        <row r="577">
          <cell r="D577" t="str">
            <v>PE124302082</v>
          </cell>
          <cell r="E577" t="str">
            <v>伯希和/PELLIOT</v>
          </cell>
          <cell r="F577" t="str">
            <v>女装-长裤-冲锋裤</v>
          </cell>
          <cell r="G577" t="str">
            <v>一品多商</v>
          </cell>
          <cell r="H577" t="str">
            <v>品牌直发</v>
          </cell>
          <cell r="I577">
            <v>0</v>
          </cell>
        </row>
        <row r="578">
          <cell r="D578" t="str">
            <v>PE114376127</v>
          </cell>
          <cell r="E578" t="str">
            <v>伯希和/PELLIOT</v>
          </cell>
          <cell r="F578" t="str">
            <v>服装-外套-马甲</v>
          </cell>
          <cell r="G578" t="str">
            <v>一品多商</v>
          </cell>
          <cell r="H578" t="str">
            <v>品牌直发</v>
          </cell>
          <cell r="I578">
            <v>0</v>
          </cell>
        </row>
        <row r="579">
          <cell r="D579">
            <v>124306148</v>
          </cell>
          <cell r="E579" t="str">
            <v>伯希和/PELLIOT</v>
          </cell>
          <cell r="F579" t="str">
            <v>女装-外套-软壳衣</v>
          </cell>
          <cell r="G579" t="str">
            <v>一品多商</v>
          </cell>
          <cell r="H579" t="str">
            <v>品牌直发</v>
          </cell>
          <cell r="I579">
            <v>0</v>
          </cell>
        </row>
        <row r="580">
          <cell r="D580" t="str">
            <v>PE124315382</v>
          </cell>
          <cell r="E580" t="str">
            <v>伯希和/PELLIOT</v>
          </cell>
          <cell r="F580" t="str">
            <v>女装-上衣-T恤</v>
          </cell>
          <cell r="G580" t="str">
            <v>一品一商</v>
          </cell>
          <cell r="H580" t="str">
            <v>品牌直发</v>
          </cell>
          <cell r="I580">
            <v>0</v>
          </cell>
        </row>
        <row r="581">
          <cell r="D581" t="str">
            <v>PE114301013</v>
          </cell>
          <cell r="E581" t="str">
            <v>伯希和/PELLIOT</v>
          </cell>
          <cell r="F581" t="str">
            <v>服装-外套-冲锋衣</v>
          </cell>
          <cell r="G581" t="str">
            <v>一品多商</v>
          </cell>
          <cell r="H581" t="str">
            <v>品牌直发</v>
          </cell>
          <cell r="I581">
            <v>0</v>
          </cell>
        </row>
        <row r="582">
          <cell r="D582" t="str">
            <v>PE114301011</v>
          </cell>
          <cell r="E582" t="str">
            <v>伯希和/PELLIOT</v>
          </cell>
          <cell r="F582" t="str">
            <v>服装-外套-冲锋衣</v>
          </cell>
          <cell r="G582" t="str">
            <v>一品多商</v>
          </cell>
          <cell r="H582" t="str">
            <v>品牌直发</v>
          </cell>
          <cell r="I582">
            <v>0</v>
          </cell>
        </row>
        <row r="583">
          <cell r="D583" t="str">
            <v>PE114302081</v>
          </cell>
          <cell r="E583" t="str">
            <v>伯希和/PELLIOT</v>
          </cell>
          <cell r="F583" t="str">
            <v>服装-长裤-冲锋裤</v>
          </cell>
          <cell r="G583" t="str">
            <v>一品多商</v>
          </cell>
          <cell r="H583" t="str">
            <v>品牌直发</v>
          </cell>
          <cell r="I583">
            <v>0</v>
          </cell>
        </row>
        <row r="584">
          <cell r="D584" t="str">
            <v>PE114351093</v>
          </cell>
          <cell r="E584" t="str">
            <v>伯希和/PELLIOT</v>
          </cell>
          <cell r="F584" t="str">
            <v>服装-外套-夹克</v>
          </cell>
          <cell r="G584" t="str">
            <v>一品多商</v>
          </cell>
          <cell r="H584" t="str">
            <v>品牌直发</v>
          </cell>
          <cell r="I584">
            <v>0</v>
          </cell>
        </row>
        <row r="585">
          <cell r="D585" t="str">
            <v>PE114306141</v>
          </cell>
          <cell r="E585" t="str">
            <v>伯希和/PELLIOT</v>
          </cell>
          <cell r="F585" t="str">
            <v>服装-外套-软壳衣</v>
          </cell>
          <cell r="G585" t="str">
            <v>一品一商</v>
          </cell>
          <cell r="H585" t="str">
            <v>品牌直发</v>
          </cell>
          <cell r="I585">
            <v>0</v>
          </cell>
        </row>
        <row r="586">
          <cell r="D586">
            <v>16402502</v>
          </cell>
          <cell r="E586" t="str">
            <v>伯希和/PELLIOT</v>
          </cell>
          <cell r="F586" t="str">
            <v>箱包-包袋-户外包</v>
          </cell>
          <cell r="G586" t="str">
            <v>一品一商</v>
          </cell>
          <cell r="H586" t="str">
            <v>品牌直发</v>
          </cell>
          <cell r="I586">
            <v>0</v>
          </cell>
        </row>
        <row r="587">
          <cell r="D587" t="str">
            <v>114419005女款</v>
          </cell>
          <cell r="E587" t="str">
            <v>伯希和/PELLIOT</v>
          </cell>
          <cell r="F587" t="str">
            <v>鞋-运动鞋-登山鞋/徒步鞋</v>
          </cell>
          <cell r="G587" t="str">
            <v>一品一商</v>
          </cell>
          <cell r="H587" t="str">
            <v>品牌直发</v>
          </cell>
          <cell r="I587">
            <v>0</v>
          </cell>
        </row>
        <row r="588">
          <cell r="D588" t="str">
            <v>114419005男款</v>
          </cell>
          <cell r="E588" t="str">
            <v>伯希和/PELLIOT</v>
          </cell>
          <cell r="F588" t="str">
            <v>鞋-运动鞋-登山鞋/徒步鞋</v>
          </cell>
          <cell r="G588" t="str">
            <v>一品一商</v>
          </cell>
          <cell r="H588" t="str">
            <v>品牌直发</v>
          </cell>
          <cell r="I588">
            <v>0</v>
          </cell>
        </row>
        <row r="589">
          <cell r="D589">
            <v>164035001</v>
          </cell>
          <cell r="E589" t="str">
            <v>伯希和/PELLIOT</v>
          </cell>
          <cell r="F589" t="str">
            <v>内衣-袜子-高筒袜</v>
          </cell>
          <cell r="G589" t="str">
            <v>一品一商</v>
          </cell>
          <cell r="H589" t="str">
            <v>品牌直发</v>
          </cell>
          <cell r="I589">
            <v>0</v>
          </cell>
        </row>
        <row r="590">
          <cell r="D590" t="str">
            <v>PE124314372</v>
          </cell>
          <cell r="E590" t="str">
            <v>伯希和/PELLIOT</v>
          </cell>
          <cell r="F590" t="str">
            <v>女装-户外运动服-速干裤</v>
          </cell>
          <cell r="G590" t="str">
            <v>一品一商</v>
          </cell>
          <cell r="H590" t="str">
            <v>品牌直发</v>
          </cell>
          <cell r="I590">
            <v>0</v>
          </cell>
        </row>
        <row r="591">
          <cell r="D591">
            <v>124351094</v>
          </cell>
          <cell r="E591" t="str">
            <v>伯希和/PELLIOT</v>
          </cell>
          <cell r="F591" t="str">
            <v>女装-外套-夹克</v>
          </cell>
          <cell r="G591" t="str">
            <v>一品一商</v>
          </cell>
          <cell r="H591" t="str">
            <v>品牌直发</v>
          </cell>
          <cell r="I591">
            <v>0</v>
          </cell>
        </row>
        <row r="592">
          <cell r="D592" t="str">
            <v>ys124101048</v>
          </cell>
          <cell r="E592" t="str">
            <v>伯希和/PELLIOT</v>
          </cell>
          <cell r="F592" t="str">
            <v>服装-外套-冲锋衣</v>
          </cell>
          <cell r="G592" t="str">
            <v>一品多商</v>
          </cell>
          <cell r="H592" t="str">
            <v>品牌直发</v>
          </cell>
          <cell r="I592">
            <v>0</v>
          </cell>
        </row>
        <row r="593">
          <cell r="D593">
            <v>114314375</v>
          </cell>
          <cell r="E593" t="str">
            <v>伯希和/PELLIOT</v>
          </cell>
          <cell r="F593" t="str">
            <v>服装-户外运动服-速干裤</v>
          </cell>
          <cell r="G593" t="str">
            <v>一品多商</v>
          </cell>
          <cell r="H593" t="str">
            <v>品牌直发</v>
          </cell>
          <cell r="I593">
            <v>0</v>
          </cell>
        </row>
        <row r="594">
          <cell r="D594">
            <v>124310190</v>
          </cell>
          <cell r="E594" t="str">
            <v>伯希和/PELLIOT</v>
          </cell>
          <cell r="F594" t="str">
            <v>女装-户外运动服-抓绒衣</v>
          </cell>
          <cell r="G594" t="str">
            <v>一品一商</v>
          </cell>
          <cell r="H594" t="str">
            <v>品牌直发</v>
          </cell>
          <cell r="I594">
            <v>0</v>
          </cell>
        </row>
        <row r="595">
          <cell r="D595">
            <v>124307168</v>
          </cell>
          <cell r="E595" t="str">
            <v>伯希和/PELLIOT</v>
          </cell>
          <cell r="F595" t="str">
            <v>女装-长裤-软壳裤</v>
          </cell>
          <cell r="G595" t="str">
            <v>一品一商</v>
          </cell>
          <cell r="H595" t="str">
            <v>品牌直发</v>
          </cell>
          <cell r="I595">
            <v>0</v>
          </cell>
        </row>
        <row r="596">
          <cell r="D596">
            <v>124351092</v>
          </cell>
          <cell r="E596" t="str">
            <v>伯希和/PELLIOT</v>
          </cell>
          <cell r="F596" t="str">
            <v>女装-外套-软壳衣</v>
          </cell>
          <cell r="G596" t="str">
            <v>一品多商</v>
          </cell>
          <cell r="H596" t="str">
            <v>品牌直发</v>
          </cell>
          <cell r="I596">
            <v>0</v>
          </cell>
        </row>
        <row r="597">
          <cell r="D597">
            <v>114301039</v>
          </cell>
          <cell r="E597" t="str">
            <v>伯希和/PELLIOT</v>
          </cell>
          <cell r="F597" t="str">
            <v>服装-外套-冲锋衣</v>
          </cell>
          <cell r="G597" t="str">
            <v>一品一商</v>
          </cell>
          <cell r="H597" t="str">
            <v>品牌直发</v>
          </cell>
          <cell r="I597">
            <v>0</v>
          </cell>
        </row>
        <row r="598">
          <cell r="D598">
            <v>114306147</v>
          </cell>
          <cell r="E598" t="str">
            <v>伯希和/PELLIOT</v>
          </cell>
          <cell r="F598" t="str">
            <v>服装-外套-软壳衣</v>
          </cell>
          <cell r="G598" t="str">
            <v>一品多商</v>
          </cell>
          <cell r="H598" t="str">
            <v>品牌直发</v>
          </cell>
          <cell r="I598">
            <v>0</v>
          </cell>
        </row>
        <row r="599">
          <cell r="D599">
            <v>124314374</v>
          </cell>
          <cell r="E599" t="str">
            <v>伯希和/PELLIOT</v>
          </cell>
          <cell r="F599" t="str">
            <v>女装-长裤-软壳裤</v>
          </cell>
          <cell r="G599" t="str">
            <v>一品一商</v>
          </cell>
          <cell r="H599" t="str">
            <v>品牌直发</v>
          </cell>
          <cell r="I599">
            <v>0</v>
          </cell>
        </row>
        <row r="600">
          <cell r="D600">
            <v>164334403</v>
          </cell>
          <cell r="E600" t="str">
            <v>伯希和/PELLIOT</v>
          </cell>
          <cell r="F600" t="str">
            <v>流行饰品/眼镜/服配-帽子-绒线帽</v>
          </cell>
          <cell r="G600" t="str">
            <v>一品一商</v>
          </cell>
          <cell r="H600" t="str">
            <v>品牌直发</v>
          </cell>
          <cell r="I600">
            <v>0</v>
          </cell>
        </row>
        <row r="601">
          <cell r="D601" t="str">
            <v>PE124301012</v>
          </cell>
          <cell r="E601" t="str">
            <v>伯希和/PELLIOT</v>
          </cell>
          <cell r="F601" t="str">
            <v>女装-外套-冲锋衣</v>
          </cell>
          <cell r="G601" t="str">
            <v>一品一商</v>
          </cell>
          <cell r="H601" t="str">
            <v>品牌直发</v>
          </cell>
          <cell r="I601">
            <v>0</v>
          </cell>
        </row>
        <row r="602">
          <cell r="D602" t="str">
            <v>PE124301014</v>
          </cell>
          <cell r="E602" t="str">
            <v>伯希和/PELLIOT</v>
          </cell>
          <cell r="F602" t="str">
            <v>女装-外套-冲锋衣</v>
          </cell>
          <cell r="G602" t="str">
            <v>一品多商</v>
          </cell>
          <cell r="H602" t="str">
            <v>品牌直发</v>
          </cell>
          <cell r="I602">
            <v>0</v>
          </cell>
        </row>
        <row r="603">
          <cell r="D603">
            <v>134334002</v>
          </cell>
          <cell r="E603" t="str">
            <v>伯希和/PELLIOT</v>
          </cell>
          <cell r="F603" t="str">
            <v>流行饰品/眼镜/服配-帽子-雷锋帽</v>
          </cell>
          <cell r="G603" t="str">
            <v>一品一商</v>
          </cell>
          <cell r="H603" t="str">
            <v>品牌直发</v>
          </cell>
          <cell r="I603">
            <v>0</v>
          </cell>
        </row>
        <row r="604">
          <cell r="D604">
            <v>116243501</v>
          </cell>
          <cell r="E604" t="str">
            <v>伯希和/PELLIOT</v>
          </cell>
          <cell r="F604" t="str">
            <v>内衣-袜子-中筒袜</v>
          </cell>
          <cell r="G604" t="str">
            <v>一品一商</v>
          </cell>
          <cell r="H604" t="str">
            <v>品牌直发</v>
          </cell>
          <cell r="I604">
            <v>0</v>
          </cell>
        </row>
        <row r="605">
          <cell r="D605">
            <v>164025003</v>
          </cell>
          <cell r="E605" t="str">
            <v>伯希和/PELLIOT</v>
          </cell>
          <cell r="F605" t="str">
            <v>箱包-包袋-户外包</v>
          </cell>
          <cell r="G605" t="str">
            <v>一品一商</v>
          </cell>
          <cell r="H605" t="str">
            <v>品牌直发</v>
          </cell>
          <cell r="I605">
            <v>0</v>
          </cell>
        </row>
        <row r="606">
          <cell r="D606">
            <v>164334402</v>
          </cell>
          <cell r="E606" t="str">
            <v>伯希和/PELLIOT</v>
          </cell>
          <cell r="F606" t="str">
            <v>流行饰品/眼镜/服配-帽子-绒线帽</v>
          </cell>
          <cell r="G606" t="str">
            <v>一品一商</v>
          </cell>
          <cell r="H606" t="str">
            <v>品牌直发</v>
          </cell>
          <cell r="I606">
            <v>0</v>
          </cell>
        </row>
        <row r="607">
          <cell r="D607">
            <v>114314371</v>
          </cell>
          <cell r="E607" t="str">
            <v>伯希和/PELLIOT</v>
          </cell>
          <cell r="F607" t="str">
            <v>服装-户外运动服-速干裤</v>
          </cell>
          <cell r="G607" t="str">
            <v>一品一商</v>
          </cell>
          <cell r="H607" t="str">
            <v>品牌直发</v>
          </cell>
          <cell r="I607">
            <v>0</v>
          </cell>
        </row>
        <row r="608">
          <cell r="D608">
            <v>114314373</v>
          </cell>
          <cell r="E608" t="str">
            <v>伯希和/PELLIOT</v>
          </cell>
          <cell r="F608" t="str">
            <v>服装-户外运动服-速干裤</v>
          </cell>
          <cell r="G608" t="str">
            <v>一品一商</v>
          </cell>
          <cell r="H608" t="str">
            <v>品牌直发</v>
          </cell>
          <cell r="I608">
            <v>0</v>
          </cell>
        </row>
        <row r="609">
          <cell r="D609">
            <v>124307166</v>
          </cell>
          <cell r="E609" t="str">
            <v>伯希和/PELLIOT</v>
          </cell>
          <cell r="F609" t="str">
            <v>女装-长裤-软壳裤</v>
          </cell>
          <cell r="G609" t="str">
            <v>一品多商</v>
          </cell>
          <cell r="H609" t="str">
            <v>品牌直发</v>
          </cell>
          <cell r="I609">
            <v>0</v>
          </cell>
        </row>
        <row r="610">
          <cell r="D610">
            <v>114310203</v>
          </cell>
          <cell r="E610" t="str">
            <v>伯希和/PELLIOT</v>
          </cell>
          <cell r="F610" t="str">
            <v>服装-户外运动服-抓绒衣</v>
          </cell>
          <cell r="G610" t="str">
            <v>一品多商</v>
          </cell>
          <cell r="H610" t="str">
            <v>品牌直发</v>
          </cell>
          <cell r="I610">
            <v>0</v>
          </cell>
        </row>
        <row r="611">
          <cell r="D611">
            <v>114306143</v>
          </cell>
          <cell r="E611" t="str">
            <v>伯希和/PELLIOT</v>
          </cell>
          <cell r="F611" t="str">
            <v>服装-外套-软壳衣</v>
          </cell>
          <cell r="G611" t="str">
            <v>一品一商</v>
          </cell>
          <cell r="H611" t="str">
            <v>品牌直发</v>
          </cell>
          <cell r="I611">
            <v>0</v>
          </cell>
        </row>
        <row r="612">
          <cell r="D612">
            <v>114302083</v>
          </cell>
          <cell r="E612" t="str">
            <v>伯希和/PELLIOT</v>
          </cell>
          <cell r="F612" t="str">
            <v>服装-长裤-冲锋裤</v>
          </cell>
          <cell r="G612" t="str">
            <v>一品多商</v>
          </cell>
          <cell r="H612" t="str">
            <v>品牌直发</v>
          </cell>
          <cell r="I612">
            <v>0</v>
          </cell>
        </row>
        <row r="613">
          <cell r="D613">
            <v>114307165</v>
          </cell>
          <cell r="E613" t="str">
            <v>伯希和/PELLIOT</v>
          </cell>
          <cell r="F613" t="str">
            <v>服装-长裤-软壳裤</v>
          </cell>
          <cell r="G613" t="str">
            <v>一品一商</v>
          </cell>
          <cell r="H613" t="str">
            <v>品牌直发</v>
          </cell>
          <cell r="I613">
            <v>0</v>
          </cell>
        </row>
        <row r="614">
          <cell r="D614">
            <v>114307163</v>
          </cell>
          <cell r="E614" t="str">
            <v>伯希和/PELLIOT</v>
          </cell>
          <cell r="F614" t="str">
            <v>服装-长裤-软壳裤</v>
          </cell>
          <cell r="G614" t="str">
            <v>一品多商</v>
          </cell>
          <cell r="H614" t="str">
            <v>品牌直发</v>
          </cell>
          <cell r="I614">
            <v>0</v>
          </cell>
        </row>
        <row r="615">
          <cell r="D615">
            <v>124307164</v>
          </cell>
          <cell r="E615" t="str">
            <v>伯希和/PELLIOT</v>
          </cell>
          <cell r="F615" t="str">
            <v>女装-长裤-软壳裤</v>
          </cell>
          <cell r="G615" t="str">
            <v>一品一商</v>
          </cell>
          <cell r="H615" t="str">
            <v>品牌直发</v>
          </cell>
          <cell r="I615">
            <v>0</v>
          </cell>
        </row>
        <row r="616">
          <cell r="D616">
            <v>124319004</v>
          </cell>
          <cell r="E616" t="str">
            <v>伯希和/PELLIOT</v>
          </cell>
          <cell r="F616" t="str">
            <v>鞋-运动鞋-登山鞋/徒步鞋</v>
          </cell>
          <cell r="G616" t="str">
            <v>一品一商</v>
          </cell>
          <cell r="H616" t="str">
            <v>品牌直发</v>
          </cell>
          <cell r="I616">
            <v>0</v>
          </cell>
        </row>
        <row r="617">
          <cell r="D617">
            <v>114319003</v>
          </cell>
          <cell r="E617" t="str">
            <v>伯希和/PELLIOT</v>
          </cell>
          <cell r="F617" t="str">
            <v>鞋-运动鞋-登山鞋/徒步鞋</v>
          </cell>
          <cell r="G617" t="str">
            <v>一品多商</v>
          </cell>
          <cell r="H617" t="str">
            <v>品牌直发</v>
          </cell>
          <cell r="I617">
            <v>0</v>
          </cell>
        </row>
        <row r="618">
          <cell r="D618">
            <v>114311231</v>
          </cell>
          <cell r="E618" t="str">
            <v>伯希和/PELLIOT</v>
          </cell>
          <cell r="F618" t="str">
            <v>服装-长裤-休闲裤</v>
          </cell>
          <cell r="G618" t="str">
            <v>一品一商</v>
          </cell>
          <cell r="H618" t="str">
            <v>品牌直发</v>
          </cell>
          <cell r="I618">
            <v>0</v>
          </cell>
        </row>
        <row r="619">
          <cell r="D619">
            <v>16843502</v>
          </cell>
          <cell r="E619" t="str">
            <v>伯希和/PELLIOT</v>
          </cell>
          <cell r="F619" t="str">
            <v>内衣-袜子-中筒袜</v>
          </cell>
          <cell r="G619" t="str">
            <v>一品一商</v>
          </cell>
          <cell r="H619" t="str">
            <v>品牌直发</v>
          </cell>
          <cell r="I619">
            <v>0</v>
          </cell>
        </row>
        <row r="620">
          <cell r="D620">
            <v>12421414</v>
          </cell>
          <cell r="E620" t="str">
            <v>伯希和/PELLIOT</v>
          </cell>
          <cell r="F620" t="str">
            <v>女装-户外运动服-速干裤</v>
          </cell>
          <cell r="G620" t="str">
            <v>一品多商</v>
          </cell>
          <cell r="H620" t="str">
            <v>品牌直发</v>
          </cell>
          <cell r="I620">
            <v>0</v>
          </cell>
        </row>
        <row r="621">
          <cell r="D621">
            <v>12421510</v>
          </cell>
          <cell r="E621" t="str">
            <v>伯希和/PELLIOT</v>
          </cell>
          <cell r="F621" t="str">
            <v>女装-上衣-T恤</v>
          </cell>
          <cell r="G621" t="str">
            <v>一品一商</v>
          </cell>
          <cell r="H621" t="str">
            <v>品牌直发</v>
          </cell>
          <cell r="I621">
            <v>0</v>
          </cell>
        </row>
        <row r="622">
          <cell r="D622">
            <v>124311232</v>
          </cell>
          <cell r="E622" t="str">
            <v>伯希和/PELLIOT</v>
          </cell>
          <cell r="F622" t="str">
            <v>女装-户外运动服-抓绒裤</v>
          </cell>
          <cell r="G622" t="str">
            <v>一品一商</v>
          </cell>
          <cell r="H622" t="str">
            <v>品牌直发</v>
          </cell>
          <cell r="I622">
            <v>0</v>
          </cell>
        </row>
        <row r="623">
          <cell r="D623">
            <v>16402506</v>
          </cell>
          <cell r="E623" t="str">
            <v>伯希和/PELLIOT</v>
          </cell>
          <cell r="F623" t="str">
            <v>箱包-包袋-户外包</v>
          </cell>
          <cell r="G623" t="str">
            <v>一品多商</v>
          </cell>
          <cell r="H623" t="str">
            <v>品牌直发</v>
          </cell>
          <cell r="I623">
            <v>0</v>
          </cell>
        </row>
        <row r="624">
          <cell r="D624" t="str">
            <v>PE13415145</v>
          </cell>
          <cell r="E624" t="str">
            <v>伯希和/PELLIOT</v>
          </cell>
          <cell r="F624" t="str">
            <v>童装-儿童上装-其他上装</v>
          </cell>
          <cell r="G624" t="str">
            <v>一品一商</v>
          </cell>
          <cell r="H624" t="str">
            <v>品牌直发</v>
          </cell>
          <cell r="I624">
            <v>0</v>
          </cell>
        </row>
        <row r="625">
          <cell r="D625" t="str">
            <v>PE13421430</v>
          </cell>
          <cell r="E625" t="str">
            <v>伯希和/PELLIOT</v>
          </cell>
          <cell r="F625" t="str">
            <v>童装-儿童下装-卫裤</v>
          </cell>
          <cell r="G625" t="str">
            <v>一品一商</v>
          </cell>
          <cell r="H625" t="str">
            <v>品牌直发</v>
          </cell>
          <cell r="I625">
            <v>0</v>
          </cell>
        </row>
        <row r="626">
          <cell r="D626" t="str">
            <v>PE13421431</v>
          </cell>
          <cell r="E626" t="str">
            <v>伯希和/PELLIOT</v>
          </cell>
          <cell r="F626" t="str">
            <v>童装-儿童下装-短裤</v>
          </cell>
          <cell r="G626" t="str">
            <v>一品一商</v>
          </cell>
          <cell r="H626" t="str">
            <v>品牌直发</v>
          </cell>
          <cell r="I626">
            <v>0</v>
          </cell>
        </row>
        <row r="627">
          <cell r="D627">
            <v>13421235</v>
          </cell>
          <cell r="E627" t="str">
            <v>伯希和/PELLIOT</v>
          </cell>
          <cell r="F627" t="str">
            <v>童装-儿童上装-防晒衣</v>
          </cell>
          <cell r="G627" t="str">
            <v>一品一商</v>
          </cell>
          <cell r="H627" t="str">
            <v>品牌直发</v>
          </cell>
          <cell r="I627">
            <v>0</v>
          </cell>
        </row>
        <row r="628">
          <cell r="D628">
            <v>164026422</v>
          </cell>
          <cell r="E628" t="str">
            <v>伯希和/PELLIOT</v>
          </cell>
          <cell r="F628" t="str">
            <v>箱包-包袋-户外包</v>
          </cell>
          <cell r="G628" t="str">
            <v>一品一商</v>
          </cell>
          <cell r="H628" t="str">
            <v>品牌直发</v>
          </cell>
          <cell r="I628">
            <v>0</v>
          </cell>
        </row>
        <row r="629">
          <cell r="D629">
            <v>124222002</v>
          </cell>
          <cell r="E629" t="str">
            <v>伯希和/PELLIOT</v>
          </cell>
          <cell r="F629" t="str">
            <v>鞋-运动鞋-登山鞋/徒步鞋</v>
          </cell>
          <cell r="G629" t="str">
            <v>一品一商</v>
          </cell>
          <cell r="H629" t="str">
            <v>品牌直发</v>
          </cell>
          <cell r="I629">
            <v>0</v>
          </cell>
        </row>
        <row r="630">
          <cell r="D630">
            <v>13421546</v>
          </cell>
          <cell r="E630" t="str">
            <v>伯希和/PELLIOT</v>
          </cell>
          <cell r="F630" t="str">
            <v>童装-儿童上装-T恤</v>
          </cell>
          <cell r="G630" t="str">
            <v>一品一商</v>
          </cell>
          <cell r="H630" t="str">
            <v>品牌直发</v>
          </cell>
          <cell r="I630">
            <v>0</v>
          </cell>
        </row>
        <row r="631">
          <cell r="D631">
            <v>164026416</v>
          </cell>
          <cell r="E631" t="str">
            <v>伯希和/PELLIOT</v>
          </cell>
          <cell r="F631" t="str">
            <v>箱包-包袋-户外包</v>
          </cell>
          <cell r="G631" t="str">
            <v>一品一商</v>
          </cell>
          <cell r="H631" t="str">
            <v>品牌直发</v>
          </cell>
          <cell r="I631">
            <v>0</v>
          </cell>
        </row>
        <row r="632">
          <cell r="D632">
            <v>124301032</v>
          </cell>
          <cell r="E632" t="str">
            <v>伯希和/PELLIOT</v>
          </cell>
          <cell r="F632" t="str">
            <v>女装-外套-冲锋衣</v>
          </cell>
          <cell r="G632" t="str">
            <v>一品多商</v>
          </cell>
          <cell r="H632" t="str">
            <v>品牌直发</v>
          </cell>
          <cell r="I632">
            <v>0</v>
          </cell>
        </row>
        <row r="633">
          <cell r="D633">
            <v>124301034</v>
          </cell>
          <cell r="E633" t="str">
            <v>伯希和/PELLIOT</v>
          </cell>
          <cell r="F633" t="str">
            <v>女装-外套-冲锋衣</v>
          </cell>
          <cell r="G633" t="str">
            <v>一品一商</v>
          </cell>
          <cell r="H633" t="str">
            <v>品牌直发</v>
          </cell>
          <cell r="I633">
            <v>0</v>
          </cell>
        </row>
        <row r="634">
          <cell r="D634">
            <v>114301033</v>
          </cell>
          <cell r="E634" t="str">
            <v>伯希和/PELLIOT</v>
          </cell>
          <cell r="F634" t="str">
            <v>服装-外套-冲锋衣</v>
          </cell>
          <cell r="G634" t="str">
            <v>一品多商</v>
          </cell>
          <cell r="H634" t="str">
            <v>品牌直发</v>
          </cell>
          <cell r="I634">
            <v>0</v>
          </cell>
        </row>
        <row r="635">
          <cell r="D635">
            <v>124301030</v>
          </cell>
          <cell r="E635" t="str">
            <v>伯希和/PELLIOT</v>
          </cell>
          <cell r="F635" t="str">
            <v>女装-外套-冲锋衣</v>
          </cell>
          <cell r="G635" t="str">
            <v>一品多商</v>
          </cell>
          <cell r="H635" t="str">
            <v>品牌直发</v>
          </cell>
          <cell r="I635">
            <v>0</v>
          </cell>
        </row>
        <row r="636">
          <cell r="D636" t="str">
            <v>PE124101060</v>
          </cell>
          <cell r="E636" t="str">
            <v>伯希和/PELLIOT</v>
          </cell>
          <cell r="F636" t="str">
            <v>女装-外套-冲锋衣</v>
          </cell>
          <cell r="G636" t="str">
            <v>一品一商</v>
          </cell>
          <cell r="H636" t="str">
            <v>品牌直发</v>
          </cell>
          <cell r="I636">
            <v>0</v>
          </cell>
        </row>
        <row r="637">
          <cell r="D637">
            <v>114101059</v>
          </cell>
          <cell r="E637" t="str">
            <v>伯希和/PELLIOT</v>
          </cell>
          <cell r="F637" t="str">
            <v>服装-外套-冲锋衣</v>
          </cell>
          <cell r="G637" t="str">
            <v>一品一商</v>
          </cell>
          <cell r="H637" t="str">
            <v>品牌直发</v>
          </cell>
          <cell r="I637">
            <v>0</v>
          </cell>
        </row>
        <row r="638">
          <cell r="D638">
            <v>112321516</v>
          </cell>
          <cell r="E638" t="str">
            <v>伯希和/PELLIOT</v>
          </cell>
          <cell r="F638" t="str">
            <v>女装-上衣-Polo衫</v>
          </cell>
          <cell r="G638" t="str">
            <v>一品一商</v>
          </cell>
          <cell r="H638" t="str">
            <v>品牌直发</v>
          </cell>
          <cell r="I638">
            <v>0</v>
          </cell>
        </row>
        <row r="639">
          <cell r="D639">
            <v>113240815</v>
          </cell>
          <cell r="E639" t="str">
            <v>伯希和/PELLIOT</v>
          </cell>
          <cell r="F639" t="str">
            <v>童装-儿童上装-羽绒服</v>
          </cell>
          <cell r="G639" t="str">
            <v>一品一商</v>
          </cell>
          <cell r="H639" t="str">
            <v>品牌直发</v>
          </cell>
          <cell r="I639">
            <v>0</v>
          </cell>
        </row>
        <row r="640">
          <cell r="D640">
            <v>114301087</v>
          </cell>
          <cell r="E640" t="str">
            <v>伯希和/PELLIOT</v>
          </cell>
          <cell r="F640" t="str">
            <v>服装-外套-冲锋衣</v>
          </cell>
          <cell r="G640" t="str">
            <v>一品多商</v>
          </cell>
          <cell r="H640" t="str">
            <v>品牌直发</v>
          </cell>
          <cell r="I640">
            <v>0</v>
          </cell>
        </row>
        <row r="641">
          <cell r="D641">
            <v>111040303</v>
          </cell>
          <cell r="E641" t="str">
            <v>伯希和/PELLIOT</v>
          </cell>
          <cell r="F641" t="str">
            <v>服装-户外运动服-登山服</v>
          </cell>
          <cell r="G641" t="str">
            <v>一品一商</v>
          </cell>
          <cell r="H641" t="str">
            <v>品牌直发</v>
          </cell>
          <cell r="I641">
            <v>0</v>
          </cell>
        </row>
        <row r="642">
          <cell r="D642">
            <v>112340158</v>
          </cell>
          <cell r="E642" t="str">
            <v>伯希和/PELLIOT</v>
          </cell>
          <cell r="F642" t="str">
            <v>女装-外套-冲锋衣</v>
          </cell>
          <cell r="G642" t="str">
            <v>一品一商</v>
          </cell>
          <cell r="H642" t="str">
            <v>品牌直发</v>
          </cell>
          <cell r="I642">
            <v>0</v>
          </cell>
        </row>
        <row r="643">
          <cell r="D643">
            <v>16702609</v>
          </cell>
          <cell r="E643" t="str">
            <v>伯希和/PELLIOT</v>
          </cell>
          <cell r="F643" t="str">
            <v>箱包-包袋-手机包</v>
          </cell>
          <cell r="G643" t="str">
            <v>一品一商</v>
          </cell>
          <cell r="H643" t="str">
            <v>品牌直发</v>
          </cell>
          <cell r="I643">
            <v>0</v>
          </cell>
        </row>
        <row r="644">
          <cell r="D644">
            <v>16702618</v>
          </cell>
          <cell r="E644" t="str">
            <v>伯希和/PELLIOT</v>
          </cell>
          <cell r="F644" t="str">
            <v>箱包-包袋-出行收纳包</v>
          </cell>
          <cell r="G644" t="str">
            <v>一品一商</v>
          </cell>
          <cell r="H644" t="str">
            <v>品牌直发</v>
          </cell>
          <cell r="I644">
            <v>0</v>
          </cell>
        </row>
        <row r="645">
          <cell r="D645">
            <v>113140132</v>
          </cell>
          <cell r="E645" t="str">
            <v>伯希和/PELLIOT</v>
          </cell>
          <cell r="F645" t="str">
            <v>童装-儿童上装-冲锋衣</v>
          </cell>
          <cell r="G645" t="str">
            <v>一品一商</v>
          </cell>
          <cell r="H645" t="str">
            <v>品牌直发</v>
          </cell>
          <cell r="I645">
            <v>0</v>
          </cell>
        </row>
        <row r="646">
          <cell r="D646">
            <v>114301029</v>
          </cell>
          <cell r="E646" t="str">
            <v>伯希和/PELLIOT</v>
          </cell>
          <cell r="F646" t="str">
            <v>服装-外套-冲锋衣</v>
          </cell>
          <cell r="G646" t="str">
            <v>一品多商</v>
          </cell>
          <cell r="H646" t="str">
            <v>品牌直发</v>
          </cell>
          <cell r="I646">
            <v>0</v>
          </cell>
        </row>
        <row r="647">
          <cell r="D647">
            <v>124301002</v>
          </cell>
          <cell r="E647" t="str">
            <v>伯希和/PELLIOT</v>
          </cell>
          <cell r="F647" t="str">
            <v>女装-外套-冲锋衣</v>
          </cell>
          <cell r="G647" t="str">
            <v>一品多商</v>
          </cell>
          <cell r="H647" t="str">
            <v>品牌直发</v>
          </cell>
          <cell r="I647">
            <v>0</v>
          </cell>
        </row>
        <row r="648">
          <cell r="D648">
            <v>114301001</v>
          </cell>
          <cell r="E648" t="str">
            <v>伯希和/PELLIOT</v>
          </cell>
          <cell r="F648" t="str">
            <v>服装-外套-冲锋衣</v>
          </cell>
          <cell r="G648" t="str">
            <v>一品多商</v>
          </cell>
          <cell r="H648" t="str">
            <v>品牌直发</v>
          </cell>
          <cell r="I648">
            <v>0</v>
          </cell>
        </row>
        <row r="649">
          <cell r="D649">
            <v>114301023</v>
          </cell>
          <cell r="E649" t="str">
            <v>伯希和/PELLIOT</v>
          </cell>
          <cell r="F649" t="str">
            <v>服装-外套-冲锋衣</v>
          </cell>
          <cell r="G649" t="str">
            <v>一品多商</v>
          </cell>
          <cell r="H649" t="str">
            <v>品牌直发</v>
          </cell>
          <cell r="I649">
            <v>0</v>
          </cell>
        </row>
        <row r="650">
          <cell r="D650">
            <v>112331010</v>
          </cell>
          <cell r="E650" t="str">
            <v>伯希和/PELLIOT</v>
          </cell>
          <cell r="F650" t="str">
            <v>女装-户外运动服-抓绒衣</v>
          </cell>
          <cell r="G650" t="str">
            <v>一品一商</v>
          </cell>
          <cell r="H650" t="str">
            <v>品牌直发</v>
          </cell>
          <cell r="I650">
            <v>0</v>
          </cell>
        </row>
        <row r="651">
          <cell r="D651">
            <v>111331805</v>
          </cell>
          <cell r="E651" t="str">
            <v>伯希和/PELLIOT</v>
          </cell>
          <cell r="F651" t="str">
            <v>内衣-内衣裤-保暖套装</v>
          </cell>
          <cell r="G651" t="str">
            <v>一品一商</v>
          </cell>
          <cell r="H651" t="str">
            <v>品牌直发</v>
          </cell>
          <cell r="I651">
            <v>0</v>
          </cell>
        </row>
        <row r="652">
          <cell r="D652">
            <v>112331026</v>
          </cell>
          <cell r="E652" t="str">
            <v>伯希和/PELLIOT</v>
          </cell>
          <cell r="F652" t="str">
            <v>女装-户外运动服-抓绒衣</v>
          </cell>
          <cell r="G652" t="str">
            <v>一品一商</v>
          </cell>
          <cell r="H652" t="str">
            <v>品牌直发</v>
          </cell>
          <cell r="I652">
            <v>0</v>
          </cell>
        </row>
        <row r="653">
          <cell r="D653">
            <v>111421301</v>
          </cell>
          <cell r="E653" t="str">
            <v>伯希和/PELLIOT</v>
          </cell>
          <cell r="F653" t="str">
            <v>服装-上衣-衬衫</v>
          </cell>
          <cell r="G653" t="str">
            <v>一品一商</v>
          </cell>
          <cell r="H653" t="str">
            <v>品牌直发</v>
          </cell>
          <cell r="I653">
            <v>0</v>
          </cell>
        </row>
        <row r="654">
          <cell r="D654">
            <v>12415104</v>
          </cell>
          <cell r="E654" t="str">
            <v>伯希和/PELLIOT</v>
          </cell>
          <cell r="F654" t="str">
            <v>女装-外套-软壳衣</v>
          </cell>
          <cell r="G654" t="str">
            <v>一品一商</v>
          </cell>
          <cell r="H654" t="str">
            <v>品牌直发</v>
          </cell>
          <cell r="I654">
            <v>0</v>
          </cell>
        </row>
        <row r="655">
          <cell r="D655">
            <v>11415103</v>
          </cell>
          <cell r="E655" t="str">
            <v>伯希和/PELLIOT</v>
          </cell>
          <cell r="F655" t="str">
            <v>服装-户外运动服-风壳</v>
          </cell>
          <cell r="G655" t="str">
            <v>一品多商</v>
          </cell>
          <cell r="H655" t="str">
            <v>品牌直发</v>
          </cell>
          <cell r="I655">
            <v>0</v>
          </cell>
        </row>
        <row r="656">
          <cell r="D656">
            <v>11421429</v>
          </cell>
          <cell r="E656" t="str">
            <v>伯希和/PELLIOT</v>
          </cell>
          <cell r="F656" t="str">
            <v>服装-短裤-休闲短裤</v>
          </cell>
          <cell r="G656" t="str">
            <v>一品一商</v>
          </cell>
          <cell r="H656" t="str">
            <v>品牌直发</v>
          </cell>
          <cell r="I656">
            <v>0</v>
          </cell>
        </row>
        <row r="657">
          <cell r="D657">
            <v>12421216</v>
          </cell>
          <cell r="E657" t="str">
            <v>伯希和/PELLIOT</v>
          </cell>
          <cell r="F657" t="str">
            <v>女装-外套-防晒服</v>
          </cell>
          <cell r="G657" t="str">
            <v>一品多商</v>
          </cell>
          <cell r="H657" t="str">
            <v>品牌直发</v>
          </cell>
          <cell r="I657">
            <v>0</v>
          </cell>
        </row>
        <row r="658">
          <cell r="D658">
            <v>12421428</v>
          </cell>
          <cell r="E658" t="str">
            <v>伯希和/PELLIOT</v>
          </cell>
          <cell r="F658" t="str">
            <v>服装-长裤-工装裤</v>
          </cell>
          <cell r="G658" t="str">
            <v>一品一商</v>
          </cell>
          <cell r="H658" t="str">
            <v>品牌直发</v>
          </cell>
          <cell r="I658">
            <v>0</v>
          </cell>
        </row>
        <row r="659">
          <cell r="D659">
            <v>11421419</v>
          </cell>
          <cell r="E659" t="str">
            <v>伯希和/PELLIOT</v>
          </cell>
          <cell r="F659" t="str">
            <v>服装-健身服-运动短裤</v>
          </cell>
          <cell r="G659" t="str">
            <v>一品一商</v>
          </cell>
          <cell r="H659" t="str">
            <v>品牌直发</v>
          </cell>
          <cell r="I659">
            <v>0</v>
          </cell>
        </row>
        <row r="660">
          <cell r="D660">
            <v>11421301</v>
          </cell>
          <cell r="E660" t="str">
            <v>伯希和/PELLIOT</v>
          </cell>
          <cell r="F660" t="str">
            <v>服装-上衣-衬衫</v>
          </cell>
          <cell r="G660" t="str">
            <v>一品一商</v>
          </cell>
          <cell r="H660" t="str">
            <v>品牌直发</v>
          </cell>
          <cell r="I660">
            <v>0</v>
          </cell>
        </row>
        <row r="661">
          <cell r="D661">
            <v>165025069</v>
          </cell>
          <cell r="E661" t="str">
            <v>伯希和/PELLIOT</v>
          </cell>
          <cell r="F661" t="str">
            <v>箱包-包袋-户外包</v>
          </cell>
          <cell r="G661" t="str">
            <v>一品一商</v>
          </cell>
          <cell r="H661" t="str">
            <v>品牌直发</v>
          </cell>
          <cell r="I661">
            <v>0</v>
          </cell>
        </row>
        <row r="662">
          <cell r="D662">
            <v>16402504</v>
          </cell>
          <cell r="E662" t="str">
            <v>伯希和/PELLIOT</v>
          </cell>
          <cell r="F662" t="str">
            <v>箱包-包袋-户外包</v>
          </cell>
          <cell r="G662" t="str">
            <v>一品一商</v>
          </cell>
          <cell r="H662" t="str">
            <v>品牌直发</v>
          </cell>
          <cell r="I662">
            <v>0</v>
          </cell>
        </row>
        <row r="663">
          <cell r="D663">
            <v>16402608</v>
          </cell>
          <cell r="E663" t="str">
            <v>伯希和/PELLIOT</v>
          </cell>
          <cell r="F663" t="str">
            <v>箱包-包袋-手拿包</v>
          </cell>
          <cell r="G663" t="str">
            <v>一品一商</v>
          </cell>
          <cell r="H663" t="str">
            <v>品牌直发</v>
          </cell>
          <cell r="I663">
            <v>0</v>
          </cell>
        </row>
        <row r="664">
          <cell r="D664">
            <v>12111901</v>
          </cell>
          <cell r="E664" t="str">
            <v>伯希和/PELLIOT</v>
          </cell>
          <cell r="F664" t="str">
            <v>鞋-运动鞋-跑步鞋</v>
          </cell>
          <cell r="G664" t="str">
            <v>一品一商</v>
          </cell>
          <cell r="H664" t="str">
            <v>品牌直发</v>
          </cell>
          <cell r="I664">
            <v>0</v>
          </cell>
        </row>
        <row r="665">
          <cell r="D665">
            <v>12331902</v>
          </cell>
          <cell r="E665" t="str">
            <v>伯希和/PELLIOT</v>
          </cell>
          <cell r="F665" t="str">
            <v>鞋-运动鞋-登山鞋/徒步鞋</v>
          </cell>
          <cell r="G665" t="str">
            <v>一品一商</v>
          </cell>
          <cell r="H665" t="str">
            <v>品牌直发</v>
          </cell>
          <cell r="I665">
            <v>0</v>
          </cell>
        </row>
        <row r="666">
          <cell r="D666">
            <v>11411909</v>
          </cell>
          <cell r="E666" t="str">
            <v>伯希和/PELLIOT</v>
          </cell>
          <cell r="F666" t="str">
            <v>鞋-运动鞋-登山鞋/徒步鞋</v>
          </cell>
          <cell r="G666" t="str">
            <v>一品多商</v>
          </cell>
          <cell r="H666" t="str">
            <v>品牌直发</v>
          </cell>
          <cell r="I666">
            <v>0</v>
          </cell>
        </row>
        <row r="667">
          <cell r="D667">
            <v>11111905</v>
          </cell>
          <cell r="E667" t="str">
            <v>伯希和/PELLIOT</v>
          </cell>
          <cell r="F667" t="str">
            <v>鞋-运动鞋-跑步鞋</v>
          </cell>
          <cell r="G667" t="str">
            <v>一品一商</v>
          </cell>
          <cell r="H667" t="str">
            <v>品牌直发</v>
          </cell>
          <cell r="I667">
            <v>0</v>
          </cell>
        </row>
        <row r="668">
          <cell r="D668">
            <v>11411907</v>
          </cell>
          <cell r="E668" t="str">
            <v>伯希和/PELLIOT</v>
          </cell>
          <cell r="F668" t="str">
            <v>鞋-运动鞋-登山鞋/徒步鞋</v>
          </cell>
          <cell r="G668" t="str">
            <v>一品一商</v>
          </cell>
          <cell r="H668" t="str">
            <v>品牌直发</v>
          </cell>
          <cell r="I668">
            <v>0</v>
          </cell>
        </row>
        <row r="669">
          <cell r="D669">
            <v>12422004</v>
          </cell>
          <cell r="E669" t="str">
            <v>伯希和/PELLIOT</v>
          </cell>
          <cell r="F669" t="str">
            <v>鞋-运动鞋-户外功能鞋</v>
          </cell>
          <cell r="G669" t="str">
            <v>一品一商</v>
          </cell>
          <cell r="H669" t="str">
            <v>品牌直发</v>
          </cell>
          <cell r="I669">
            <v>0</v>
          </cell>
        </row>
        <row r="670">
          <cell r="D670">
            <v>12421238</v>
          </cell>
          <cell r="E670" t="str">
            <v>伯希和/PELLIOT</v>
          </cell>
          <cell r="F670" t="str">
            <v>女装-外套-防晒服</v>
          </cell>
          <cell r="G670" t="str">
            <v>一品一商</v>
          </cell>
          <cell r="H670" t="str">
            <v>品牌直发</v>
          </cell>
          <cell r="I670">
            <v>0</v>
          </cell>
        </row>
        <row r="671">
          <cell r="D671">
            <v>12422002</v>
          </cell>
          <cell r="E671" t="str">
            <v>伯希和/PELLIOT</v>
          </cell>
          <cell r="F671" t="str">
            <v>鞋-运动鞋-户外功能鞋</v>
          </cell>
          <cell r="G671" t="str">
            <v>一品多商</v>
          </cell>
          <cell r="H671" t="str">
            <v>品牌直发</v>
          </cell>
          <cell r="I671">
            <v>0</v>
          </cell>
        </row>
        <row r="672">
          <cell r="D672">
            <v>11011901</v>
          </cell>
          <cell r="E672" t="str">
            <v>伯希和/PELLIOT</v>
          </cell>
          <cell r="F672" t="str">
            <v>鞋-运动鞋-跑步鞋</v>
          </cell>
          <cell r="G672" t="str">
            <v>一品一商</v>
          </cell>
          <cell r="H672" t="str">
            <v>品牌直发</v>
          </cell>
          <cell r="I672">
            <v>0</v>
          </cell>
        </row>
        <row r="673">
          <cell r="D673">
            <v>12022104</v>
          </cell>
          <cell r="E673" t="str">
            <v>伯希和/PELLIOT</v>
          </cell>
          <cell r="F673" t="str">
            <v>鞋-运动鞋-户外功能鞋</v>
          </cell>
          <cell r="G673" t="str">
            <v>一品一商</v>
          </cell>
          <cell r="H673" t="str">
            <v>品牌直发</v>
          </cell>
          <cell r="I673">
            <v>0</v>
          </cell>
        </row>
        <row r="674">
          <cell r="D674">
            <v>16123406</v>
          </cell>
          <cell r="E674" t="str">
            <v>伯希和/PELLIOT</v>
          </cell>
          <cell r="F674" t="str">
            <v>流行饰品/眼镜/服配-帽子-鸭舌帽</v>
          </cell>
          <cell r="G674" t="str">
            <v>一品一商</v>
          </cell>
          <cell r="H674" t="str">
            <v>品牌直发</v>
          </cell>
          <cell r="I674">
            <v>0</v>
          </cell>
        </row>
        <row r="675">
          <cell r="D675">
            <v>1116023410</v>
          </cell>
          <cell r="E675" t="str">
            <v>伯希和/PELLIOT</v>
          </cell>
          <cell r="F675" t="str">
            <v>流行饰品/眼镜/服配-防晒服配-防晒帽</v>
          </cell>
          <cell r="G675" t="str">
            <v>一品一商</v>
          </cell>
          <cell r="H675" t="str">
            <v>品牌直发</v>
          </cell>
          <cell r="I675">
            <v>0</v>
          </cell>
        </row>
        <row r="676">
          <cell r="D676">
            <v>12421410</v>
          </cell>
          <cell r="E676" t="str">
            <v>伯希和/PELLIOT</v>
          </cell>
          <cell r="F676" t="str">
            <v>女装-户外运动服-速干裤</v>
          </cell>
          <cell r="G676" t="str">
            <v>一品一商</v>
          </cell>
          <cell r="H676" t="str">
            <v>品牌直发</v>
          </cell>
          <cell r="I676">
            <v>0</v>
          </cell>
        </row>
        <row r="677">
          <cell r="D677">
            <v>12411402</v>
          </cell>
          <cell r="E677" t="str">
            <v>伯希和/PELLIOT</v>
          </cell>
          <cell r="F677" t="str">
            <v>女装-长裤-软壳裤</v>
          </cell>
          <cell r="G677" t="str">
            <v>一品一商</v>
          </cell>
          <cell r="H677" t="str">
            <v>品牌直发</v>
          </cell>
          <cell r="I677">
            <v>0</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s>
    <sheetDataSet>
      <sheetData sheetId="0">
        <row r="1">
          <cell r="D1" t="str">
            <v>商品货号</v>
          </cell>
          <cell r="E1" t="str">
            <v>品牌名称</v>
          </cell>
          <cell r="F1" t="str">
            <v>类目名称</v>
          </cell>
          <cell r="G1" t="str">
            <v>商品类型</v>
          </cell>
          <cell r="H1" t="str">
            <v>出价渠道</v>
          </cell>
          <cell r="I1" t="str">
            <v>支付金额</v>
          </cell>
        </row>
        <row r="2">
          <cell r="D2">
            <v>11421507</v>
          </cell>
          <cell r="E2" t="str">
            <v>伯希和/PELLIOT</v>
          </cell>
          <cell r="F2" t="str">
            <v>服装-上衣-Polo衫</v>
          </cell>
          <cell r="G2" t="str">
            <v>一品多商</v>
          </cell>
          <cell r="H2" t="str">
            <v>品牌直发</v>
          </cell>
          <cell r="I2">
            <v>11646.75</v>
          </cell>
        </row>
        <row r="3">
          <cell r="D3">
            <v>115214024</v>
          </cell>
          <cell r="E3" t="str">
            <v>伯希和/PELLIOT</v>
          </cell>
          <cell r="F3" t="str">
            <v>服装-户外运动服-速干裤</v>
          </cell>
          <cell r="G3" t="str">
            <v>一品多商</v>
          </cell>
          <cell r="H3" t="str">
            <v>品牌直发</v>
          </cell>
          <cell r="I3">
            <v>6086</v>
          </cell>
        </row>
        <row r="4">
          <cell r="D4">
            <v>11421509</v>
          </cell>
          <cell r="E4" t="str">
            <v>伯希和/PELLIOT</v>
          </cell>
          <cell r="F4" t="str">
            <v>服装-上衣-T恤</v>
          </cell>
          <cell r="G4" t="str">
            <v>一品多商</v>
          </cell>
          <cell r="H4" t="str">
            <v>品牌直发</v>
          </cell>
          <cell r="I4">
            <v>3331</v>
          </cell>
        </row>
        <row r="5">
          <cell r="D5">
            <v>11421415</v>
          </cell>
          <cell r="E5" t="str">
            <v>伯希和/PELLIOT</v>
          </cell>
          <cell r="F5" t="str">
            <v>服装-户外运动服-速干裤</v>
          </cell>
          <cell r="G5" t="str">
            <v>一品多商</v>
          </cell>
          <cell r="H5" t="str">
            <v>品牌直发</v>
          </cell>
          <cell r="I5">
            <v>5979</v>
          </cell>
        </row>
        <row r="6">
          <cell r="D6">
            <v>115215019</v>
          </cell>
          <cell r="E6" t="str">
            <v>伯希和/PELLIOT</v>
          </cell>
          <cell r="F6" t="str">
            <v>服装-上衣-Polo衫</v>
          </cell>
          <cell r="G6" t="str">
            <v>一品多商</v>
          </cell>
          <cell r="H6" t="str">
            <v>品牌直发</v>
          </cell>
          <cell r="I6">
            <v>2385</v>
          </cell>
        </row>
        <row r="7">
          <cell r="D7">
            <v>115215047</v>
          </cell>
          <cell r="E7" t="str">
            <v>伯希和/PELLIOT</v>
          </cell>
          <cell r="F7" t="str">
            <v>服装-上衣-T恤</v>
          </cell>
          <cell r="G7" t="str">
            <v>一品一商</v>
          </cell>
          <cell r="H7" t="str">
            <v>品牌直发</v>
          </cell>
          <cell r="I7">
            <v>1047</v>
          </cell>
        </row>
        <row r="8">
          <cell r="D8">
            <v>115215025</v>
          </cell>
          <cell r="E8" t="str">
            <v>伯希和/PELLIOT</v>
          </cell>
          <cell r="F8" t="str">
            <v>服装-户外运动服-速干T恤</v>
          </cell>
          <cell r="G8" t="str">
            <v>一品多商</v>
          </cell>
          <cell r="H8" t="str">
            <v>品牌直发</v>
          </cell>
          <cell r="I8">
            <v>3028</v>
          </cell>
        </row>
        <row r="9">
          <cell r="D9">
            <v>11421241</v>
          </cell>
          <cell r="E9" t="str">
            <v>伯希和/PELLIOT</v>
          </cell>
          <cell r="F9" t="str">
            <v>服装-外套-防晒服</v>
          </cell>
          <cell r="G9" t="str">
            <v>一品多商</v>
          </cell>
          <cell r="H9" t="str">
            <v>品牌直发</v>
          </cell>
          <cell r="I9">
            <v>1243</v>
          </cell>
        </row>
        <row r="10">
          <cell r="D10">
            <v>12421440</v>
          </cell>
          <cell r="E10" t="str">
            <v>伯希和/PELLIOT</v>
          </cell>
          <cell r="F10" t="str">
            <v>服装-健身服-运动短裤</v>
          </cell>
          <cell r="G10" t="str">
            <v>一品多商</v>
          </cell>
          <cell r="H10" t="str">
            <v>品牌直发</v>
          </cell>
          <cell r="I10">
            <v>1356</v>
          </cell>
        </row>
        <row r="11">
          <cell r="D11" t="str">
            <v>x1622</v>
          </cell>
          <cell r="E11" t="str">
            <v>伯希和/PELLIOT</v>
          </cell>
          <cell r="F11" t="str">
            <v>流行饰品/眼镜/服配-帽子-渔夫帽</v>
          </cell>
          <cell r="G11" t="str">
            <v>一品一商</v>
          </cell>
          <cell r="H11" t="str">
            <v>品牌直发</v>
          </cell>
          <cell r="I11">
            <v>551</v>
          </cell>
        </row>
        <row r="12">
          <cell r="D12">
            <v>12421220</v>
          </cell>
          <cell r="E12" t="str">
            <v>伯希和/PELLIOT</v>
          </cell>
          <cell r="F12" t="str">
            <v>服装-外套-防晒服</v>
          </cell>
          <cell r="G12" t="str">
            <v>一品多商</v>
          </cell>
          <cell r="H12" t="str">
            <v>品牌直发</v>
          </cell>
          <cell r="I12">
            <v>1852</v>
          </cell>
        </row>
        <row r="13">
          <cell r="D13">
            <v>11321405</v>
          </cell>
          <cell r="E13" t="str">
            <v>伯希和/PELLIOT</v>
          </cell>
          <cell r="F13" t="str">
            <v>服装-户外运动服-速干裤</v>
          </cell>
          <cell r="G13" t="str">
            <v>一品多商</v>
          </cell>
          <cell r="H13" t="str">
            <v>品牌直发</v>
          </cell>
          <cell r="I13">
            <v>1729</v>
          </cell>
        </row>
        <row r="14">
          <cell r="D14">
            <v>115220021</v>
          </cell>
          <cell r="E14" t="str">
            <v>伯希和/PELLIOT</v>
          </cell>
          <cell r="F14" t="str">
            <v>鞋-凉鞋/拖鞋-溯溪鞋</v>
          </cell>
          <cell r="G14" t="str">
            <v>一品一商</v>
          </cell>
          <cell r="H14" t="str">
            <v>品牌直发</v>
          </cell>
          <cell r="I14">
            <v>2929</v>
          </cell>
        </row>
        <row r="15">
          <cell r="D15">
            <v>11421533</v>
          </cell>
          <cell r="E15" t="str">
            <v>伯希和/PELLIOT</v>
          </cell>
          <cell r="F15" t="str">
            <v>服装-上衣-Polo衫</v>
          </cell>
          <cell r="G15" t="str">
            <v>一品多商</v>
          </cell>
          <cell r="H15" t="str">
            <v>品牌直发</v>
          </cell>
          <cell r="I15">
            <v>1476</v>
          </cell>
        </row>
        <row r="16">
          <cell r="D16">
            <v>115214025</v>
          </cell>
          <cell r="E16" t="str">
            <v>伯希和/PELLIOT</v>
          </cell>
          <cell r="F16" t="str">
            <v>服装-户外运动服-速干裤</v>
          </cell>
          <cell r="G16" t="str">
            <v>一品多商</v>
          </cell>
          <cell r="H16" t="str">
            <v>品牌直发</v>
          </cell>
          <cell r="I16">
            <v>1466</v>
          </cell>
        </row>
        <row r="17">
          <cell r="D17">
            <v>115116021</v>
          </cell>
          <cell r="E17" t="str">
            <v>伯希和/PELLIOT</v>
          </cell>
          <cell r="F17" t="str">
            <v>服装-上衣-T恤</v>
          </cell>
          <cell r="G17" t="str">
            <v>一品多商</v>
          </cell>
          <cell r="H17" t="str">
            <v>品牌直发</v>
          </cell>
          <cell r="I17">
            <v>843</v>
          </cell>
        </row>
        <row r="18">
          <cell r="D18">
            <v>115214021</v>
          </cell>
          <cell r="E18" t="str">
            <v>伯希和/PELLIOT</v>
          </cell>
          <cell r="F18" t="str">
            <v>服装-户外运动服-速干裤</v>
          </cell>
          <cell r="G18" t="str">
            <v>一品多商</v>
          </cell>
          <cell r="H18" t="str">
            <v>品牌直发</v>
          </cell>
          <cell r="I18">
            <v>1350</v>
          </cell>
        </row>
        <row r="19">
          <cell r="D19">
            <v>16402503</v>
          </cell>
          <cell r="E19" t="str">
            <v>伯希和/PELLIOT</v>
          </cell>
          <cell r="F19" t="str">
            <v>箱包-包袋-户外包</v>
          </cell>
          <cell r="G19" t="str">
            <v>一品多商</v>
          </cell>
          <cell r="H19" t="str">
            <v>品牌直发</v>
          </cell>
          <cell r="I19">
            <v>1738</v>
          </cell>
        </row>
        <row r="20">
          <cell r="D20" t="str">
            <v>112340164-271037</v>
          </cell>
          <cell r="E20" t="str">
            <v>伯希和/PELLIOT</v>
          </cell>
          <cell r="F20" t="str">
            <v>服装-外套-冲锋衣</v>
          </cell>
          <cell r="G20" t="str">
            <v>一品多商</v>
          </cell>
          <cell r="H20" t="str">
            <v>品牌直发</v>
          </cell>
          <cell r="I20">
            <v>3201</v>
          </cell>
        </row>
        <row r="21">
          <cell r="D21">
            <v>11421201</v>
          </cell>
          <cell r="E21" t="str">
            <v>伯希和/PELLIOT</v>
          </cell>
          <cell r="F21" t="str">
            <v>服装-外套-防晒服</v>
          </cell>
          <cell r="G21" t="str">
            <v>一品多商</v>
          </cell>
          <cell r="H21" t="str">
            <v>品牌直发</v>
          </cell>
          <cell r="I21">
            <v>1071</v>
          </cell>
        </row>
        <row r="22">
          <cell r="D22">
            <v>125215020</v>
          </cell>
          <cell r="E22" t="str">
            <v>伯希和/PELLIOT</v>
          </cell>
          <cell r="F22" t="str">
            <v>女装-上衣-Polo衫</v>
          </cell>
          <cell r="G22" t="str">
            <v>一品多商</v>
          </cell>
          <cell r="H22" t="str">
            <v>品牌直发</v>
          </cell>
          <cell r="I22">
            <v>865</v>
          </cell>
        </row>
        <row r="23">
          <cell r="D23">
            <v>115215045</v>
          </cell>
          <cell r="E23" t="str">
            <v>伯希和/PELLIOT</v>
          </cell>
          <cell r="F23" t="str">
            <v>服装-上衣-T恤</v>
          </cell>
          <cell r="G23" t="str">
            <v>一品一商</v>
          </cell>
          <cell r="H23" t="str">
            <v>品牌直发</v>
          </cell>
          <cell r="I23">
            <v>559</v>
          </cell>
        </row>
        <row r="24">
          <cell r="D24">
            <v>125214022</v>
          </cell>
          <cell r="E24" t="str">
            <v>伯希和/PELLIOT</v>
          </cell>
          <cell r="F24" t="str">
            <v>女装-户外运动服-速干裤</v>
          </cell>
          <cell r="G24" t="str">
            <v>一品一商</v>
          </cell>
          <cell r="H24" t="str">
            <v>品牌直发</v>
          </cell>
          <cell r="I24">
            <v>1148</v>
          </cell>
        </row>
        <row r="25">
          <cell r="D25">
            <v>16202612</v>
          </cell>
          <cell r="E25" t="str">
            <v>伯希和/PELLIOT</v>
          </cell>
          <cell r="F25" t="str">
            <v>箱包-包袋-户外包</v>
          </cell>
          <cell r="G25" t="str">
            <v>一品一商</v>
          </cell>
          <cell r="H25" t="str">
            <v>品牌直发</v>
          </cell>
          <cell r="I25">
            <v>158</v>
          </cell>
        </row>
        <row r="26">
          <cell r="D26">
            <v>12421254</v>
          </cell>
          <cell r="E26" t="str">
            <v>伯希和/PELLIOT</v>
          </cell>
          <cell r="F26" t="str">
            <v>女装-外套-防晒服</v>
          </cell>
          <cell r="G26" t="str">
            <v>一品多商</v>
          </cell>
          <cell r="H26" t="str">
            <v>品牌直发</v>
          </cell>
          <cell r="I26">
            <v>862</v>
          </cell>
        </row>
        <row r="27">
          <cell r="D27">
            <v>11340105</v>
          </cell>
          <cell r="E27" t="str">
            <v>伯希和/PELLIOT</v>
          </cell>
          <cell r="F27" t="str">
            <v>服装-外套-冲锋衣</v>
          </cell>
          <cell r="G27" t="str">
            <v>一品多商</v>
          </cell>
          <cell r="H27" t="str">
            <v>品牌直发</v>
          </cell>
          <cell r="I27">
            <v>1830</v>
          </cell>
        </row>
        <row r="28">
          <cell r="D28">
            <v>16403404</v>
          </cell>
          <cell r="E28" t="str">
            <v>伯希和/PELLIOT</v>
          </cell>
          <cell r="F28" t="str">
            <v>流行饰品/眼镜/服配-帽子-鸭舌帽</v>
          </cell>
          <cell r="G28" t="str">
            <v>一品一商</v>
          </cell>
          <cell r="H28" t="str">
            <v>品牌直发</v>
          </cell>
          <cell r="I28">
            <v>195</v>
          </cell>
        </row>
        <row r="29">
          <cell r="D29">
            <v>124301006</v>
          </cell>
          <cell r="E29" t="str">
            <v>伯希和/PELLIOT</v>
          </cell>
          <cell r="F29" t="str">
            <v>服装-外套-冲锋衣</v>
          </cell>
          <cell r="G29" t="str">
            <v>一品多商</v>
          </cell>
          <cell r="H29" t="str">
            <v>品牌直发</v>
          </cell>
          <cell r="I29">
            <v>3062</v>
          </cell>
        </row>
        <row r="30">
          <cell r="D30">
            <v>12421250</v>
          </cell>
          <cell r="E30" t="str">
            <v>伯希和/PELLIOT</v>
          </cell>
          <cell r="F30" t="str">
            <v>女装-外套-防晒服</v>
          </cell>
          <cell r="G30" t="str">
            <v>一品多商</v>
          </cell>
          <cell r="H30" t="str">
            <v>品牌直发</v>
          </cell>
          <cell r="I30">
            <v>619</v>
          </cell>
        </row>
        <row r="31">
          <cell r="D31">
            <v>12421534</v>
          </cell>
          <cell r="E31" t="str">
            <v>伯希和/PELLIOT</v>
          </cell>
          <cell r="F31" t="str">
            <v>女装-上衣-Polo衫</v>
          </cell>
          <cell r="G31" t="str">
            <v>一品多商</v>
          </cell>
          <cell r="H31" t="str">
            <v>品牌直发</v>
          </cell>
          <cell r="I31">
            <v>705</v>
          </cell>
        </row>
        <row r="32">
          <cell r="D32">
            <v>11421425</v>
          </cell>
          <cell r="E32" t="str">
            <v>伯希和/PELLIOT</v>
          </cell>
          <cell r="F32" t="str">
            <v>服装-长裤-针织运动裤</v>
          </cell>
          <cell r="G32" t="str">
            <v>一品多商</v>
          </cell>
          <cell r="H32" t="str">
            <v>品牌直发</v>
          </cell>
          <cell r="I32">
            <v>445</v>
          </cell>
        </row>
        <row r="33">
          <cell r="D33" t="str">
            <v>16403644-2025</v>
          </cell>
          <cell r="E33" t="str">
            <v>伯希和/PELLIOT</v>
          </cell>
          <cell r="F33" t="str">
            <v>户外装备-徒步/攀登-登山杖/手杖</v>
          </cell>
          <cell r="G33" t="str">
            <v>一品一商</v>
          </cell>
          <cell r="H33" t="str">
            <v>品牌直发</v>
          </cell>
          <cell r="I33">
            <v>678</v>
          </cell>
        </row>
        <row r="34">
          <cell r="D34" t="str">
            <v>115301054-新加色</v>
          </cell>
          <cell r="E34" t="str">
            <v>伯希和/PELLIOT</v>
          </cell>
          <cell r="F34" t="str">
            <v>服装-外套-冲锋衣</v>
          </cell>
          <cell r="G34" t="str">
            <v>一品多商</v>
          </cell>
          <cell r="H34" t="str">
            <v>品牌直发</v>
          </cell>
          <cell r="I34">
            <v>1643</v>
          </cell>
        </row>
        <row r="35">
          <cell r="D35">
            <v>105301056</v>
          </cell>
          <cell r="E35" t="str">
            <v>伯希和/PELLIOT</v>
          </cell>
          <cell r="F35" t="str">
            <v>服装-外套-冲锋衣</v>
          </cell>
          <cell r="G35" t="str">
            <v>一品多商</v>
          </cell>
          <cell r="H35" t="str">
            <v>品牌直发</v>
          </cell>
          <cell r="I35">
            <v>2924</v>
          </cell>
        </row>
        <row r="36">
          <cell r="D36">
            <v>115181001</v>
          </cell>
          <cell r="E36" t="str">
            <v>伯希和/PELLIOT</v>
          </cell>
          <cell r="F36" t="str">
            <v>鞋-运动鞋-登山鞋/徒步鞋</v>
          </cell>
          <cell r="G36" t="str">
            <v>一品多商</v>
          </cell>
          <cell r="H36" t="str">
            <v>品牌直发</v>
          </cell>
          <cell r="I36">
            <v>1579</v>
          </cell>
        </row>
        <row r="37">
          <cell r="D37">
            <v>115214005</v>
          </cell>
          <cell r="E37" t="str">
            <v>伯希和/PELLIOT</v>
          </cell>
          <cell r="F37" t="str">
            <v>服装-户外运动服-速干裤</v>
          </cell>
          <cell r="G37" t="str">
            <v>一品多商</v>
          </cell>
          <cell r="H37" t="str">
            <v>品牌直发</v>
          </cell>
          <cell r="I37">
            <v>672</v>
          </cell>
        </row>
        <row r="38">
          <cell r="D38">
            <v>115215001</v>
          </cell>
          <cell r="E38" t="str">
            <v>伯希和/PELLIOT</v>
          </cell>
          <cell r="F38" t="str">
            <v>服装-上衣-T恤</v>
          </cell>
          <cell r="G38" t="str">
            <v>一品多商</v>
          </cell>
          <cell r="H38" t="str">
            <v>品牌直发</v>
          </cell>
          <cell r="I38">
            <v>577</v>
          </cell>
        </row>
        <row r="39">
          <cell r="D39">
            <v>124301070</v>
          </cell>
          <cell r="E39" t="str">
            <v>伯希和/PELLIOT</v>
          </cell>
          <cell r="F39" t="str">
            <v>服装-外套-冲锋衣</v>
          </cell>
          <cell r="G39" t="str">
            <v>一品多商</v>
          </cell>
          <cell r="H39" t="str">
            <v>品牌直发</v>
          </cell>
          <cell r="I39">
            <v>1975</v>
          </cell>
        </row>
        <row r="40">
          <cell r="D40" t="str">
            <v>PE1124101048</v>
          </cell>
          <cell r="E40" t="str">
            <v>伯希和/PELLIOT</v>
          </cell>
          <cell r="F40" t="str">
            <v>服装-外套-冲锋衣</v>
          </cell>
          <cell r="G40" t="str">
            <v>一品多商</v>
          </cell>
          <cell r="H40" t="str">
            <v>品牌直发</v>
          </cell>
          <cell r="I40">
            <v>1944</v>
          </cell>
        </row>
        <row r="41">
          <cell r="D41">
            <v>116423401</v>
          </cell>
          <cell r="E41" t="str">
            <v>伯希和/PELLIOT</v>
          </cell>
          <cell r="F41" t="str">
            <v>流行饰品/眼镜/服配-帽子-渔夫帽</v>
          </cell>
          <cell r="G41" t="str">
            <v>一品一商</v>
          </cell>
          <cell r="H41" t="str">
            <v>品牌直发</v>
          </cell>
          <cell r="I41">
            <v>154</v>
          </cell>
        </row>
        <row r="42">
          <cell r="D42">
            <v>12340106</v>
          </cell>
          <cell r="E42" t="str">
            <v>伯希和/PELLIOT</v>
          </cell>
          <cell r="F42" t="str">
            <v>女装-外套-冲锋衣</v>
          </cell>
          <cell r="G42" t="str">
            <v>一品多商</v>
          </cell>
          <cell r="H42" t="str">
            <v>品牌直发</v>
          </cell>
          <cell r="I42">
            <v>932</v>
          </cell>
        </row>
        <row r="43">
          <cell r="D43">
            <v>12221514</v>
          </cell>
          <cell r="E43" t="str">
            <v>伯希和/PELLIOT</v>
          </cell>
          <cell r="F43" t="str">
            <v>女装-上衣-Polo衫</v>
          </cell>
          <cell r="G43" t="str">
            <v>一品一商</v>
          </cell>
          <cell r="H43" t="str">
            <v>品牌直发</v>
          </cell>
          <cell r="I43">
            <v>235</v>
          </cell>
        </row>
        <row r="44">
          <cell r="D44">
            <v>12321218</v>
          </cell>
          <cell r="E44" t="str">
            <v>伯希和/PELLIOT</v>
          </cell>
          <cell r="F44" t="str">
            <v>女装-外套-防晒服</v>
          </cell>
          <cell r="G44" t="str">
            <v>一品多商</v>
          </cell>
          <cell r="H44" t="str">
            <v>品牌直发</v>
          </cell>
          <cell r="I44">
            <v>248</v>
          </cell>
        </row>
        <row r="45">
          <cell r="D45">
            <v>115110021</v>
          </cell>
          <cell r="E45" t="str">
            <v>伯希和/PELLIOT</v>
          </cell>
          <cell r="F45" t="str">
            <v>服装-户外运动服-抓绒衣</v>
          </cell>
          <cell r="G45" t="str">
            <v>一品多商</v>
          </cell>
          <cell r="H45" t="str">
            <v>品牌直发</v>
          </cell>
          <cell r="I45">
            <v>407</v>
          </cell>
        </row>
        <row r="46">
          <cell r="D46">
            <v>12040106</v>
          </cell>
          <cell r="E46" t="str">
            <v>伯希和/PELLIOT</v>
          </cell>
          <cell r="F46" t="str">
            <v>女装-外套-冲锋衣</v>
          </cell>
          <cell r="G46" t="str">
            <v>一品多商</v>
          </cell>
          <cell r="H46" t="str">
            <v>品牌直发</v>
          </cell>
          <cell r="I46">
            <v>1052</v>
          </cell>
        </row>
        <row r="47">
          <cell r="D47">
            <v>115316032</v>
          </cell>
          <cell r="E47" t="str">
            <v>伯希和/PELLIOT</v>
          </cell>
          <cell r="F47" t="str">
            <v>服装-上衣-T恤</v>
          </cell>
          <cell r="G47" t="str">
            <v>一品多商</v>
          </cell>
          <cell r="H47" t="str">
            <v>品牌直发</v>
          </cell>
          <cell r="I47">
            <v>568</v>
          </cell>
        </row>
        <row r="48">
          <cell r="D48">
            <v>165041001</v>
          </cell>
          <cell r="E48" t="str">
            <v>伯希和/PELLIOT</v>
          </cell>
          <cell r="F48" t="str">
            <v>流行饰品/眼镜/服配-防晒服配-防晒脖套</v>
          </cell>
          <cell r="G48" t="str">
            <v>一品一商</v>
          </cell>
          <cell r="H48" t="str">
            <v>品牌直发</v>
          </cell>
          <cell r="I48">
            <v>57</v>
          </cell>
        </row>
        <row r="49">
          <cell r="D49" t="str">
            <v>12421220-新加色</v>
          </cell>
          <cell r="E49" t="str">
            <v>伯希和/PELLIOT</v>
          </cell>
          <cell r="F49" t="str">
            <v>服装-外套-防晒服</v>
          </cell>
          <cell r="G49" t="str">
            <v>一品多商</v>
          </cell>
          <cell r="H49" t="str">
            <v>品牌直发</v>
          </cell>
          <cell r="I49">
            <v>514</v>
          </cell>
        </row>
        <row r="50">
          <cell r="D50">
            <v>115107003</v>
          </cell>
          <cell r="E50" t="str">
            <v>伯希和/PELLIOT</v>
          </cell>
          <cell r="F50" t="str">
            <v>服装-长裤-软壳裤</v>
          </cell>
          <cell r="G50" t="str">
            <v>一品多商</v>
          </cell>
          <cell r="H50" t="str">
            <v>品牌直发</v>
          </cell>
          <cell r="I50">
            <v>972.77</v>
          </cell>
        </row>
        <row r="51">
          <cell r="D51">
            <v>125119036</v>
          </cell>
          <cell r="E51" t="str">
            <v>伯希和/PELLIOT</v>
          </cell>
          <cell r="F51" t="str">
            <v>鞋-运动鞋-登山鞋/徒步鞋</v>
          </cell>
          <cell r="G51" t="str">
            <v>一品多商</v>
          </cell>
          <cell r="H51" t="str">
            <v>品牌直发</v>
          </cell>
          <cell r="I51">
            <v>963</v>
          </cell>
        </row>
        <row r="52">
          <cell r="D52" t="str">
            <v>12340164-2025</v>
          </cell>
          <cell r="E52" t="str">
            <v>伯希和/PELLIOT</v>
          </cell>
          <cell r="F52" t="str">
            <v>服装-外套-冲锋衣</v>
          </cell>
          <cell r="G52" t="str">
            <v>一品多商</v>
          </cell>
          <cell r="H52" t="str">
            <v>品牌直发</v>
          </cell>
          <cell r="I52">
            <v>1362</v>
          </cell>
        </row>
        <row r="53">
          <cell r="D53">
            <v>114401041</v>
          </cell>
          <cell r="E53" t="str">
            <v>伯希和/PELLIOT</v>
          </cell>
          <cell r="F53" t="str">
            <v>服装-外套-冲锋衣</v>
          </cell>
          <cell r="G53" t="str">
            <v>一品多商</v>
          </cell>
          <cell r="H53" t="str">
            <v>品牌直发</v>
          </cell>
          <cell r="I53">
            <v>1830</v>
          </cell>
        </row>
        <row r="54">
          <cell r="D54" t="str">
            <v>PE124314376</v>
          </cell>
          <cell r="E54" t="str">
            <v>伯希和/PELLIOT</v>
          </cell>
          <cell r="F54" t="str">
            <v>服装-户外运动服-速干裤</v>
          </cell>
          <cell r="G54" t="str">
            <v>一品多商</v>
          </cell>
          <cell r="H54" t="str">
            <v>品牌直发</v>
          </cell>
          <cell r="I54">
            <v>673</v>
          </cell>
        </row>
        <row r="55">
          <cell r="D55">
            <v>16402511</v>
          </cell>
          <cell r="E55" t="str">
            <v>伯希和/PELLIOT</v>
          </cell>
          <cell r="F55" t="str">
            <v>箱包-包袋-户外包</v>
          </cell>
          <cell r="G55" t="str">
            <v>一品多商</v>
          </cell>
          <cell r="H55" t="str">
            <v>品牌直发</v>
          </cell>
          <cell r="I55">
            <v>484</v>
          </cell>
        </row>
        <row r="56">
          <cell r="D56">
            <v>114319003</v>
          </cell>
          <cell r="E56" t="str">
            <v>伯希和/PELLIOT</v>
          </cell>
          <cell r="F56" t="str">
            <v>鞋-运动鞋-登山鞋/徒步鞋</v>
          </cell>
          <cell r="G56" t="str">
            <v>一品多商</v>
          </cell>
          <cell r="H56" t="str">
            <v>品牌直发</v>
          </cell>
          <cell r="I56">
            <v>699</v>
          </cell>
        </row>
        <row r="57">
          <cell r="D57">
            <v>12421508</v>
          </cell>
          <cell r="E57" t="str">
            <v>伯希和/PELLIOT</v>
          </cell>
          <cell r="F57" t="str">
            <v>女装-上衣-Polo衫</v>
          </cell>
          <cell r="G57" t="str">
            <v>一品多商</v>
          </cell>
          <cell r="H57" t="str">
            <v>品牌直发</v>
          </cell>
          <cell r="I57">
            <v>143</v>
          </cell>
        </row>
        <row r="58">
          <cell r="D58">
            <v>12421228</v>
          </cell>
          <cell r="E58" t="str">
            <v>伯希和/PELLIOT</v>
          </cell>
          <cell r="F58" t="str">
            <v>女装-外套-防晒服</v>
          </cell>
          <cell r="G58" t="str">
            <v>一品多商</v>
          </cell>
          <cell r="H58" t="str">
            <v>品牌直发</v>
          </cell>
          <cell r="I58">
            <v>164</v>
          </cell>
        </row>
        <row r="59">
          <cell r="D59">
            <v>12425112</v>
          </cell>
          <cell r="E59" t="str">
            <v>伯希和/PELLIOT</v>
          </cell>
          <cell r="F59" t="str">
            <v>女装-外套-防晒服</v>
          </cell>
          <cell r="G59" t="str">
            <v>一品多商</v>
          </cell>
          <cell r="H59" t="str">
            <v>品牌直发</v>
          </cell>
          <cell r="I59">
            <v>239</v>
          </cell>
        </row>
        <row r="60">
          <cell r="D60" t="str">
            <v>12340164-新加色</v>
          </cell>
          <cell r="E60" t="str">
            <v>伯希和/PELLIOT</v>
          </cell>
          <cell r="F60" t="str">
            <v>服装-外套-冲锋衣</v>
          </cell>
          <cell r="G60" t="str">
            <v>一品多商</v>
          </cell>
          <cell r="H60" t="str">
            <v>品牌直发</v>
          </cell>
          <cell r="I60">
            <v>667</v>
          </cell>
        </row>
        <row r="61">
          <cell r="D61">
            <v>11331801</v>
          </cell>
          <cell r="E61" t="str">
            <v>伯希和/PELLIOT</v>
          </cell>
          <cell r="F61" t="str">
            <v>内衣-内衣裤-保暖套装</v>
          </cell>
          <cell r="G61" t="str">
            <v>一品多商</v>
          </cell>
          <cell r="H61" t="str">
            <v>品牌直发</v>
          </cell>
          <cell r="I61">
            <v>250.52</v>
          </cell>
        </row>
        <row r="62">
          <cell r="D62">
            <v>11410201</v>
          </cell>
          <cell r="E62" t="str">
            <v>伯希和/PELLIOT</v>
          </cell>
          <cell r="F62" t="str">
            <v>服装-长裤-冲锋裤</v>
          </cell>
          <cell r="G62" t="str">
            <v>一品多商</v>
          </cell>
          <cell r="H62" t="str">
            <v>品牌直发</v>
          </cell>
          <cell r="I62">
            <v>457</v>
          </cell>
        </row>
        <row r="63">
          <cell r="D63">
            <v>112321426</v>
          </cell>
          <cell r="E63" t="str">
            <v>伯希和/PELLIOT</v>
          </cell>
          <cell r="F63" t="str">
            <v>女装-长裙-休闲长裙</v>
          </cell>
          <cell r="G63" t="str">
            <v>一品一商</v>
          </cell>
          <cell r="H63" t="str">
            <v>品牌直发</v>
          </cell>
          <cell r="I63">
            <v>297</v>
          </cell>
        </row>
        <row r="64">
          <cell r="D64">
            <v>11121411</v>
          </cell>
          <cell r="E64" t="str">
            <v>伯希和/PELLIOT</v>
          </cell>
          <cell r="F64" t="str">
            <v>服装-户外运动服-速干裤</v>
          </cell>
          <cell r="G64" t="str">
            <v>一品多商</v>
          </cell>
          <cell r="H64" t="str">
            <v>品牌直发</v>
          </cell>
          <cell r="I64">
            <v>176</v>
          </cell>
        </row>
        <row r="65">
          <cell r="D65">
            <v>12221536</v>
          </cell>
          <cell r="E65" t="str">
            <v>伯希和/PELLIOT</v>
          </cell>
          <cell r="F65" t="str">
            <v>女装-户外运动服-速干T恤</v>
          </cell>
          <cell r="G65" t="str">
            <v>一品一商</v>
          </cell>
          <cell r="H65" t="str">
            <v>品牌直发</v>
          </cell>
          <cell r="I65">
            <v>84</v>
          </cell>
        </row>
        <row r="66">
          <cell r="D66">
            <v>12321414</v>
          </cell>
          <cell r="E66" t="str">
            <v>伯希和/PELLIOT</v>
          </cell>
          <cell r="F66" t="str">
            <v>女装-户外运动服-速干裤</v>
          </cell>
          <cell r="G66" t="str">
            <v>一品一商</v>
          </cell>
          <cell r="H66" t="str">
            <v>品牌直发</v>
          </cell>
          <cell r="I66">
            <v>124</v>
          </cell>
        </row>
        <row r="67">
          <cell r="D67">
            <v>12321224</v>
          </cell>
          <cell r="E67" t="str">
            <v>伯希和/PELLIOT</v>
          </cell>
          <cell r="F67" t="str">
            <v>服装-外套-防晒服</v>
          </cell>
          <cell r="G67" t="str">
            <v>一品一商</v>
          </cell>
          <cell r="H67" t="str">
            <v>品牌直发</v>
          </cell>
          <cell r="I67">
            <v>419</v>
          </cell>
        </row>
        <row r="68">
          <cell r="D68">
            <v>12230602</v>
          </cell>
          <cell r="E68" t="str">
            <v>伯希和/PELLIOT</v>
          </cell>
          <cell r="F68" t="str">
            <v>女装-外套-软壳衣</v>
          </cell>
          <cell r="G68" t="str">
            <v>一品多商</v>
          </cell>
          <cell r="H68" t="str">
            <v>品牌直发</v>
          </cell>
          <cell r="I68">
            <v>336</v>
          </cell>
        </row>
        <row r="69">
          <cell r="D69">
            <v>112240128</v>
          </cell>
          <cell r="E69" t="str">
            <v>伯希和/PELLIOT</v>
          </cell>
          <cell r="F69" t="str">
            <v>服装-外套-冲锋衣</v>
          </cell>
          <cell r="G69" t="str">
            <v>一品多商</v>
          </cell>
          <cell r="H69" t="str">
            <v>品牌直发</v>
          </cell>
          <cell r="I69">
            <v>977</v>
          </cell>
        </row>
        <row r="70">
          <cell r="D70">
            <v>125110022</v>
          </cell>
          <cell r="E70" t="str">
            <v>伯希和/PELLIOT</v>
          </cell>
          <cell r="F70" t="str">
            <v>女装-户外运动服-抓绒衣</v>
          </cell>
          <cell r="G70" t="str">
            <v>一品多商</v>
          </cell>
          <cell r="H70" t="str">
            <v>品牌直发</v>
          </cell>
          <cell r="I70">
            <v>221</v>
          </cell>
        </row>
        <row r="71">
          <cell r="D71">
            <v>12121262</v>
          </cell>
          <cell r="E71" t="str">
            <v>伯希和/PELLIOT</v>
          </cell>
          <cell r="F71" t="str">
            <v>女装-外套-防晒服</v>
          </cell>
          <cell r="G71" t="str">
            <v>一品多商</v>
          </cell>
          <cell r="H71" t="str">
            <v>品牌直发</v>
          </cell>
          <cell r="I71">
            <v>159</v>
          </cell>
        </row>
        <row r="72">
          <cell r="D72">
            <v>112121202</v>
          </cell>
          <cell r="E72" t="str">
            <v>伯希和/PELLIOT</v>
          </cell>
          <cell r="F72" t="str">
            <v>女装-外套-防晒服</v>
          </cell>
          <cell r="G72" t="str">
            <v>一品一商</v>
          </cell>
          <cell r="H72" t="str">
            <v>品牌直发</v>
          </cell>
          <cell r="I72">
            <v>116</v>
          </cell>
        </row>
        <row r="73">
          <cell r="D73" t="str">
            <v>16302602-2025</v>
          </cell>
          <cell r="E73" t="str">
            <v>伯希和/PELLIOT</v>
          </cell>
          <cell r="F73" t="str">
            <v>箱包-包袋-手机包</v>
          </cell>
          <cell r="G73" t="str">
            <v>一品一商</v>
          </cell>
          <cell r="H73" t="str">
            <v>品牌直发</v>
          </cell>
          <cell r="I73">
            <v>34</v>
          </cell>
        </row>
        <row r="74">
          <cell r="D74" t="str">
            <v>PE12340164</v>
          </cell>
          <cell r="E74" t="str">
            <v>伯希和/PELLIOT</v>
          </cell>
          <cell r="F74" t="str">
            <v>女装-外套-冲锋衣</v>
          </cell>
          <cell r="G74" t="str">
            <v>一品多商</v>
          </cell>
          <cell r="H74" t="str">
            <v>品牌直发</v>
          </cell>
          <cell r="I74">
            <v>671</v>
          </cell>
        </row>
        <row r="75">
          <cell r="D75">
            <v>125306018</v>
          </cell>
          <cell r="E75" t="str">
            <v>伯希和/PELLIOT</v>
          </cell>
          <cell r="F75" t="str">
            <v>女装-外套-软壳衣</v>
          </cell>
          <cell r="G75" t="str">
            <v>一品多商</v>
          </cell>
          <cell r="H75" t="str">
            <v>品牌直发</v>
          </cell>
          <cell r="I75">
            <v>361</v>
          </cell>
        </row>
        <row r="76">
          <cell r="D76">
            <v>115302003</v>
          </cell>
          <cell r="E76" t="str">
            <v>伯希和/PELLIOT</v>
          </cell>
          <cell r="F76" t="str">
            <v>服装-长裤-冲锋裤</v>
          </cell>
          <cell r="G76" t="str">
            <v>一品多商</v>
          </cell>
          <cell r="H76" t="str">
            <v>品牌直发</v>
          </cell>
          <cell r="I76">
            <v>672</v>
          </cell>
        </row>
        <row r="77">
          <cell r="D77">
            <v>115302007</v>
          </cell>
          <cell r="E77" t="str">
            <v>伯希和/PELLIOT</v>
          </cell>
          <cell r="F77" t="str">
            <v>服装-长裤-冲锋裤</v>
          </cell>
          <cell r="G77" t="str">
            <v>一品多商</v>
          </cell>
          <cell r="H77" t="str">
            <v>品牌直发</v>
          </cell>
          <cell r="I77">
            <v>572</v>
          </cell>
        </row>
        <row r="78">
          <cell r="D78" t="str">
            <v>11040105-新加色</v>
          </cell>
          <cell r="E78" t="str">
            <v>伯希和/PELLIOT</v>
          </cell>
          <cell r="F78" t="str">
            <v>服装-外套-冲锋衣</v>
          </cell>
          <cell r="G78" t="str">
            <v>一品一商</v>
          </cell>
          <cell r="H78" t="str">
            <v>品牌直发</v>
          </cell>
          <cell r="I78">
            <v>536</v>
          </cell>
        </row>
        <row r="79">
          <cell r="D79">
            <v>115220001</v>
          </cell>
          <cell r="E79" t="str">
            <v>伯希和/PELLIOT</v>
          </cell>
          <cell r="F79" t="str">
            <v>鞋-凉鞋/拖鞋-溯溪鞋</v>
          </cell>
          <cell r="G79" t="str">
            <v>一品多商</v>
          </cell>
          <cell r="H79" t="str">
            <v>品牌直发</v>
          </cell>
          <cell r="I79">
            <v>478</v>
          </cell>
        </row>
        <row r="80">
          <cell r="D80">
            <v>1124301070</v>
          </cell>
          <cell r="E80" t="str">
            <v>伯希和/PELLIOT</v>
          </cell>
          <cell r="F80" t="str">
            <v>服装-外套-冲锋衣</v>
          </cell>
          <cell r="G80" t="str">
            <v>一品多商</v>
          </cell>
          <cell r="H80" t="str">
            <v>品牌直发</v>
          </cell>
          <cell r="I80">
            <v>885</v>
          </cell>
        </row>
        <row r="81">
          <cell r="D81">
            <v>115214007</v>
          </cell>
          <cell r="E81" t="str">
            <v>伯希和/PELLIOT</v>
          </cell>
          <cell r="F81" t="str">
            <v>服装-短裤-休闲短裤</v>
          </cell>
          <cell r="G81" t="str">
            <v>一品一商</v>
          </cell>
          <cell r="H81" t="str">
            <v>品牌直发</v>
          </cell>
          <cell r="I81">
            <v>337</v>
          </cell>
        </row>
        <row r="82">
          <cell r="D82">
            <v>125181002</v>
          </cell>
          <cell r="E82" t="str">
            <v>伯希和/PELLIOT</v>
          </cell>
          <cell r="F82" t="str">
            <v>鞋-运动鞋-登山鞋/徒步鞋</v>
          </cell>
          <cell r="G82" t="str">
            <v>一品多商</v>
          </cell>
          <cell r="H82" t="str">
            <v>品牌直发</v>
          </cell>
          <cell r="I82">
            <v>532</v>
          </cell>
        </row>
        <row r="83">
          <cell r="D83">
            <v>135212023</v>
          </cell>
          <cell r="E83" t="str">
            <v>伯希和/PELLIOT</v>
          </cell>
          <cell r="F83" t="str">
            <v>童装-儿童上装-防晒衣</v>
          </cell>
          <cell r="G83" t="str">
            <v>一品多商</v>
          </cell>
          <cell r="H83" t="str">
            <v>品牌直发</v>
          </cell>
          <cell r="I83">
            <v>207</v>
          </cell>
        </row>
        <row r="84">
          <cell r="D84" t="str">
            <v>PE125215026</v>
          </cell>
          <cell r="E84" t="str">
            <v>伯希和/PELLIOT</v>
          </cell>
          <cell r="F84" t="str">
            <v>女装-户外运动服-速干T恤</v>
          </cell>
          <cell r="G84" t="str">
            <v>一品一商</v>
          </cell>
          <cell r="H84" t="str">
            <v>品牌直发</v>
          </cell>
          <cell r="I84">
            <v>272</v>
          </cell>
        </row>
        <row r="85">
          <cell r="D85">
            <v>135101022</v>
          </cell>
          <cell r="E85" t="str">
            <v>伯希和/PELLIOT</v>
          </cell>
          <cell r="F85" t="str">
            <v>童装-儿童上装-冲锋衣</v>
          </cell>
          <cell r="G85" t="str">
            <v>一品一商</v>
          </cell>
          <cell r="H85" t="str">
            <v>品牌直发</v>
          </cell>
          <cell r="I85">
            <v>342</v>
          </cell>
        </row>
        <row r="86">
          <cell r="D86">
            <v>115119035</v>
          </cell>
          <cell r="E86" t="str">
            <v>伯希和/PELLIOT</v>
          </cell>
          <cell r="F86" t="str">
            <v>鞋-运动鞋-登山鞋/徒步鞋</v>
          </cell>
          <cell r="G86" t="str">
            <v>一品多商</v>
          </cell>
          <cell r="H86" t="str">
            <v>品牌直发</v>
          </cell>
          <cell r="I86">
            <v>449</v>
          </cell>
        </row>
        <row r="87">
          <cell r="D87">
            <v>115101013</v>
          </cell>
          <cell r="E87" t="str">
            <v>伯希和/PELLIOT</v>
          </cell>
          <cell r="F87" t="str">
            <v>服装-外套-冲锋衣</v>
          </cell>
          <cell r="G87" t="str">
            <v>一品多商</v>
          </cell>
          <cell r="H87" t="str">
            <v>品牌直发</v>
          </cell>
          <cell r="I87">
            <v>572</v>
          </cell>
        </row>
        <row r="88">
          <cell r="D88">
            <v>105112021</v>
          </cell>
          <cell r="E88" t="str">
            <v>伯希和/PELLIOT</v>
          </cell>
          <cell r="F88" t="str">
            <v>服装-外套-防晒服</v>
          </cell>
          <cell r="G88" t="str">
            <v>一品多商</v>
          </cell>
          <cell r="H88" t="str">
            <v>品牌直发</v>
          </cell>
          <cell r="I88">
            <v>332</v>
          </cell>
        </row>
        <row r="89">
          <cell r="D89">
            <v>125212004</v>
          </cell>
          <cell r="E89" t="str">
            <v>伯希和/PELLIOT</v>
          </cell>
          <cell r="F89" t="str">
            <v>女装-外套-防晒服</v>
          </cell>
          <cell r="G89" t="str">
            <v>一品多商</v>
          </cell>
          <cell r="H89" t="str">
            <v>品牌直发</v>
          </cell>
          <cell r="I89">
            <v>241</v>
          </cell>
        </row>
        <row r="90">
          <cell r="D90">
            <v>105212020</v>
          </cell>
          <cell r="E90" t="str">
            <v>伯希和/PELLIOT</v>
          </cell>
          <cell r="F90" t="str">
            <v>服装-外套-防晒服</v>
          </cell>
          <cell r="G90" t="str">
            <v>一品多商</v>
          </cell>
          <cell r="H90" t="str">
            <v>品牌直发</v>
          </cell>
          <cell r="I90">
            <v>281</v>
          </cell>
        </row>
        <row r="91">
          <cell r="D91">
            <v>115301054</v>
          </cell>
          <cell r="E91" t="str">
            <v>伯希和/PELLIOT</v>
          </cell>
          <cell r="F91" t="str">
            <v>服装-外套-冲锋衣</v>
          </cell>
          <cell r="G91" t="str">
            <v>一品多商</v>
          </cell>
          <cell r="H91" t="str">
            <v>品牌直发</v>
          </cell>
          <cell r="I91">
            <v>551</v>
          </cell>
        </row>
        <row r="92">
          <cell r="D92">
            <v>115119025</v>
          </cell>
          <cell r="E92" t="str">
            <v>伯希和/PELLIOT</v>
          </cell>
          <cell r="F92" t="str">
            <v>鞋-运动鞋-越野跑鞋</v>
          </cell>
          <cell r="G92" t="str">
            <v>一品多商</v>
          </cell>
          <cell r="H92" t="str">
            <v>品牌直发</v>
          </cell>
          <cell r="I92">
            <v>352</v>
          </cell>
        </row>
        <row r="93">
          <cell r="D93" t="str">
            <v>124101048-新加色</v>
          </cell>
          <cell r="E93" t="str">
            <v>伯希和/PELLIOT</v>
          </cell>
          <cell r="F93" t="str">
            <v>服装-外套-冲锋衣</v>
          </cell>
          <cell r="G93" t="str">
            <v>一品多商</v>
          </cell>
          <cell r="H93" t="str">
            <v>品牌直发</v>
          </cell>
          <cell r="I93">
            <v>672</v>
          </cell>
        </row>
        <row r="94">
          <cell r="D94">
            <v>16423417</v>
          </cell>
          <cell r="E94" t="str">
            <v>伯希和/PELLIOT</v>
          </cell>
          <cell r="F94" t="str">
            <v>流行饰品/眼镜/服配-防晒服配-防晒帽</v>
          </cell>
          <cell r="G94" t="str">
            <v>一品一商</v>
          </cell>
          <cell r="H94" t="str">
            <v>品牌直发</v>
          </cell>
          <cell r="I94">
            <v>125</v>
          </cell>
        </row>
        <row r="95">
          <cell r="D95">
            <v>16223101</v>
          </cell>
          <cell r="E95" t="str">
            <v>伯希和/PELLIOT</v>
          </cell>
          <cell r="F95" t="str">
            <v>流行饰品/眼镜/服配-防晒服配-防晒手套</v>
          </cell>
          <cell r="G95" t="str">
            <v>一品一商</v>
          </cell>
          <cell r="H95" t="str">
            <v>品牌直发</v>
          </cell>
          <cell r="I95">
            <v>44</v>
          </cell>
        </row>
        <row r="96">
          <cell r="D96">
            <v>114408277</v>
          </cell>
          <cell r="E96" t="str">
            <v>伯希和/PELLIOT</v>
          </cell>
          <cell r="F96" t="str">
            <v>服装-外套-羽绒服</v>
          </cell>
          <cell r="G96" t="str">
            <v>一品多商</v>
          </cell>
          <cell r="H96" t="str">
            <v>品牌直发</v>
          </cell>
          <cell r="I96">
            <v>1776</v>
          </cell>
        </row>
        <row r="97">
          <cell r="D97" t="str">
            <v>124419010经典黑</v>
          </cell>
          <cell r="E97" t="str">
            <v>伯希和/PELLIOT</v>
          </cell>
          <cell r="F97" t="str">
            <v>鞋-运动鞋-登山鞋/徒步鞋</v>
          </cell>
          <cell r="G97" t="str">
            <v>一品一商</v>
          </cell>
          <cell r="H97" t="str">
            <v>品牌直发</v>
          </cell>
          <cell r="I97">
            <v>790</v>
          </cell>
        </row>
        <row r="98">
          <cell r="D98">
            <v>124419008</v>
          </cell>
          <cell r="E98" t="str">
            <v>伯希和/PELLIOT</v>
          </cell>
          <cell r="F98" t="str">
            <v>鞋-运动鞋-登山鞋/徒步鞋</v>
          </cell>
          <cell r="G98" t="str">
            <v>一品一商</v>
          </cell>
          <cell r="H98" t="str">
            <v>品牌直发</v>
          </cell>
          <cell r="I98">
            <v>432</v>
          </cell>
        </row>
        <row r="99">
          <cell r="D99">
            <v>114310201</v>
          </cell>
          <cell r="E99" t="str">
            <v>伯希和/PELLIOT</v>
          </cell>
          <cell r="F99" t="str">
            <v>服装-户外运动服-抓绒衣</v>
          </cell>
          <cell r="G99" t="str">
            <v>一品多商</v>
          </cell>
          <cell r="H99" t="str">
            <v>品牌直发</v>
          </cell>
          <cell r="I99">
            <v>272</v>
          </cell>
        </row>
        <row r="100">
          <cell r="D100">
            <v>116202507</v>
          </cell>
          <cell r="E100" t="str">
            <v>伯希和/PELLIOT</v>
          </cell>
          <cell r="F100" t="str">
            <v>箱包-包袋-户外包</v>
          </cell>
          <cell r="G100" t="str">
            <v>一品多商</v>
          </cell>
          <cell r="H100" t="str">
            <v>品牌直发</v>
          </cell>
          <cell r="I100">
            <v>308</v>
          </cell>
        </row>
        <row r="101">
          <cell r="D101">
            <v>124306148</v>
          </cell>
          <cell r="E101" t="str">
            <v>伯希和/PELLIOT</v>
          </cell>
          <cell r="F101" t="str">
            <v>女装-外套-软壳衣</v>
          </cell>
          <cell r="G101" t="str">
            <v>一品多商</v>
          </cell>
          <cell r="H101" t="str">
            <v>品牌直发</v>
          </cell>
          <cell r="I101">
            <v>467</v>
          </cell>
        </row>
        <row r="102">
          <cell r="D102" t="str">
            <v>PE114310183</v>
          </cell>
          <cell r="E102" t="str">
            <v>伯希和/PELLIOT</v>
          </cell>
          <cell r="F102" t="str">
            <v>服装-户外运动服-抓绒衣</v>
          </cell>
          <cell r="G102" t="str">
            <v>一品一商</v>
          </cell>
          <cell r="H102" t="str">
            <v>品牌直发</v>
          </cell>
          <cell r="I102">
            <v>272</v>
          </cell>
        </row>
        <row r="103">
          <cell r="D103" t="str">
            <v>11340105-新加色</v>
          </cell>
          <cell r="E103" t="str">
            <v>伯希和/PELLIOT</v>
          </cell>
          <cell r="F103" t="str">
            <v>服装-外套-冲锋衣</v>
          </cell>
          <cell r="G103" t="str">
            <v>一品多商</v>
          </cell>
          <cell r="H103" t="str">
            <v>品牌直发</v>
          </cell>
          <cell r="I103">
            <v>457</v>
          </cell>
        </row>
        <row r="104">
          <cell r="D104">
            <v>164334405</v>
          </cell>
          <cell r="E104" t="str">
            <v>伯希和/PELLIOT</v>
          </cell>
          <cell r="F104" t="str">
            <v>流行饰品/眼镜/服配-帽子-绒线帽</v>
          </cell>
          <cell r="G104" t="str">
            <v>一品一商</v>
          </cell>
          <cell r="H104" t="str">
            <v>品牌直发</v>
          </cell>
          <cell r="I104">
            <v>87</v>
          </cell>
        </row>
        <row r="105">
          <cell r="D105">
            <v>16402506</v>
          </cell>
          <cell r="E105" t="str">
            <v>伯希和/PELLIOT</v>
          </cell>
          <cell r="F105" t="str">
            <v>箱包-包袋-户外包</v>
          </cell>
          <cell r="G105" t="str">
            <v>一品多商</v>
          </cell>
          <cell r="H105" t="str">
            <v>品牌直发</v>
          </cell>
          <cell r="I105">
            <v>165</v>
          </cell>
        </row>
        <row r="106">
          <cell r="D106">
            <v>124301034</v>
          </cell>
          <cell r="E106" t="str">
            <v>伯希和/PELLIOT</v>
          </cell>
          <cell r="F106" t="str">
            <v>女装-外套-冲锋衣</v>
          </cell>
          <cell r="G106" t="str">
            <v>一品一商</v>
          </cell>
          <cell r="H106" t="str">
            <v>品牌直发</v>
          </cell>
          <cell r="I106">
            <v>572</v>
          </cell>
        </row>
        <row r="107">
          <cell r="D107">
            <v>114301029</v>
          </cell>
          <cell r="E107" t="str">
            <v>伯希和/PELLIOT</v>
          </cell>
          <cell r="F107" t="str">
            <v>服装-外套-冲锋衣</v>
          </cell>
          <cell r="G107" t="str">
            <v>一品多商</v>
          </cell>
          <cell r="H107" t="str">
            <v>品牌直发</v>
          </cell>
          <cell r="I107">
            <v>549</v>
          </cell>
        </row>
        <row r="108">
          <cell r="D108">
            <v>111331805</v>
          </cell>
          <cell r="E108" t="str">
            <v>伯希和/PELLIOT</v>
          </cell>
          <cell r="F108" t="str">
            <v>内衣-内衣裤-保暖套装</v>
          </cell>
          <cell r="G108" t="str">
            <v>一品一商</v>
          </cell>
          <cell r="H108" t="str">
            <v>品牌直发</v>
          </cell>
          <cell r="I108">
            <v>328</v>
          </cell>
        </row>
        <row r="109">
          <cell r="D109">
            <v>11421429</v>
          </cell>
          <cell r="E109" t="str">
            <v>伯希和/PELLIOT</v>
          </cell>
          <cell r="F109" t="str">
            <v>服装-短裤-休闲短裤</v>
          </cell>
          <cell r="G109" t="str">
            <v>一品一商</v>
          </cell>
          <cell r="H109" t="str">
            <v>品牌直发</v>
          </cell>
          <cell r="I109">
            <v>195.03</v>
          </cell>
        </row>
        <row r="110">
          <cell r="D110">
            <v>165025069</v>
          </cell>
          <cell r="E110" t="str">
            <v>伯希和/PELLIOT</v>
          </cell>
          <cell r="F110" t="str">
            <v>箱包-包袋-户外包</v>
          </cell>
          <cell r="G110" t="str">
            <v>一品一商</v>
          </cell>
          <cell r="H110" t="str">
            <v>品牌直发</v>
          </cell>
          <cell r="I110">
            <v>104</v>
          </cell>
        </row>
        <row r="111">
          <cell r="D111">
            <v>16402501</v>
          </cell>
          <cell r="E111" t="str">
            <v>伯希和/PELLIOT</v>
          </cell>
          <cell r="F111" t="str">
            <v>箱包-包袋-户外包</v>
          </cell>
          <cell r="G111" t="str">
            <v>一品一商</v>
          </cell>
          <cell r="H111" t="str">
            <v>品牌直发</v>
          </cell>
          <cell r="I111">
            <v>157</v>
          </cell>
        </row>
        <row r="112">
          <cell r="D112" t="str">
            <v>11340105-CF05</v>
          </cell>
          <cell r="E112" t="str">
            <v>伯希和/PELLIOT</v>
          </cell>
          <cell r="F112" t="str">
            <v>服装-外套-冲锋衣</v>
          </cell>
          <cell r="G112" t="str">
            <v>一品多商</v>
          </cell>
          <cell r="H112" t="str">
            <v>品牌直发</v>
          </cell>
          <cell r="I112">
            <v>478</v>
          </cell>
        </row>
        <row r="113">
          <cell r="D113">
            <v>12422002</v>
          </cell>
          <cell r="E113" t="str">
            <v>伯希和/PELLIOT</v>
          </cell>
          <cell r="F113" t="str">
            <v>鞋-运动鞋-户外功能鞋</v>
          </cell>
          <cell r="G113" t="str">
            <v>一品多商</v>
          </cell>
          <cell r="H113" t="str">
            <v>品牌直发</v>
          </cell>
          <cell r="I113">
            <v>283</v>
          </cell>
        </row>
        <row r="114">
          <cell r="D114">
            <v>11411401</v>
          </cell>
          <cell r="E114" t="str">
            <v>伯希和/PELLIOT</v>
          </cell>
          <cell r="F114" t="str">
            <v>服装-长裤-软壳裤</v>
          </cell>
          <cell r="G114" t="str">
            <v>一品多商</v>
          </cell>
          <cell r="H114" t="str">
            <v>品牌直发</v>
          </cell>
          <cell r="I114">
            <v>0</v>
          </cell>
        </row>
        <row r="115">
          <cell r="D115">
            <v>12421252</v>
          </cell>
          <cell r="E115" t="str">
            <v>伯希和/PELLIOT</v>
          </cell>
          <cell r="F115" t="str">
            <v>女装-外套-防晒服</v>
          </cell>
          <cell r="G115" t="str">
            <v>一品多商</v>
          </cell>
          <cell r="H115" t="str">
            <v>品牌直发</v>
          </cell>
          <cell r="I115">
            <v>0</v>
          </cell>
        </row>
        <row r="116">
          <cell r="D116">
            <v>12421230</v>
          </cell>
          <cell r="E116" t="str">
            <v>伯希和/PELLIOT</v>
          </cell>
          <cell r="F116" t="str">
            <v>女装-外套-防晒服</v>
          </cell>
          <cell r="G116" t="str">
            <v>一品多商</v>
          </cell>
          <cell r="H116" t="str">
            <v>品牌直发</v>
          </cell>
          <cell r="I116">
            <v>0</v>
          </cell>
        </row>
        <row r="117">
          <cell r="D117">
            <v>12421212</v>
          </cell>
          <cell r="E117" t="str">
            <v>伯希和/PELLIOT</v>
          </cell>
          <cell r="F117" t="str">
            <v>女装-外套-防晒服</v>
          </cell>
          <cell r="G117" t="str">
            <v>一品多商</v>
          </cell>
          <cell r="H117" t="str">
            <v>品牌直发</v>
          </cell>
          <cell r="I117">
            <v>0</v>
          </cell>
        </row>
        <row r="118">
          <cell r="D118">
            <v>11421411</v>
          </cell>
          <cell r="E118" t="str">
            <v>伯希和/PELLIOT</v>
          </cell>
          <cell r="F118" t="str">
            <v>服装-户外运动服-速干裤</v>
          </cell>
          <cell r="G118" t="str">
            <v>一品多商</v>
          </cell>
          <cell r="H118" t="str">
            <v>品牌直发</v>
          </cell>
          <cell r="I118">
            <v>0</v>
          </cell>
        </row>
        <row r="119">
          <cell r="D119">
            <v>11421409</v>
          </cell>
          <cell r="E119" t="str">
            <v>伯希和/PELLIOT</v>
          </cell>
          <cell r="F119" t="str">
            <v>服装-户外运动服-速干裤</v>
          </cell>
          <cell r="G119" t="str">
            <v>一品多商</v>
          </cell>
          <cell r="H119" t="str">
            <v>品牌直发</v>
          </cell>
          <cell r="I119">
            <v>0</v>
          </cell>
        </row>
        <row r="120">
          <cell r="D120">
            <v>11411405</v>
          </cell>
          <cell r="E120" t="str">
            <v>伯希和/PELLIOT</v>
          </cell>
          <cell r="F120" t="str">
            <v>服装-长裤-软壳裤</v>
          </cell>
          <cell r="G120" t="str">
            <v>一品一商</v>
          </cell>
          <cell r="H120" t="str">
            <v>品牌直发</v>
          </cell>
          <cell r="I120">
            <v>0</v>
          </cell>
        </row>
        <row r="121">
          <cell r="D121">
            <v>11421211</v>
          </cell>
          <cell r="E121" t="str">
            <v>伯希和/PELLIOT</v>
          </cell>
          <cell r="F121" t="str">
            <v>服装-外套-防晒服</v>
          </cell>
          <cell r="G121" t="str">
            <v>一品多商</v>
          </cell>
          <cell r="H121" t="str">
            <v>品牌直发</v>
          </cell>
          <cell r="I121">
            <v>0</v>
          </cell>
        </row>
        <row r="122">
          <cell r="D122">
            <v>12421538</v>
          </cell>
          <cell r="E122" t="str">
            <v>伯希和/PELLIOT</v>
          </cell>
          <cell r="F122" t="str">
            <v>女装-户外运动服-跑步T恤</v>
          </cell>
          <cell r="G122" t="str">
            <v>一品一商</v>
          </cell>
          <cell r="H122" t="str">
            <v>品牌直发</v>
          </cell>
          <cell r="I122">
            <v>0</v>
          </cell>
        </row>
        <row r="123">
          <cell r="D123">
            <v>16423433</v>
          </cell>
          <cell r="E123" t="str">
            <v>伯希和/PELLIOT</v>
          </cell>
          <cell r="F123" t="str">
            <v>流行饰品/眼镜/服配-防晒服配-防晒帽</v>
          </cell>
          <cell r="G123" t="str">
            <v>一品一商</v>
          </cell>
          <cell r="H123" t="str">
            <v>品牌直发</v>
          </cell>
          <cell r="I123">
            <v>0</v>
          </cell>
        </row>
        <row r="124">
          <cell r="D124">
            <v>11421519</v>
          </cell>
          <cell r="E124" t="str">
            <v>伯希和/PELLIOT</v>
          </cell>
          <cell r="F124" t="str">
            <v>服装-上衣-Polo衫</v>
          </cell>
          <cell r="G124" t="str">
            <v>一品一商</v>
          </cell>
          <cell r="H124" t="str">
            <v>品牌直发</v>
          </cell>
          <cell r="I124">
            <v>0</v>
          </cell>
        </row>
        <row r="125">
          <cell r="D125">
            <v>11421503</v>
          </cell>
          <cell r="E125" t="str">
            <v>伯希和/PELLIOT</v>
          </cell>
          <cell r="F125" t="str">
            <v>服装-上衣-Polo衫</v>
          </cell>
          <cell r="G125" t="str">
            <v>一品多商</v>
          </cell>
          <cell r="H125" t="str">
            <v>品牌直发</v>
          </cell>
          <cell r="I125">
            <v>0</v>
          </cell>
        </row>
        <row r="126">
          <cell r="D126">
            <v>11421215</v>
          </cell>
          <cell r="E126" t="str">
            <v>伯希和/PELLIOT</v>
          </cell>
          <cell r="F126" t="str">
            <v>服装-外套-防晒服</v>
          </cell>
          <cell r="G126" t="str">
            <v>一品多商</v>
          </cell>
          <cell r="H126" t="str">
            <v>品牌直发</v>
          </cell>
          <cell r="I126">
            <v>0</v>
          </cell>
        </row>
        <row r="127">
          <cell r="D127">
            <v>12421226</v>
          </cell>
          <cell r="E127" t="str">
            <v>伯希和/PELLIOT</v>
          </cell>
          <cell r="F127" t="str">
            <v>女装-外套-防晒服</v>
          </cell>
          <cell r="G127" t="str">
            <v>一品一商</v>
          </cell>
          <cell r="H127" t="str">
            <v>品牌直发</v>
          </cell>
          <cell r="I127">
            <v>0</v>
          </cell>
        </row>
        <row r="128">
          <cell r="D128">
            <v>12410306</v>
          </cell>
          <cell r="E128" t="str">
            <v>伯希和/PELLIOT</v>
          </cell>
          <cell r="F128" t="str">
            <v>女装-户外运动服-滑雪衣</v>
          </cell>
          <cell r="G128" t="str">
            <v>一品多商</v>
          </cell>
          <cell r="H128" t="str">
            <v>品牌直发</v>
          </cell>
          <cell r="I128">
            <v>0</v>
          </cell>
        </row>
        <row r="129">
          <cell r="D129">
            <v>11340157</v>
          </cell>
          <cell r="E129" t="str">
            <v>伯希和/PELLIOT</v>
          </cell>
          <cell r="F129" t="str">
            <v>服装-外套-冲锋衣</v>
          </cell>
          <cell r="G129" t="str">
            <v>一品一商</v>
          </cell>
          <cell r="H129" t="str">
            <v>品牌直发</v>
          </cell>
          <cell r="I129">
            <v>0</v>
          </cell>
        </row>
        <row r="130">
          <cell r="D130">
            <v>12421502</v>
          </cell>
          <cell r="E130" t="str">
            <v>伯希和/PELLIOT</v>
          </cell>
          <cell r="F130" t="str">
            <v>女装-户外运动服-速干衣</v>
          </cell>
          <cell r="G130" t="str">
            <v>一品多商</v>
          </cell>
          <cell r="H130" t="str">
            <v>品牌直发</v>
          </cell>
          <cell r="I130">
            <v>0</v>
          </cell>
        </row>
        <row r="131">
          <cell r="D131">
            <v>11421501</v>
          </cell>
          <cell r="E131" t="str">
            <v>伯希和/PELLIOT</v>
          </cell>
          <cell r="F131" t="str">
            <v>服装-上衣-T恤</v>
          </cell>
          <cell r="G131" t="str">
            <v>一品多商</v>
          </cell>
          <cell r="H131" t="str">
            <v>品牌直发</v>
          </cell>
          <cell r="I131">
            <v>0</v>
          </cell>
        </row>
        <row r="132">
          <cell r="D132">
            <v>16423408</v>
          </cell>
          <cell r="E132" t="str">
            <v>伯希和/PELLIOT</v>
          </cell>
          <cell r="F132" t="str">
            <v>流行饰品/眼镜/服配-防晒服配-防晒帽</v>
          </cell>
          <cell r="G132" t="str">
            <v>一品一商</v>
          </cell>
          <cell r="H132" t="str">
            <v>品牌直发</v>
          </cell>
          <cell r="I132">
            <v>0</v>
          </cell>
        </row>
        <row r="133">
          <cell r="D133">
            <v>16423407</v>
          </cell>
          <cell r="E133" t="str">
            <v>伯希和/PELLIOT</v>
          </cell>
          <cell r="F133" t="str">
            <v>流行饰品/眼镜/服配-防晒服配-防晒帽</v>
          </cell>
          <cell r="G133" t="str">
            <v>一品一商</v>
          </cell>
          <cell r="H133" t="str">
            <v>品牌直发</v>
          </cell>
          <cell r="I133">
            <v>0</v>
          </cell>
        </row>
        <row r="134">
          <cell r="D134">
            <v>164332401</v>
          </cell>
          <cell r="E134" t="str">
            <v>伯希和/PELLIOT</v>
          </cell>
          <cell r="F134" t="str">
            <v>流行饰品/眼镜/服配-围巾-绒线围巾</v>
          </cell>
          <cell r="G134" t="str">
            <v>一品一商</v>
          </cell>
          <cell r="H134" t="str">
            <v>品牌直发</v>
          </cell>
          <cell r="I134">
            <v>0</v>
          </cell>
        </row>
        <row r="135">
          <cell r="D135">
            <v>16424601</v>
          </cell>
          <cell r="E135" t="str">
            <v>伯希和/PELLIOT</v>
          </cell>
          <cell r="F135" t="str">
            <v>流行饰品/眼镜/服配-防晒服配-防晒袖</v>
          </cell>
          <cell r="G135" t="str">
            <v>一品一商</v>
          </cell>
          <cell r="H135" t="str">
            <v>品牌直发</v>
          </cell>
          <cell r="I135">
            <v>0</v>
          </cell>
        </row>
        <row r="136">
          <cell r="D136">
            <v>11410305</v>
          </cell>
          <cell r="E136" t="str">
            <v>伯希和/PELLIOT</v>
          </cell>
          <cell r="F136" t="str">
            <v>服装-户外运动服-滑雪衣</v>
          </cell>
          <cell r="G136" t="str">
            <v>一品多商</v>
          </cell>
          <cell r="H136" t="str">
            <v>品牌直发</v>
          </cell>
          <cell r="I136">
            <v>0</v>
          </cell>
        </row>
        <row r="137">
          <cell r="D137">
            <v>11410303</v>
          </cell>
          <cell r="E137" t="str">
            <v>伯希和/PELLIOT</v>
          </cell>
          <cell r="F137" t="str">
            <v>服装-外套-棉服</v>
          </cell>
          <cell r="G137" t="str">
            <v>一品多商</v>
          </cell>
          <cell r="H137" t="str">
            <v>品牌直发</v>
          </cell>
          <cell r="I137">
            <v>0</v>
          </cell>
        </row>
        <row r="138">
          <cell r="D138">
            <v>116123408</v>
          </cell>
          <cell r="E138" t="str">
            <v>伯希和/PELLIOT</v>
          </cell>
          <cell r="F138" t="str">
            <v>流行饰品/眼镜/服配-防晒服配-防晒帽</v>
          </cell>
          <cell r="G138" t="str">
            <v>一品一商</v>
          </cell>
          <cell r="H138" t="str">
            <v>品牌直发</v>
          </cell>
          <cell r="I138">
            <v>0</v>
          </cell>
        </row>
        <row r="139">
          <cell r="D139">
            <v>16223401</v>
          </cell>
          <cell r="E139" t="str">
            <v>伯希和/PELLIOT</v>
          </cell>
          <cell r="F139" t="str">
            <v>流行饰品/眼镜/服配-防晒服配-防晒帽</v>
          </cell>
          <cell r="G139" t="str">
            <v>一品一商</v>
          </cell>
          <cell r="H139" t="str">
            <v>品牌直发</v>
          </cell>
          <cell r="I139">
            <v>0</v>
          </cell>
        </row>
        <row r="140">
          <cell r="D140">
            <v>116223402</v>
          </cell>
          <cell r="E140" t="str">
            <v>伯希和/PELLIOT</v>
          </cell>
          <cell r="F140" t="str">
            <v>流行饰品/眼镜/服配-防晒服配-防晒帽</v>
          </cell>
          <cell r="G140" t="str">
            <v>一品一商</v>
          </cell>
          <cell r="H140" t="str">
            <v>品牌直发</v>
          </cell>
          <cell r="I140">
            <v>0</v>
          </cell>
        </row>
        <row r="141">
          <cell r="D141">
            <v>16225604</v>
          </cell>
          <cell r="E141" t="str">
            <v>伯希和/PELLIOT</v>
          </cell>
          <cell r="F141" t="str">
            <v>流行饰品/眼镜/服配-防晒服配-防晒面罩</v>
          </cell>
          <cell r="G141" t="str">
            <v>一品一商</v>
          </cell>
          <cell r="H141" t="str">
            <v>品牌直发</v>
          </cell>
          <cell r="I141">
            <v>0</v>
          </cell>
        </row>
        <row r="142">
          <cell r="D142">
            <v>16423401</v>
          </cell>
          <cell r="E142" t="str">
            <v>伯希和/PELLIOT</v>
          </cell>
          <cell r="F142" t="str">
            <v>流行饰品/眼镜/服配-帽子-渔夫帽</v>
          </cell>
          <cell r="G142" t="str">
            <v>一品一商</v>
          </cell>
          <cell r="H142" t="str">
            <v>品牌直发</v>
          </cell>
          <cell r="I142">
            <v>0</v>
          </cell>
        </row>
        <row r="143">
          <cell r="D143">
            <v>16423406</v>
          </cell>
          <cell r="E143" t="str">
            <v>伯希和/PELLIOT</v>
          </cell>
          <cell r="F143" t="str">
            <v>流行饰品/眼镜/服配-防晒服配-防晒帽</v>
          </cell>
          <cell r="G143" t="str">
            <v>一品一商</v>
          </cell>
          <cell r="H143" t="str">
            <v>品牌直发</v>
          </cell>
          <cell r="I143">
            <v>0</v>
          </cell>
        </row>
        <row r="144">
          <cell r="D144">
            <v>16425601</v>
          </cell>
          <cell r="E144" t="str">
            <v>伯希和/PELLIOT</v>
          </cell>
          <cell r="F144" t="str">
            <v>流行饰品/眼镜/服配-防晒服配-防晒面罩</v>
          </cell>
          <cell r="G144" t="str">
            <v>一品一商</v>
          </cell>
          <cell r="H144" t="str">
            <v>品牌直发</v>
          </cell>
          <cell r="I144">
            <v>0</v>
          </cell>
        </row>
        <row r="145">
          <cell r="D145">
            <v>12421214</v>
          </cell>
          <cell r="E145" t="str">
            <v>伯希和/PELLIOT</v>
          </cell>
          <cell r="F145" t="str">
            <v>女装-外套-防晒服</v>
          </cell>
          <cell r="G145" t="str">
            <v>一品一商</v>
          </cell>
          <cell r="H145" t="str">
            <v>品牌直发</v>
          </cell>
          <cell r="I145">
            <v>0</v>
          </cell>
        </row>
        <row r="146">
          <cell r="D146">
            <v>16023203</v>
          </cell>
          <cell r="E146" t="str">
            <v>伯希和/PELLIOT</v>
          </cell>
          <cell r="F146" t="str">
            <v>流行饰品/眼镜/服配-防晒服配-防晒脖套</v>
          </cell>
          <cell r="G146" t="str">
            <v>一品一商</v>
          </cell>
          <cell r="H146" t="str">
            <v>品牌直发</v>
          </cell>
          <cell r="I146">
            <v>0</v>
          </cell>
        </row>
        <row r="147">
          <cell r="D147">
            <v>16943407</v>
          </cell>
          <cell r="E147" t="str">
            <v>伯希和/PELLIOT</v>
          </cell>
          <cell r="F147" t="str">
            <v>流行饰品/眼镜/服配-帽子-绒线帽</v>
          </cell>
          <cell r="G147" t="str">
            <v>一品一商</v>
          </cell>
          <cell r="H147" t="str">
            <v>品牌直发</v>
          </cell>
          <cell r="I147">
            <v>0</v>
          </cell>
        </row>
        <row r="148">
          <cell r="D148">
            <v>16903501</v>
          </cell>
          <cell r="E148" t="str">
            <v>伯希和/PELLIOT</v>
          </cell>
          <cell r="F148" t="str">
            <v>内衣-袜子-短袜</v>
          </cell>
          <cell r="G148" t="str">
            <v>一品一商</v>
          </cell>
          <cell r="H148" t="str">
            <v>品牌直发</v>
          </cell>
          <cell r="I148">
            <v>0</v>
          </cell>
        </row>
        <row r="149">
          <cell r="D149">
            <v>12421426</v>
          </cell>
          <cell r="E149" t="str">
            <v>伯希和/PELLIOT</v>
          </cell>
          <cell r="F149" t="str">
            <v>女装-户外运动服-速干裤</v>
          </cell>
          <cell r="G149" t="str">
            <v>一品多商</v>
          </cell>
          <cell r="H149" t="str">
            <v>品牌直发</v>
          </cell>
          <cell r="I149">
            <v>0</v>
          </cell>
        </row>
        <row r="150">
          <cell r="D150">
            <v>16023101</v>
          </cell>
          <cell r="E150" t="str">
            <v>伯希和/PELLIOT</v>
          </cell>
          <cell r="F150" t="str">
            <v>流行饰品/眼镜/服配-防晒服配-防晒手套</v>
          </cell>
          <cell r="G150" t="str">
            <v>一品一商</v>
          </cell>
          <cell r="H150" t="str">
            <v>品牌直发</v>
          </cell>
          <cell r="I150">
            <v>0</v>
          </cell>
        </row>
        <row r="151">
          <cell r="D151">
            <v>12421412</v>
          </cell>
          <cell r="E151" t="str">
            <v>伯希和/PELLIOT</v>
          </cell>
          <cell r="F151" t="str">
            <v>女装-户外运动服-速干裤</v>
          </cell>
          <cell r="G151" t="str">
            <v>一品多商</v>
          </cell>
          <cell r="H151" t="str">
            <v>品牌直发</v>
          </cell>
          <cell r="I151">
            <v>0</v>
          </cell>
        </row>
        <row r="152">
          <cell r="D152">
            <v>6902507</v>
          </cell>
          <cell r="E152" t="str">
            <v>伯希和/PELLIOT</v>
          </cell>
          <cell r="F152" t="str">
            <v>箱包-包袋-户外包</v>
          </cell>
          <cell r="G152" t="str">
            <v>一品一商</v>
          </cell>
          <cell r="H152" t="str">
            <v>品牌直发</v>
          </cell>
          <cell r="I152">
            <v>0</v>
          </cell>
        </row>
        <row r="153">
          <cell r="D153">
            <v>11331905</v>
          </cell>
          <cell r="E153" t="str">
            <v>伯希和/PELLIOT</v>
          </cell>
          <cell r="F153" t="str">
            <v>鞋-运动鞋-跑步鞋</v>
          </cell>
          <cell r="G153" t="str">
            <v>一品一商</v>
          </cell>
          <cell r="H153" t="str">
            <v>品牌直发</v>
          </cell>
          <cell r="I153">
            <v>0</v>
          </cell>
        </row>
        <row r="154">
          <cell r="D154">
            <v>16043429</v>
          </cell>
          <cell r="E154" t="str">
            <v>伯希和/PELLIOT</v>
          </cell>
          <cell r="F154" t="str">
            <v>流行饰品/眼镜/服配-帽子-绒线帽</v>
          </cell>
          <cell r="G154" t="str">
            <v>一品一商</v>
          </cell>
          <cell r="H154" t="str">
            <v>品牌直发</v>
          </cell>
          <cell r="I154">
            <v>0</v>
          </cell>
        </row>
        <row r="155">
          <cell r="D155">
            <v>16302836</v>
          </cell>
          <cell r="E155" t="str">
            <v>伯希和/PELLIOT</v>
          </cell>
          <cell r="F155" t="str">
            <v>户外装备-露营/野炊装备-户外充气床</v>
          </cell>
          <cell r="G155" t="str">
            <v>一品一商</v>
          </cell>
          <cell r="H155" t="str">
            <v>普通现货</v>
          </cell>
          <cell r="I155">
            <v>0</v>
          </cell>
        </row>
        <row r="156">
          <cell r="D156">
            <v>11325109</v>
          </cell>
          <cell r="E156" t="str">
            <v>伯希和/PELLIOT</v>
          </cell>
          <cell r="F156" t="str">
            <v>服装-外套-夹克</v>
          </cell>
          <cell r="G156" t="str">
            <v>一品一商</v>
          </cell>
          <cell r="H156" t="str">
            <v>品牌直发</v>
          </cell>
          <cell r="I156">
            <v>0</v>
          </cell>
        </row>
        <row r="157">
          <cell r="D157" t="str">
            <v>12331902-黑灰色</v>
          </cell>
          <cell r="E157" t="str">
            <v>伯希和/PELLIOT</v>
          </cell>
          <cell r="F157" t="str">
            <v>鞋-运动鞋-跑步鞋</v>
          </cell>
          <cell r="G157" t="str">
            <v>一品一商</v>
          </cell>
          <cell r="H157" t="str">
            <v>品牌直发</v>
          </cell>
          <cell r="I157">
            <v>0</v>
          </cell>
        </row>
        <row r="158">
          <cell r="D158" t="str">
            <v>12331902-浅卡其</v>
          </cell>
          <cell r="E158" t="str">
            <v>伯希和/PELLIOT</v>
          </cell>
          <cell r="F158" t="str">
            <v>鞋-运动鞋-跑步鞋</v>
          </cell>
          <cell r="G158" t="str">
            <v>一品多商</v>
          </cell>
          <cell r="H158" t="str">
            <v>品牌直发</v>
          </cell>
          <cell r="I158">
            <v>0</v>
          </cell>
        </row>
        <row r="159">
          <cell r="D159" t="str">
            <v>12331902-活力红</v>
          </cell>
          <cell r="E159" t="str">
            <v>伯希和/PELLIOT</v>
          </cell>
          <cell r="F159" t="str">
            <v>鞋-运动鞋-跑步鞋</v>
          </cell>
          <cell r="G159" t="str">
            <v>一品一商</v>
          </cell>
          <cell r="H159" t="str">
            <v>品牌直发</v>
          </cell>
          <cell r="I159">
            <v>0</v>
          </cell>
        </row>
        <row r="160">
          <cell r="D160">
            <v>12340820</v>
          </cell>
          <cell r="E160" t="str">
            <v>伯希和/PELLIOT</v>
          </cell>
          <cell r="F160" t="str">
            <v>服装-外套-羽绒服</v>
          </cell>
          <cell r="G160" t="str">
            <v>一品一商</v>
          </cell>
          <cell r="H160" t="str">
            <v>品牌直发</v>
          </cell>
          <cell r="I160">
            <v>0</v>
          </cell>
        </row>
        <row r="161">
          <cell r="D161">
            <v>12331028</v>
          </cell>
          <cell r="E161" t="str">
            <v>伯希和/PELLIOT</v>
          </cell>
          <cell r="F161" t="str">
            <v>服装-户外运动服-抓绒衣</v>
          </cell>
          <cell r="G161" t="str">
            <v>一品一商</v>
          </cell>
          <cell r="H161" t="str">
            <v>品牌直发</v>
          </cell>
          <cell r="I161">
            <v>0</v>
          </cell>
        </row>
        <row r="162">
          <cell r="D162">
            <v>12331032</v>
          </cell>
          <cell r="E162" t="str">
            <v>伯希和/PELLIOT</v>
          </cell>
          <cell r="F162" t="str">
            <v>服装-户外运动服-抓绒衣</v>
          </cell>
          <cell r="G162" t="str">
            <v>一品一商</v>
          </cell>
          <cell r="H162" t="str">
            <v>品牌直发</v>
          </cell>
          <cell r="I162">
            <v>0</v>
          </cell>
        </row>
        <row r="163">
          <cell r="D163">
            <v>12340806</v>
          </cell>
          <cell r="E163" t="str">
            <v>伯希和/PELLIOT</v>
          </cell>
          <cell r="F163" t="str">
            <v>女装-外套-羽绒服</v>
          </cell>
          <cell r="G163" t="str">
            <v>一品多商</v>
          </cell>
          <cell r="H163" t="str">
            <v>品牌直发</v>
          </cell>
          <cell r="I163">
            <v>0</v>
          </cell>
        </row>
        <row r="164">
          <cell r="D164">
            <v>12331030</v>
          </cell>
          <cell r="E164" t="str">
            <v>伯希和/PELLIOT</v>
          </cell>
          <cell r="F164" t="str">
            <v>服装-户外运动服-抓绒衣</v>
          </cell>
          <cell r="G164" t="str">
            <v>一品一商</v>
          </cell>
          <cell r="H164" t="str">
            <v>品牌直发</v>
          </cell>
          <cell r="I164">
            <v>0</v>
          </cell>
        </row>
        <row r="165">
          <cell r="D165">
            <v>11340805</v>
          </cell>
          <cell r="E165" t="str">
            <v>伯希和/PELLIOT</v>
          </cell>
          <cell r="F165" t="str">
            <v>服装-外套-羽绒服</v>
          </cell>
          <cell r="G165" t="str">
            <v>一品多商</v>
          </cell>
          <cell r="H165" t="str">
            <v>品牌直发</v>
          </cell>
          <cell r="I165">
            <v>0</v>
          </cell>
        </row>
        <row r="166">
          <cell r="D166">
            <v>11331021</v>
          </cell>
          <cell r="E166" t="str">
            <v>伯希和/PELLIOT</v>
          </cell>
          <cell r="F166" t="str">
            <v>服装-户外运动服-抓绒衣</v>
          </cell>
          <cell r="G166" t="str">
            <v>一品一商</v>
          </cell>
          <cell r="H166" t="str">
            <v>品牌直发</v>
          </cell>
          <cell r="I166">
            <v>0</v>
          </cell>
        </row>
        <row r="167">
          <cell r="D167">
            <v>11331057</v>
          </cell>
          <cell r="E167" t="str">
            <v>伯希和/PELLIOT</v>
          </cell>
          <cell r="F167" t="str">
            <v>服装-户外运动服-抓绒衣</v>
          </cell>
          <cell r="G167" t="str">
            <v>一品一商</v>
          </cell>
          <cell r="H167" t="str">
            <v>品牌直发</v>
          </cell>
          <cell r="I167">
            <v>0</v>
          </cell>
        </row>
        <row r="168">
          <cell r="D168">
            <v>12340836</v>
          </cell>
          <cell r="E168" t="str">
            <v>伯希和/PELLIOT</v>
          </cell>
          <cell r="F168" t="str">
            <v>服装-外套-羽绒服</v>
          </cell>
          <cell r="G168" t="str">
            <v>一品多商</v>
          </cell>
          <cell r="H168" t="str">
            <v>品牌直发</v>
          </cell>
          <cell r="I168">
            <v>0</v>
          </cell>
        </row>
        <row r="169">
          <cell r="D169">
            <v>12331058</v>
          </cell>
          <cell r="E169" t="str">
            <v>伯希和/PELLIOT</v>
          </cell>
          <cell r="F169" t="str">
            <v>女装-户外运动服-抓绒衣</v>
          </cell>
          <cell r="G169" t="str">
            <v>一品一商</v>
          </cell>
          <cell r="H169" t="str">
            <v>品牌直发</v>
          </cell>
          <cell r="I169">
            <v>0</v>
          </cell>
        </row>
        <row r="170">
          <cell r="D170">
            <v>11340821</v>
          </cell>
          <cell r="E170" t="str">
            <v>伯希和/PELLIOT</v>
          </cell>
          <cell r="F170" t="str">
            <v>服装-外套-羽绒服</v>
          </cell>
          <cell r="G170" t="str">
            <v>一品多商</v>
          </cell>
          <cell r="H170" t="str">
            <v>品牌直发</v>
          </cell>
          <cell r="I170">
            <v>0</v>
          </cell>
        </row>
        <row r="171">
          <cell r="D171">
            <v>12340828</v>
          </cell>
          <cell r="E171" t="str">
            <v>伯希和/PELLIOT</v>
          </cell>
          <cell r="F171" t="str">
            <v>服装-外套-羽绒服</v>
          </cell>
          <cell r="G171" t="str">
            <v>一品多商</v>
          </cell>
          <cell r="H171" t="str">
            <v>品牌直发</v>
          </cell>
          <cell r="I171">
            <v>0</v>
          </cell>
        </row>
        <row r="172">
          <cell r="D172">
            <v>12340812</v>
          </cell>
          <cell r="E172" t="str">
            <v>伯希和/PELLIOT</v>
          </cell>
          <cell r="F172" t="str">
            <v>服装-外套-羽绒服</v>
          </cell>
          <cell r="G172" t="str">
            <v>一品多商</v>
          </cell>
          <cell r="H172" t="str">
            <v>品牌直发</v>
          </cell>
          <cell r="I172">
            <v>0</v>
          </cell>
        </row>
        <row r="173">
          <cell r="D173">
            <v>12340134</v>
          </cell>
          <cell r="E173" t="str">
            <v>伯希和/PELLIOT</v>
          </cell>
          <cell r="F173" t="str">
            <v>服装-外套-冲锋衣</v>
          </cell>
          <cell r="G173" t="str">
            <v>一品一商</v>
          </cell>
          <cell r="H173" t="str">
            <v>品牌直发</v>
          </cell>
          <cell r="I173">
            <v>0</v>
          </cell>
        </row>
        <row r="174">
          <cell r="D174">
            <v>114408281</v>
          </cell>
          <cell r="E174" t="str">
            <v>伯希和/PELLIOT</v>
          </cell>
          <cell r="F174" t="str">
            <v>服装-外套-羽绒服</v>
          </cell>
          <cell r="G174" t="str">
            <v>一品多商</v>
          </cell>
          <cell r="H174" t="str">
            <v>品牌直发</v>
          </cell>
          <cell r="I174">
            <v>0</v>
          </cell>
        </row>
        <row r="175">
          <cell r="D175">
            <v>12340804</v>
          </cell>
          <cell r="E175" t="str">
            <v>伯希和/PELLIOT</v>
          </cell>
          <cell r="F175" t="str">
            <v>女装-外套-羽绒服</v>
          </cell>
          <cell r="G175" t="str">
            <v>一品多商</v>
          </cell>
          <cell r="H175" t="str">
            <v>品牌直发</v>
          </cell>
          <cell r="I175">
            <v>0</v>
          </cell>
        </row>
        <row r="176">
          <cell r="D176">
            <v>12340814</v>
          </cell>
          <cell r="E176" t="str">
            <v>伯希和/PELLIOT</v>
          </cell>
          <cell r="F176" t="str">
            <v>服装-外套-羽绒服</v>
          </cell>
          <cell r="G176" t="str">
            <v>一品多商</v>
          </cell>
          <cell r="H176" t="str">
            <v>品牌直发</v>
          </cell>
          <cell r="I176">
            <v>0</v>
          </cell>
        </row>
        <row r="177">
          <cell r="D177">
            <v>11340139</v>
          </cell>
          <cell r="E177" t="str">
            <v>伯希和/PELLIOT</v>
          </cell>
          <cell r="F177" t="str">
            <v>服装-外套-冲锋衣</v>
          </cell>
          <cell r="G177" t="str">
            <v>一品多商</v>
          </cell>
          <cell r="H177" t="str">
            <v>品牌直发</v>
          </cell>
          <cell r="I177">
            <v>0</v>
          </cell>
        </row>
        <row r="178">
          <cell r="D178">
            <v>12331018</v>
          </cell>
          <cell r="E178" t="str">
            <v>伯希和/PELLIOT</v>
          </cell>
          <cell r="F178" t="str">
            <v>服装-户外运动服-抓绒衣</v>
          </cell>
          <cell r="G178" t="str">
            <v>一品一商</v>
          </cell>
          <cell r="H178" t="str">
            <v>品牌直发</v>
          </cell>
          <cell r="I178">
            <v>0</v>
          </cell>
        </row>
        <row r="179">
          <cell r="D179">
            <v>12331026</v>
          </cell>
          <cell r="E179" t="str">
            <v>伯希和/PELLIOT</v>
          </cell>
          <cell r="F179" t="str">
            <v>女装-户外运动服-抓绒衣</v>
          </cell>
          <cell r="G179" t="str">
            <v>一品多商</v>
          </cell>
          <cell r="H179" t="str">
            <v>品牌直发</v>
          </cell>
          <cell r="I179">
            <v>0</v>
          </cell>
        </row>
        <row r="180">
          <cell r="D180">
            <v>11331027</v>
          </cell>
          <cell r="E180" t="str">
            <v>伯希和/PELLIOT</v>
          </cell>
          <cell r="F180" t="str">
            <v>服装-户外运动服-抓绒衣</v>
          </cell>
          <cell r="G180" t="str">
            <v>一品一商</v>
          </cell>
          <cell r="H180" t="str">
            <v>品牌直发</v>
          </cell>
          <cell r="I180">
            <v>0</v>
          </cell>
        </row>
        <row r="181">
          <cell r="D181">
            <v>12331008</v>
          </cell>
          <cell r="E181" t="str">
            <v>伯希和/PELLIOT</v>
          </cell>
          <cell r="F181" t="str">
            <v>女装-户外运动服-抓绒衣</v>
          </cell>
          <cell r="G181" t="str">
            <v>一品一商</v>
          </cell>
          <cell r="H181" t="str">
            <v>品牌直发</v>
          </cell>
          <cell r="I181">
            <v>0</v>
          </cell>
        </row>
        <row r="182">
          <cell r="D182">
            <v>12331004</v>
          </cell>
          <cell r="E182" t="str">
            <v>伯希和/PELLIOT</v>
          </cell>
          <cell r="F182" t="str">
            <v>女装-户外运动服-抓绒衣</v>
          </cell>
          <cell r="G182" t="str">
            <v>一品一商</v>
          </cell>
          <cell r="H182" t="str">
            <v>品牌直发</v>
          </cell>
          <cell r="I182">
            <v>0</v>
          </cell>
        </row>
        <row r="183">
          <cell r="D183">
            <v>11331011</v>
          </cell>
          <cell r="E183" t="str">
            <v>伯希和/PELLIOT</v>
          </cell>
          <cell r="F183" t="str">
            <v>服装-户外运动服-抓绒衣</v>
          </cell>
          <cell r="G183" t="str">
            <v>一品多商</v>
          </cell>
          <cell r="H183" t="str">
            <v>品牌直发</v>
          </cell>
          <cell r="I183">
            <v>0</v>
          </cell>
        </row>
        <row r="184">
          <cell r="D184">
            <v>12331012</v>
          </cell>
          <cell r="E184" t="str">
            <v>伯希和/PELLIOT</v>
          </cell>
          <cell r="F184" t="str">
            <v>女装-户外运动服-抓绒衣</v>
          </cell>
          <cell r="G184" t="str">
            <v>一品多商</v>
          </cell>
          <cell r="H184" t="str">
            <v>品牌直发</v>
          </cell>
          <cell r="I184">
            <v>0</v>
          </cell>
        </row>
        <row r="185">
          <cell r="D185">
            <v>11331003</v>
          </cell>
          <cell r="E185" t="str">
            <v>伯希和/PELLIOT</v>
          </cell>
          <cell r="F185" t="str">
            <v>服装-户外运动服-抓绒衣</v>
          </cell>
          <cell r="G185" t="str">
            <v>一品一商</v>
          </cell>
          <cell r="H185" t="str">
            <v>品牌直发</v>
          </cell>
          <cell r="I185">
            <v>0</v>
          </cell>
        </row>
        <row r="186">
          <cell r="D186">
            <v>12340822</v>
          </cell>
          <cell r="E186" t="str">
            <v>伯希和/PELLIOT</v>
          </cell>
          <cell r="F186" t="str">
            <v>女装-外套-羽绒服</v>
          </cell>
          <cell r="G186" t="str">
            <v>一品多商</v>
          </cell>
          <cell r="H186" t="str">
            <v>品牌直发</v>
          </cell>
          <cell r="I186">
            <v>0</v>
          </cell>
        </row>
        <row r="187">
          <cell r="D187">
            <v>11330601</v>
          </cell>
          <cell r="E187" t="str">
            <v>伯希和/PELLIOT</v>
          </cell>
          <cell r="F187" t="str">
            <v>服装-外套-软壳衣</v>
          </cell>
          <cell r="G187" t="str">
            <v>一品一商</v>
          </cell>
          <cell r="H187" t="str">
            <v>品牌直发</v>
          </cell>
          <cell r="I187">
            <v>0</v>
          </cell>
        </row>
        <row r="188">
          <cell r="D188">
            <v>12330706</v>
          </cell>
          <cell r="E188" t="str">
            <v>伯希和/PELLIOT</v>
          </cell>
          <cell r="F188" t="str">
            <v>女装-长裤-软壳裤</v>
          </cell>
          <cell r="G188" t="str">
            <v>一品一商</v>
          </cell>
          <cell r="H188" t="str">
            <v>品牌直发</v>
          </cell>
          <cell r="I188">
            <v>0</v>
          </cell>
        </row>
        <row r="189">
          <cell r="D189" t="str">
            <v>12815108-yc</v>
          </cell>
          <cell r="E189" t="str">
            <v>伯希和/PELLIOT</v>
          </cell>
          <cell r="F189" t="str">
            <v>服装-外套-防晒服</v>
          </cell>
          <cell r="G189" t="str">
            <v>一品一商</v>
          </cell>
          <cell r="H189" t="str">
            <v>品牌直发</v>
          </cell>
          <cell r="I189">
            <v>0</v>
          </cell>
        </row>
        <row r="190">
          <cell r="D190">
            <v>12933728</v>
          </cell>
          <cell r="E190" t="str">
            <v>伯希和/PELLIOT</v>
          </cell>
          <cell r="F190" t="str">
            <v>女装-上衣-卫衣</v>
          </cell>
          <cell r="G190" t="str">
            <v>一品一商</v>
          </cell>
          <cell r="H190" t="str">
            <v>品牌直发</v>
          </cell>
          <cell r="I190">
            <v>0</v>
          </cell>
        </row>
        <row r="191">
          <cell r="D191">
            <v>114301085</v>
          </cell>
          <cell r="E191" t="str">
            <v>伯希和/PELLIOT</v>
          </cell>
          <cell r="F191" t="str">
            <v>服装-外套-冲锋衣</v>
          </cell>
          <cell r="G191" t="str">
            <v>一品多商</v>
          </cell>
          <cell r="H191" t="str">
            <v>品牌直发</v>
          </cell>
          <cell r="I191">
            <v>0</v>
          </cell>
        </row>
        <row r="192">
          <cell r="D192">
            <v>11235109</v>
          </cell>
          <cell r="E192" t="str">
            <v>伯希和/PELLIOT</v>
          </cell>
          <cell r="F192" t="str">
            <v>服装-外套-夹克</v>
          </cell>
          <cell r="G192" t="str">
            <v>一品一商</v>
          </cell>
          <cell r="H192" t="str">
            <v>品牌直发</v>
          </cell>
          <cell r="I192">
            <v>0</v>
          </cell>
        </row>
        <row r="193">
          <cell r="D193">
            <v>11140127</v>
          </cell>
          <cell r="E193" t="str">
            <v>伯希和/PELLIOT</v>
          </cell>
          <cell r="F193" t="str">
            <v>服装-外套-冲锋衣</v>
          </cell>
          <cell r="G193" t="str">
            <v>一品一商</v>
          </cell>
          <cell r="H193" t="str">
            <v>品牌直发</v>
          </cell>
          <cell r="I193">
            <v>0</v>
          </cell>
        </row>
        <row r="194">
          <cell r="D194">
            <v>12131002</v>
          </cell>
          <cell r="E194" t="str">
            <v>伯希和/PELLIOT</v>
          </cell>
          <cell r="F194" t="str">
            <v>女装-户外运动服-抓绒衣</v>
          </cell>
          <cell r="G194" t="str">
            <v>一品一商</v>
          </cell>
          <cell r="H194" t="str">
            <v>品牌直发</v>
          </cell>
          <cell r="I194">
            <v>0</v>
          </cell>
        </row>
        <row r="195">
          <cell r="D195">
            <v>12330602</v>
          </cell>
          <cell r="E195" t="str">
            <v>伯希和/PELLIOT</v>
          </cell>
          <cell r="F195" t="str">
            <v>女装-外套-软壳衣</v>
          </cell>
          <cell r="G195" t="str">
            <v>一品多商</v>
          </cell>
          <cell r="H195" t="str">
            <v>品牌直发</v>
          </cell>
          <cell r="I195">
            <v>0</v>
          </cell>
        </row>
        <row r="196">
          <cell r="D196">
            <v>12221258</v>
          </cell>
          <cell r="E196" t="str">
            <v>伯希和/PELLIOT</v>
          </cell>
          <cell r="F196" t="str">
            <v>女装-外套-防晒服</v>
          </cell>
          <cell r="G196" t="str">
            <v>一品一商</v>
          </cell>
          <cell r="H196" t="str">
            <v>普通现货</v>
          </cell>
          <cell r="I196">
            <v>0</v>
          </cell>
        </row>
        <row r="197">
          <cell r="D197">
            <v>112221210</v>
          </cell>
          <cell r="E197" t="str">
            <v>伯希和/PELLIOT</v>
          </cell>
          <cell r="F197" t="str">
            <v>女装-外套-防晒服</v>
          </cell>
          <cell r="G197" t="str">
            <v>一品一商</v>
          </cell>
          <cell r="H197" t="str">
            <v>品牌直发</v>
          </cell>
          <cell r="I197">
            <v>0</v>
          </cell>
        </row>
        <row r="198">
          <cell r="D198">
            <v>12133802</v>
          </cell>
          <cell r="E198" t="str">
            <v>伯希和/PELLIOT</v>
          </cell>
          <cell r="F198" t="str">
            <v>女装-长裤-针织运动裤</v>
          </cell>
          <cell r="G198" t="str">
            <v>一品一商</v>
          </cell>
          <cell r="H198" t="str">
            <v>品牌直发</v>
          </cell>
          <cell r="I198">
            <v>0</v>
          </cell>
        </row>
        <row r="199">
          <cell r="D199">
            <v>12340164</v>
          </cell>
          <cell r="E199" t="str">
            <v>伯希和/PELLIOT</v>
          </cell>
          <cell r="F199" t="str">
            <v>服装-外套-冲锋衣</v>
          </cell>
          <cell r="G199" t="str">
            <v>一品多商</v>
          </cell>
          <cell r="H199" t="str">
            <v>品牌直发</v>
          </cell>
          <cell r="I199">
            <v>0</v>
          </cell>
        </row>
        <row r="200">
          <cell r="D200">
            <v>112325110</v>
          </cell>
          <cell r="E200" t="str">
            <v>伯希和/PELLIOT</v>
          </cell>
          <cell r="F200" t="str">
            <v>女装-外套-夹克</v>
          </cell>
          <cell r="G200" t="str">
            <v>一品一商</v>
          </cell>
          <cell r="H200" t="str">
            <v>普通现货</v>
          </cell>
          <cell r="I200">
            <v>0</v>
          </cell>
        </row>
        <row r="201">
          <cell r="D201">
            <v>112230602</v>
          </cell>
          <cell r="E201" t="str">
            <v>伯希和/PELLIOT</v>
          </cell>
          <cell r="F201" t="str">
            <v>女装-外套-软壳衣</v>
          </cell>
          <cell r="G201" t="str">
            <v>一品一商</v>
          </cell>
          <cell r="H201" t="str">
            <v>品牌直发</v>
          </cell>
          <cell r="I201">
            <v>0</v>
          </cell>
        </row>
        <row r="202">
          <cell r="D202">
            <v>12340132</v>
          </cell>
          <cell r="E202" t="str">
            <v>伯希和/PELLIOT</v>
          </cell>
          <cell r="F202" t="str">
            <v>服装-外套-冲锋衣</v>
          </cell>
          <cell r="G202" t="str">
            <v>一品一商</v>
          </cell>
          <cell r="H202" t="str">
            <v>品牌直发</v>
          </cell>
          <cell r="I202">
            <v>0</v>
          </cell>
        </row>
        <row r="203">
          <cell r="D203">
            <v>16202509</v>
          </cell>
          <cell r="E203" t="str">
            <v>伯希和/PELLIOT</v>
          </cell>
          <cell r="F203" t="str">
            <v>箱包-包袋-户外包</v>
          </cell>
          <cell r="G203" t="str">
            <v>一品一商</v>
          </cell>
          <cell r="H203" t="str">
            <v>品牌直发</v>
          </cell>
          <cell r="I203">
            <v>0</v>
          </cell>
        </row>
        <row r="204">
          <cell r="D204">
            <v>12340104</v>
          </cell>
          <cell r="E204" t="str">
            <v>伯希和/PELLIOT</v>
          </cell>
          <cell r="F204" t="str">
            <v>女装-外套-冲锋衣</v>
          </cell>
          <cell r="G204" t="str">
            <v>一品多商</v>
          </cell>
          <cell r="H204" t="str">
            <v>品牌直发</v>
          </cell>
          <cell r="I204">
            <v>0</v>
          </cell>
        </row>
        <row r="205">
          <cell r="D205">
            <v>12340130</v>
          </cell>
          <cell r="E205" t="str">
            <v>伯希和/PELLIOT</v>
          </cell>
          <cell r="F205" t="str">
            <v>服装-外套-冲锋衣</v>
          </cell>
          <cell r="G205" t="str">
            <v>一品多商</v>
          </cell>
          <cell r="H205" t="str">
            <v>品牌直发</v>
          </cell>
          <cell r="I205">
            <v>0</v>
          </cell>
        </row>
        <row r="206">
          <cell r="D206" t="str">
            <v>12011902-樱花粉</v>
          </cell>
          <cell r="E206" t="str">
            <v>伯希和/PELLIOT</v>
          </cell>
          <cell r="F206" t="str">
            <v>鞋-运动鞋-跑步鞋</v>
          </cell>
          <cell r="G206" t="str">
            <v>一品一商</v>
          </cell>
          <cell r="H206" t="str">
            <v>品牌直发</v>
          </cell>
          <cell r="I206">
            <v>0</v>
          </cell>
        </row>
        <row r="207">
          <cell r="D207" t="str">
            <v>12211904-经典黑</v>
          </cell>
          <cell r="E207" t="str">
            <v>伯希和/PELLIOT</v>
          </cell>
          <cell r="F207" t="str">
            <v>鞋-运动鞋-跑步鞋</v>
          </cell>
          <cell r="G207" t="str">
            <v>一品一商</v>
          </cell>
          <cell r="H207" t="str">
            <v>品牌直发</v>
          </cell>
          <cell r="I207">
            <v>0</v>
          </cell>
        </row>
        <row r="208">
          <cell r="D208">
            <v>12231034</v>
          </cell>
          <cell r="E208" t="str">
            <v>伯希和/PELLIOT</v>
          </cell>
          <cell r="F208" t="str">
            <v>女装-户外运动服-抓绒衣</v>
          </cell>
          <cell r="G208" t="str">
            <v>一品一商</v>
          </cell>
          <cell r="H208" t="str">
            <v>品牌直发</v>
          </cell>
          <cell r="I208">
            <v>0</v>
          </cell>
        </row>
        <row r="209">
          <cell r="D209">
            <v>12231026</v>
          </cell>
          <cell r="E209" t="str">
            <v>伯希和/PELLIOT</v>
          </cell>
          <cell r="F209" t="str">
            <v>女装-户外运动服-抓绒衣</v>
          </cell>
          <cell r="G209" t="str">
            <v>一品一商</v>
          </cell>
          <cell r="H209" t="str">
            <v>品牌直发</v>
          </cell>
          <cell r="I209">
            <v>0</v>
          </cell>
        </row>
        <row r="210">
          <cell r="D210">
            <v>11813705</v>
          </cell>
          <cell r="E210" t="str">
            <v>伯希和/PELLIOT</v>
          </cell>
          <cell r="F210" t="str">
            <v>服装-上衣-卫衣</v>
          </cell>
          <cell r="G210" t="str">
            <v>一品一商</v>
          </cell>
          <cell r="H210" t="str">
            <v>品牌直发</v>
          </cell>
          <cell r="I210">
            <v>0</v>
          </cell>
        </row>
        <row r="211">
          <cell r="D211">
            <v>11133803</v>
          </cell>
          <cell r="E211" t="str">
            <v>伯希和/PELLIOT</v>
          </cell>
          <cell r="F211" t="str">
            <v>服装-长裤-针织运动裤</v>
          </cell>
          <cell r="G211" t="str">
            <v>一品一商</v>
          </cell>
          <cell r="H211" t="str">
            <v>品牌直发</v>
          </cell>
          <cell r="I211">
            <v>0</v>
          </cell>
        </row>
        <row r="212">
          <cell r="D212">
            <v>13321435</v>
          </cell>
          <cell r="E212" t="str">
            <v>伯希和/PELLIOT</v>
          </cell>
          <cell r="F212" t="str">
            <v>童装-儿童下装-针织运动裤</v>
          </cell>
          <cell r="G212" t="str">
            <v>一品一商</v>
          </cell>
          <cell r="H212" t="str">
            <v>品牌直发</v>
          </cell>
          <cell r="I212">
            <v>0</v>
          </cell>
        </row>
        <row r="213">
          <cell r="D213">
            <v>23930709</v>
          </cell>
          <cell r="E213" t="str">
            <v>伯希和/PELLIOT</v>
          </cell>
          <cell r="F213" t="str">
            <v>童装-儿童下装-儿童软壳裤</v>
          </cell>
          <cell r="G213" t="str">
            <v>一品一商</v>
          </cell>
          <cell r="H213" t="str">
            <v>品牌直发</v>
          </cell>
          <cell r="I213">
            <v>0</v>
          </cell>
        </row>
        <row r="214">
          <cell r="D214">
            <v>12121216</v>
          </cell>
          <cell r="E214" t="str">
            <v>伯希和/PELLIOT</v>
          </cell>
          <cell r="F214" t="str">
            <v>女装-外套-防晒服</v>
          </cell>
          <cell r="G214" t="str">
            <v>一品多商</v>
          </cell>
          <cell r="H214" t="str">
            <v>品牌直发</v>
          </cell>
          <cell r="I214">
            <v>0</v>
          </cell>
        </row>
        <row r="215">
          <cell r="D215">
            <v>13131023</v>
          </cell>
          <cell r="E215" t="str">
            <v>伯希和/PELLIOT</v>
          </cell>
          <cell r="F215" t="str">
            <v>童装-儿童上装-夹克</v>
          </cell>
          <cell r="G215" t="str">
            <v>一品一商</v>
          </cell>
          <cell r="H215" t="str">
            <v>品牌直发</v>
          </cell>
          <cell r="I215">
            <v>0</v>
          </cell>
        </row>
        <row r="216">
          <cell r="D216">
            <v>13231017</v>
          </cell>
          <cell r="E216" t="str">
            <v>伯希和/PELLIOT</v>
          </cell>
          <cell r="F216" t="str">
            <v>童装-儿童上装-其他上装</v>
          </cell>
          <cell r="G216" t="str">
            <v>一品一商</v>
          </cell>
          <cell r="H216" t="str">
            <v>品牌直发</v>
          </cell>
          <cell r="I216">
            <v>0</v>
          </cell>
        </row>
        <row r="217">
          <cell r="D217">
            <v>12131004</v>
          </cell>
          <cell r="E217" t="str">
            <v>伯希和/PELLIOT</v>
          </cell>
          <cell r="F217" t="str">
            <v>女装-户外运动服-抓绒衣</v>
          </cell>
          <cell r="G217" t="str">
            <v>一品一商</v>
          </cell>
          <cell r="H217" t="str">
            <v>品牌直发</v>
          </cell>
          <cell r="I217">
            <v>0</v>
          </cell>
        </row>
        <row r="218">
          <cell r="D218">
            <v>13131026</v>
          </cell>
          <cell r="E218" t="str">
            <v>伯希和/PELLIOT</v>
          </cell>
          <cell r="F218" t="str">
            <v>童装-儿童上装-马甲</v>
          </cell>
          <cell r="G218" t="str">
            <v>一品一商</v>
          </cell>
          <cell r="H218" t="str">
            <v>品牌直发</v>
          </cell>
          <cell r="I218">
            <v>0</v>
          </cell>
        </row>
        <row r="219">
          <cell r="D219">
            <v>13131501</v>
          </cell>
          <cell r="E219" t="str">
            <v>伯希和/PELLIOT</v>
          </cell>
          <cell r="F219" t="str">
            <v>童装-儿童上装-T恤</v>
          </cell>
          <cell r="G219" t="str">
            <v>一品一商</v>
          </cell>
          <cell r="H219" t="str">
            <v>品牌直发</v>
          </cell>
          <cell r="I219">
            <v>0</v>
          </cell>
        </row>
        <row r="220">
          <cell r="D220">
            <v>13221533</v>
          </cell>
          <cell r="E220" t="str">
            <v>伯希和/PELLIOT</v>
          </cell>
          <cell r="F220" t="str">
            <v>童装-儿童上装-T恤</v>
          </cell>
          <cell r="G220" t="str">
            <v>一品一商</v>
          </cell>
          <cell r="H220" t="str">
            <v>品牌直发</v>
          </cell>
          <cell r="I220">
            <v>0</v>
          </cell>
        </row>
        <row r="221">
          <cell r="D221">
            <v>12123812</v>
          </cell>
          <cell r="E221" t="str">
            <v>伯希和/PELLIOT</v>
          </cell>
          <cell r="F221" t="str">
            <v>女装-短裤-休闲短裤</v>
          </cell>
          <cell r="G221" t="str">
            <v>一品一商</v>
          </cell>
          <cell r="H221" t="str">
            <v>品牌直发</v>
          </cell>
          <cell r="I221">
            <v>0</v>
          </cell>
        </row>
        <row r="222">
          <cell r="D222">
            <v>13113706</v>
          </cell>
          <cell r="E222" t="str">
            <v>伯希和/PELLIOT</v>
          </cell>
          <cell r="F222" t="str">
            <v>童装-儿童上装-卫衣</v>
          </cell>
          <cell r="G222" t="str">
            <v>一品一商</v>
          </cell>
          <cell r="H222" t="str">
            <v>品牌直发</v>
          </cell>
          <cell r="I222">
            <v>0</v>
          </cell>
        </row>
        <row r="223">
          <cell r="D223">
            <v>13221525</v>
          </cell>
          <cell r="E223" t="str">
            <v>伯希和/PELLIOT</v>
          </cell>
          <cell r="F223" t="str">
            <v>童装-儿童上装-T恤</v>
          </cell>
          <cell r="G223" t="str">
            <v>一品一商</v>
          </cell>
          <cell r="H223" t="str">
            <v>品牌直发</v>
          </cell>
          <cell r="I223">
            <v>0</v>
          </cell>
        </row>
        <row r="224">
          <cell r="D224">
            <v>113221526</v>
          </cell>
          <cell r="E224" t="str">
            <v>伯希和/PELLIOT</v>
          </cell>
          <cell r="F224" t="str">
            <v>童装-儿童上装-T恤</v>
          </cell>
          <cell r="G224" t="str">
            <v>一品一商</v>
          </cell>
          <cell r="H224" t="str">
            <v>品牌直发</v>
          </cell>
          <cell r="I224">
            <v>0</v>
          </cell>
        </row>
        <row r="225">
          <cell r="D225">
            <v>12133704</v>
          </cell>
          <cell r="E225" t="str">
            <v>伯希和/PELLIOT</v>
          </cell>
          <cell r="F225" t="str">
            <v>女装-上衣-卫衣</v>
          </cell>
          <cell r="G225" t="str">
            <v>一品一商</v>
          </cell>
          <cell r="H225" t="str">
            <v>品牌直发</v>
          </cell>
          <cell r="I225">
            <v>0</v>
          </cell>
        </row>
        <row r="226">
          <cell r="D226">
            <v>11133707</v>
          </cell>
          <cell r="E226" t="str">
            <v>伯希和/PELLIOT</v>
          </cell>
          <cell r="F226" t="str">
            <v>服装-上衣-卫衣</v>
          </cell>
          <cell r="G226" t="str">
            <v>一品一商</v>
          </cell>
          <cell r="H226" t="str">
            <v>品牌直发</v>
          </cell>
          <cell r="I226">
            <v>0</v>
          </cell>
        </row>
        <row r="227">
          <cell r="D227">
            <v>11133805</v>
          </cell>
          <cell r="E227" t="str">
            <v>伯希和/PELLIOT</v>
          </cell>
          <cell r="F227" t="str">
            <v>服装-长裤-针织运动裤</v>
          </cell>
          <cell r="G227" t="str">
            <v>一品一商</v>
          </cell>
          <cell r="H227" t="str">
            <v>品牌直发</v>
          </cell>
          <cell r="I227">
            <v>0</v>
          </cell>
        </row>
        <row r="228">
          <cell r="D228">
            <v>11131105</v>
          </cell>
          <cell r="E228" t="str">
            <v>伯希和/PELLIOT</v>
          </cell>
          <cell r="F228" t="str">
            <v>服装-户外运动服-抓绒裤</v>
          </cell>
          <cell r="G228" t="str">
            <v>一品一商</v>
          </cell>
          <cell r="H228" t="str">
            <v>品牌直发</v>
          </cell>
          <cell r="I228">
            <v>0</v>
          </cell>
        </row>
        <row r="229">
          <cell r="D229">
            <v>112221508</v>
          </cell>
          <cell r="E229" t="str">
            <v>伯希和/PELLIOT</v>
          </cell>
          <cell r="F229" t="str">
            <v>女装-上衣-T恤</v>
          </cell>
          <cell r="G229" t="str">
            <v>一品一商</v>
          </cell>
          <cell r="H229" t="str">
            <v>品牌直发</v>
          </cell>
          <cell r="I229">
            <v>0</v>
          </cell>
        </row>
        <row r="230">
          <cell r="D230">
            <v>13213709</v>
          </cell>
          <cell r="E230" t="str">
            <v>伯希和/PELLIOT</v>
          </cell>
          <cell r="F230" t="str">
            <v>童装-儿童上装-夹克</v>
          </cell>
          <cell r="G230" t="str">
            <v>一品一商</v>
          </cell>
          <cell r="H230" t="str">
            <v>品牌直发</v>
          </cell>
          <cell r="I230">
            <v>0</v>
          </cell>
        </row>
        <row r="231">
          <cell r="D231">
            <v>13121426</v>
          </cell>
          <cell r="E231" t="str">
            <v>伯希和/PELLIOT</v>
          </cell>
          <cell r="F231" t="str">
            <v>童装-儿童下装-针织运动裤</v>
          </cell>
          <cell r="G231" t="str">
            <v>一品一商</v>
          </cell>
          <cell r="H231" t="str">
            <v>品牌直发</v>
          </cell>
          <cell r="I231">
            <v>0</v>
          </cell>
        </row>
        <row r="232">
          <cell r="D232">
            <v>111121427</v>
          </cell>
          <cell r="E232" t="str">
            <v>伯希和/PELLIOT</v>
          </cell>
          <cell r="F232" t="str">
            <v>服装-户外运动服-速干裤</v>
          </cell>
          <cell r="G232" t="str">
            <v>一品一商</v>
          </cell>
          <cell r="H232" t="str">
            <v>品牌直发</v>
          </cell>
          <cell r="I232">
            <v>0</v>
          </cell>
        </row>
        <row r="233">
          <cell r="D233">
            <v>13231018</v>
          </cell>
          <cell r="E233" t="str">
            <v>伯希和/PELLIOT</v>
          </cell>
          <cell r="F233" t="str">
            <v>童装-儿童上装-卫衣</v>
          </cell>
          <cell r="G233" t="str">
            <v>一品一商</v>
          </cell>
          <cell r="H233" t="str">
            <v>品牌直发</v>
          </cell>
          <cell r="I233">
            <v>0</v>
          </cell>
        </row>
        <row r="234">
          <cell r="D234">
            <v>112221424</v>
          </cell>
          <cell r="E234" t="str">
            <v>伯希和/PELLIOT</v>
          </cell>
          <cell r="F234" t="str">
            <v>女装-健身服-运动短裤</v>
          </cell>
          <cell r="G234" t="str">
            <v>一品一商</v>
          </cell>
          <cell r="H234" t="str">
            <v>品牌直发</v>
          </cell>
          <cell r="I234">
            <v>0</v>
          </cell>
        </row>
        <row r="235">
          <cell r="D235">
            <v>13213805</v>
          </cell>
          <cell r="E235" t="str">
            <v>伯希和/PELLIOT</v>
          </cell>
          <cell r="F235" t="str">
            <v>童装-儿童下装-针织运动裤</v>
          </cell>
          <cell r="G235" t="str">
            <v>一品一商</v>
          </cell>
          <cell r="H235" t="str">
            <v>品牌直发</v>
          </cell>
          <cell r="I235">
            <v>0</v>
          </cell>
        </row>
        <row r="236">
          <cell r="D236">
            <v>13121220</v>
          </cell>
          <cell r="E236" t="str">
            <v>伯希和/PELLIOT</v>
          </cell>
          <cell r="F236" t="str">
            <v>童装-儿童上装-防晒衣</v>
          </cell>
          <cell r="G236" t="str">
            <v>一品一商</v>
          </cell>
          <cell r="H236" t="str">
            <v>品牌直发</v>
          </cell>
          <cell r="I236">
            <v>0</v>
          </cell>
        </row>
        <row r="237">
          <cell r="D237">
            <v>112121402</v>
          </cell>
          <cell r="E237" t="str">
            <v>伯希和/PELLIOT</v>
          </cell>
          <cell r="F237" t="str">
            <v>女装-健身服-运动短裤</v>
          </cell>
          <cell r="G237" t="str">
            <v>一品一商</v>
          </cell>
          <cell r="H237" t="str">
            <v>品牌直发</v>
          </cell>
          <cell r="I237">
            <v>0</v>
          </cell>
        </row>
        <row r="238">
          <cell r="D238">
            <v>113021234</v>
          </cell>
          <cell r="E238" t="str">
            <v>伯希和/PELLIOT</v>
          </cell>
          <cell r="F238" t="str">
            <v>童装-儿童上装-防晒衣</v>
          </cell>
          <cell r="G238" t="str">
            <v>一品一商</v>
          </cell>
          <cell r="H238" t="str">
            <v>普通现货</v>
          </cell>
          <cell r="I238">
            <v>0</v>
          </cell>
        </row>
        <row r="239">
          <cell r="D239">
            <v>113121276</v>
          </cell>
          <cell r="E239" t="str">
            <v>伯希和/PELLIOT</v>
          </cell>
          <cell r="F239" t="str">
            <v>童装-儿童上装-防晒衣</v>
          </cell>
          <cell r="G239" t="str">
            <v>一品一商</v>
          </cell>
          <cell r="H239" t="str">
            <v>品牌直发</v>
          </cell>
          <cell r="I239">
            <v>0</v>
          </cell>
        </row>
        <row r="240">
          <cell r="D240">
            <v>13113805</v>
          </cell>
          <cell r="E240" t="str">
            <v>伯希和/PELLIOT</v>
          </cell>
          <cell r="F240" t="str">
            <v>童装-儿童下装-针织运动裤</v>
          </cell>
          <cell r="G240" t="str">
            <v>一品一商</v>
          </cell>
          <cell r="H240" t="str">
            <v>品牌直发</v>
          </cell>
          <cell r="I240">
            <v>0</v>
          </cell>
        </row>
        <row r="241">
          <cell r="D241">
            <v>113231543</v>
          </cell>
          <cell r="E241" t="str">
            <v>伯希和/PELLIOT</v>
          </cell>
          <cell r="F241" t="str">
            <v>童装-儿童上装-T恤</v>
          </cell>
          <cell r="G241" t="str">
            <v>一品一商</v>
          </cell>
          <cell r="H241" t="str">
            <v>品牌直发</v>
          </cell>
          <cell r="I241">
            <v>0</v>
          </cell>
        </row>
        <row r="242">
          <cell r="D242">
            <v>11021525</v>
          </cell>
          <cell r="E242" t="str">
            <v>伯希和/PELLIOT</v>
          </cell>
          <cell r="F242" t="str">
            <v>服装-上衣-T恤</v>
          </cell>
          <cell r="G242" t="str">
            <v>一品一商</v>
          </cell>
          <cell r="H242" t="str">
            <v>品牌直发</v>
          </cell>
          <cell r="I242">
            <v>0</v>
          </cell>
        </row>
        <row r="243">
          <cell r="D243">
            <v>13221427</v>
          </cell>
          <cell r="E243" t="str">
            <v>伯希和/PELLIOT</v>
          </cell>
          <cell r="F243" t="str">
            <v>童装-儿童下装-针织运动裤</v>
          </cell>
          <cell r="G243" t="str">
            <v>一品一商</v>
          </cell>
          <cell r="H243" t="str">
            <v>品牌直发</v>
          </cell>
          <cell r="I243">
            <v>0</v>
          </cell>
        </row>
        <row r="244">
          <cell r="D244">
            <v>13245112</v>
          </cell>
          <cell r="E244" t="str">
            <v>伯希和/PELLIOT</v>
          </cell>
          <cell r="F244" t="str">
            <v>童装-儿童上装-冲锋衣</v>
          </cell>
          <cell r="G244" t="str">
            <v>一品多商</v>
          </cell>
          <cell r="H244" t="str">
            <v>品牌直发</v>
          </cell>
          <cell r="I244">
            <v>0</v>
          </cell>
        </row>
        <row r="245">
          <cell r="D245">
            <v>113115106</v>
          </cell>
          <cell r="E245" t="str">
            <v>伯希和/PELLIOT</v>
          </cell>
          <cell r="F245" t="str">
            <v>童装-儿童上装-冲锋衣</v>
          </cell>
          <cell r="G245" t="str">
            <v>一品一商</v>
          </cell>
          <cell r="H245" t="str">
            <v>品牌直发</v>
          </cell>
          <cell r="I245">
            <v>0</v>
          </cell>
        </row>
        <row r="246">
          <cell r="D246">
            <v>13040127</v>
          </cell>
          <cell r="E246" t="str">
            <v>伯希和/PELLIOT</v>
          </cell>
          <cell r="F246" t="str">
            <v>童装-儿童上装-冲锋衣</v>
          </cell>
          <cell r="G246" t="str">
            <v>一品一商</v>
          </cell>
          <cell r="H246" t="str">
            <v>品牌直发</v>
          </cell>
          <cell r="I246">
            <v>0</v>
          </cell>
        </row>
        <row r="247">
          <cell r="D247">
            <v>13921412</v>
          </cell>
          <cell r="E247" t="str">
            <v>伯希和/PELLIOT</v>
          </cell>
          <cell r="F247" t="str">
            <v>童装-儿童下装-针织运动裤</v>
          </cell>
          <cell r="G247" t="str">
            <v>一品一商</v>
          </cell>
          <cell r="H247" t="str">
            <v>品牌直发</v>
          </cell>
          <cell r="I247">
            <v>0</v>
          </cell>
        </row>
        <row r="248">
          <cell r="D248">
            <v>11115101</v>
          </cell>
          <cell r="E248" t="str">
            <v>伯希和/PELLIOT</v>
          </cell>
          <cell r="F248" t="str">
            <v>服装-外套-夹克</v>
          </cell>
          <cell r="G248" t="str">
            <v>一品一商</v>
          </cell>
          <cell r="H248" t="str">
            <v>品牌直发</v>
          </cell>
          <cell r="I248">
            <v>0</v>
          </cell>
        </row>
        <row r="249">
          <cell r="D249">
            <v>13930611</v>
          </cell>
          <cell r="E249" t="str">
            <v>伯希和/PELLIOT</v>
          </cell>
          <cell r="F249" t="str">
            <v>童装-儿童上装-冲锋衣</v>
          </cell>
          <cell r="G249" t="str">
            <v>一品多商</v>
          </cell>
          <cell r="H249" t="str">
            <v>品牌直发</v>
          </cell>
          <cell r="I249">
            <v>0</v>
          </cell>
        </row>
        <row r="250">
          <cell r="D250">
            <v>113321236</v>
          </cell>
          <cell r="E250" t="str">
            <v>伯希和/PELLIOT</v>
          </cell>
          <cell r="F250" t="str">
            <v>童装-儿童上装-防晒衣</v>
          </cell>
          <cell r="G250" t="str">
            <v>一品一商</v>
          </cell>
          <cell r="H250" t="str">
            <v>品牌直发</v>
          </cell>
          <cell r="I250">
            <v>0</v>
          </cell>
        </row>
        <row r="251">
          <cell r="D251">
            <v>13221249</v>
          </cell>
          <cell r="E251" t="str">
            <v>伯希和/PELLIOT</v>
          </cell>
          <cell r="F251" t="str">
            <v>童装-儿童上装-防晒衣</v>
          </cell>
          <cell r="G251" t="str">
            <v>一品一商</v>
          </cell>
          <cell r="H251" t="str">
            <v>品牌直发</v>
          </cell>
          <cell r="I251">
            <v>0</v>
          </cell>
        </row>
        <row r="252">
          <cell r="D252">
            <v>13031019</v>
          </cell>
          <cell r="E252" t="str">
            <v>伯希和/PELLIOT</v>
          </cell>
          <cell r="F252" t="str">
            <v>童装-儿童上装-马甲</v>
          </cell>
          <cell r="G252" t="str">
            <v>一品一商</v>
          </cell>
          <cell r="H252" t="str">
            <v>品牌直发</v>
          </cell>
          <cell r="I252">
            <v>0</v>
          </cell>
        </row>
        <row r="253">
          <cell r="D253">
            <v>13121530</v>
          </cell>
          <cell r="E253" t="str">
            <v>伯希和/PELLIOT</v>
          </cell>
          <cell r="F253" t="str">
            <v>童装-儿童上装-T恤</v>
          </cell>
          <cell r="G253" t="str">
            <v>一品一商</v>
          </cell>
          <cell r="H253" t="str">
            <v>品牌直发</v>
          </cell>
          <cell r="I253">
            <v>0</v>
          </cell>
        </row>
        <row r="254">
          <cell r="D254">
            <v>13133807</v>
          </cell>
          <cell r="E254" t="str">
            <v>伯希和/PELLIOT</v>
          </cell>
          <cell r="F254" t="str">
            <v>童装-儿童下装-针织运动裤</v>
          </cell>
          <cell r="G254" t="str">
            <v>一品一商</v>
          </cell>
          <cell r="H254" t="str">
            <v>品牌直发</v>
          </cell>
          <cell r="I254">
            <v>0</v>
          </cell>
        </row>
        <row r="255">
          <cell r="D255">
            <v>13121274</v>
          </cell>
          <cell r="E255" t="str">
            <v>伯希和/PELLIOT</v>
          </cell>
          <cell r="F255" t="str">
            <v>童装-儿童上装-防晒衣</v>
          </cell>
          <cell r="G255" t="str">
            <v>一品一商</v>
          </cell>
          <cell r="H255" t="str">
            <v>品牌直发</v>
          </cell>
          <cell r="I255">
            <v>0</v>
          </cell>
        </row>
        <row r="256">
          <cell r="D256">
            <v>13321235</v>
          </cell>
          <cell r="E256" t="str">
            <v>伯希和/PELLIOT</v>
          </cell>
          <cell r="F256" t="str">
            <v>童装-儿童上装-防晒衣</v>
          </cell>
          <cell r="G256" t="str">
            <v>一品一商</v>
          </cell>
          <cell r="H256" t="str">
            <v>品牌直发</v>
          </cell>
          <cell r="I256">
            <v>0</v>
          </cell>
        </row>
        <row r="257">
          <cell r="D257">
            <v>13221245</v>
          </cell>
          <cell r="E257" t="str">
            <v>伯希和/PELLIOT</v>
          </cell>
          <cell r="F257" t="str">
            <v>童装-儿童上装-防晒衣</v>
          </cell>
          <cell r="G257" t="str">
            <v>一品一商</v>
          </cell>
          <cell r="H257" t="str">
            <v>品牌直发</v>
          </cell>
          <cell r="I257">
            <v>0</v>
          </cell>
        </row>
        <row r="258">
          <cell r="D258">
            <v>13031113</v>
          </cell>
          <cell r="E258" t="str">
            <v>伯希和/PELLIOT</v>
          </cell>
          <cell r="F258" t="str">
            <v>童装-儿童下装-针织运动裤</v>
          </cell>
          <cell r="G258" t="str">
            <v>一品一商</v>
          </cell>
          <cell r="H258" t="str">
            <v>品牌直发</v>
          </cell>
          <cell r="I258">
            <v>0</v>
          </cell>
        </row>
        <row r="259">
          <cell r="D259">
            <v>13121436</v>
          </cell>
          <cell r="E259" t="str">
            <v>伯希和/PELLIOT</v>
          </cell>
          <cell r="F259" t="str">
            <v>童装-儿童下装-针织运动裤</v>
          </cell>
          <cell r="G259" t="str">
            <v>一品多商</v>
          </cell>
          <cell r="H259" t="str">
            <v>品牌直发</v>
          </cell>
          <cell r="I259">
            <v>0</v>
          </cell>
        </row>
        <row r="260">
          <cell r="D260">
            <v>112031026</v>
          </cell>
          <cell r="E260" t="str">
            <v>伯希和/PELLIOT</v>
          </cell>
          <cell r="F260" t="str">
            <v>女装-户外运动服-抓绒衣</v>
          </cell>
          <cell r="G260" t="str">
            <v>一品一商</v>
          </cell>
          <cell r="H260" t="str">
            <v>品牌直发</v>
          </cell>
          <cell r="I260">
            <v>0</v>
          </cell>
        </row>
        <row r="261">
          <cell r="D261">
            <v>12140128</v>
          </cell>
          <cell r="E261" t="str">
            <v>伯希和/PELLIOT</v>
          </cell>
          <cell r="F261" t="str">
            <v>女装-外套-冲锋衣</v>
          </cell>
          <cell r="G261" t="str">
            <v>一品一商</v>
          </cell>
          <cell r="H261" t="str">
            <v>品牌直发</v>
          </cell>
          <cell r="I261">
            <v>0</v>
          </cell>
        </row>
        <row r="262">
          <cell r="D262">
            <v>12121418</v>
          </cell>
          <cell r="E262" t="str">
            <v>伯希和/PELLIOT</v>
          </cell>
          <cell r="F262" t="str">
            <v>女装-长裤-针织运动裤</v>
          </cell>
          <cell r="G262" t="str">
            <v>一品一商</v>
          </cell>
          <cell r="H262" t="str">
            <v>品牌直发</v>
          </cell>
          <cell r="I262">
            <v>0</v>
          </cell>
        </row>
        <row r="263">
          <cell r="D263">
            <v>12221402</v>
          </cell>
          <cell r="E263" t="str">
            <v>伯希和/PELLIOT</v>
          </cell>
          <cell r="F263" t="str">
            <v>女装-户外运动服-速干裤</v>
          </cell>
          <cell r="G263" t="str">
            <v>一品一商</v>
          </cell>
          <cell r="H263" t="str">
            <v>品牌直发</v>
          </cell>
          <cell r="I263">
            <v>0</v>
          </cell>
        </row>
        <row r="264">
          <cell r="D264">
            <v>112321408</v>
          </cell>
          <cell r="E264" t="str">
            <v>伯希和/PELLIOT</v>
          </cell>
          <cell r="F264" t="str">
            <v>女装-户外运动服-速干裤</v>
          </cell>
          <cell r="G264" t="str">
            <v>一品多商</v>
          </cell>
          <cell r="H264" t="str">
            <v>品牌直发</v>
          </cell>
          <cell r="I264">
            <v>0</v>
          </cell>
        </row>
        <row r="265">
          <cell r="D265">
            <v>124408280</v>
          </cell>
          <cell r="E265" t="str">
            <v>伯希和/PELLIOT</v>
          </cell>
          <cell r="F265" t="str">
            <v>女装-外套-羽绒服</v>
          </cell>
          <cell r="G265" t="str">
            <v>一品多商</v>
          </cell>
          <cell r="H265" t="str">
            <v>品牌直发</v>
          </cell>
          <cell r="I265">
            <v>0</v>
          </cell>
        </row>
        <row r="266">
          <cell r="D266">
            <v>111021401</v>
          </cell>
          <cell r="E266" t="str">
            <v>伯希和/PELLIOT</v>
          </cell>
          <cell r="F266" t="str">
            <v>服装-短裤-休闲短裤</v>
          </cell>
          <cell r="G266" t="str">
            <v>一品多商</v>
          </cell>
          <cell r="H266" t="str">
            <v>品牌直发</v>
          </cell>
          <cell r="I266">
            <v>0</v>
          </cell>
        </row>
        <row r="267">
          <cell r="D267">
            <v>12940130</v>
          </cell>
          <cell r="E267" t="str">
            <v>伯希和/PELLIOT</v>
          </cell>
          <cell r="F267" t="str">
            <v>女装-外套-冲锋衣</v>
          </cell>
          <cell r="G267" t="str">
            <v>一品一商</v>
          </cell>
          <cell r="H267" t="str">
            <v>品牌直发</v>
          </cell>
          <cell r="I267">
            <v>0</v>
          </cell>
        </row>
        <row r="268">
          <cell r="D268">
            <v>12321502</v>
          </cell>
          <cell r="E268" t="str">
            <v>伯希和/PELLIOT</v>
          </cell>
          <cell r="F268" t="str">
            <v>女装-上衣-Polo衫</v>
          </cell>
          <cell r="G268" t="str">
            <v>一品一商</v>
          </cell>
          <cell r="H268" t="str">
            <v>品牌直发</v>
          </cell>
          <cell r="I268">
            <v>0</v>
          </cell>
        </row>
        <row r="269">
          <cell r="D269">
            <v>12130710</v>
          </cell>
          <cell r="E269" t="str">
            <v>伯希和/PELLIOT</v>
          </cell>
          <cell r="F269" t="str">
            <v>女装-长裤-软壳裤</v>
          </cell>
          <cell r="G269" t="str">
            <v>一品一商</v>
          </cell>
          <cell r="H269" t="str">
            <v>品牌直发</v>
          </cell>
          <cell r="I269">
            <v>0</v>
          </cell>
        </row>
        <row r="270">
          <cell r="D270">
            <v>11130701</v>
          </cell>
          <cell r="E270" t="str">
            <v>伯希和/PELLIOT</v>
          </cell>
          <cell r="F270" t="str">
            <v>服装-长裤-软壳裤</v>
          </cell>
          <cell r="G270" t="str">
            <v>一品多商</v>
          </cell>
          <cell r="H270" t="str">
            <v>品牌直发</v>
          </cell>
          <cell r="I270">
            <v>0</v>
          </cell>
        </row>
        <row r="271">
          <cell r="D271">
            <v>12021510</v>
          </cell>
          <cell r="E271" t="str">
            <v>伯希和/PELLIOT</v>
          </cell>
          <cell r="F271" t="str">
            <v>女装-户外运动服-跑步T恤</v>
          </cell>
          <cell r="G271" t="str">
            <v>一品一商</v>
          </cell>
          <cell r="H271" t="str">
            <v>品牌直发</v>
          </cell>
          <cell r="I271">
            <v>0</v>
          </cell>
        </row>
        <row r="272">
          <cell r="D272">
            <v>11231103</v>
          </cell>
          <cell r="E272" t="str">
            <v>伯希和/PELLIOT</v>
          </cell>
          <cell r="F272" t="str">
            <v>服装-户外运动服-抓绒裤</v>
          </cell>
          <cell r="G272" t="str">
            <v>一品一商</v>
          </cell>
          <cell r="H272" t="str">
            <v>品牌直发</v>
          </cell>
          <cell r="I272">
            <v>0</v>
          </cell>
        </row>
        <row r="273">
          <cell r="D273">
            <v>12830708</v>
          </cell>
          <cell r="E273" t="str">
            <v>伯希和/PELLIOT</v>
          </cell>
          <cell r="F273" t="str">
            <v>女装-长裤-软壳裤</v>
          </cell>
          <cell r="G273" t="str">
            <v>一品多商</v>
          </cell>
          <cell r="H273" t="str">
            <v>品牌直发</v>
          </cell>
          <cell r="I273">
            <v>0</v>
          </cell>
        </row>
        <row r="274">
          <cell r="D274">
            <v>12321402</v>
          </cell>
          <cell r="E274" t="str">
            <v>伯希和/PELLIOT</v>
          </cell>
          <cell r="F274" t="str">
            <v>女装-户外运动服-速干裤</v>
          </cell>
          <cell r="G274" t="str">
            <v>一品一商</v>
          </cell>
          <cell r="H274" t="str">
            <v>品牌直发</v>
          </cell>
          <cell r="I274">
            <v>0</v>
          </cell>
        </row>
        <row r="275">
          <cell r="D275">
            <v>12231104</v>
          </cell>
          <cell r="E275" t="str">
            <v>伯希和/PELLIOT</v>
          </cell>
          <cell r="F275" t="str">
            <v>女装-户外运动服-抓绒裤</v>
          </cell>
          <cell r="G275" t="str">
            <v>一品一商</v>
          </cell>
          <cell r="H275" t="str">
            <v>品牌直发</v>
          </cell>
          <cell r="I275">
            <v>0</v>
          </cell>
        </row>
        <row r="276">
          <cell r="D276">
            <v>115107016</v>
          </cell>
          <cell r="E276" t="str">
            <v>伯希和/PELLIOT</v>
          </cell>
          <cell r="F276" t="str">
            <v>服装-长裤-软壳裤</v>
          </cell>
          <cell r="G276" t="str">
            <v>一品多商</v>
          </cell>
          <cell r="H276" t="str">
            <v>品牌直发</v>
          </cell>
          <cell r="I276">
            <v>0</v>
          </cell>
        </row>
        <row r="277">
          <cell r="D277">
            <v>12131106</v>
          </cell>
          <cell r="E277" t="str">
            <v>伯希和/PELLIOT</v>
          </cell>
          <cell r="F277" t="str">
            <v>女装-户外运动服-抓绒裤</v>
          </cell>
          <cell r="G277" t="str">
            <v>一品一商</v>
          </cell>
          <cell r="H277" t="str">
            <v>品牌直发</v>
          </cell>
          <cell r="I277">
            <v>0</v>
          </cell>
        </row>
        <row r="278">
          <cell r="D278">
            <v>11321401</v>
          </cell>
          <cell r="E278" t="str">
            <v>伯希和/PELLIOT</v>
          </cell>
          <cell r="F278" t="str">
            <v>服装-户外运动服-速干裤</v>
          </cell>
          <cell r="G278" t="str">
            <v>一品一商</v>
          </cell>
          <cell r="H278" t="str">
            <v>品牌直发</v>
          </cell>
          <cell r="I278">
            <v>0</v>
          </cell>
        </row>
        <row r="279">
          <cell r="D279">
            <v>11830603</v>
          </cell>
          <cell r="E279" t="str">
            <v>伯希和/PELLIOT</v>
          </cell>
          <cell r="F279" t="str">
            <v>服装-外套-软壳衣</v>
          </cell>
          <cell r="G279" t="str">
            <v>一品多商</v>
          </cell>
          <cell r="H279" t="str">
            <v>品牌直发</v>
          </cell>
          <cell r="I279">
            <v>0</v>
          </cell>
        </row>
        <row r="280">
          <cell r="D280">
            <v>12830604</v>
          </cell>
          <cell r="E280" t="str">
            <v>伯希和/PELLIOT</v>
          </cell>
          <cell r="F280" t="str">
            <v>女装-外套-软壳衣</v>
          </cell>
          <cell r="G280" t="str">
            <v>一品多商</v>
          </cell>
          <cell r="H280" t="str">
            <v>品牌直发</v>
          </cell>
          <cell r="I280">
            <v>0</v>
          </cell>
        </row>
        <row r="281">
          <cell r="D281">
            <v>12321406</v>
          </cell>
          <cell r="E281" t="str">
            <v>伯希和/PELLIOT</v>
          </cell>
          <cell r="F281" t="str">
            <v>女装-户外运动服-速干裤</v>
          </cell>
          <cell r="G281" t="str">
            <v>一品一商</v>
          </cell>
          <cell r="H281" t="str">
            <v>品牌直发</v>
          </cell>
          <cell r="I281">
            <v>0</v>
          </cell>
        </row>
        <row r="282">
          <cell r="D282">
            <v>11021509</v>
          </cell>
          <cell r="E282" t="str">
            <v>伯希和/PELLIOT</v>
          </cell>
          <cell r="F282" t="str">
            <v>服装-上衣-T恤</v>
          </cell>
          <cell r="G282" t="str">
            <v>一品一商</v>
          </cell>
          <cell r="H282" t="str">
            <v>品牌直发</v>
          </cell>
          <cell r="I282">
            <v>0</v>
          </cell>
        </row>
        <row r="283">
          <cell r="D283">
            <v>12213804</v>
          </cell>
          <cell r="E283" t="str">
            <v>伯希和/PELLIOT</v>
          </cell>
          <cell r="F283" t="str">
            <v>女装-长裤-休闲裤</v>
          </cell>
          <cell r="G283" t="str">
            <v>一品一商</v>
          </cell>
          <cell r="H283" t="str">
            <v>品牌直发</v>
          </cell>
          <cell r="I283">
            <v>0</v>
          </cell>
        </row>
        <row r="284">
          <cell r="D284">
            <v>12230702</v>
          </cell>
          <cell r="E284" t="str">
            <v>伯希和/PELLIOT</v>
          </cell>
          <cell r="F284" t="str">
            <v>女装-长裤-软壳裤</v>
          </cell>
          <cell r="G284" t="str">
            <v>一品多商</v>
          </cell>
          <cell r="H284" t="str">
            <v>品牌直发</v>
          </cell>
          <cell r="I284">
            <v>0</v>
          </cell>
        </row>
        <row r="285">
          <cell r="D285">
            <v>12033806</v>
          </cell>
          <cell r="E285" t="str">
            <v>伯希和/PELLIOT</v>
          </cell>
          <cell r="F285" t="str">
            <v>女装-长裤-休闲裤</v>
          </cell>
          <cell r="G285" t="str">
            <v>一品一商</v>
          </cell>
          <cell r="H285" t="str">
            <v>品牌直发</v>
          </cell>
          <cell r="I285">
            <v>0</v>
          </cell>
        </row>
        <row r="286">
          <cell r="D286" t="str">
            <v>125116022-服</v>
          </cell>
          <cell r="E286" t="str">
            <v>伯希和/PELLIOT</v>
          </cell>
          <cell r="F286" t="str">
            <v>女装-户外运动服-跑步T恤</v>
          </cell>
          <cell r="G286" t="str">
            <v>一品多商</v>
          </cell>
          <cell r="H286" t="str">
            <v>品牌直发</v>
          </cell>
          <cell r="I286">
            <v>0</v>
          </cell>
        </row>
        <row r="287">
          <cell r="D287">
            <v>112040112</v>
          </cell>
          <cell r="E287" t="str">
            <v>伯希和/PELLIOT</v>
          </cell>
          <cell r="F287" t="str">
            <v>女装-外套-冲锋衣</v>
          </cell>
          <cell r="G287" t="str">
            <v>一品一商</v>
          </cell>
          <cell r="H287" t="str">
            <v>品牌直发</v>
          </cell>
          <cell r="I287">
            <v>0</v>
          </cell>
        </row>
        <row r="288">
          <cell r="D288">
            <v>11230701</v>
          </cell>
          <cell r="E288" t="str">
            <v>伯希和/PELLIOT</v>
          </cell>
          <cell r="F288" t="str">
            <v>服装-长裤-软壳裤</v>
          </cell>
          <cell r="G288" t="str">
            <v>一品多商</v>
          </cell>
          <cell r="H288" t="str">
            <v>品牌直发</v>
          </cell>
          <cell r="I288">
            <v>0</v>
          </cell>
        </row>
        <row r="289">
          <cell r="D289">
            <v>11231443</v>
          </cell>
          <cell r="E289" t="str">
            <v>伯希和/PELLIOT</v>
          </cell>
          <cell r="F289" t="str">
            <v>服装-户外运动服-速干裤</v>
          </cell>
          <cell r="G289" t="str">
            <v>一品一商</v>
          </cell>
          <cell r="H289" t="str">
            <v>品牌直发</v>
          </cell>
          <cell r="I289">
            <v>0</v>
          </cell>
        </row>
        <row r="290">
          <cell r="D290">
            <v>12215104</v>
          </cell>
          <cell r="E290" t="str">
            <v>伯希和/PELLIOT</v>
          </cell>
          <cell r="F290" t="str">
            <v>女装-外套-夹克</v>
          </cell>
          <cell r="G290" t="str">
            <v>一品一商</v>
          </cell>
          <cell r="H290" t="str">
            <v>品牌直发</v>
          </cell>
          <cell r="I290">
            <v>0</v>
          </cell>
        </row>
        <row r="291">
          <cell r="D291">
            <v>112213710</v>
          </cell>
          <cell r="E291" t="str">
            <v>伯希和/PELLIOT</v>
          </cell>
          <cell r="F291" t="str">
            <v>服装-上衣-卫衣</v>
          </cell>
          <cell r="G291" t="str">
            <v>一品一商</v>
          </cell>
          <cell r="H291" t="str">
            <v>品牌直发</v>
          </cell>
          <cell r="I291">
            <v>0</v>
          </cell>
        </row>
        <row r="292">
          <cell r="D292">
            <v>111240115</v>
          </cell>
          <cell r="E292" t="str">
            <v>伯希和/PELLIOT</v>
          </cell>
          <cell r="F292" t="str">
            <v>服装-外套-冲锋衣</v>
          </cell>
          <cell r="G292" t="str">
            <v>一品一商</v>
          </cell>
          <cell r="H292" t="str">
            <v>品牌直发</v>
          </cell>
          <cell r="I292">
            <v>0</v>
          </cell>
        </row>
        <row r="293">
          <cell r="D293">
            <v>12321204</v>
          </cell>
          <cell r="E293" t="str">
            <v>伯希和/PELLIOT</v>
          </cell>
          <cell r="F293" t="str">
            <v>女装-外套-防晒服</v>
          </cell>
          <cell r="G293" t="str">
            <v>一品一商</v>
          </cell>
          <cell r="H293" t="str">
            <v>品牌直发</v>
          </cell>
          <cell r="I293">
            <v>0</v>
          </cell>
        </row>
        <row r="294">
          <cell r="D294">
            <v>11240203</v>
          </cell>
          <cell r="E294" t="str">
            <v>伯希和/PELLIOT</v>
          </cell>
          <cell r="F294" t="str">
            <v>服装-长裤-冲锋裤</v>
          </cell>
          <cell r="G294" t="str">
            <v>一品多商</v>
          </cell>
          <cell r="H294" t="str">
            <v>品牌直发</v>
          </cell>
          <cell r="I294">
            <v>0</v>
          </cell>
        </row>
        <row r="295">
          <cell r="D295">
            <v>11040107</v>
          </cell>
          <cell r="E295" t="str">
            <v>伯希和/PELLIOT</v>
          </cell>
          <cell r="F295" t="str">
            <v>服装-外套-冲锋衣</v>
          </cell>
          <cell r="G295" t="str">
            <v>一品多商</v>
          </cell>
          <cell r="H295" t="str">
            <v>品牌直发</v>
          </cell>
          <cell r="I295">
            <v>0</v>
          </cell>
        </row>
        <row r="296">
          <cell r="D296">
            <v>12221522</v>
          </cell>
          <cell r="E296" t="str">
            <v>伯希和/PELLIOT</v>
          </cell>
          <cell r="F296" t="str">
            <v>女装-户外运动服-跑步T恤</v>
          </cell>
          <cell r="G296" t="str">
            <v>一品一商</v>
          </cell>
          <cell r="H296" t="str">
            <v>品牌直发</v>
          </cell>
          <cell r="I296">
            <v>0</v>
          </cell>
        </row>
        <row r="297">
          <cell r="D297">
            <v>12230618</v>
          </cell>
          <cell r="E297" t="str">
            <v>伯希和/PELLIOT</v>
          </cell>
          <cell r="F297" t="str">
            <v>女装-外套-软壳衣</v>
          </cell>
          <cell r="G297" t="str">
            <v>一品一商</v>
          </cell>
          <cell r="H297" t="str">
            <v>品牌直发</v>
          </cell>
          <cell r="I297">
            <v>0</v>
          </cell>
        </row>
        <row r="298">
          <cell r="D298">
            <v>12130608</v>
          </cell>
          <cell r="E298" t="str">
            <v>伯希和/PELLIOT</v>
          </cell>
          <cell r="F298" t="str">
            <v>女装-外套-软壳衣</v>
          </cell>
          <cell r="G298" t="str">
            <v>一品多商</v>
          </cell>
          <cell r="H298" t="str">
            <v>品牌直发</v>
          </cell>
          <cell r="I298">
            <v>0</v>
          </cell>
        </row>
        <row r="299">
          <cell r="D299">
            <v>12313706</v>
          </cell>
          <cell r="E299" t="str">
            <v>伯希和/PELLIOT</v>
          </cell>
          <cell r="F299" t="str">
            <v>女装-上衣-卫衣</v>
          </cell>
          <cell r="G299" t="str">
            <v>一品一商</v>
          </cell>
          <cell r="H299" t="str">
            <v>品牌直发</v>
          </cell>
          <cell r="I299">
            <v>0</v>
          </cell>
        </row>
        <row r="300">
          <cell r="D300">
            <v>11213803</v>
          </cell>
          <cell r="E300" t="str">
            <v>伯希和/PELLIOT</v>
          </cell>
          <cell r="F300" t="str">
            <v>服装-长裤-针织运动裤</v>
          </cell>
          <cell r="G300" t="str">
            <v>一品一商</v>
          </cell>
          <cell r="H300" t="str">
            <v>品牌直发</v>
          </cell>
          <cell r="I300">
            <v>0</v>
          </cell>
        </row>
        <row r="301">
          <cell r="D301">
            <v>12221504</v>
          </cell>
          <cell r="E301" t="str">
            <v>伯希和/PELLIOT</v>
          </cell>
          <cell r="F301" t="str">
            <v>女装-上衣-T恤</v>
          </cell>
          <cell r="G301" t="str">
            <v>一品一商</v>
          </cell>
          <cell r="H301" t="str">
            <v>品牌直发</v>
          </cell>
          <cell r="I301">
            <v>0</v>
          </cell>
        </row>
        <row r="302">
          <cell r="D302">
            <v>12031016</v>
          </cell>
          <cell r="E302" t="str">
            <v>伯希和/PELLIOT</v>
          </cell>
          <cell r="F302" t="str">
            <v>女装-户外运动服-抓绒衣</v>
          </cell>
          <cell r="G302" t="str">
            <v>一品一商</v>
          </cell>
          <cell r="H302" t="str">
            <v>品牌直发</v>
          </cell>
          <cell r="I302">
            <v>0</v>
          </cell>
        </row>
        <row r="303">
          <cell r="D303">
            <v>12131022</v>
          </cell>
          <cell r="E303" t="str">
            <v>伯希和/PELLIOT</v>
          </cell>
          <cell r="F303" t="str">
            <v>女装-户外运动服-抓绒衣</v>
          </cell>
          <cell r="G303" t="str">
            <v>一品一商</v>
          </cell>
          <cell r="H303" t="str">
            <v>品牌直发</v>
          </cell>
          <cell r="I303">
            <v>0</v>
          </cell>
        </row>
        <row r="304">
          <cell r="D304">
            <v>112140110</v>
          </cell>
          <cell r="E304" t="str">
            <v>伯希和/PELLIOT</v>
          </cell>
          <cell r="F304" t="str">
            <v>女装-外套-冲锋衣</v>
          </cell>
          <cell r="G304" t="str">
            <v>一品一商</v>
          </cell>
          <cell r="H304" t="str">
            <v>品牌直发</v>
          </cell>
          <cell r="I304">
            <v>0</v>
          </cell>
        </row>
        <row r="305">
          <cell r="D305">
            <v>12121218</v>
          </cell>
          <cell r="E305" t="str">
            <v>伯希和/PELLIOT</v>
          </cell>
          <cell r="F305" t="str">
            <v>女装-外套-防晒服</v>
          </cell>
          <cell r="G305" t="str">
            <v>一品一商</v>
          </cell>
          <cell r="H305" t="str">
            <v>品牌直发</v>
          </cell>
          <cell r="I305">
            <v>0</v>
          </cell>
        </row>
        <row r="306">
          <cell r="D306">
            <v>16804501</v>
          </cell>
          <cell r="E306" t="str">
            <v>伯希和/PELLIOT</v>
          </cell>
          <cell r="F306" t="str">
            <v>户外装备-露营/野炊装备-秋千</v>
          </cell>
          <cell r="G306" t="str">
            <v>一品多商</v>
          </cell>
          <cell r="H306" t="str">
            <v>普通现货</v>
          </cell>
          <cell r="I306">
            <v>0</v>
          </cell>
        </row>
        <row r="307">
          <cell r="D307">
            <v>11221203</v>
          </cell>
          <cell r="E307" t="str">
            <v>伯希和/PELLIOT</v>
          </cell>
          <cell r="F307" t="str">
            <v>服装-外套-防晒服</v>
          </cell>
          <cell r="G307" t="str">
            <v>一品一商</v>
          </cell>
          <cell r="H307" t="str">
            <v>品牌直发</v>
          </cell>
          <cell r="I307">
            <v>0</v>
          </cell>
        </row>
        <row r="308">
          <cell r="D308">
            <v>12221202</v>
          </cell>
          <cell r="E308" t="str">
            <v>伯希和/PELLIOT</v>
          </cell>
          <cell r="F308" t="str">
            <v>女装-外套-防晒服</v>
          </cell>
          <cell r="G308" t="str">
            <v>一品多商</v>
          </cell>
          <cell r="H308" t="str">
            <v>品牌直发</v>
          </cell>
          <cell r="I308">
            <v>0</v>
          </cell>
        </row>
        <row r="309">
          <cell r="D309">
            <v>12215102</v>
          </cell>
          <cell r="E309" t="str">
            <v>伯希和/PELLIOT</v>
          </cell>
          <cell r="F309" t="str">
            <v>女装-外套-夹克</v>
          </cell>
          <cell r="G309" t="str">
            <v>一品一商</v>
          </cell>
          <cell r="H309" t="str">
            <v>品牌直发</v>
          </cell>
          <cell r="I309">
            <v>0</v>
          </cell>
        </row>
        <row r="310">
          <cell r="D310">
            <v>11321207</v>
          </cell>
          <cell r="E310" t="str">
            <v>伯希和/PELLIOT</v>
          </cell>
          <cell r="F310" t="str">
            <v>服装-外套-防晒服</v>
          </cell>
          <cell r="G310" t="str">
            <v>一品多商</v>
          </cell>
          <cell r="H310" t="str">
            <v>品牌直发</v>
          </cell>
          <cell r="I310">
            <v>0</v>
          </cell>
        </row>
        <row r="311">
          <cell r="D311">
            <v>12121412</v>
          </cell>
          <cell r="E311" t="str">
            <v>伯希和/PELLIOT</v>
          </cell>
          <cell r="F311" t="str">
            <v>女装-户外运动服-速干裤</v>
          </cell>
          <cell r="G311" t="str">
            <v>一品多商</v>
          </cell>
          <cell r="H311" t="str">
            <v>品牌直发</v>
          </cell>
          <cell r="I311">
            <v>0</v>
          </cell>
        </row>
        <row r="312">
          <cell r="D312">
            <v>12231006</v>
          </cell>
          <cell r="E312" t="str">
            <v>伯希和/PELLIOT</v>
          </cell>
          <cell r="F312" t="str">
            <v>女装-户外运动服-抓绒衣</v>
          </cell>
          <cell r="G312" t="str">
            <v>一品一商</v>
          </cell>
          <cell r="H312" t="str">
            <v>品牌直发</v>
          </cell>
          <cell r="I312">
            <v>0</v>
          </cell>
        </row>
        <row r="313">
          <cell r="D313">
            <v>12231004</v>
          </cell>
          <cell r="E313" t="str">
            <v>伯希和/PELLIOT</v>
          </cell>
          <cell r="F313" t="str">
            <v>女装-户外运动服-抓绒衣</v>
          </cell>
          <cell r="G313" t="str">
            <v>一品一商</v>
          </cell>
          <cell r="H313" t="str">
            <v>品牌直发</v>
          </cell>
          <cell r="I313">
            <v>0</v>
          </cell>
        </row>
        <row r="314">
          <cell r="D314">
            <v>12130702</v>
          </cell>
          <cell r="E314" t="str">
            <v>伯希和/PELLIOT</v>
          </cell>
          <cell r="F314" t="str">
            <v>女装-长裤-软壳裤</v>
          </cell>
          <cell r="G314" t="str">
            <v>一品多商</v>
          </cell>
          <cell r="H314" t="str">
            <v>品牌直发</v>
          </cell>
          <cell r="I314">
            <v>0</v>
          </cell>
        </row>
        <row r="315">
          <cell r="D315">
            <v>12321222</v>
          </cell>
          <cell r="E315" t="str">
            <v>伯希和/PELLIOT</v>
          </cell>
          <cell r="F315" t="str">
            <v>女装-外套-防晒服</v>
          </cell>
          <cell r="G315" t="str">
            <v>一品多商</v>
          </cell>
          <cell r="H315" t="str">
            <v>品牌直发</v>
          </cell>
          <cell r="I315">
            <v>0</v>
          </cell>
        </row>
        <row r="316">
          <cell r="D316">
            <v>12131006</v>
          </cell>
          <cell r="E316" t="str">
            <v>伯希和/PELLIOT</v>
          </cell>
          <cell r="F316" t="str">
            <v>女装-户外运动服-抓绒衣</v>
          </cell>
          <cell r="G316" t="str">
            <v>一品一商</v>
          </cell>
          <cell r="H316" t="str">
            <v>普通现货</v>
          </cell>
          <cell r="I316">
            <v>0</v>
          </cell>
        </row>
        <row r="317">
          <cell r="D317">
            <v>12230706</v>
          </cell>
          <cell r="E317" t="str">
            <v>伯希和/PELLIOT</v>
          </cell>
          <cell r="F317" t="str">
            <v>女装-长裤-软壳裤</v>
          </cell>
          <cell r="G317" t="str">
            <v>一品多商</v>
          </cell>
          <cell r="H317" t="str">
            <v>品牌直发</v>
          </cell>
          <cell r="I317">
            <v>0</v>
          </cell>
        </row>
        <row r="318">
          <cell r="D318">
            <v>11240121</v>
          </cell>
          <cell r="E318" t="str">
            <v>伯希和/PELLIOT</v>
          </cell>
          <cell r="F318" t="str">
            <v>服装-外套-冲锋衣</v>
          </cell>
          <cell r="G318" t="str">
            <v>一品一商</v>
          </cell>
          <cell r="H318" t="str">
            <v>品牌直发</v>
          </cell>
          <cell r="I318">
            <v>0</v>
          </cell>
        </row>
        <row r="319">
          <cell r="D319">
            <v>12231016</v>
          </cell>
          <cell r="E319" t="str">
            <v>伯希和/PELLIOT</v>
          </cell>
          <cell r="F319" t="str">
            <v>女装-户外运动服-抓绒衣</v>
          </cell>
          <cell r="G319" t="str">
            <v>一品一商</v>
          </cell>
          <cell r="H319" t="str">
            <v>品牌直发</v>
          </cell>
          <cell r="I319">
            <v>0</v>
          </cell>
        </row>
        <row r="320">
          <cell r="D320">
            <v>12231032</v>
          </cell>
          <cell r="E320" t="str">
            <v>伯希和/PELLIOT</v>
          </cell>
          <cell r="F320" t="str">
            <v>女装-户外运动服-抓绒衣</v>
          </cell>
          <cell r="G320" t="str">
            <v>一品一商</v>
          </cell>
          <cell r="H320" t="str">
            <v>品牌直发</v>
          </cell>
          <cell r="I320">
            <v>0</v>
          </cell>
        </row>
        <row r="321">
          <cell r="D321">
            <v>12231802</v>
          </cell>
          <cell r="E321" t="str">
            <v>伯希和/PELLIOT</v>
          </cell>
          <cell r="F321" t="str">
            <v>内衣-内衣裤-保暖套装</v>
          </cell>
          <cell r="G321" t="str">
            <v>一品一商</v>
          </cell>
          <cell r="H321" t="str">
            <v>品牌直发</v>
          </cell>
          <cell r="I321">
            <v>0</v>
          </cell>
        </row>
        <row r="322">
          <cell r="D322">
            <v>12240834</v>
          </cell>
          <cell r="E322" t="str">
            <v>伯希和/PELLIOT</v>
          </cell>
          <cell r="F322" t="str">
            <v>女装-外套-羽绒服</v>
          </cell>
          <cell r="G322" t="str">
            <v>一品多商</v>
          </cell>
          <cell r="H322" t="str">
            <v>品牌直发</v>
          </cell>
          <cell r="I322">
            <v>0</v>
          </cell>
        </row>
        <row r="323">
          <cell r="D323">
            <v>11140809</v>
          </cell>
          <cell r="E323" t="str">
            <v>伯希和/PELLIOT</v>
          </cell>
          <cell r="F323" t="str">
            <v>服装-外套-羽绒服</v>
          </cell>
          <cell r="G323" t="str">
            <v>一品多商</v>
          </cell>
          <cell r="H323" t="str">
            <v>品牌直发</v>
          </cell>
          <cell r="I323">
            <v>0</v>
          </cell>
        </row>
        <row r="324">
          <cell r="D324">
            <v>11230601</v>
          </cell>
          <cell r="E324" t="str">
            <v>伯希和/PELLIOT</v>
          </cell>
          <cell r="F324" t="str">
            <v>服装-外套-软壳衣</v>
          </cell>
          <cell r="G324" t="str">
            <v>一品多商</v>
          </cell>
          <cell r="H324" t="str">
            <v>品牌直发</v>
          </cell>
          <cell r="I324">
            <v>0</v>
          </cell>
        </row>
        <row r="325">
          <cell r="D325">
            <v>12140810</v>
          </cell>
          <cell r="E325" t="str">
            <v>伯希和/PELLIOT</v>
          </cell>
          <cell r="F325" t="str">
            <v>女装-外套-羽绒服</v>
          </cell>
          <cell r="G325" t="str">
            <v>一品多商</v>
          </cell>
          <cell r="H325" t="str">
            <v>品牌直发</v>
          </cell>
          <cell r="I325">
            <v>0</v>
          </cell>
        </row>
        <row r="326">
          <cell r="D326">
            <v>12740808</v>
          </cell>
          <cell r="E326" t="str">
            <v>伯希和/PELLIOT</v>
          </cell>
          <cell r="F326" t="str">
            <v>服装-外套-羽绒服</v>
          </cell>
          <cell r="G326" t="str">
            <v>一品一商</v>
          </cell>
          <cell r="H326" t="str">
            <v>品牌直发</v>
          </cell>
          <cell r="I326">
            <v>0</v>
          </cell>
        </row>
        <row r="327">
          <cell r="D327">
            <v>11140813</v>
          </cell>
          <cell r="E327" t="str">
            <v>伯希和/PELLIOT</v>
          </cell>
          <cell r="F327" t="str">
            <v>服装-外套-羽绒服</v>
          </cell>
          <cell r="G327" t="str">
            <v>一品多商</v>
          </cell>
          <cell r="H327" t="str">
            <v>品牌直发</v>
          </cell>
          <cell r="I327">
            <v>0</v>
          </cell>
        </row>
        <row r="328">
          <cell r="D328">
            <v>11240301</v>
          </cell>
          <cell r="E328" t="str">
            <v>伯希和/PELLIOT</v>
          </cell>
          <cell r="F328" t="str">
            <v>服装-外套-棉服</v>
          </cell>
          <cell r="G328" t="str">
            <v>一品多商</v>
          </cell>
          <cell r="H328" t="str">
            <v>品牌直发</v>
          </cell>
          <cell r="I328">
            <v>0</v>
          </cell>
        </row>
        <row r="329">
          <cell r="D329">
            <v>12140814</v>
          </cell>
          <cell r="E329" t="str">
            <v>伯希和/PELLIOT</v>
          </cell>
          <cell r="F329" t="str">
            <v>女装-外套-羽绒服</v>
          </cell>
          <cell r="G329" t="str">
            <v>一品多商</v>
          </cell>
          <cell r="H329" t="str">
            <v>品牌直发</v>
          </cell>
          <cell r="I329">
            <v>0</v>
          </cell>
        </row>
        <row r="330">
          <cell r="D330">
            <v>12140804</v>
          </cell>
          <cell r="E330" t="str">
            <v>伯希和/PELLIOT</v>
          </cell>
          <cell r="F330" t="str">
            <v>女装-外套-羽绒服</v>
          </cell>
          <cell r="G330" t="str">
            <v>一品一商</v>
          </cell>
          <cell r="H330" t="str">
            <v>品牌直发</v>
          </cell>
          <cell r="I330">
            <v>0</v>
          </cell>
        </row>
        <row r="331">
          <cell r="D331">
            <v>12131802</v>
          </cell>
          <cell r="E331" t="str">
            <v>伯希和/PELLIOT</v>
          </cell>
          <cell r="F331" t="str">
            <v>内衣-内衣裤-保暖套装</v>
          </cell>
          <cell r="G331" t="str">
            <v>一品一商</v>
          </cell>
          <cell r="H331" t="str">
            <v>品牌直发</v>
          </cell>
          <cell r="I331">
            <v>0</v>
          </cell>
        </row>
        <row r="332">
          <cell r="D332">
            <v>11240823</v>
          </cell>
          <cell r="E332" t="str">
            <v>伯希和/PELLIOT</v>
          </cell>
          <cell r="F332" t="str">
            <v>服装-外套-羽绒服</v>
          </cell>
          <cell r="G332" t="str">
            <v>一品多商</v>
          </cell>
          <cell r="H332" t="str">
            <v>品牌直发</v>
          </cell>
          <cell r="I332">
            <v>0</v>
          </cell>
        </row>
        <row r="333">
          <cell r="D333">
            <v>11140101</v>
          </cell>
          <cell r="E333" t="str">
            <v>伯希和/PELLIOT</v>
          </cell>
          <cell r="F333" t="str">
            <v>服装-外套-冲锋衣</v>
          </cell>
          <cell r="G333" t="str">
            <v>一品多商</v>
          </cell>
          <cell r="H333" t="str">
            <v>品牌直发</v>
          </cell>
          <cell r="I333">
            <v>0</v>
          </cell>
        </row>
        <row r="334">
          <cell r="D334">
            <v>12140102</v>
          </cell>
          <cell r="E334" t="str">
            <v>伯希和/PELLIOT</v>
          </cell>
          <cell r="F334" t="str">
            <v>女装-外套-冲锋衣</v>
          </cell>
          <cell r="G334" t="str">
            <v>一品多商</v>
          </cell>
          <cell r="H334" t="str">
            <v>品牌直发</v>
          </cell>
          <cell r="I334">
            <v>0</v>
          </cell>
        </row>
        <row r="335">
          <cell r="D335">
            <v>11140121</v>
          </cell>
          <cell r="E335" t="str">
            <v>伯希和/PELLIOT</v>
          </cell>
          <cell r="F335" t="str">
            <v>服装-外套-冲锋衣</v>
          </cell>
          <cell r="G335" t="str">
            <v>一品一商</v>
          </cell>
          <cell r="H335" t="str">
            <v>品牌直发</v>
          </cell>
          <cell r="I335">
            <v>0</v>
          </cell>
        </row>
        <row r="336">
          <cell r="D336">
            <v>11240828</v>
          </cell>
          <cell r="E336" t="str">
            <v>伯希和/PELLIOT</v>
          </cell>
          <cell r="F336" t="str">
            <v>女装-外套-羽绒服</v>
          </cell>
          <cell r="G336" t="str">
            <v>一品一商</v>
          </cell>
          <cell r="H336" t="str">
            <v>品牌直发</v>
          </cell>
          <cell r="I336">
            <v>0</v>
          </cell>
        </row>
        <row r="337">
          <cell r="D337">
            <v>114408279</v>
          </cell>
          <cell r="E337" t="str">
            <v>伯希和/PELLIOT</v>
          </cell>
          <cell r="F337" t="str">
            <v>服装-外套-羽绒服</v>
          </cell>
          <cell r="G337" t="str">
            <v>一品多商</v>
          </cell>
          <cell r="H337" t="str">
            <v>品牌直发</v>
          </cell>
          <cell r="I337">
            <v>0</v>
          </cell>
        </row>
        <row r="338">
          <cell r="D338">
            <v>12240822</v>
          </cell>
          <cell r="E338" t="str">
            <v>伯希和/PELLIOT</v>
          </cell>
          <cell r="F338" t="str">
            <v>女装-外套-羽绒服</v>
          </cell>
          <cell r="G338" t="str">
            <v>一品多商</v>
          </cell>
          <cell r="H338" t="str">
            <v>品牌直发</v>
          </cell>
          <cell r="I338">
            <v>0</v>
          </cell>
        </row>
        <row r="339">
          <cell r="D339">
            <v>12231022</v>
          </cell>
          <cell r="E339" t="str">
            <v>伯希和/PELLIOT</v>
          </cell>
          <cell r="F339" t="str">
            <v>服装-户外运动服-抓绒衣</v>
          </cell>
          <cell r="G339" t="str">
            <v>一品一商</v>
          </cell>
          <cell r="H339" t="str">
            <v>品牌直发</v>
          </cell>
          <cell r="I339">
            <v>0</v>
          </cell>
        </row>
        <row r="340">
          <cell r="D340">
            <v>12231024</v>
          </cell>
          <cell r="E340" t="str">
            <v>伯希和/PELLIOT</v>
          </cell>
          <cell r="F340" t="str">
            <v>服装-户外运动服-抓绒衣</v>
          </cell>
          <cell r="G340" t="str">
            <v>一品一商</v>
          </cell>
          <cell r="H340" t="str">
            <v>品牌直发</v>
          </cell>
          <cell r="I340">
            <v>0</v>
          </cell>
        </row>
        <row r="341">
          <cell r="D341">
            <v>11240821</v>
          </cell>
          <cell r="E341" t="str">
            <v>伯希和/PELLIOT</v>
          </cell>
          <cell r="F341" t="str">
            <v>服装-外套-羽绒服</v>
          </cell>
          <cell r="G341" t="str">
            <v>一品多商</v>
          </cell>
          <cell r="H341" t="str">
            <v>品牌直发</v>
          </cell>
          <cell r="I341">
            <v>0</v>
          </cell>
        </row>
        <row r="342">
          <cell r="D342">
            <v>12240112</v>
          </cell>
          <cell r="E342" t="str">
            <v>伯希和/PELLIOT</v>
          </cell>
          <cell r="F342" t="str">
            <v>女装-外套-冲锋衣</v>
          </cell>
          <cell r="G342" t="str">
            <v>一品多商</v>
          </cell>
          <cell r="H342" t="str">
            <v>品牌直发</v>
          </cell>
          <cell r="I342">
            <v>0</v>
          </cell>
        </row>
        <row r="343">
          <cell r="D343">
            <v>11240129</v>
          </cell>
          <cell r="E343" t="str">
            <v>伯希和/PELLIOT</v>
          </cell>
          <cell r="F343" t="str">
            <v>服装-外套-冲锋衣</v>
          </cell>
          <cell r="G343" t="str">
            <v>一品多商</v>
          </cell>
          <cell r="H343" t="str">
            <v>品牌直发</v>
          </cell>
          <cell r="I343">
            <v>0</v>
          </cell>
        </row>
        <row r="344">
          <cell r="D344">
            <v>11040139</v>
          </cell>
          <cell r="E344" t="str">
            <v>伯希和/PELLIOT</v>
          </cell>
          <cell r="F344" t="str">
            <v>服装-外套-冲锋衣</v>
          </cell>
          <cell r="G344" t="str">
            <v>一品一商</v>
          </cell>
          <cell r="H344" t="str">
            <v>品牌直发</v>
          </cell>
          <cell r="I344">
            <v>0</v>
          </cell>
        </row>
        <row r="345">
          <cell r="D345">
            <v>11231031</v>
          </cell>
          <cell r="E345" t="str">
            <v>伯希和/PELLIOT</v>
          </cell>
          <cell r="F345" t="str">
            <v>服装-户外运动服-抓绒衣</v>
          </cell>
          <cell r="G345" t="str">
            <v>一品一商</v>
          </cell>
          <cell r="H345" t="str">
            <v>品牌直发</v>
          </cell>
          <cell r="I345">
            <v>0</v>
          </cell>
        </row>
        <row r="346">
          <cell r="D346">
            <v>112240824</v>
          </cell>
          <cell r="E346" t="str">
            <v>伯希和/PELLIOT</v>
          </cell>
          <cell r="F346" t="str">
            <v>服装-外套-羽绒马甲</v>
          </cell>
          <cell r="G346" t="str">
            <v>一品一商</v>
          </cell>
          <cell r="H346" t="str">
            <v>品牌直发</v>
          </cell>
          <cell r="I346">
            <v>0</v>
          </cell>
        </row>
        <row r="347">
          <cell r="D347">
            <v>111230705</v>
          </cell>
          <cell r="E347" t="str">
            <v>伯希和/PELLIOT</v>
          </cell>
          <cell r="F347" t="str">
            <v>服装-长裤-冲锋裤</v>
          </cell>
          <cell r="G347" t="str">
            <v>一品多商</v>
          </cell>
          <cell r="H347" t="str">
            <v>品牌直发</v>
          </cell>
          <cell r="I347">
            <v>0</v>
          </cell>
        </row>
        <row r="348">
          <cell r="D348">
            <v>11040105</v>
          </cell>
          <cell r="E348" t="str">
            <v>伯希和/PELLIOT</v>
          </cell>
          <cell r="F348" t="str">
            <v>服装-外套-冲锋衣</v>
          </cell>
          <cell r="G348" t="str">
            <v>一品多商</v>
          </cell>
          <cell r="H348" t="str">
            <v>品牌直发</v>
          </cell>
          <cell r="I348">
            <v>0</v>
          </cell>
        </row>
        <row r="349">
          <cell r="D349">
            <v>12040134</v>
          </cell>
          <cell r="E349" t="str">
            <v>伯希和/PELLIOT</v>
          </cell>
          <cell r="F349" t="str">
            <v>女装-外套-冲锋衣</v>
          </cell>
          <cell r="G349" t="str">
            <v>一品一商</v>
          </cell>
          <cell r="H349" t="str">
            <v>品牌直发</v>
          </cell>
          <cell r="I349">
            <v>0</v>
          </cell>
        </row>
        <row r="350">
          <cell r="D350">
            <v>11133703</v>
          </cell>
          <cell r="E350" t="str">
            <v>伯希和/PELLIOT</v>
          </cell>
          <cell r="F350" t="str">
            <v>服装-上衣-卫衣</v>
          </cell>
          <cell r="G350" t="str">
            <v>一品一商</v>
          </cell>
          <cell r="H350" t="str">
            <v>品牌直发</v>
          </cell>
          <cell r="I350">
            <v>0</v>
          </cell>
        </row>
        <row r="351">
          <cell r="D351">
            <v>12221528</v>
          </cell>
          <cell r="E351" t="str">
            <v>伯希和/PELLIOT</v>
          </cell>
          <cell r="F351" t="str">
            <v>女装-上衣-T恤</v>
          </cell>
          <cell r="G351" t="str">
            <v>一品一商</v>
          </cell>
          <cell r="H351" t="str">
            <v>品牌直发</v>
          </cell>
          <cell r="I351">
            <v>0</v>
          </cell>
        </row>
        <row r="352">
          <cell r="D352">
            <v>12140112</v>
          </cell>
          <cell r="E352" t="str">
            <v>伯希和/PELLIOT</v>
          </cell>
          <cell r="F352" t="str">
            <v>女装-外套-冲锋衣</v>
          </cell>
          <cell r="G352" t="str">
            <v>一品多商</v>
          </cell>
          <cell r="H352" t="str">
            <v>品牌直发</v>
          </cell>
          <cell r="I352">
            <v>0</v>
          </cell>
        </row>
        <row r="353">
          <cell r="D353">
            <v>11130709</v>
          </cell>
          <cell r="E353" t="str">
            <v>伯希和/PELLIOT</v>
          </cell>
          <cell r="F353" t="str">
            <v>服装-长裤-软壳裤</v>
          </cell>
          <cell r="G353" t="str">
            <v>一品一商</v>
          </cell>
          <cell r="H353" t="str">
            <v>品牌直发</v>
          </cell>
          <cell r="I353">
            <v>0</v>
          </cell>
        </row>
        <row r="354">
          <cell r="D354">
            <v>11121269</v>
          </cell>
          <cell r="E354" t="str">
            <v>伯希和/PELLIOT</v>
          </cell>
          <cell r="F354" t="str">
            <v>服装-外套-防晒服</v>
          </cell>
          <cell r="G354" t="str">
            <v>一品一商</v>
          </cell>
          <cell r="H354" t="str">
            <v>品牌直发</v>
          </cell>
          <cell r="I354">
            <v>0</v>
          </cell>
        </row>
        <row r="355">
          <cell r="D355">
            <v>11221219</v>
          </cell>
          <cell r="E355" t="str">
            <v>伯希和/PELLIOT</v>
          </cell>
          <cell r="F355" t="str">
            <v>服装-外套-防晒服</v>
          </cell>
          <cell r="G355" t="str">
            <v>一品多商</v>
          </cell>
          <cell r="H355" t="str">
            <v>品牌直发</v>
          </cell>
          <cell r="I355">
            <v>0</v>
          </cell>
        </row>
        <row r="356">
          <cell r="D356">
            <v>12321248</v>
          </cell>
          <cell r="E356" t="str">
            <v>伯希和/PELLIOT</v>
          </cell>
          <cell r="F356" t="str">
            <v>女装-外套-防晒服</v>
          </cell>
          <cell r="G356" t="str">
            <v>一品多商</v>
          </cell>
          <cell r="H356" t="str">
            <v>品牌直发</v>
          </cell>
          <cell r="I356">
            <v>0</v>
          </cell>
        </row>
        <row r="357">
          <cell r="D357">
            <v>12221440</v>
          </cell>
          <cell r="E357" t="str">
            <v>伯希和/PELLIOT</v>
          </cell>
          <cell r="F357" t="str">
            <v>女装-户外运动服-速干裤</v>
          </cell>
          <cell r="G357" t="str">
            <v>一品一商</v>
          </cell>
          <cell r="H357" t="str">
            <v>品牌直发</v>
          </cell>
          <cell r="I357">
            <v>0</v>
          </cell>
        </row>
        <row r="358">
          <cell r="D358">
            <v>112221430</v>
          </cell>
          <cell r="E358" t="str">
            <v>伯希和/PELLIOT</v>
          </cell>
          <cell r="F358" t="str">
            <v>服装-户外运动服-速干裤</v>
          </cell>
          <cell r="G358" t="str">
            <v>一品一商</v>
          </cell>
          <cell r="H358" t="str">
            <v>品牌直发</v>
          </cell>
          <cell r="I358">
            <v>0</v>
          </cell>
        </row>
        <row r="359">
          <cell r="D359">
            <v>112221530</v>
          </cell>
          <cell r="E359" t="str">
            <v>伯希和/PELLIOT</v>
          </cell>
          <cell r="F359" t="str">
            <v>服装-上衣-T恤</v>
          </cell>
          <cell r="G359" t="str">
            <v>一品多商</v>
          </cell>
          <cell r="H359" t="str">
            <v>品牌直发</v>
          </cell>
          <cell r="I359">
            <v>0</v>
          </cell>
        </row>
        <row r="360">
          <cell r="D360" t="str">
            <v>16403641-2025</v>
          </cell>
          <cell r="E360" t="str">
            <v>伯希和/PELLIOT</v>
          </cell>
          <cell r="F360" t="str">
            <v>户外装备-徒步/攀登-登山杖/手杖</v>
          </cell>
          <cell r="G360" t="str">
            <v>一品一商</v>
          </cell>
          <cell r="H360" t="str">
            <v>品牌直发</v>
          </cell>
          <cell r="I360">
            <v>0</v>
          </cell>
        </row>
        <row r="361">
          <cell r="D361" t="str">
            <v>16003601-2025</v>
          </cell>
          <cell r="E361" t="str">
            <v>伯希和/PELLIOT</v>
          </cell>
          <cell r="F361" t="str">
            <v>户外装备-徒步/攀登-登山杖/手杖</v>
          </cell>
          <cell r="G361" t="str">
            <v>一品一商</v>
          </cell>
          <cell r="H361" t="str">
            <v>品牌直发</v>
          </cell>
          <cell r="I361">
            <v>0</v>
          </cell>
        </row>
        <row r="362">
          <cell r="D362" t="str">
            <v>16303650-2025</v>
          </cell>
          <cell r="E362" t="str">
            <v>伯希和/PELLIOT</v>
          </cell>
          <cell r="F362" t="str">
            <v>户外装备-徒步/攀登-登山杖/手杖</v>
          </cell>
          <cell r="G362" t="str">
            <v>一品一商</v>
          </cell>
          <cell r="H362" t="str">
            <v>普通现货</v>
          </cell>
          <cell r="I362">
            <v>0</v>
          </cell>
        </row>
        <row r="363">
          <cell r="D363">
            <v>115376009</v>
          </cell>
          <cell r="E363" t="str">
            <v>伯希和/PELLIOT</v>
          </cell>
          <cell r="F363" t="str">
            <v>服装-外套-棉服</v>
          </cell>
          <cell r="G363" t="str">
            <v>一品多商</v>
          </cell>
          <cell r="H363" t="str">
            <v>普通现货</v>
          </cell>
          <cell r="I363">
            <v>0</v>
          </cell>
        </row>
        <row r="364">
          <cell r="D364" t="str">
            <v>16403602-2025</v>
          </cell>
          <cell r="E364" t="str">
            <v>伯希和/PELLIOT</v>
          </cell>
          <cell r="F364" t="str">
            <v>户外装备-徒步/攀登-登山杖/手杖</v>
          </cell>
          <cell r="G364" t="str">
            <v>一品一商</v>
          </cell>
          <cell r="H364" t="str">
            <v>品牌直发</v>
          </cell>
          <cell r="I364">
            <v>0</v>
          </cell>
        </row>
        <row r="365">
          <cell r="D365" t="str">
            <v>16105717-2025</v>
          </cell>
          <cell r="E365" t="str">
            <v>伯希和/PELLIOT</v>
          </cell>
          <cell r="F365" t="str">
            <v>户外装备-露营/野炊装备-户外折叠椅/凳</v>
          </cell>
          <cell r="G365" t="str">
            <v>一品一商</v>
          </cell>
          <cell r="H365" t="str">
            <v>品牌直发</v>
          </cell>
          <cell r="I365">
            <v>0</v>
          </cell>
        </row>
        <row r="366">
          <cell r="D366">
            <v>105025023</v>
          </cell>
          <cell r="E366" t="str">
            <v>伯希和/PELLIOT</v>
          </cell>
          <cell r="F366" t="str">
            <v>箱包-包袋-双肩包</v>
          </cell>
          <cell r="G366" t="str">
            <v>一品一商</v>
          </cell>
          <cell r="H366" t="str">
            <v>品牌直发</v>
          </cell>
          <cell r="I366">
            <v>0</v>
          </cell>
        </row>
        <row r="367">
          <cell r="D367">
            <v>165025027</v>
          </cell>
          <cell r="E367" t="str">
            <v>伯希和/PELLIOT</v>
          </cell>
          <cell r="F367" t="str">
            <v>箱包-包袋-户外包</v>
          </cell>
          <cell r="G367" t="str">
            <v>一品一商</v>
          </cell>
          <cell r="H367" t="str">
            <v>品牌直发</v>
          </cell>
          <cell r="I367">
            <v>0</v>
          </cell>
        </row>
        <row r="368">
          <cell r="D368" t="str">
            <v>125307006-2025</v>
          </cell>
          <cell r="E368" t="str">
            <v>伯希和/PELLIOT</v>
          </cell>
          <cell r="F368" t="str">
            <v>女装-长裤-软壳裤</v>
          </cell>
          <cell r="G368" t="str">
            <v>一品多商</v>
          </cell>
          <cell r="H368" t="str">
            <v>普通现货</v>
          </cell>
          <cell r="I368">
            <v>0</v>
          </cell>
        </row>
        <row r="369">
          <cell r="D369">
            <v>125316033</v>
          </cell>
          <cell r="E369" t="str">
            <v>伯希和/PELLIOT</v>
          </cell>
          <cell r="F369" t="str">
            <v>女装-上衣-T恤</v>
          </cell>
          <cell r="G369" t="str">
            <v>一品多商</v>
          </cell>
          <cell r="H369" t="str">
            <v>品牌直发</v>
          </cell>
          <cell r="I369">
            <v>0</v>
          </cell>
        </row>
        <row r="370">
          <cell r="D370" t="str">
            <v>105301056-2025</v>
          </cell>
          <cell r="E370" t="str">
            <v>伯希和/PELLIOT</v>
          </cell>
          <cell r="F370" t="str">
            <v>女装-外套-冲锋衣</v>
          </cell>
          <cell r="G370" t="str">
            <v>一品多商</v>
          </cell>
          <cell r="H370" t="str">
            <v>品牌直发</v>
          </cell>
          <cell r="I370">
            <v>0</v>
          </cell>
        </row>
        <row r="371">
          <cell r="D371" t="str">
            <v>124301006-2025</v>
          </cell>
          <cell r="E371" t="str">
            <v>伯希和/PELLIOT</v>
          </cell>
          <cell r="F371" t="str">
            <v>女装-外套-冲锋衣</v>
          </cell>
          <cell r="G371" t="str">
            <v>一品一商</v>
          </cell>
          <cell r="H371" t="str">
            <v>品牌直发</v>
          </cell>
          <cell r="I371">
            <v>0</v>
          </cell>
        </row>
        <row r="372">
          <cell r="D372" t="str">
            <v>124101048-2025</v>
          </cell>
          <cell r="E372" t="str">
            <v>伯希和/PELLIOT</v>
          </cell>
          <cell r="F372" t="str">
            <v>女装-外套-冲锋衣</v>
          </cell>
          <cell r="G372" t="str">
            <v>一品多商</v>
          </cell>
          <cell r="H372" t="str">
            <v>品牌直发</v>
          </cell>
          <cell r="I372">
            <v>0</v>
          </cell>
        </row>
        <row r="373">
          <cell r="D373" t="str">
            <v>124301070-2025</v>
          </cell>
          <cell r="E373" t="str">
            <v>伯希和/PELLIOT</v>
          </cell>
          <cell r="F373" t="str">
            <v>女装-外套-冲锋衣</v>
          </cell>
          <cell r="G373" t="str">
            <v>一品多商</v>
          </cell>
          <cell r="H373" t="str">
            <v>品牌直发</v>
          </cell>
          <cell r="I373">
            <v>0</v>
          </cell>
        </row>
        <row r="374">
          <cell r="D374">
            <v>115306017</v>
          </cell>
          <cell r="E374" t="str">
            <v>伯希和/PELLIOT</v>
          </cell>
          <cell r="F374" t="str">
            <v>服装-外套-软壳衣</v>
          </cell>
          <cell r="G374" t="str">
            <v>一品多商</v>
          </cell>
          <cell r="H374" t="str">
            <v>品牌直发</v>
          </cell>
          <cell r="I374">
            <v>0</v>
          </cell>
        </row>
        <row r="375">
          <cell r="D375">
            <v>105101023</v>
          </cell>
          <cell r="E375" t="str">
            <v>伯希和/PELLIOT</v>
          </cell>
          <cell r="F375" t="str">
            <v>服装-外套-冲锋衣</v>
          </cell>
          <cell r="G375" t="str">
            <v>一品多商</v>
          </cell>
          <cell r="H375" t="str">
            <v>品牌直发</v>
          </cell>
          <cell r="I375">
            <v>0</v>
          </cell>
        </row>
        <row r="376">
          <cell r="D376">
            <v>105301083</v>
          </cell>
          <cell r="E376" t="str">
            <v>伯希和/PELLIOT</v>
          </cell>
          <cell r="F376" t="str">
            <v>服装-外套-冲锋衣</v>
          </cell>
          <cell r="G376" t="str">
            <v>一品多商</v>
          </cell>
          <cell r="H376" t="str">
            <v>品牌直发</v>
          </cell>
          <cell r="I376">
            <v>0</v>
          </cell>
        </row>
        <row r="377">
          <cell r="D377">
            <v>105301051</v>
          </cell>
          <cell r="E377" t="str">
            <v>伯希和/PELLIOT</v>
          </cell>
          <cell r="F377" t="str">
            <v>服装-外套-冲锋衣</v>
          </cell>
          <cell r="G377" t="str">
            <v>一品多商</v>
          </cell>
          <cell r="H377" t="str">
            <v>普通现货</v>
          </cell>
          <cell r="I377">
            <v>0</v>
          </cell>
        </row>
        <row r="378">
          <cell r="D378">
            <v>125302004</v>
          </cell>
          <cell r="E378" t="str">
            <v>伯希和/PELLIOT</v>
          </cell>
          <cell r="F378" t="str">
            <v>女装-长裤-冲锋裤</v>
          </cell>
          <cell r="G378" t="str">
            <v>一品多商</v>
          </cell>
          <cell r="H378" t="str">
            <v>品牌直发</v>
          </cell>
          <cell r="I378">
            <v>0</v>
          </cell>
        </row>
        <row r="379">
          <cell r="D379">
            <v>125302008</v>
          </cell>
          <cell r="E379" t="str">
            <v>伯希和/PELLIOT</v>
          </cell>
          <cell r="F379" t="str">
            <v>女装-长裤-冲锋裤</v>
          </cell>
          <cell r="G379" t="str">
            <v>一品多商</v>
          </cell>
          <cell r="H379" t="str">
            <v>品牌直发</v>
          </cell>
          <cell r="I379">
            <v>0</v>
          </cell>
        </row>
        <row r="380">
          <cell r="D380">
            <v>105301059</v>
          </cell>
          <cell r="E380" t="str">
            <v>伯希和/PELLIOT</v>
          </cell>
          <cell r="F380" t="str">
            <v>服装-外套-冲锋衣</v>
          </cell>
          <cell r="G380" t="str">
            <v>一品多商</v>
          </cell>
          <cell r="H380" t="str">
            <v>品牌直发</v>
          </cell>
          <cell r="I380">
            <v>0</v>
          </cell>
        </row>
        <row r="381">
          <cell r="D381" t="str">
            <v>125301055-新加色</v>
          </cell>
          <cell r="E381" t="str">
            <v>伯希和/PELLIOT</v>
          </cell>
          <cell r="F381" t="str">
            <v>女装-外套-冲锋衣</v>
          </cell>
          <cell r="G381" t="str">
            <v>一品多商</v>
          </cell>
          <cell r="H381" t="str">
            <v>品牌直发</v>
          </cell>
          <cell r="I381">
            <v>0</v>
          </cell>
        </row>
        <row r="382">
          <cell r="D382" t="str">
            <v>12040106-新加色</v>
          </cell>
          <cell r="E382" t="str">
            <v>伯希和/PELLIOT</v>
          </cell>
          <cell r="F382" t="str">
            <v>女装-外套-冲锋衣</v>
          </cell>
          <cell r="G382" t="str">
            <v>一品一商</v>
          </cell>
          <cell r="H382" t="str">
            <v>品牌直发</v>
          </cell>
          <cell r="I382">
            <v>0</v>
          </cell>
        </row>
        <row r="383">
          <cell r="D383">
            <v>125220002</v>
          </cell>
          <cell r="E383" t="str">
            <v>伯希和/PELLIOT</v>
          </cell>
          <cell r="F383" t="str">
            <v>鞋-凉鞋/拖鞋-溯溪鞋</v>
          </cell>
          <cell r="G383" t="str">
            <v>一品一商</v>
          </cell>
          <cell r="H383" t="str">
            <v>品牌直发</v>
          </cell>
          <cell r="I383">
            <v>0</v>
          </cell>
        </row>
        <row r="384">
          <cell r="D384">
            <v>115106014</v>
          </cell>
          <cell r="E384" t="str">
            <v>伯希和/PELLIOT</v>
          </cell>
          <cell r="F384" t="str">
            <v>服装-外套-软壳衣</v>
          </cell>
          <cell r="G384" t="str">
            <v>一品多商</v>
          </cell>
          <cell r="H384" t="str">
            <v>品牌直发</v>
          </cell>
          <cell r="I384">
            <v>0</v>
          </cell>
        </row>
        <row r="385">
          <cell r="D385">
            <v>135101016</v>
          </cell>
          <cell r="E385" t="str">
            <v>伯希和/PELLIOT</v>
          </cell>
          <cell r="F385" t="str">
            <v>童装-儿童上装-冲锋衣</v>
          </cell>
          <cell r="G385" t="str">
            <v>一品一商</v>
          </cell>
          <cell r="H385" t="str">
            <v>品牌直发</v>
          </cell>
          <cell r="I385">
            <v>0</v>
          </cell>
        </row>
        <row r="386">
          <cell r="D386">
            <v>125251019</v>
          </cell>
          <cell r="E386" t="str">
            <v>伯希和/PELLIOT</v>
          </cell>
          <cell r="F386" t="str">
            <v>女装-外套-夹克</v>
          </cell>
          <cell r="G386" t="str">
            <v>一品多商</v>
          </cell>
          <cell r="H386" t="str">
            <v>品牌直发</v>
          </cell>
          <cell r="I386">
            <v>0</v>
          </cell>
        </row>
        <row r="387">
          <cell r="D387">
            <v>115251018</v>
          </cell>
          <cell r="E387" t="str">
            <v>伯希和/PELLIOT</v>
          </cell>
          <cell r="F387" t="str">
            <v>服装-外套-夹克</v>
          </cell>
          <cell r="G387" t="str">
            <v>一品多商</v>
          </cell>
          <cell r="H387" t="str">
            <v>品牌直发</v>
          </cell>
          <cell r="I387">
            <v>0</v>
          </cell>
        </row>
        <row r="388">
          <cell r="D388">
            <v>105101076</v>
          </cell>
          <cell r="E388" t="str">
            <v>伯希和/PELLIOT</v>
          </cell>
          <cell r="F388" t="str">
            <v>服装-外套-冲锋衣</v>
          </cell>
          <cell r="G388" t="str">
            <v>一品多商</v>
          </cell>
          <cell r="H388" t="str">
            <v>品牌直发</v>
          </cell>
          <cell r="I388">
            <v>0</v>
          </cell>
        </row>
        <row r="389">
          <cell r="D389" t="str">
            <v>11340105-2025</v>
          </cell>
          <cell r="E389" t="str">
            <v>伯希和/PELLIOT</v>
          </cell>
          <cell r="F389" t="str">
            <v>服装-外套-冲锋衣</v>
          </cell>
          <cell r="G389" t="str">
            <v>一品多商</v>
          </cell>
          <cell r="H389" t="str">
            <v>品牌直发</v>
          </cell>
          <cell r="I389">
            <v>0</v>
          </cell>
        </row>
        <row r="390">
          <cell r="D390">
            <v>135178022</v>
          </cell>
          <cell r="E390" t="str">
            <v>伯希和/PELLIOT</v>
          </cell>
          <cell r="F390" t="str">
            <v>童装-儿童下装-儿童运动裤</v>
          </cell>
          <cell r="G390" t="str">
            <v>一品一商</v>
          </cell>
          <cell r="H390" t="str">
            <v>品牌直发</v>
          </cell>
          <cell r="I390">
            <v>0</v>
          </cell>
        </row>
        <row r="391">
          <cell r="D391">
            <v>115119029</v>
          </cell>
          <cell r="E391" t="str">
            <v>伯希和/PELLIOT</v>
          </cell>
          <cell r="F391" t="str">
            <v>鞋-运动鞋-越野跑鞋</v>
          </cell>
          <cell r="G391" t="str">
            <v>一品多商</v>
          </cell>
          <cell r="H391" t="str">
            <v>品牌直发</v>
          </cell>
          <cell r="I391">
            <v>0</v>
          </cell>
        </row>
        <row r="392">
          <cell r="D392">
            <v>125119030</v>
          </cell>
          <cell r="E392" t="str">
            <v>伯希和/PELLIOT</v>
          </cell>
          <cell r="F392" t="str">
            <v>鞋-运动鞋-越野跑鞋</v>
          </cell>
          <cell r="G392" t="str">
            <v>一品多商</v>
          </cell>
          <cell r="H392" t="str">
            <v>品牌直发</v>
          </cell>
          <cell r="I392">
            <v>0</v>
          </cell>
        </row>
        <row r="393">
          <cell r="D393">
            <v>115151007</v>
          </cell>
          <cell r="E393" t="str">
            <v>伯希和/PELLIOT</v>
          </cell>
          <cell r="F393" t="str">
            <v>服装-外套-夹克</v>
          </cell>
          <cell r="G393" t="str">
            <v>一品多商</v>
          </cell>
          <cell r="H393" t="str">
            <v>品牌直发</v>
          </cell>
          <cell r="I393">
            <v>0</v>
          </cell>
        </row>
        <row r="394">
          <cell r="D394">
            <v>115215009</v>
          </cell>
          <cell r="E394" t="str">
            <v>伯希和/PELLIOT</v>
          </cell>
          <cell r="F394" t="str">
            <v>服装-上衣-Polo衫</v>
          </cell>
          <cell r="G394" t="str">
            <v>一品一商</v>
          </cell>
          <cell r="H394" t="str">
            <v>品牌直发</v>
          </cell>
          <cell r="I394">
            <v>0</v>
          </cell>
        </row>
        <row r="395">
          <cell r="D395">
            <v>115122023</v>
          </cell>
          <cell r="E395" t="str">
            <v>伯希和/PELLIOT</v>
          </cell>
          <cell r="F395" t="str">
            <v>鞋-运动鞋-登山鞋/徒步鞋</v>
          </cell>
          <cell r="G395" t="str">
            <v>一品一商</v>
          </cell>
          <cell r="H395" t="str">
            <v>品牌直发</v>
          </cell>
          <cell r="I395">
            <v>0</v>
          </cell>
        </row>
        <row r="396">
          <cell r="D396">
            <v>125122024</v>
          </cell>
          <cell r="E396" t="str">
            <v>伯希和/PELLIOT</v>
          </cell>
          <cell r="F396" t="str">
            <v>鞋-运动鞋-登山鞋/徒步鞋</v>
          </cell>
          <cell r="G396" t="str">
            <v>一品一商</v>
          </cell>
          <cell r="H396" t="str">
            <v>品牌直发</v>
          </cell>
          <cell r="I396">
            <v>0</v>
          </cell>
        </row>
        <row r="397">
          <cell r="D397">
            <v>115215007</v>
          </cell>
          <cell r="E397" t="str">
            <v>伯希和/PELLIOT</v>
          </cell>
          <cell r="F397" t="str">
            <v>服装-上衣-Polo衫</v>
          </cell>
          <cell r="G397" t="str">
            <v>一品多商</v>
          </cell>
          <cell r="H397" t="str">
            <v>品牌直发</v>
          </cell>
          <cell r="I397">
            <v>0</v>
          </cell>
        </row>
        <row r="398">
          <cell r="D398">
            <v>125215048</v>
          </cell>
          <cell r="E398" t="str">
            <v>伯希和/PELLIOT</v>
          </cell>
          <cell r="F398" t="str">
            <v>女装-户外运动服-速干T恤</v>
          </cell>
          <cell r="G398" t="str">
            <v>一品一商</v>
          </cell>
          <cell r="H398" t="str">
            <v>品牌直发</v>
          </cell>
          <cell r="I398">
            <v>0</v>
          </cell>
        </row>
        <row r="399">
          <cell r="D399">
            <v>115214015</v>
          </cell>
          <cell r="E399" t="str">
            <v>伯希和/PELLIOT</v>
          </cell>
          <cell r="F399" t="str">
            <v>服装-户外运动服-速干裤</v>
          </cell>
          <cell r="G399" t="str">
            <v>一品一商</v>
          </cell>
          <cell r="H399" t="str">
            <v>品牌直发</v>
          </cell>
          <cell r="I399">
            <v>0</v>
          </cell>
        </row>
        <row r="400">
          <cell r="D400">
            <v>125214016</v>
          </cell>
          <cell r="E400" t="str">
            <v>伯希和/PELLIOT</v>
          </cell>
          <cell r="F400" t="str">
            <v>女装-短裙-休闲短裙</v>
          </cell>
          <cell r="G400" t="str">
            <v>一品一商</v>
          </cell>
          <cell r="H400" t="str">
            <v>品牌直发</v>
          </cell>
          <cell r="I400">
            <v>0</v>
          </cell>
        </row>
        <row r="401">
          <cell r="D401">
            <v>135212024</v>
          </cell>
          <cell r="E401" t="str">
            <v>伯希和/PELLIOT</v>
          </cell>
          <cell r="F401" t="str">
            <v>童装-儿童上装-防晒衣</v>
          </cell>
          <cell r="G401" t="str">
            <v>一品多商</v>
          </cell>
          <cell r="H401" t="str">
            <v>品牌直发</v>
          </cell>
          <cell r="I401">
            <v>0</v>
          </cell>
        </row>
        <row r="402">
          <cell r="D402">
            <v>135215035</v>
          </cell>
          <cell r="E402" t="str">
            <v>伯希和/PELLIOT</v>
          </cell>
          <cell r="F402" t="str">
            <v>童装-儿童上装-T恤</v>
          </cell>
          <cell r="G402" t="str">
            <v>一品一商</v>
          </cell>
          <cell r="H402" t="str">
            <v>品牌直发</v>
          </cell>
          <cell r="I402">
            <v>0</v>
          </cell>
        </row>
        <row r="403">
          <cell r="D403">
            <v>125214019</v>
          </cell>
          <cell r="E403" t="str">
            <v>伯希和/PELLIOT</v>
          </cell>
          <cell r="F403" t="str">
            <v>女装-长裙-休闲长裙</v>
          </cell>
          <cell r="G403" t="str">
            <v>一品多商</v>
          </cell>
          <cell r="H403" t="str">
            <v>品牌直发</v>
          </cell>
          <cell r="I403">
            <v>0</v>
          </cell>
        </row>
        <row r="404">
          <cell r="D404">
            <v>135215036</v>
          </cell>
          <cell r="E404" t="str">
            <v>伯希和/PELLIOT</v>
          </cell>
          <cell r="F404" t="str">
            <v>童装-儿童上装-T恤</v>
          </cell>
          <cell r="G404" t="str">
            <v>一品一商</v>
          </cell>
          <cell r="H404" t="str">
            <v>品牌直发</v>
          </cell>
          <cell r="I404">
            <v>0</v>
          </cell>
        </row>
        <row r="405">
          <cell r="D405">
            <v>135214018</v>
          </cell>
          <cell r="E405" t="str">
            <v>伯希和/PELLIOT</v>
          </cell>
          <cell r="F405" t="str">
            <v>童装-儿童下装-儿童速干裤</v>
          </cell>
          <cell r="G405" t="str">
            <v>一品多商</v>
          </cell>
          <cell r="H405" t="str">
            <v>品牌直发</v>
          </cell>
          <cell r="I405">
            <v>0</v>
          </cell>
        </row>
        <row r="406">
          <cell r="D406">
            <v>115215005</v>
          </cell>
          <cell r="E406" t="str">
            <v>伯希和/PELLIOT</v>
          </cell>
          <cell r="F406" t="str">
            <v>服装-户外运动服-速干T恤</v>
          </cell>
          <cell r="G406" t="str">
            <v>一品多商</v>
          </cell>
          <cell r="H406" t="str">
            <v>品牌直发</v>
          </cell>
          <cell r="I406">
            <v>0</v>
          </cell>
        </row>
        <row r="407">
          <cell r="D407">
            <v>125119028</v>
          </cell>
          <cell r="E407" t="str">
            <v>伯希和/PELLIOT</v>
          </cell>
          <cell r="F407" t="str">
            <v>鞋-运动鞋-登山鞋/徒步鞋</v>
          </cell>
          <cell r="G407" t="str">
            <v>一品一商</v>
          </cell>
          <cell r="H407" t="str">
            <v>品牌直发</v>
          </cell>
          <cell r="I407">
            <v>0</v>
          </cell>
        </row>
        <row r="408">
          <cell r="D408">
            <v>115215037</v>
          </cell>
          <cell r="E408" t="str">
            <v>伯希和/PELLIOT</v>
          </cell>
          <cell r="F408" t="str">
            <v>服装-上衣-Polo衫</v>
          </cell>
          <cell r="G408" t="str">
            <v>一品一商</v>
          </cell>
          <cell r="H408" t="str">
            <v>品牌直发</v>
          </cell>
          <cell r="I408">
            <v>0</v>
          </cell>
        </row>
        <row r="409">
          <cell r="D409">
            <v>125215046</v>
          </cell>
          <cell r="E409" t="str">
            <v>伯希和/PELLIOT</v>
          </cell>
          <cell r="F409" t="str">
            <v>女装-上衣-T恤</v>
          </cell>
          <cell r="G409" t="str">
            <v>一品一商</v>
          </cell>
          <cell r="H409" t="str">
            <v>品牌直发</v>
          </cell>
          <cell r="I409">
            <v>0</v>
          </cell>
        </row>
        <row r="410">
          <cell r="D410">
            <v>115215030</v>
          </cell>
          <cell r="E410" t="str">
            <v>伯希和/PELLIOT</v>
          </cell>
          <cell r="F410" t="str">
            <v>服装-上衣-T恤</v>
          </cell>
          <cell r="G410" t="str">
            <v>一品一商</v>
          </cell>
          <cell r="H410" t="str">
            <v>品牌直发</v>
          </cell>
          <cell r="I410">
            <v>0</v>
          </cell>
        </row>
        <row r="411">
          <cell r="D411">
            <v>115119027</v>
          </cell>
          <cell r="E411" t="str">
            <v>伯希和/PELLIOT</v>
          </cell>
          <cell r="F411" t="str">
            <v>鞋-运动鞋-越野跑鞋</v>
          </cell>
          <cell r="G411" t="str">
            <v>一品多商</v>
          </cell>
          <cell r="H411" t="str">
            <v>品牌直发</v>
          </cell>
          <cell r="I411">
            <v>0</v>
          </cell>
        </row>
        <row r="412">
          <cell r="D412">
            <v>105101011</v>
          </cell>
          <cell r="E412" t="str">
            <v>伯希和/PELLIOT</v>
          </cell>
          <cell r="F412" t="str">
            <v>服装-外套-冲锋衣</v>
          </cell>
          <cell r="G412" t="str">
            <v>一品多商</v>
          </cell>
          <cell r="H412" t="str">
            <v>品牌直发</v>
          </cell>
          <cell r="I412">
            <v>0</v>
          </cell>
        </row>
        <row r="413">
          <cell r="D413">
            <v>125215038</v>
          </cell>
          <cell r="E413" t="str">
            <v>伯希和/PELLIOT</v>
          </cell>
          <cell r="F413" t="str">
            <v>女装-上衣-Polo衫</v>
          </cell>
          <cell r="G413" t="str">
            <v>一品一商</v>
          </cell>
          <cell r="H413" t="str">
            <v>品牌直发</v>
          </cell>
          <cell r="I413">
            <v>0</v>
          </cell>
        </row>
        <row r="414">
          <cell r="D414">
            <v>115215021</v>
          </cell>
          <cell r="E414" t="str">
            <v>伯希和/PELLIOT</v>
          </cell>
          <cell r="F414" t="str">
            <v>服装-上衣-T恤</v>
          </cell>
          <cell r="G414" t="str">
            <v>一品一商</v>
          </cell>
          <cell r="H414" t="str">
            <v>品牌直发</v>
          </cell>
          <cell r="I414">
            <v>0</v>
          </cell>
        </row>
        <row r="415">
          <cell r="D415">
            <v>125215022</v>
          </cell>
          <cell r="E415" t="str">
            <v>伯希和/PELLIOT</v>
          </cell>
          <cell r="F415" t="str">
            <v>女装-户外运动服-跑步T恤</v>
          </cell>
          <cell r="G415" t="str">
            <v>一品一商</v>
          </cell>
          <cell r="H415" t="str">
            <v>品牌直发</v>
          </cell>
          <cell r="I415">
            <v>0</v>
          </cell>
        </row>
        <row r="416">
          <cell r="D416">
            <v>115212003</v>
          </cell>
          <cell r="E416" t="str">
            <v>伯希和/PELLIOT</v>
          </cell>
          <cell r="F416" t="str">
            <v>服装-外套-防晒服</v>
          </cell>
          <cell r="G416" t="str">
            <v>一品多商</v>
          </cell>
          <cell r="H416" t="str">
            <v>品牌直发</v>
          </cell>
          <cell r="I416">
            <v>0</v>
          </cell>
        </row>
        <row r="417">
          <cell r="D417">
            <v>105025008</v>
          </cell>
          <cell r="E417" t="str">
            <v>伯希和/PELLIOT</v>
          </cell>
          <cell r="F417" t="str">
            <v>箱包-包袋-户外包</v>
          </cell>
          <cell r="G417" t="str">
            <v>一品多商</v>
          </cell>
          <cell r="H417" t="str">
            <v>品牌直发</v>
          </cell>
          <cell r="I417">
            <v>0</v>
          </cell>
        </row>
        <row r="418">
          <cell r="D418">
            <v>125220022</v>
          </cell>
          <cell r="E418" t="str">
            <v>伯希和/PELLIOT</v>
          </cell>
          <cell r="F418" t="str">
            <v>鞋-凉鞋/拖鞋-溯溪鞋</v>
          </cell>
          <cell r="G418" t="str">
            <v>一品多商</v>
          </cell>
          <cell r="H418" t="str">
            <v>品牌直发</v>
          </cell>
          <cell r="I418">
            <v>0</v>
          </cell>
        </row>
        <row r="419">
          <cell r="D419">
            <v>125215024</v>
          </cell>
          <cell r="E419" t="str">
            <v>伯希和/PELLIOT</v>
          </cell>
          <cell r="F419" t="str">
            <v>女装-户外运动服-速干T恤</v>
          </cell>
          <cell r="G419" t="str">
            <v>一品多商</v>
          </cell>
          <cell r="H419" t="str">
            <v>品牌直发</v>
          </cell>
          <cell r="I419">
            <v>0</v>
          </cell>
        </row>
        <row r="420">
          <cell r="D420">
            <v>125215018</v>
          </cell>
          <cell r="E420" t="str">
            <v>伯希和/PELLIOT</v>
          </cell>
          <cell r="F420" t="str">
            <v>女装-户外运动服-速干T恤</v>
          </cell>
          <cell r="G420" t="str">
            <v>一品一商</v>
          </cell>
          <cell r="H420" t="str">
            <v>品牌直发</v>
          </cell>
          <cell r="I420">
            <v>0</v>
          </cell>
        </row>
        <row r="421">
          <cell r="D421">
            <v>125215008</v>
          </cell>
          <cell r="E421" t="str">
            <v>伯希和/PELLIOT</v>
          </cell>
          <cell r="F421" t="str">
            <v>女装-上衣-Polo衫</v>
          </cell>
          <cell r="G421" t="str">
            <v>一品一商</v>
          </cell>
          <cell r="H421" t="str">
            <v>品牌直发</v>
          </cell>
          <cell r="I421">
            <v>0</v>
          </cell>
        </row>
        <row r="422">
          <cell r="D422">
            <v>115215023</v>
          </cell>
          <cell r="E422" t="str">
            <v>伯希和/PELLIOT</v>
          </cell>
          <cell r="F422" t="str">
            <v>服装-上衣-T恤</v>
          </cell>
          <cell r="G422" t="str">
            <v>一品多商</v>
          </cell>
          <cell r="H422" t="str">
            <v>品牌直发</v>
          </cell>
          <cell r="I422">
            <v>0</v>
          </cell>
        </row>
        <row r="423">
          <cell r="D423">
            <v>115215017</v>
          </cell>
          <cell r="E423" t="str">
            <v>伯希和/PELLIOT</v>
          </cell>
          <cell r="F423" t="str">
            <v>服装-上衣-T恤</v>
          </cell>
          <cell r="G423" t="str">
            <v>一品一商</v>
          </cell>
          <cell r="H423" t="str">
            <v>品牌直发</v>
          </cell>
          <cell r="I423">
            <v>0</v>
          </cell>
        </row>
        <row r="424">
          <cell r="D424">
            <v>115215039</v>
          </cell>
          <cell r="E424" t="str">
            <v>伯希和/PELLIOT</v>
          </cell>
          <cell r="F424" t="str">
            <v>服装-上衣-Polo衫</v>
          </cell>
          <cell r="G424" t="str">
            <v>一品多商</v>
          </cell>
          <cell r="H424" t="str">
            <v>品牌直发</v>
          </cell>
          <cell r="I424">
            <v>0</v>
          </cell>
        </row>
        <row r="425">
          <cell r="D425">
            <v>115278007</v>
          </cell>
          <cell r="E425" t="str">
            <v>伯希和/PELLIOT</v>
          </cell>
          <cell r="F425" t="str">
            <v>服装-长裤-休闲裤</v>
          </cell>
          <cell r="G425" t="str">
            <v>一品一商</v>
          </cell>
          <cell r="H425" t="str">
            <v>品牌直发</v>
          </cell>
          <cell r="I425">
            <v>0</v>
          </cell>
        </row>
        <row r="426">
          <cell r="D426">
            <v>115212005</v>
          </cell>
          <cell r="E426" t="str">
            <v>伯希和/PELLIOT</v>
          </cell>
          <cell r="F426" t="str">
            <v>服装-外套-防晒服</v>
          </cell>
          <cell r="G426" t="str">
            <v>一品多商</v>
          </cell>
          <cell r="H426" t="str">
            <v>品牌直发</v>
          </cell>
          <cell r="I426">
            <v>0</v>
          </cell>
        </row>
        <row r="427">
          <cell r="D427">
            <v>115151005</v>
          </cell>
          <cell r="E427" t="str">
            <v>伯希和/PELLIOT</v>
          </cell>
          <cell r="F427" t="str">
            <v>服装-外套-夹克</v>
          </cell>
          <cell r="G427" t="str">
            <v>一品一商</v>
          </cell>
          <cell r="H427" t="str">
            <v>品牌直发</v>
          </cell>
          <cell r="I427">
            <v>0</v>
          </cell>
        </row>
        <row r="428">
          <cell r="D428">
            <v>115114001</v>
          </cell>
          <cell r="E428" t="str">
            <v>伯希和/PELLIOT</v>
          </cell>
          <cell r="F428" t="str">
            <v>服装-户外运动服-速干裤</v>
          </cell>
          <cell r="G428" t="str">
            <v>一品一商</v>
          </cell>
          <cell r="H428" t="str">
            <v>品牌直发</v>
          </cell>
          <cell r="I428">
            <v>0</v>
          </cell>
        </row>
        <row r="429">
          <cell r="D429">
            <v>125106002</v>
          </cell>
          <cell r="E429" t="str">
            <v>伯希和/PELLIOT</v>
          </cell>
          <cell r="F429" t="str">
            <v>女装-外套-软壳衣</v>
          </cell>
          <cell r="G429" t="str">
            <v>一品一商</v>
          </cell>
          <cell r="H429" t="str">
            <v>品牌直发</v>
          </cell>
          <cell r="I429">
            <v>0</v>
          </cell>
        </row>
        <row r="430">
          <cell r="D430" t="str">
            <v>PE125107004</v>
          </cell>
          <cell r="E430" t="str">
            <v>伯希和/PELLIOT</v>
          </cell>
          <cell r="F430" t="str">
            <v>女装-长裤-软壳裤</v>
          </cell>
          <cell r="G430" t="str">
            <v>一品多商</v>
          </cell>
          <cell r="H430" t="str">
            <v>品牌直发</v>
          </cell>
          <cell r="I430">
            <v>0</v>
          </cell>
        </row>
        <row r="431">
          <cell r="D431">
            <v>115107001</v>
          </cell>
          <cell r="E431" t="str">
            <v>伯希和/PELLIOT</v>
          </cell>
          <cell r="F431" t="str">
            <v>服装-长裤-软壳裤</v>
          </cell>
          <cell r="G431" t="str">
            <v>一品多商</v>
          </cell>
          <cell r="H431" t="str">
            <v>品牌直发</v>
          </cell>
          <cell r="I431">
            <v>0</v>
          </cell>
        </row>
        <row r="432">
          <cell r="D432">
            <v>115106003</v>
          </cell>
          <cell r="E432" t="str">
            <v>伯希和/PELLIOT</v>
          </cell>
          <cell r="F432" t="str">
            <v>服装-外套-软壳衣</v>
          </cell>
          <cell r="G432" t="str">
            <v>一品多商</v>
          </cell>
          <cell r="H432" t="str">
            <v>品牌直发</v>
          </cell>
          <cell r="I432">
            <v>0</v>
          </cell>
        </row>
        <row r="433">
          <cell r="D433" t="str">
            <v>PE125101014</v>
          </cell>
          <cell r="E433" t="str">
            <v>伯希和/PELLIOT</v>
          </cell>
          <cell r="F433" t="str">
            <v>女装-外套-冲锋衣</v>
          </cell>
          <cell r="G433" t="str">
            <v>一品多商</v>
          </cell>
          <cell r="H433" t="str">
            <v>品牌直发</v>
          </cell>
          <cell r="I433">
            <v>0</v>
          </cell>
        </row>
        <row r="434">
          <cell r="D434">
            <v>135101017</v>
          </cell>
          <cell r="E434" t="str">
            <v>伯希和/PELLIOT</v>
          </cell>
          <cell r="F434" t="str">
            <v>童装-儿童上装-冲锋衣</v>
          </cell>
          <cell r="G434" t="str">
            <v>一品多商</v>
          </cell>
          <cell r="H434" t="str">
            <v>品牌直发</v>
          </cell>
          <cell r="I434">
            <v>0</v>
          </cell>
        </row>
        <row r="435">
          <cell r="D435">
            <v>115101001</v>
          </cell>
          <cell r="E435" t="str">
            <v>伯希和/PELLIOT</v>
          </cell>
          <cell r="F435" t="str">
            <v>服装-外套-冲锋衣</v>
          </cell>
          <cell r="G435" t="str">
            <v>一品多商</v>
          </cell>
          <cell r="H435" t="str">
            <v>品牌直发</v>
          </cell>
          <cell r="I435">
            <v>0</v>
          </cell>
        </row>
        <row r="436">
          <cell r="D436">
            <v>125212014</v>
          </cell>
          <cell r="E436" t="str">
            <v>伯希和/PELLIOT</v>
          </cell>
          <cell r="F436" t="str">
            <v>女装-外套-防晒服</v>
          </cell>
          <cell r="G436" t="str">
            <v>一品一商</v>
          </cell>
          <cell r="H436" t="str">
            <v>品牌直发</v>
          </cell>
          <cell r="I436">
            <v>0</v>
          </cell>
        </row>
        <row r="437">
          <cell r="D437" t="str">
            <v>125102002-新</v>
          </cell>
          <cell r="E437" t="str">
            <v>伯希和/PELLIOT</v>
          </cell>
          <cell r="F437" t="str">
            <v>女装-长裤-冲锋裤</v>
          </cell>
          <cell r="G437" t="str">
            <v>一品一商</v>
          </cell>
          <cell r="H437" t="str">
            <v>品牌直发</v>
          </cell>
          <cell r="I437">
            <v>0</v>
          </cell>
        </row>
        <row r="438">
          <cell r="D438">
            <v>115212013</v>
          </cell>
          <cell r="E438" t="str">
            <v>伯希和/PELLIOT</v>
          </cell>
          <cell r="F438" t="str">
            <v>服装-外套-防晒服</v>
          </cell>
          <cell r="G438" t="str">
            <v>一品一商</v>
          </cell>
          <cell r="H438" t="str">
            <v>品牌直发</v>
          </cell>
          <cell r="I438">
            <v>0</v>
          </cell>
        </row>
        <row r="439">
          <cell r="D439">
            <v>1105212020</v>
          </cell>
          <cell r="E439" t="str">
            <v>伯希和/PELLIOT</v>
          </cell>
          <cell r="F439" t="str">
            <v>服装-外套-防晒服</v>
          </cell>
          <cell r="G439" t="str">
            <v>一品一商</v>
          </cell>
          <cell r="H439" t="str">
            <v>品牌直发</v>
          </cell>
          <cell r="I439">
            <v>0</v>
          </cell>
        </row>
        <row r="440">
          <cell r="D440">
            <v>115102001</v>
          </cell>
          <cell r="E440" t="str">
            <v>伯希和/PELLIOT</v>
          </cell>
          <cell r="F440" t="str">
            <v>服装-长裤-冲锋裤</v>
          </cell>
          <cell r="G440" t="str">
            <v>一品多商</v>
          </cell>
          <cell r="H440" t="str">
            <v>品牌直发</v>
          </cell>
          <cell r="I440">
            <v>0</v>
          </cell>
        </row>
        <row r="441">
          <cell r="D441">
            <v>125301055</v>
          </cell>
          <cell r="E441" t="str">
            <v>伯希和/PELLIOT</v>
          </cell>
          <cell r="F441" t="str">
            <v>女装-外套-冲锋衣</v>
          </cell>
          <cell r="G441" t="str">
            <v>一品多商</v>
          </cell>
          <cell r="H441" t="str">
            <v>品牌直发</v>
          </cell>
          <cell r="I441">
            <v>0</v>
          </cell>
        </row>
        <row r="442">
          <cell r="D442">
            <v>115101019</v>
          </cell>
          <cell r="E442" t="str">
            <v>伯希和/PELLIOT</v>
          </cell>
          <cell r="F442" t="str">
            <v>服装-外套-冲锋衣</v>
          </cell>
          <cell r="G442" t="str">
            <v>一品多商</v>
          </cell>
          <cell r="H442" t="str">
            <v>品牌直发</v>
          </cell>
          <cell r="I442">
            <v>0</v>
          </cell>
        </row>
        <row r="443">
          <cell r="D443">
            <v>135116010</v>
          </cell>
          <cell r="E443" t="str">
            <v>伯希和/PELLIOT</v>
          </cell>
          <cell r="F443" t="str">
            <v>童装-儿童上装-T恤</v>
          </cell>
          <cell r="G443" t="str">
            <v>一品多商</v>
          </cell>
          <cell r="H443" t="str">
            <v>品牌直发</v>
          </cell>
          <cell r="I443">
            <v>0</v>
          </cell>
        </row>
        <row r="444">
          <cell r="D444" t="str">
            <v>PE115106001</v>
          </cell>
          <cell r="E444" t="str">
            <v>伯希和/PELLIOT</v>
          </cell>
          <cell r="F444" t="str">
            <v>服装-外套-软壳衣</v>
          </cell>
          <cell r="G444" t="str">
            <v>一品多商</v>
          </cell>
          <cell r="H444" t="str">
            <v>品牌直发</v>
          </cell>
          <cell r="I444">
            <v>0</v>
          </cell>
        </row>
        <row r="445">
          <cell r="D445" t="str">
            <v>PE125119032</v>
          </cell>
          <cell r="E445" t="str">
            <v>伯希和/PELLIOT</v>
          </cell>
          <cell r="F445" t="str">
            <v>鞋-运动鞋-登山鞋/徒步鞋</v>
          </cell>
          <cell r="G445" t="str">
            <v>一品多商</v>
          </cell>
          <cell r="H445" t="str">
            <v>品牌直发</v>
          </cell>
          <cell r="I445">
            <v>0</v>
          </cell>
        </row>
        <row r="446">
          <cell r="D446" t="str">
            <v>PE125119026</v>
          </cell>
          <cell r="E446" t="str">
            <v>伯希和/PELLIOT</v>
          </cell>
          <cell r="F446" t="str">
            <v>鞋-运动鞋-跑步鞋</v>
          </cell>
          <cell r="G446" t="str">
            <v>一品多商</v>
          </cell>
          <cell r="H446" t="str">
            <v>品牌直发</v>
          </cell>
          <cell r="I446">
            <v>0</v>
          </cell>
        </row>
        <row r="447">
          <cell r="D447">
            <v>115119031</v>
          </cell>
          <cell r="E447" t="str">
            <v>伯希和/PELLIOT</v>
          </cell>
          <cell r="F447" t="str">
            <v>鞋-运动鞋-登山鞋/徒步鞋</v>
          </cell>
          <cell r="G447" t="str">
            <v>一品多商</v>
          </cell>
          <cell r="H447" t="str">
            <v>品牌直发</v>
          </cell>
          <cell r="I447">
            <v>0</v>
          </cell>
        </row>
        <row r="448">
          <cell r="D448">
            <v>115101007</v>
          </cell>
          <cell r="E448" t="str">
            <v>伯希和/PELLIOT</v>
          </cell>
          <cell r="F448" t="str">
            <v>服装-外套-冲锋衣</v>
          </cell>
          <cell r="G448" t="str">
            <v>一品多商</v>
          </cell>
          <cell r="H448" t="str">
            <v>品牌直发</v>
          </cell>
          <cell r="I448">
            <v>0</v>
          </cell>
        </row>
        <row r="449">
          <cell r="D449">
            <v>1125107002</v>
          </cell>
          <cell r="E449" t="str">
            <v>伯希和/PELLIOT</v>
          </cell>
          <cell r="F449" t="str">
            <v>女装-长裤-软壳裤</v>
          </cell>
          <cell r="G449" t="str">
            <v>一品一商</v>
          </cell>
          <cell r="H449" t="str">
            <v>品牌直发</v>
          </cell>
          <cell r="I449">
            <v>0</v>
          </cell>
        </row>
        <row r="450">
          <cell r="D450">
            <v>1125116008</v>
          </cell>
          <cell r="E450" t="str">
            <v>伯希和/PELLIOT</v>
          </cell>
          <cell r="F450" t="str">
            <v>女装-户外运动服-跑步T恤</v>
          </cell>
          <cell r="G450" t="str">
            <v>一品一商</v>
          </cell>
          <cell r="H450" t="str">
            <v>品牌直发</v>
          </cell>
          <cell r="I450">
            <v>0</v>
          </cell>
        </row>
        <row r="451">
          <cell r="D451">
            <v>1115116007</v>
          </cell>
          <cell r="E451" t="str">
            <v>伯希和/PELLIOT</v>
          </cell>
          <cell r="F451" t="str">
            <v>服装-上衣-T恤</v>
          </cell>
          <cell r="G451" t="str">
            <v>一品多商</v>
          </cell>
          <cell r="H451" t="str">
            <v>品牌直发</v>
          </cell>
          <cell r="I451">
            <v>0</v>
          </cell>
        </row>
        <row r="452">
          <cell r="D452">
            <v>125151008</v>
          </cell>
          <cell r="E452" t="str">
            <v>伯希和/PELLIOT</v>
          </cell>
          <cell r="F452" t="str">
            <v>女装-外套-夹克</v>
          </cell>
          <cell r="G452" t="str">
            <v>一品一商</v>
          </cell>
          <cell r="H452" t="str">
            <v>品牌直发</v>
          </cell>
          <cell r="I452">
            <v>0</v>
          </cell>
        </row>
        <row r="453">
          <cell r="D453">
            <v>1125178002</v>
          </cell>
          <cell r="E453" t="str">
            <v>伯希和/PELLIOT</v>
          </cell>
          <cell r="F453" t="str">
            <v>女装-长裤-休闲裤</v>
          </cell>
          <cell r="G453" t="str">
            <v>一品一商</v>
          </cell>
          <cell r="H453" t="str">
            <v>品牌直发</v>
          </cell>
          <cell r="I453">
            <v>0</v>
          </cell>
        </row>
        <row r="454">
          <cell r="D454">
            <v>125151010</v>
          </cell>
          <cell r="E454" t="str">
            <v>伯希和/PELLIOT</v>
          </cell>
          <cell r="F454" t="str">
            <v>女装-外套-夹克</v>
          </cell>
          <cell r="G454" t="str">
            <v>一品一商</v>
          </cell>
          <cell r="H454" t="str">
            <v>品牌直发</v>
          </cell>
          <cell r="I454">
            <v>0</v>
          </cell>
        </row>
        <row r="455">
          <cell r="D455">
            <v>115151009</v>
          </cell>
          <cell r="E455" t="str">
            <v>伯希和/PELLIOT</v>
          </cell>
          <cell r="F455" t="str">
            <v>服装-外套-夹克</v>
          </cell>
          <cell r="G455" t="str">
            <v>一品一商</v>
          </cell>
          <cell r="H455" t="str">
            <v>品牌直发</v>
          </cell>
          <cell r="I455">
            <v>0</v>
          </cell>
        </row>
        <row r="456">
          <cell r="D456">
            <v>1125101020</v>
          </cell>
          <cell r="E456" t="str">
            <v>伯希和/PELLIOT</v>
          </cell>
          <cell r="F456" t="str">
            <v>女装-外套-冲锋衣</v>
          </cell>
          <cell r="G456" t="str">
            <v>一品多商</v>
          </cell>
          <cell r="H456" t="str">
            <v>品牌直发</v>
          </cell>
          <cell r="I456">
            <v>0</v>
          </cell>
        </row>
        <row r="457">
          <cell r="D457">
            <v>1125101008</v>
          </cell>
          <cell r="E457" t="str">
            <v>伯希和/PELLIOT</v>
          </cell>
          <cell r="F457" t="str">
            <v>女装-外套-冲锋衣</v>
          </cell>
          <cell r="G457" t="str">
            <v>一品多商</v>
          </cell>
          <cell r="H457" t="str">
            <v>品牌直发</v>
          </cell>
          <cell r="I457">
            <v>0</v>
          </cell>
        </row>
        <row r="458">
          <cell r="D458" t="str">
            <v>PE105151011</v>
          </cell>
          <cell r="E458" t="str">
            <v>伯希和/PELLIOT</v>
          </cell>
          <cell r="F458" t="str">
            <v>服装-外套-夹克</v>
          </cell>
          <cell r="G458" t="str">
            <v>一品一商</v>
          </cell>
          <cell r="H458" t="str">
            <v>品牌直发</v>
          </cell>
          <cell r="I458">
            <v>0</v>
          </cell>
        </row>
        <row r="459">
          <cell r="D459" t="str">
            <v>PE114310205</v>
          </cell>
          <cell r="E459" t="str">
            <v>伯希和/PELLIOT</v>
          </cell>
          <cell r="F459" t="str">
            <v>服装-户外运动服-抓绒衣</v>
          </cell>
          <cell r="G459" t="str">
            <v>一品一商</v>
          </cell>
          <cell r="H459" t="str">
            <v>品牌直发</v>
          </cell>
          <cell r="I459">
            <v>0</v>
          </cell>
        </row>
        <row r="460">
          <cell r="D460" t="str">
            <v>PE124310206</v>
          </cell>
          <cell r="E460" t="str">
            <v>伯希和/PELLIOT</v>
          </cell>
          <cell r="F460" t="str">
            <v>女装-上衣-T恤</v>
          </cell>
          <cell r="G460" t="str">
            <v>一品一商</v>
          </cell>
          <cell r="H460" t="str">
            <v>品牌直发</v>
          </cell>
          <cell r="I460">
            <v>0</v>
          </cell>
        </row>
        <row r="461">
          <cell r="D461">
            <v>1115214009</v>
          </cell>
          <cell r="E461" t="str">
            <v>伯希和/PELLIOT</v>
          </cell>
          <cell r="F461" t="str">
            <v>服装-户外运动服-速干裤</v>
          </cell>
          <cell r="G461" t="str">
            <v>一品多商</v>
          </cell>
          <cell r="H461" t="str">
            <v>品牌直发</v>
          </cell>
          <cell r="I461">
            <v>0</v>
          </cell>
        </row>
        <row r="462">
          <cell r="D462">
            <v>124310206</v>
          </cell>
          <cell r="E462" t="str">
            <v>伯希和/PELLIOT</v>
          </cell>
          <cell r="F462" t="str">
            <v>女装-户外运动服-抓绒衣</v>
          </cell>
          <cell r="G462" t="str">
            <v>一品一商</v>
          </cell>
          <cell r="H462" t="str">
            <v>品牌直发</v>
          </cell>
          <cell r="I462">
            <v>0</v>
          </cell>
        </row>
        <row r="463">
          <cell r="D463">
            <v>114310205</v>
          </cell>
          <cell r="E463" t="str">
            <v>伯希和/PELLIOT</v>
          </cell>
          <cell r="F463" t="str">
            <v>内衣-内衣裤-保暖上装</v>
          </cell>
          <cell r="G463" t="str">
            <v>一品多商</v>
          </cell>
          <cell r="H463" t="str">
            <v>品牌直发</v>
          </cell>
          <cell r="I463">
            <v>0</v>
          </cell>
        </row>
        <row r="464">
          <cell r="D464">
            <v>105025005</v>
          </cell>
          <cell r="E464" t="str">
            <v>伯希和/PELLIOT</v>
          </cell>
          <cell r="F464" t="str">
            <v>箱包-包袋-户外包</v>
          </cell>
          <cell r="G464" t="str">
            <v>一品一商</v>
          </cell>
          <cell r="H464" t="str">
            <v>普通现货</v>
          </cell>
          <cell r="I464">
            <v>0</v>
          </cell>
        </row>
        <row r="465">
          <cell r="D465">
            <v>11340303</v>
          </cell>
          <cell r="E465" t="str">
            <v>伯希和/PELLIOT</v>
          </cell>
          <cell r="F465" t="str">
            <v>服装-外套-棉服</v>
          </cell>
          <cell r="G465" t="str">
            <v>一品多商</v>
          </cell>
          <cell r="H465" t="str">
            <v>品牌直发</v>
          </cell>
          <cell r="I465">
            <v>0</v>
          </cell>
        </row>
        <row r="466">
          <cell r="D466">
            <v>105025003</v>
          </cell>
          <cell r="E466" t="str">
            <v>伯希和/PELLIOT</v>
          </cell>
          <cell r="F466" t="str">
            <v>箱包-包袋-户外包</v>
          </cell>
          <cell r="G466" t="str">
            <v>一品一商</v>
          </cell>
          <cell r="H466" t="str">
            <v>品牌直发</v>
          </cell>
          <cell r="I466">
            <v>0</v>
          </cell>
        </row>
        <row r="467">
          <cell r="D467">
            <v>16123410</v>
          </cell>
          <cell r="E467" t="str">
            <v>伯希和/PELLIOT</v>
          </cell>
          <cell r="F467" t="str">
            <v>流行饰品/眼镜/服配-防晒服配-防晒帽</v>
          </cell>
          <cell r="G467" t="str">
            <v>一品一商</v>
          </cell>
          <cell r="H467" t="str">
            <v>品牌直发</v>
          </cell>
          <cell r="I467">
            <v>0</v>
          </cell>
        </row>
        <row r="468">
          <cell r="D468">
            <v>16223409</v>
          </cell>
          <cell r="E468" t="str">
            <v>伯希和/PELLIOT</v>
          </cell>
          <cell r="F468" t="str">
            <v>流行饰品/眼镜/服配-防晒服配-防晒帽</v>
          </cell>
          <cell r="G468" t="str">
            <v>一品一商</v>
          </cell>
          <cell r="H468" t="str">
            <v>品牌直发</v>
          </cell>
          <cell r="I468">
            <v>0</v>
          </cell>
        </row>
        <row r="469">
          <cell r="D469">
            <v>116206303</v>
          </cell>
          <cell r="E469" t="str">
            <v>伯希和/PELLIOT</v>
          </cell>
          <cell r="F469" t="str">
            <v>流行饰品/眼镜/服配-配饰-其他配饰</v>
          </cell>
          <cell r="G469" t="str">
            <v>一品一商</v>
          </cell>
          <cell r="H469" t="str">
            <v>普通现货</v>
          </cell>
          <cell r="I469">
            <v>0</v>
          </cell>
        </row>
        <row r="470">
          <cell r="D470">
            <v>16123407</v>
          </cell>
          <cell r="E470" t="str">
            <v>伯希和/PELLIOT</v>
          </cell>
          <cell r="F470" t="str">
            <v>流行饰品/眼镜/服配-防晒服配-防晒帽</v>
          </cell>
          <cell r="G470" t="str">
            <v>一品一商</v>
          </cell>
          <cell r="H470" t="str">
            <v>普通现货</v>
          </cell>
          <cell r="I470">
            <v>0</v>
          </cell>
        </row>
        <row r="471">
          <cell r="D471">
            <v>16123409</v>
          </cell>
          <cell r="E471" t="str">
            <v>伯希和/PELLIOT</v>
          </cell>
          <cell r="F471" t="str">
            <v>流行饰品/眼镜/服配-防晒服配-防晒帽</v>
          </cell>
          <cell r="G471" t="str">
            <v>一品一商</v>
          </cell>
          <cell r="H471" t="str">
            <v>品牌直发</v>
          </cell>
          <cell r="I471">
            <v>0</v>
          </cell>
        </row>
        <row r="472">
          <cell r="D472">
            <v>16123403</v>
          </cell>
          <cell r="E472" t="str">
            <v>伯希和/PELLIOT</v>
          </cell>
          <cell r="F472" t="str">
            <v>流行饰品/眼镜/服配-帽子-渔夫帽</v>
          </cell>
          <cell r="G472" t="str">
            <v>一品一商</v>
          </cell>
          <cell r="H472" t="str">
            <v>品牌直发</v>
          </cell>
          <cell r="I472">
            <v>0</v>
          </cell>
        </row>
        <row r="473">
          <cell r="D473">
            <v>16043428</v>
          </cell>
          <cell r="E473" t="str">
            <v>伯希和/PELLIOT</v>
          </cell>
          <cell r="F473" t="str">
            <v>流行饰品/眼镜/服配-帽子-渔夫帽</v>
          </cell>
          <cell r="G473" t="str">
            <v>一品一商</v>
          </cell>
          <cell r="H473" t="str">
            <v>品牌直发</v>
          </cell>
          <cell r="I473">
            <v>0</v>
          </cell>
        </row>
        <row r="474">
          <cell r="D474">
            <v>16423418</v>
          </cell>
          <cell r="E474" t="str">
            <v>伯希和/PELLIOT</v>
          </cell>
          <cell r="F474" t="str">
            <v>流行饰品/眼镜/服配-帽子-鸭舌帽</v>
          </cell>
          <cell r="G474" t="str">
            <v>一品一商</v>
          </cell>
          <cell r="H474" t="str">
            <v>品牌直发</v>
          </cell>
          <cell r="I474">
            <v>0</v>
          </cell>
        </row>
        <row r="475">
          <cell r="D475">
            <v>16143205</v>
          </cell>
          <cell r="E475" t="str">
            <v>伯希和/PELLIOT</v>
          </cell>
          <cell r="F475" t="str">
            <v>流行饰品/眼镜/服配-围巾-围脖</v>
          </cell>
          <cell r="G475" t="str">
            <v>一品一商</v>
          </cell>
          <cell r="H475" t="str">
            <v>品牌直发</v>
          </cell>
          <cell r="I475">
            <v>0</v>
          </cell>
        </row>
        <row r="476">
          <cell r="D476">
            <v>16323402</v>
          </cell>
          <cell r="E476" t="str">
            <v>伯希和/PELLIOT</v>
          </cell>
          <cell r="F476" t="str">
            <v>流行饰品/眼镜/服配-防晒服配-防晒帽</v>
          </cell>
          <cell r="G476" t="str">
            <v>一品一商</v>
          </cell>
          <cell r="H476" t="str">
            <v>品牌直发</v>
          </cell>
          <cell r="I476">
            <v>0</v>
          </cell>
        </row>
        <row r="477">
          <cell r="D477">
            <v>16243103</v>
          </cell>
          <cell r="E477" t="str">
            <v>伯希和/PELLIOT</v>
          </cell>
          <cell r="F477" t="str">
            <v>流行饰品/眼镜/服配-手套-其他手套</v>
          </cell>
          <cell r="G477" t="str">
            <v>一品一商</v>
          </cell>
          <cell r="H477" t="str">
            <v>品牌直发</v>
          </cell>
          <cell r="I477">
            <v>0</v>
          </cell>
        </row>
        <row r="478">
          <cell r="D478">
            <v>16343418</v>
          </cell>
          <cell r="E478" t="str">
            <v>伯希和/PELLIOT</v>
          </cell>
          <cell r="F478" t="str">
            <v>流行饰品/眼镜/服配-帽子-其他帽子</v>
          </cell>
          <cell r="G478" t="str">
            <v>一品一商</v>
          </cell>
          <cell r="H478" t="str">
            <v>品牌直发</v>
          </cell>
          <cell r="I478">
            <v>0</v>
          </cell>
        </row>
        <row r="479">
          <cell r="D479">
            <v>16323204</v>
          </cell>
          <cell r="E479" t="str">
            <v>伯希和/PELLIOT</v>
          </cell>
          <cell r="F479" t="str">
            <v>流行饰品/眼镜/服配-防晒服配-防晒脖套</v>
          </cell>
          <cell r="G479" t="str">
            <v>一品一商</v>
          </cell>
          <cell r="H479" t="str">
            <v>品牌直发</v>
          </cell>
          <cell r="I479">
            <v>0</v>
          </cell>
        </row>
        <row r="480">
          <cell r="D480">
            <v>1124310184</v>
          </cell>
          <cell r="E480" t="str">
            <v>伯希和/PELLIOT</v>
          </cell>
          <cell r="F480" t="str">
            <v>女装-户外运动服-抓绒衣</v>
          </cell>
          <cell r="G480" t="str">
            <v>一品一商</v>
          </cell>
          <cell r="H480" t="str">
            <v>品牌直发</v>
          </cell>
          <cell r="I480">
            <v>0</v>
          </cell>
        </row>
        <row r="481">
          <cell r="D481">
            <v>124401056</v>
          </cell>
          <cell r="E481" t="str">
            <v>伯希和/PELLIOT</v>
          </cell>
          <cell r="F481" t="str">
            <v>服装-外套-冲锋衣</v>
          </cell>
          <cell r="G481" t="str">
            <v>一品一商</v>
          </cell>
          <cell r="H481" t="str">
            <v>品牌直发</v>
          </cell>
          <cell r="I481">
            <v>0</v>
          </cell>
        </row>
        <row r="482">
          <cell r="D482">
            <v>124306142</v>
          </cell>
          <cell r="E482" t="str">
            <v>伯希和/PELLIOT</v>
          </cell>
          <cell r="F482" t="str">
            <v>女装-外套-软壳衣</v>
          </cell>
          <cell r="G482" t="str">
            <v>一品多商</v>
          </cell>
          <cell r="H482" t="str">
            <v>品牌直发</v>
          </cell>
          <cell r="I482">
            <v>0</v>
          </cell>
        </row>
        <row r="483">
          <cell r="D483">
            <v>114408263</v>
          </cell>
          <cell r="E483" t="str">
            <v>伯希和/PELLIOT</v>
          </cell>
          <cell r="F483" t="str">
            <v>服装-外套-羽绒服</v>
          </cell>
          <cell r="G483" t="str">
            <v>一品多商</v>
          </cell>
          <cell r="H483" t="str">
            <v>品牌直发</v>
          </cell>
          <cell r="I483">
            <v>0</v>
          </cell>
        </row>
        <row r="484">
          <cell r="D484">
            <v>114401077</v>
          </cell>
          <cell r="E484" t="str">
            <v>伯希和/PELLIOT</v>
          </cell>
          <cell r="F484" t="str">
            <v>服装-外套-冲锋衣</v>
          </cell>
          <cell r="G484" t="str">
            <v>一品多商</v>
          </cell>
          <cell r="H484" t="str">
            <v>品牌直发</v>
          </cell>
          <cell r="I484">
            <v>0</v>
          </cell>
        </row>
        <row r="485">
          <cell r="D485" t="str">
            <v>PE124423019</v>
          </cell>
          <cell r="E485" t="str">
            <v>伯希和/PELLIOT</v>
          </cell>
          <cell r="F485" t="str">
            <v>鞋-靴子-雪地靴</v>
          </cell>
          <cell r="G485" t="str">
            <v>一品一商</v>
          </cell>
          <cell r="H485" t="str">
            <v>品牌直发</v>
          </cell>
          <cell r="I485">
            <v>0</v>
          </cell>
        </row>
        <row r="486">
          <cell r="D486">
            <v>114315397</v>
          </cell>
          <cell r="E486" t="str">
            <v>伯希和/PELLIOT</v>
          </cell>
          <cell r="F486" t="str">
            <v>服装-上衣-T恤</v>
          </cell>
          <cell r="G486" t="str">
            <v>一品一商</v>
          </cell>
          <cell r="H486" t="str">
            <v>品牌直发</v>
          </cell>
          <cell r="I486">
            <v>0</v>
          </cell>
        </row>
        <row r="487">
          <cell r="D487">
            <v>124310204</v>
          </cell>
          <cell r="E487" t="str">
            <v>伯希和/PELLIOT</v>
          </cell>
          <cell r="F487" t="str">
            <v>女装-户外运动服-抓绒衣</v>
          </cell>
          <cell r="G487" t="str">
            <v>一品一商</v>
          </cell>
          <cell r="H487" t="str">
            <v>品牌直发</v>
          </cell>
          <cell r="I487">
            <v>0</v>
          </cell>
        </row>
        <row r="488">
          <cell r="D488" t="str">
            <v>PE114315381</v>
          </cell>
          <cell r="E488" t="str">
            <v>伯希和/PELLIOT</v>
          </cell>
          <cell r="F488" t="str">
            <v>服装-上衣-T恤</v>
          </cell>
          <cell r="G488" t="str">
            <v>一品一商</v>
          </cell>
          <cell r="H488" t="str">
            <v>品牌直发</v>
          </cell>
          <cell r="I488">
            <v>0</v>
          </cell>
        </row>
        <row r="489">
          <cell r="D489">
            <v>124409342</v>
          </cell>
          <cell r="E489" t="str">
            <v>伯希和/PELLIOT</v>
          </cell>
          <cell r="F489" t="str">
            <v>女装-长裤-羽绒裤</v>
          </cell>
          <cell r="G489" t="str">
            <v>一品多商</v>
          </cell>
          <cell r="H489" t="str">
            <v>品牌直发</v>
          </cell>
          <cell r="I489">
            <v>0</v>
          </cell>
        </row>
        <row r="490">
          <cell r="D490">
            <v>124306144</v>
          </cell>
          <cell r="E490" t="str">
            <v>伯希和/PELLIOT</v>
          </cell>
          <cell r="F490" t="str">
            <v>女装-外套-软壳衣</v>
          </cell>
          <cell r="G490" t="str">
            <v>一品多商</v>
          </cell>
          <cell r="H490" t="str">
            <v>品牌直发</v>
          </cell>
          <cell r="I490">
            <v>0</v>
          </cell>
        </row>
        <row r="491">
          <cell r="D491" t="str">
            <v>PE114377365</v>
          </cell>
          <cell r="E491" t="str">
            <v>伯希和/PELLIOT</v>
          </cell>
          <cell r="F491" t="str">
            <v>服装-健身服-运动长裤</v>
          </cell>
          <cell r="G491" t="str">
            <v>一品多商</v>
          </cell>
          <cell r="H491" t="str">
            <v>品牌直发</v>
          </cell>
          <cell r="I491">
            <v>0</v>
          </cell>
        </row>
        <row r="492">
          <cell r="D492">
            <v>114376411</v>
          </cell>
          <cell r="E492" t="str">
            <v>伯希和/PELLIOT</v>
          </cell>
          <cell r="F492" t="str">
            <v>服装-外套-棉服</v>
          </cell>
          <cell r="G492" t="str">
            <v>一品一商</v>
          </cell>
          <cell r="H492" t="str">
            <v>品牌直发</v>
          </cell>
          <cell r="I492">
            <v>0</v>
          </cell>
        </row>
        <row r="493">
          <cell r="D493" t="str">
            <v>PE124408264</v>
          </cell>
          <cell r="E493" t="str">
            <v>伯希和/PELLIOT</v>
          </cell>
          <cell r="F493" t="str">
            <v>服装-外套-羽绒服</v>
          </cell>
          <cell r="G493" t="str">
            <v>一品多商</v>
          </cell>
          <cell r="H493" t="str">
            <v>品牌直发</v>
          </cell>
          <cell r="I493">
            <v>0</v>
          </cell>
        </row>
        <row r="494">
          <cell r="D494">
            <v>114401061</v>
          </cell>
          <cell r="E494" t="str">
            <v>伯希和/PELLIOT</v>
          </cell>
          <cell r="F494" t="str">
            <v>服装-外套-冲锋衣</v>
          </cell>
          <cell r="G494" t="str">
            <v>一品一商</v>
          </cell>
          <cell r="H494" t="str">
            <v>品牌直发</v>
          </cell>
          <cell r="I494">
            <v>0</v>
          </cell>
        </row>
        <row r="495">
          <cell r="D495">
            <v>114408259</v>
          </cell>
          <cell r="E495" t="str">
            <v>伯希和/PELLIOT</v>
          </cell>
          <cell r="F495" t="str">
            <v>服装-外套-羽绒服</v>
          </cell>
          <cell r="G495" t="str">
            <v>一品多商</v>
          </cell>
          <cell r="H495" t="str">
            <v>品牌直发</v>
          </cell>
          <cell r="I495">
            <v>0</v>
          </cell>
        </row>
        <row r="496">
          <cell r="D496">
            <v>114408257</v>
          </cell>
          <cell r="E496" t="str">
            <v>伯希和/PELLIOT</v>
          </cell>
          <cell r="F496" t="str">
            <v>服装-外套-羽绒服</v>
          </cell>
          <cell r="G496" t="str">
            <v>一品多商</v>
          </cell>
          <cell r="H496" t="str">
            <v>品牌直发</v>
          </cell>
          <cell r="I496">
            <v>0</v>
          </cell>
        </row>
        <row r="497">
          <cell r="D497">
            <v>124301066</v>
          </cell>
          <cell r="E497" t="str">
            <v>伯希和/PELLIOT</v>
          </cell>
          <cell r="F497" t="str">
            <v>女装-外套-冲锋衣</v>
          </cell>
          <cell r="G497" t="str">
            <v>一品一商</v>
          </cell>
          <cell r="H497" t="str">
            <v>品牌直发</v>
          </cell>
          <cell r="I497">
            <v>0</v>
          </cell>
        </row>
        <row r="498">
          <cell r="D498">
            <v>124408254</v>
          </cell>
          <cell r="E498" t="str">
            <v>伯希和/PELLIOT</v>
          </cell>
          <cell r="F498" t="str">
            <v>服装-外套-羽绒服</v>
          </cell>
          <cell r="G498" t="str">
            <v>一品多商</v>
          </cell>
          <cell r="H498" t="str">
            <v>品牌直发</v>
          </cell>
          <cell r="I498">
            <v>0</v>
          </cell>
        </row>
        <row r="499">
          <cell r="D499">
            <v>124403128</v>
          </cell>
          <cell r="E499" t="str">
            <v>伯希和/PELLIOT</v>
          </cell>
          <cell r="F499" t="str">
            <v>服装-户外运动服-滑雪衣</v>
          </cell>
          <cell r="G499" t="str">
            <v>一品多商</v>
          </cell>
          <cell r="H499" t="str">
            <v>品牌直发</v>
          </cell>
          <cell r="I499">
            <v>0</v>
          </cell>
        </row>
        <row r="500">
          <cell r="D500">
            <v>114301071</v>
          </cell>
          <cell r="E500" t="str">
            <v>伯希和/PELLIOT</v>
          </cell>
          <cell r="F500" t="str">
            <v>服装-外套-冲锋衣</v>
          </cell>
          <cell r="G500" t="str">
            <v>一品多商</v>
          </cell>
          <cell r="H500" t="str">
            <v>品牌直发</v>
          </cell>
          <cell r="I500">
            <v>0</v>
          </cell>
        </row>
        <row r="501">
          <cell r="D501">
            <v>134401045</v>
          </cell>
          <cell r="E501" t="str">
            <v>伯希和/PELLIOT</v>
          </cell>
          <cell r="F501" t="str">
            <v>童装-儿童上装-冲锋衣</v>
          </cell>
          <cell r="G501" t="str">
            <v>一品一商</v>
          </cell>
          <cell r="H501" t="str">
            <v>品牌直发</v>
          </cell>
          <cell r="I501">
            <v>0</v>
          </cell>
        </row>
        <row r="502">
          <cell r="D502">
            <v>124403126</v>
          </cell>
          <cell r="E502" t="str">
            <v>伯希和/PELLIOT</v>
          </cell>
          <cell r="F502" t="str">
            <v>服装-户外运动服-滑雪衣</v>
          </cell>
          <cell r="G502" t="str">
            <v>一品一商</v>
          </cell>
          <cell r="H502" t="str">
            <v>品牌直发</v>
          </cell>
          <cell r="I502">
            <v>0</v>
          </cell>
        </row>
        <row r="503">
          <cell r="D503">
            <v>114408273</v>
          </cell>
          <cell r="E503" t="str">
            <v>伯希和/PELLIOT</v>
          </cell>
          <cell r="F503" t="str">
            <v>服装-外套-羽绒服</v>
          </cell>
          <cell r="G503" t="str">
            <v>一品多商</v>
          </cell>
          <cell r="H503" t="str">
            <v>品牌直发</v>
          </cell>
          <cell r="I503">
            <v>0</v>
          </cell>
        </row>
        <row r="504">
          <cell r="D504">
            <v>134408270</v>
          </cell>
          <cell r="E504" t="str">
            <v>伯希和/PELLIOT</v>
          </cell>
          <cell r="F504" t="str">
            <v>童装-儿童上装-羽绒服</v>
          </cell>
          <cell r="G504" t="str">
            <v>一品一商</v>
          </cell>
          <cell r="H504" t="str">
            <v>品牌直发</v>
          </cell>
          <cell r="I504">
            <v>0</v>
          </cell>
        </row>
        <row r="505">
          <cell r="D505" t="str">
            <v>PE124408260</v>
          </cell>
          <cell r="E505" t="str">
            <v>伯希和/PELLIOT</v>
          </cell>
          <cell r="F505" t="str">
            <v>女装-外套-羽绒服</v>
          </cell>
          <cell r="G505" t="str">
            <v>一品多商</v>
          </cell>
          <cell r="H505" t="str">
            <v>品牌直发</v>
          </cell>
          <cell r="I505">
            <v>0</v>
          </cell>
        </row>
        <row r="506">
          <cell r="D506">
            <v>124408240</v>
          </cell>
          <cell r="E506" t="str">
            <v>伯希和/PELLIOT</v>
          </cell>
          <cell r="F506" t="str">
            <v>服装-外套-羽绒服</v>
          </cell>
          <cell r="G506" t="str">
            <v>一品多商</v>
          </cell>
          <cell r="H506" t="str">
            <v>品牌直发</v>
          </cell>
          <cell r="I506">
            <v>0</v>
          </cell>
        </row>
        <row r="507">
          <cell r="D507" t="str">
            <v>PE114401055</v>
          </cell>
          <cell r="E507" t="str">
            <v>伯希和/PELLIOT</v>
          </cell>
          <cell r="F507" t="str">
            <v>服装-外套-冲锋衣</v>
          </cell>
          <cell r="G507" t="str">
            <v>一品一商</v>
          </cell>
          <cell r="H507" t="str">
            <v>品牌直发</v>
          </cell>
          <cell r="I507">
            <v>0</v>
          </cell>
        </row>
        <row r="508">
          <cell r="D508" t="str">
            <v>PE124408278</v>
          </cell>
          <cell r="E508" t="str">
            <v>伯希和/PELLIOT</v>
          </cell>
          <cell r="F508" t="str">
            <v>女装-外套-羽绒服</v>
          </cell>
          <cell r="G508" t="str">
            <v>一品多商</v>
          </cell>
          <cell r="H508" t="str">
            <v>品牌直发</v>
          </cell>
          <cell r="I508">
            <v>0</v>
          </cell>
        </row>
        <row r="509">
          <cell r="D509">
            <v>134301043</v>
          </cell>
          <cell r="E509" t="str">
            <v>伯希和/PELLIOT</v>
          </cell>
          <cell r="F509" t="str">
            <v>童装-儿童上装-冲锋衣</v>
          </cell>
          <cell r="G509" t="str">
            <v>一品一商</v>
          </cell>
          <cell r="H509" t="str">
            <v>品牌直发</v>
          </cell>
          <cell r="I509">
            <v>0</v>
          </cell>
        </row>
        <row r="510">
          <cell r="D510" t="str">
            <v>PE124315434</v>
          </cell>
          <cell r="E510" t="str">
            <v>伯希和/PELLIOT</v>
          </cell>
          <cell r="F510" t="str">
            <v>女装-上衣-T恤</v>
          </cell>
          <cell r="G510" t="str">
            <v>一品一商</v>
          </cell>
          <cell r="H510" t="str">
            <v>品牌直发</v>
          </cell>
          <cell r="I510">
            <v>0</v>
          </cell>
        </row>
        <row r="511">
          <cell r="D511" t="str">
            <v>PE114315433</v>
          </cell>
          <cell r="E511" t="str">
            <v>伯希和/PELLIOT</v>
          </cell>
          <cell r="F511" t="str">
            <v>服装-户外运动服-抓绒衣</v>
          </cell>
          <cell r="G511" t="str">
            <v>一品一商</v>
          </cell>
          <cell r="H511" t="str">
            <v>品牌直发</v>
          </cell>
          <cell r="I511">
            <v>0</v>
          </cell>
        </row>
        <row r="512">
          <cell r="D512" t="str">
            <v>PE124310192</v>
          </cell>
          <cell r="E512" t="str">
            <v>伯希和/PELLIOT</v>
          </cell>
          <cell r="F512" t="str">
            <v>女装-户外运动服-抓绒衣</v>
          </cell>
          <cell r="G512" t="str">
            <v>一品多商</v>
          </cell>
          <cell r="H512" t="str">
            <v>品牌直发</v>
          </cell>
          <cell r="I512">
            <v>0</v>
          </cell>
        </row>
        <row r="513">
          <cell r="D513">
            <v>134409343</v>
          </cell>
          <cell r="E513" t="str">
            <v>伯希和/PELLIOT</v>
          </cell>
          <cell r="F513" t="str">
            <v>童装-儿童下装-儿童运动裤</v>
          </cell>
          <cell r="G513" t="str">
            <v>一品一商</v>
          </cell>
          <cell r="H513" t="str">
            <v>品牌直发</v>
          </cell>
          <cell r="I513">
            <v>0</v>
          </cell>
        </row>
        <row r="514">
          <cell r="D514">
            <v>114311235</v>
          </cell>
          <cell r="E514" t="str">
            <v>伯希和/PELLIOT</v>
          </cell>
          <cell r="F514" t="str">
            <v>服装-长裤-休闲裤</v>
          </cell>
          <cell r="G514" t="str">
            <v>一品一商</v>
          </cell>
          <cell r="H514" t="str">
            <v>品牌直发</v>
          </cell>
          <cell r="I514">
            <v>0</v>
          </cell>
        </row>
        <row r="515">
          <cell r="D515">
            <v>134301049</v>
          </cell>
          <cell r="E515" t="str">
            <v>伯希和/PELLIOT</v>
          </cell>
          <cell r="F515" t="str">
            <v>童装-儿童上装-冲锋衣</v>
          </cell>
          <cell r="G515" t="str">
            <v>一品一商</v>
          </cell>
          <cell r="H515" t="str">
            <v>品牌直发</v>
          </cell>
          <cell r="I515">
            <v>0</v>
          </cell>
        </row>
        <row r="516">
          <cell r="D516">
            <v>134408267</v>
          </cell>
          <cell r="E516" t="str">
            <v>伯希和/PELLIOT</v>
          </cell>
          <cell r="F516" t="str">
            <v>童装-儿童上装-羽绒服</v>
          </cell>
          <cell r="G516" t="str">
            <v>一品一商</v>
          </cell>
          <cell r="H516" t="str">
            <v>品牌直发</v>
          </cell>
          <cell r="I516">
            <v>0</v>
          </cell>
        </row>
        <row r="517">
          <cell r="D517">
            <v>134306146</v>
          </cell>
          <cell r="E517" t="str">
            <v>伯希和/PELLIOT</v>
          </cell>
          <cell r="F517" t="str">
            <v>童装-儿童上装-夹克</v>
          </cell>
          <cell r="G517" t="str">
            <v>一品多商</v>
          </cell>
          <cell r="H517" t="str">
            <v>品牌直发</v>
          </cell>
          <cell r="I517">
            <v>0</v>
          </cell>
        </row>
        <row r="518">
          <cell r="D518">
            <v>114408265</v>
          </cell>
          <cell r="E518" t="str">
            <v>伯希和/PELLIOT</v>
          </cell>
          <cell r="F518" t="str">
            <v>服装-外套-羽绒服</v>
          </cell>
          <cell r="G518" t="str">
            <v>一品多商</v>
          </cell>
          <cell r="H518" t="str">
            <v>品牌直发</v>
          </cell>
          <cell r="I518">
            <v>0</v>
          </cell>
        </row>
        <row r="519">
          <cell r="D519">
            <v>114319017</v>
          </cell>
          <cell r="E519" t="str">
            <v>伯希和/PELLIOT</v>
          </cell>
          <cell r="F519" t="str">
            <v>鞋-运动鞋-登山鞋/徒步鞋</v>
          </cell>
          <cell r="G519" t="str">
            <v>一品一商</v>
          </cell>
          <cell r="H519" t="str">
            <v>品牌直发</v>
          </cell>
          <cell r="I519">
            <v>0</v>
          </cell>
        </row>
        <row r="520">
          <cell r="D520" t="str">
            <v>PE124408256</v>
          </cell>
          <cell r="E520" t="str">
            <v>伯希和/PELLIOT</v>
          </cell>
          <cell r="F520" t="str">
            <v>女装-外套-羽绒服</v>
          </cell>
          <cell r="G520" t="str">
            <v>一品多商</v>
          </cell>
          <cell r="H520" t="str">
            <v>品牌直发</v>
          </cell>
          <cell r="I520">
            <v>0</v>
          </cell>
        </row>
        <row r="521">
          <cell r="D521">
            <v>114408255</v>
          </cell>
          <cell r="E521" t="str">
            <v>伯希和/PELLIOT</v>
          </cell>
          <cell r="F521" t="str">
            <v>服装-外套-羽绒服</v>
          </cell>
          <cell r="G521" t="str">
            <v>一品多商</v>
          </cell>
          <cell r="H521" t="str">
            <v>品牌直发</v>
          </cell>
          <cell r="I521">
            <v>0</v>
          </cell>
        </row>
        <row r="522">
          <cell r="D522">
            <v>124408258</v>
          </cell>
          <cell r="E522" t="str">
            <v>伯希和/PELLIOT</v>
          </cell>
          <cell r="F522" t="str">
            <v>女装-外套-羽绒服</v>
          </cell>
          <cell r="G522" t="str">
            <v>一品多商</v>
          </cell>
          <cell r="H522" t="str">
            <v>品牌直发</v>
          </cell>
          <cell r="I522">
            <v>0</v>
          </cell>
        </row>
        <row r="523">
          <cell r="D523">
            <v>114401069</v>
          </cell>
          <cell r="E523" t="str">
            <v>伯希和/PELLIOT</v>
          </cell>
          <cell r="F523" t="str">
            <v>服装-外套-冲锋衣</v>
          </cell>
          <cell r="G523" t="str">
            <v>一品一商</v>
          </cell>
          <cell r="H523" t="str">
            <v>品牌直发</v>
          </cell>
          <cell r="I523">
            <v>0</v>
          </cell>
        </row>
        <row r="524">
          <cell r="D524">
            <v>114301015</v>
          </cell>
          <cell r="E524" t="str">
            <v>伯希和/PELLIOT</v>
          </cell>
          <cell r="F524" t="str">
            <v>服装-外套-冲锋衣</v>
          </cell>
          <cell r="G524" t="str">
            <v>一品多商</v>
          </cell>
          <cell r="H524" t="str">
            <v>品牌直发</v>
          </cell>
          <cell r="I524">
            <v>0</v>
          </cell>
        </row>
        <row r="525">
          <cell r="D525">
            <v>124311236</v>
          </cell>
          <cell r="E525" t="str">
            <v>伯希和/PELLIOT</v>
          </cell>
          <cell r="F525" t="str">
            <v>女装-户外运动服-抓绒裤</v>
          </cell>
          <cell r="G525" t="str">
            <v>一品一商</v>
          </cell>
          <cell r="H525" t="str">
            <v>品牌直发</v>
          </cell>
          <cell r="I525">
            <v>0</v>
          </cell>
        </row>
        <row r="526">
          <cell r="D526">
            <v>114408251</v>
          </cell>
          <cell r="E526" t="str">
            <v>伯希和/PELLIOT</v>
          </cell>
          <cell r="F526" t="str">
            <v>服装-外套-羽绒服</v>
          </cell>
          <cell r="G526" t="str">
            <v>一品一商</v>
          </cell>
          <cell r="H526" t="str">
            <v>品牌直发</v>
          </cell>
          <cell r="I526">
            <v>0</v>
          </cell>
        </row>
        <row r="527">
          <cell r="D527" t="str">
            <v>PE124408250</v>
          </cell>
          <cell r="E527" t="str">
            <v>伯希和/PELLIOT</v>
          </cell>
          <cell r="F527" t="str">
            <v>女装-外套-羽绒服</v>
          </cell>
          <cell r="G527" t="str">
            <v>一品一商</v>
          </cell>
          <cell r="H527" t="str">
            <v>品牌直发</v>
          </cell>
          <cell r="I527">
            <v>0</v>
          </cell>
        </row>
        <row r="528">
          <cell r="D528">
            <v>114409341</v>
          </cell>
          <cell r="E528" t="str">
            <v>伯希和/PELLIOT</v>
          </cell>
          <cell r="F528" t="str">
            <v>服装-长裤-羽绒裤</v>
          </cell>
          <cell r="G528" t="str">
            <v>一品多商</v>
          </cell>
          <cell r="H528" t="str">
            <v>品牌直发</v>
          </cell>
          <cell r="I528">
            <v>0</v>
          </cell>
        </row>
        <row r="529">
          <cell r="D529">
            <v>124304118</v>
          </cell>
          <cell r="E529" t="str">
            <v>伯希和/PELLIOT</v>
          </cell>
          <cell r="F529" t="str">
            <v>服装-户外运动服-滑雪裤</v>
          </cell>
          <cell r="G529" t="str">
            <v>一品多商</v>
          </cell>
          <cell r="H529" t="str">
            <v>品牌直发</v>
          </cell>
          <cell r="I529">
            <v>0</v>
          </cell>
        </row>
        <row r="530">
          <cell r="D530" t="str">
            <v>PE124404116</v>
          </cell>
          <cell r="E530" t="str">
            <v>伯希和/PELLIOT</v>
          </cell>
          <cell r="F530" t="str">
            <v>服装-户外运动服-滑雪裤</v>
          </cell>
          <cell r="G530" t="str">
            <v>一品多商</v>
          </cell>
          <cell r="H530" t="str">
            <v>品牌直发</v>
          </cell>
          <cell r="I530">
            <v>0</v>
          </cell>
        </row>
        <row r="531">
          <cell r="D531">
            <v>114301079</v>
          </cell>
          <cell r="E531" t="str">
            <v>伯希和/PELLIOT</v>
          </cell>
          <cell r="F531" t="str">
            <v>服装-外套-冲锋衣</v>
          </cell>
          <cell r="G531" t="str">
            <v>一品多商</v>
          </cell>
          <cell r="H531" t="str">
            <v>品牌直发</v>
          </cell>
          <cell r="I531">
            <v>0</v>
          </cell>
        </row>
        <row r="532">
          <cell r="D532" t="str">
            <v>124319016曜石黑</v>
          </cell>
          <cell r="E532" t="str">
            <v>伯希和/PELLIOT</v>
          </cell>
          <cell r="F532" t="str">
            <v>鞋-运动鞋-登山鞋/徒步鞋</v>
          </cell>
          <cell r="G532" t="str">
            <v>一品一商</v>
          </cell>
          <cell r="H532" t="str">
            <v>品牌直发</v>
          </cell>
          <cell r="I532">
            <v>0</v>
          </cell>
        </row>
        <row r="533">
          <cell r="D533" t="str">
            <v>PE124310194</v>
          </cell>
          <cell r="E533" t="str">
            <v>伯希和/PELLIOT</v>
          </cell>
          <cell r="F533" t="str">
            <v>女装-户外运动服-抓绒衣</v>
          </cell>
          <cell r="G533" t="str">
            <v>一品一商</v>
          </cell>
          <cell r="H533" t="str">
            <v>品牌直发</v>
          </cell>
          <cell r="I533">
            <v>0</v>
          </cell>
        </row>
        <row r="534">
          <cell r="D534">
            <v>124408252</v>
          </cell>
          <cell r="E534" t="str">
            <v>伯希和/PELLIOT</v>
          </cell>
          <cell r="F534" t="str">
            <v>女装-外套-羽绒服</v>
          </cell>
          <cell r="G534" t="str">
            <v>一品多商</v>
          </cell>
          <cell r="H534" t="str">
            <v>品牌直发</v>
          </cell>
          <cell r="I534">
            <v>0</v>
          </cell>
        </row>
        <row r="535">
          <cell r="D535">
            <v>114351091</v>
          </cell>
          <cell r="E535" t="str">
            <v>伯希和/PELLIOT</v>
          </cell>
          <cell r="F535" t="str">
            <v>服装-外套-软壳衣</v>
          </cell>
          <cell r="G535" t="str">
            <v>一品多商</v>
          </cell>
          <cell r="H535" t="str">
            <v>品牌直发</v>
          </cell>
          <cell r="I535">
            <v>0</v>
          </cell>
        </row>
        <row r="536">
          <cell r="D536">
            <v>124310184</v>
          </cell>
          <cell r="E536" t="str">
            <v>伯希和/PELLIOT</v>
          </cell>
          <cell r="F536" t="str">
            <v>女装-上衣-卫衣</v>
          </cell>
          <cell r="G536" t="str">
            <v>一品一商</v>
          </cell>
          <cell r="H536" t="str">
            <v>品牌直发</v>
          </cell>
          <cell r="I536">
            <v>0</v>
          </cell>
        </row>
        <row r="537">
          <cell r="D537">
            <v>124377366</v>
          </cell>
          <cell r="E537" t="str">
            <v>伯希和/PELLIOT</v>
          </cell>
          <cell r="F537" t="str">
            <v>内衣-内衣裤-保暖裤</v>
          </cell>
          <cell r="G537" t="str">
            <v>一品一商</v>
          </cell>
          <cell r="H537" t="str">
            <v>品牌直发</v>
          </cell>
          <cell r="I537">
            <v>0</v>
          </cell>
        </row>
        <row r="538">
          <cell r="D538">
            <v>114315395</v>
          </cell>
          <cell r="E538" t="str">
            <v>伯希和/PELLIOT</v>
          </cell>
          <cell r="F538" t="str">
            <v>服装-户外运动服-速干衣</v>
          </cell>
          <cell r="G538" t="str">
            <v>一品一商</v>
          </cell>
          <cell r="H538" t="str">
            <v>品牌直发</v>
          </cell>
          <cell r="I538">
            <v>0</v>
          </cell>
        </row>
        <row r="539">
          <cell r="D539">
            <v>164334001</v>
          </cell>
          <cell r="E539" t="str">
            <v>伯希和/PELLIOT</v>
          </cell>
          <cell r="F539" t="str">
            <v>流行饰品/眼镜/服配-帽子-其他帽子</v>
          </cell>
          <cell r="G539" t="str">
            <v>一品一商</v>
          </cell>
          <cell r="H539" t="str">
            <v>品牌直发</v>
          </cell>
          <cell r="I539">
            <v>0</v>
          </cell>
        </row>
        <row r="540">
          <cell r="D540">
            <v>124315398</v>
          </cell>
          <cell r="E540" t="str">
            <v>伯希和/PELLIOT</v>
          </cell>
          <cell r="F540" t="str">
            <v>女装-上衣-T恤</v>
          </cell>
          <cell r="G540" t="str">
            <v>一品多商</v>
          </cell>
          <cell r="H540" t="str">
            <v>品牌直发</v>
          </cell>
          <cell r="I540">
            <v>0</v>
          </cell>
        </row>
        <row r="541">
          <cell r="D541">
            <v>124301080</v>
          </cell>
          <cell r="E541" t="str">
            <v>伯希和/PELLIOT</v>
          </cell>
          <cell r="F541" t="str">
            <v>女装-外套-冲锋衣</v>
          </cell>
          <cell r="G541" t="str">
            <v>一品多商</v>
          </cell>
          <cell r="H541" t="str">
            <v>品牌直发</v>
          </cell>
          <cell r="I541">
            <v>0</v>
          </cell>
        </row>
        <row r="542">
          <cell r="D542" t="str">
            <v>PE124306152</v>
          </cell>
          <cell r="E542" t="str">
            <v>伯希和/PELLIOT</v>
          </cell>
          <cell r="F542" t="str">
            <v>女装-外套-软壳衣</v>
          </cell>
          <cell r="G542" t="str">
            <v>一品多商</v>
          </cell>
          <cell r="H542" t="str">
            <v>品牌直发</v>
          </cell>
          <cell r="I542">
            <v>0</v>
          </cell>
        </row>
        <row r="543">
          <cell r="D543">
            <v>124311234</v>
          </cell>
          <cell r="E543" t="str">
            <v>伯希和/PELLIOT</v>
          </cell>
          <cell r="F543" t="str">
            <v>女装-户外运动服-抓绒裤</v>
          </cell>
          <cell r="G543" t="str">
            <v>一品多商</v>
          </cell>
          <cell r="H543" t="str">
            <v>品牌直发</v>
          </cell>
          <cell r="I543">
            <v>0</v>
          </cell>
        </row>
        <row r="544">
          <cell r="D544">
            <v>124408246</v>
          </cell>
          <cell r="E544" t="str">
            <v>伯希和/PELLIOT</v>
          </cell>
          <cell r="F544" t="str">
            <v>女装-外套-羽绒服</v>
          </cell>
          <cell r="G544" t="str">
            <v>一品多商</v>
          </cell>
          <cell r="H544" t="str">
            <v>品牌直发</v>
          </cell>
          <cell r="I544">
            <v>0</v>
          </cell>
        </row>
        <row r="545">
          <cell r="D545" t="str">
            <v>PE114401009</v>
          </cell>
          <cell r="E545" t="str">
            <v>伯希和/PELLIOT</v>
          </cell>
          <cell r="F545" t="str">
            <v>服装-外套-冲锋衣</v>
          </cell>
          <cell r="G545" t="str">
            <v>一品多商</v>
          </cell>
          <cell r="H545" t="str">
            <v>品牌直发</v>
          </cell>
          <cell r="I545">
            <v>0</v>
          </cell>
        </row>
        <row r="546">
          <cell r="D546">
            <v>114408249</v>
          </cell>
          <cell r="E546" t="str">
            <v>伯希和/PELLIOT</v>
          </cell>
          <cell r="F546" t="str">
            <v>服装-外套-羽绒服</v>
          </cell>
          <cell r="G546" t="str">
            <v>一品多商</v>
          </cell>
          <cell r="H546" t="str">
            <v>品牌直发</v>
          </cell>
          <cell r="I546">
            <v>0</v>
          </cell>
        </row>
        <row r="547">
          <cell r="D547">
            <v>124318426</v>
          </cell>
          <cell r="E547" t="str">
            <v>伯希和/PELLIOT</v>
          </cell>
          <cell r="F547" t="str">
            <v>内衣-内衣裤-保暖套装</v>
          </cell>
          <cell r="G547" t="str">
            <v>一品一商</v>
          </cell>
          <cell r="H547" t="str">
            <v>普通现货</v>
          </cell>
          <cell r="I547">
            <v>0</v>
          </cell>
        </row>
        <row r="548">
          <cell r="D548">
            <v>124408244</v>
          </cell>
          <cell r="E548" t="str">
            <v>伯希和/PELLIOT</v>
          </cell>
          <cell r="F548" t="str">
            <v>服装-外套-羽绒服</v>
          </cell>
          <cell r="G548" t="str">
            <v>一品多商</v>
          </cell>
          <cell r="H548" t="str">
            <v>品牌直发</v>
          </cell>
          <cell r="I548">
            <v>0</v>
          </cell>
        </row>
        <row r="549">
          <cell r="D549">
            <v>114310191</v>
          </cell>
          <cell r="E549" t="str">
            <v>伯希和/PELLIOT</v>
          </cell>
          <cell r="F549" t="str">
            <v>服装-户外运动服-抓绒衣</v>
          </cell>
          <cell r="G549" t="str">
            <v>一品多商</v>
          </cell>
          <cell r="H549" t="str">
            <v>品牌直发</v>
          </cell>
          <cell r="I549">
            <v>0</v>
          </cell>
        </row>
        <row r="550">
          <cell r="D550">
            <v>114306151</v>
          </cell>
          <cell r="E550" t="str">
            <v>伯希和/PELLIOT</v>
          </cell>
          <cell r="F550" t="str">
            <v>服装-外套-软壳衣</v>
          </cell>
          <cell r="G550" t="str">
            <v>一品多商</v>
          </cell>
          <cell r="H550" t="str">
            <v>品牌直发</v>
          </cell>
          <cell r="I550">
            <v>0</v>
          </cell>
        </row>
        <row r="551">
          <cell r="D551">
            <v>124401042</v>
          </cell>
          <cell r="E551" t="str">
            <v>伯希和/PELLIOT</v>
          </cell>
          <cell r="F551" t="str">
            <v>女装-外套-冲锋衣</v>
          </cell>
          <cell r="G551" t="str">
            <v>一品多商</v>
          </cell>
          <cell r="H551" t="str">
            <v>品牌直发</v>
          </cell>
          <cell r="I551">
            <v>0</v>
          </cell>
        </row>
        <row r="552">
          <cell r="D552" t="str">
            <v>11421551-SG51</v>
          </cell>
          <cell r="E552" t="str">
            <v>伯希和/PELLIOT</v>
          </cell>
          <cell r="F552" t="str">
            <v>服装-上衣-Polo衫</v>
          </cell>
          <cell r="G552" t="str">
            <v>一品一商</v>
          </cell>
          <cell r="H552" t="str">
            <v>品牌直发</v>
          </cell>
          <cell r="I552">
            <v>0</v>
          </cell>
        </row>
        <row r="553">
          <cell r="D553">
            <v>124376410</v>
          </cell>
          <cell r="E553" t="str">
            <v>伯希和/PELLIOT</v>
          </cell>
          <cell r="F553" t="str">
            <v>服装-外套-棉服</v>
          </cell>
          <cell r="G553" t="str">
            <v>一品多商</v>
          </cell>
          <cell r="H553" t="str">
            <v>品牌直发</v>
          </cell>
          <cell r="I553">
            <v>0</v>
          </cell>
        </row>
        <row r="554">
          <cell r="D554">
            <v>124419012</v>
          </cell>
          <cell r="E554" t="str">
            <v>伯希和/PELLIOT</v>
          </cell>
          <cell r="F554" t="str">
            <v>鞋-运动鞋-登山鞋/徒步鞋</v>
          </cell>
          <cell r="G554" t="str">
            <v>一品一商</v>
          </cell>
          <cell r="H554" t="str">
            <v>品牌直发</v>
          </cell>
          <cell r="I554">
            <v>0</v>
          </cell>
        </row>
        <row r="555">
          <cell r="D555">
            <v>114419011</v>
          </cell>
          <cell r="E555" t="str">
            <v>伯希和/PELLIOT</v>
          </cell>
          <cell r="F555" t="str">
            <v>鞋-运动鞋-登山鞋/徒步鞋</v>
          </cell>
          <cell r="G555" t="str">
            <v>一品一商</v>
          </cell>
          <cell r="H555" t="str">
            <v>品牌直发</v>
          </cell>
          <cell r="I555">
            <v>0</v>
          </cell>
        </row>
        <row r="556">
          <cell r="D556">
            <v>114311233</v>
          </cell>
          <cell r="E556" t="str">
            <v>伯希和/PELLIOT</v>
          </cell>
          <cell r="F556" t="str">
            <v>服装-户外运动服-抓绒裤</v>
          </cell>
          <cell r="G556" t="str">
            <v>一品多商</v>
          </cell>
          <cell r="H556" t="str">
            <v>品牌直发</v>
          </cell>
          <cell r="I556">
            <v>0</v>
          </cell>
        </row>
        <row r="557">
          <cell r="D557">
            <v>114408241</v>
          </cell>
          <cell r="E557" t="str">
            <v>伯希和/PELLIOT</v>
          </cell>
          <cell r="F557" t="str">
            <v>服装-外套-羽绒马甲</v>
          </cell>
          <cell r="G557" t="str">
            <v>一品多商</v>
          </cell>
          <cell r="H557" t="str">
            <v>品牌直发</v>
          </cell>
          <cell r="I557">
            <v>0</v>
          </cell>
        </row>
        <row r="558">
          <cell r="D558">
            <v>134408269</v>
          </cell>
          <cell r="E558" t="str">
            <v>伯希和/PELLIOT</v>
          </cell>
          <cell r="F558" t="str">
            <v>童装-儿童上装-羽绒服</v>
          </cell>
          <cell r="G558" t="str">
            <v>一品一商</v>
          </cell>
          <cell r="H558" t="str">
            <v>品牌直发</v>
          </cell>
          <cell r="I558">
            <v>0</v>
          </cell>
        </row>
        <row r="559">
          <cell r="D559">
            <v>124408268</v>
          </cell>
          <cell r="E559" t="str">
            <v>伯希和/PELLIOT</v>
          </cell>
          <cell r="F559" t="str">
            <v>女装-外套-羽绒服</v>
          </cell>
          <cell r="G559" t="str">
            <v>一品多商</v>
          </cell>
          <cell r="H559" t="str">
            <v>品牌直发</v>
          </cell>
          <cell r="I559">
            <v>0</v>
          </cell>
        </row>
        <row r="560">
          <cell r="D560">
            <v>114408245</v>
          </cell>
          <cell r="E560" t="str">
            <v>伯希和/PELLIOT</v>
          </cell>
          <cell r="F560" t="str">
            <v>服装-外套-羽绒马甲</v>
          </cell>
          <cell r="G560" t="str">
            <v>一品多商</v>
          </cell>
          <cell r="H560" t="str">
            <v>品牌直发</v>
          </cell>
          <cell r="I560">
            <v>0</v>
          </cell>
        </row>
        <row r="561">
          <cell r="D561">
            <v>124376130</v>
          </cell>
          <cell r="E561" t="str">
            <v>伯希和/PELLIOT</v>
          </cell>
          <cell r="F561" t="str">
            <v>女装-外套-棉服</v>
          </cell>
          <cell r="G561" t="str">
            <v>一品多商</v>
          </cell>
          <cell r="H561" t="str">
            <v>品牌直发</v>
          </cell>
          <cell r="I561">
            <v>0</v>
          </cell>
        </row>
        <row r="562">
          <cell r="D562">
            <v>114310189</v>
          </cell>
          <cell r="E562" t="str">
            <v>伯希和/PELLIOT</v>
          </cell>
          <cell r="F562" t="str">
            <v>服装-户外运动服-抓绒衣</v>
          </cell>
          <cell r="G562" t="str">
            <v>一品一商</v>
          </cell>
          <cell r="H562" t="str">
            <v>品牌直发</v>
          </cell>
          <cell r="I562">
            <v>0</v>
          </cell>
        </row>
        <row r="563">
          <cell r="D563">
            <v>124420014</v>
          </cell>
          <cell r="E563" t="str">
            <v>伯希和/PELLIOT</v>
          </cell>
          <cell r="F563" t="str">
            <v>鞋-潮流休闲鞋-生活休闲鞋</v>
          </cell>
          <cell r="G563" t="str">
            <v>一品一商</v>
          </cell>
          <cell r="H563" t="str">
            <v>品牌直发</v>
          </cell>
          <cell r="I563">
            <v>0</v>
          </cell>
        </row>
        <row r="564">
          <cell r="D564">
            <v>124315394</v>
          </cell>
          <cell r="E564" t="str">
            <v>伯希和/PELLIOT</v>
          </cell>
          <cell r="F564" t="str">
            <v>女装-上衣-T恤</v>
          </cell>
          <cell r="G564" t="str">
            <v>一品一商</v>
          </cell>
          <cell r="H564" t="str">
            <v>品牌直发</v>
          </cell>
          <cell r="I564">
            <v>0</v>
          </cell>
        </row>
        <row r="565">
          <cell r="D565">
            <v>124401010</v>
          </cell>
          <cell r="E565" t="str">
            <v>伯希和/PELLIOT</v>
          </cell>
          <cell r="F565" t="str">
            <v>女装-外套-冲锋衣</v>
          </cell>
          <cell r="G565" t="str">
            <v>一品一商</v>
          </cell>
          <cell r="H565" t="str">
            <v>品牌直发</v>
          </cell>
          <cell r="I565">
            <v>0</v>
          </cell>
        </row>
        <row r="566">
          <cell r="D566">
            <v>124307170</v>
          </cell>
          <cell r="E566" t="str">
            <v>伯希和/PELLIOT</v>
          </cell>
          <cell r="F566" t="str">
            <v>女装-长裤-软壳裤</v>
          </cell>
          <cell r="G566" t="str">
            <v>一品多商</v>
          </cell>
          <cell r="H566" t="str">
            <v>品牌直发</v>
          </cell>
          <cell r="I566">
            <v>0</v>
          </cell>
        </row>
        <row r="567">
          <cell r="D567">
            <v>114315393</v>
          </cell>
          <cell r="E567" t="str">
            <v>伯希和/PELLIOT</v>
          </cell>
          <cell r="F567" t="str">
            <v>服装-上衣-T恤</v>
          </cell>
          <cell r="G567" t="str">
            <v>一品多商</v>
          </cell>
          <cell r="H567" t="str">
            <v>品牌直发</v>
          </cell>
          <cell r="I567">
            <v>0</v>
          </cell>
        </row>
        <row r="568">
          <cell r="D568">
            <v>124318424</v>
          </cell>
          <cell r="E568" t="str">
            <v>伯希和/PELLIOT</v>
          </cell>
          <cell r="F568" t="str">
            <v>内衣-内衣裤-保暖套装</v>
          </cell>
          <cell r="G568" t="str">
            <v>一品一商</v>
          </cell>
          <cell r="H568" t="str">
            <v>品牌直发</v>
          </cell>
          <cell r="I568">
            <v>0</v>
          </cell>
        </row>
        <row r="569">
          <cell r="D569">
            <v>134307173</v>
          </cell>
          <cell r="E569" t="str">
            <v>伯希和/PELLIOT</v>
          </cell>
          <cell r="F569" t="str">
            <v>童装-儿童下装-儿童运动裤</v>
          </cell>
          <cell r="G569" t="str">
            <v>一品一商</v>
          </cell>
          <cell r="H569" t="str">
            <v>品牌直发</v>
          </cell>
          <cell r="I569">
            <v>0</v>
          </cell>
        </row>
        <row r="570">
          <cell r="D570">
            <v>134310199</v>
          </cell>
          <cell r="E570" t="str">
            <v>伯希和/PELLIOT</v>
          </cell>
          <cell r="F570" t="str">
            <v>童装-儿童上装-卫衣</v>
          </cell>
          <cell r="G570" t="str">
            <v>一品一商</v>
          </cell>
          <cell r="H570" t="str">
            <v>品牌直发</v>
          </cell>
          <cell r="I570">
            <v>0</v>
          </cell>
        </row>
        <row r="571">
          <cell r="D571">
            <v>124307162</v>
          </cell>
          <cell r="E571" t="str">
            <v>伯希和/PELLIOT</v>
          </cell>
          <cell r="F571" t="str">
            <v>女装-长裤-软壳裤</v>
          </cell>
          <cell r="G571" t="str">
            <v>一品多商</v>
          </cell>
          <cell r="H571" t="str">
            <v>品牌直发</v>
          </cell>
          <cell r="I571">
            <v>0</v>
          </cell>
        </row>
        <row r="572">
          <cell r="D572">
            <v>114376129</v>
          </cell>
          <cell r="E572" t="str">
            <v>伯希和/PELLIOT</v>
          </cell>
          <cell r="F572" t="str">
            <v>服装-外套-棉服</v>
          </cell>
          <cell r="G572" t="str">
            <v>一品多商</v>
          </cell>
          <cell r="H572" t="str">
            <v>品牌直发</v>
          </cell>
          <cell r="I572">
            <v>0</v>
          </cell>
        </row>
        <row r="573">
          <cell r="D573">
            <v>114301065</v>
          </cell>
          <cell r="E573" t="str">
            <v>伯希和/PELLIOT</v>
          </cell>
          <cell r="F573" t="str">
            <v>服装-外套-冲锋衣</v>
          </cell>
          <cell r="G573" t="str">
            <v>一品一商</v>
          </cell>
          <cell r="H573" t="str">
            <v>品牌直发</v>
          </cell>
          <cell r="I573">
            <v>0</v>
          </cell>
        </row>
        <row r="574">
          <cell r="D574">
            <v>134310200</v>
          </cell>
          <cell r="E574" t="str">
            <v>伯希和/PELLIOT</v>
          </cell>
          <cell r="F574" t="str">
            <v>童装-儿童上装-夹克</v>
          </cell>
          <cell r="G574" t="str">
            <v>一品一商</v>
          </cell>
          <cell r="H574" t="str">
            <v>品牌直发</v>
          </cell>
          <cell r="I574">
            <v>0</v>
          </cell>
        </row>
        <row r="575">
          <cell r="D575">
            <v>114307175</v>
          </cell>
          <cell r="E575" t="str">
            <v>伯希和/PELLIOT</v>
          </cell>
          <cell r="F575" t="str">
            <v>服装-长裤-软壳裤</v>
          </cell>
          <cell r="G575" t="str">
            <v>一品多商</v>
          </cell>
          <cell r="H575" t="str">
            <v>品牌直发</v>
          </cell>
          <cell r="I575">
            <v>0</v>
          </cell>
        </row>
        <row r="576">
          <cell r="D576">
            <v>11340305</v>
          </cell>
          <cell r="E576" t="str">
            <v>伯希和/PELLIOT</v>
          </cell>
          <cell r="F576" t="str">
            <v>服装-外套-棉服</v>
          </cell>
          <cell r="G576" t="str">
            <v>一品多商</v>
          </cell>
          <cell r="H576" t="str">
            <v>品牌直发</v>
          </cell>
          <cell r="I576">
            <v>0</v>
          </cell>
        </row>
        <row r="577">
          <cell r="D577">
            <v>114315385</v>
          </cell>
          <cell r="E577" t="str">
            <v>伯希和/PELLIOT</v>
          </cell>
          <cell r="F577" t="str">
            <v>服装-上衣-T恤</v>
          </cell>
          <cell r="G577" t="str">
            <v>一品多商</v>
          </cell>
          <cell r="H577" t="str">
            <v>品牌直发</v>
          </cell>
          <cell r="I577">
            <v>0</v>
          </cell>
        </row>
        <row r="578">
          <cell r="D578">
            <v>124315390</v>
          </cell>
          <cell r="E578" t="str">
            <v>伯希和/PELLIOT</v>
          </cell>
          <cell r="F578" t="str">
            <v>服装-户外运动服-速干衣</v>
          </cell>
          <cell r="G578" t="str">
            <v>一品一商</v>
          </cell>
          <cell r="H578" t="str">
            <v>品牌直发</v>
          </cell>
          <cell r="I578">
            <v>0</v>
          </cell>
        </row>
        <row r="579">
          <cell r="D579">
            <v>114314377</v>
          </cell>
          <cell r="E579" t="str">
            <v>伯希和/PELLIOT</v>
          </cell>
          <cell r="F579" t="str">
            <v>服装-长裤-软壳裤</v>
          </cell>
          <cell r="G579" t="str">
            <v>一品多商</v>
          </cell>
          <cell r="H579" t="str">
            <v>品牌直发</v>
          </cell>
          <cell r="I579">
            <v>0</v>
          </cell>
        </row>
        <row r="580">
          <cell r="D580">
            <v>124315386</v>
          </cell>
          <cell r="E580" t="str">
            <v>伯希和/PELLIOT</v>
          </cell>
          <cell r="F580" t="str">
            <v>女装-上衣-T恤</v>
          </cell>
          <cell r="G580" t="str">
            <v>一品一商</v>
          </cell>
          <cell r="H580" t="str">
            <v>品牌直发</v>
          </cell>
          <cell r="I580">
            <v>0</v>
          </cell>
        </row>
        <row r="581">
          <cell r="D581">
            <v>134301031</v>
          </cell>
          <cell r="E581" t="str">
            <v>伯希和/PELLIOT</v>
          </cell>
          <cell r="F581" t="str">
            <v>童装-儿童上装-冲锋衣</v>
          </cell>
          <cell r="G581" t="str">
            <v>一品一商</v>
          </cell>
          <cell r="H581" t="str">
            <v>品牌直发</v>
          </cell>
          <cell r="I581">
            <v>0</v>
          </cell>
        </row>
        <row r="582">
          <cell r="D582">
            <v>114307161</v>
          </cell>
          <cell r="E582" t="str">
            <v>伯希和/PELLIOT</v>
          </cell>
          <cell r="F582" t="str">
            <v>服装-长裤-软壳裤</v>
          </cell>
          <cell r="G582" t="str">
            <v>一品一商</v>
          </cell>
          <cell r="H582" t="str">
            <v>品牌直发</v>
          </cell>
          <cell r="I582">
            <v>0</v>
          </cell>
        </row>
        <row r="583">
          <cell r="D583" t="str">
            <v>PE114307167</v>
          </cell>
          <cell r="E583" t="str">
            <v>伯希和/PELLIOT</v>
          </cell>
          <cell r="F583" t="str">
            <v>服装-长裤-软壳裤</v>
          </cell>
          <cell r="G583" t="str">
            <v>一品多商</v>
          </cell>
          <cell r="H583" t="str">
            <v>品牌直发</v>
          </cell>
          <cell r="I583">
            <v>0</v>
          </cell>
        </row>
        <row r="584">
          <cell r="D584">
            <v>114307169</v>
          </cell>
          <cell r="E584" t="str">
            <v>伯希和/PELLIOT</v>
          </cell>
          <cell r="F584" t="str">
            <v>服装-长裤-软壳裤</v>
          </cell>
          <cell r="G584" t="str">
            <v>一品多商</v>
          </cell>
          <cell r="H584" t="str">
            <v>品牌直发</v>
          </cell>
          <cell r="I584">
            <v>0</v>
          </cell>
        </row>
        <row r="585">
          <cell r="D585" t="str">
            <v>PE124306150</v>
          </cell>
          <cell r="E585" t="str">
            <v>伯希和/PELLIOT</v>
          </cell>
          <cell r="F585" t="str">
            <v>女装-外套-软壳衣</v>
          </cell>
          <cell r="G585" t="str">
            <v>一品一商</v>
          </cell>
          <cell r="H585" t="str">
            <v>品牌直发</v>
          </cell>
          <cell r="I585">
            <v>0</v>
          </cell>
        </row>
        <row r="586">
          <cell r="D586">
            <v>12421552</v>
          </cell>
          <cell r="E586" t="str">
            <v>伯希和/PELLIOT</v>
          </cell>
          <cell r="F586" t="str">
            <v>女装-上衣-Polo衫</v>
          </cell>
          <cell r="G586" t="str">
            <v>一品一商</v>
          </cell>
          <cell r="H586" t="str">
            <v>品牌直发</v>
          </cell>
          <cell r="I586">
            <v>0</v>
          </cell>
        </row>
        <row r="587">
          <cell r="D587">
            <v>114306149</v>
          </cell>
          <cell r="E587" t="str">
            <v>伯希和/PELLIOT</v>
          </cell>
          <cell r="F587" t="str">
            <v>服装-外套-软壳衣</v>
          </cell>
          <cell r="G587" t="str">
            <v>一品多商</v>
          </cell>
          <cell r="H587" t="str">
            <v>品牌直发</v>
          </cell>
          <cell r="I587">
            <v>0</v>
          </cell>
        </row>
        <row r="588">
          <cell r="D588">
            <v>164334406</v>
          </cell>
          <cell r="E588" t="str">
            <v>伯希和/PELLIOT</v>
          </cell>
          <cell r="F588" t="str">
            <v>流行饰品/眼镜/服配-帽子-其他帽子</v>
          </cell>
          <cell r="G588" t="str">
            <v>一品一商</v>
          </cell>
          <cell r="H588" t="str">
            <v>品牌直发</v>
          </cell>
          <cell r="I588">
            <v>0</v>
          </cell>
        </row>
        <row r="589">
          <cell r="D589" t="str">
            <v>PE124301004</v>
          </cell>
          <cell r="E589" t="str">
            <v>伯希和/PELLIOT</v>
          </cell>
          <cell r="F589" t="str">
            <v>服装-外套-冲锋衣</v>
          </cell>
          <cell r="G589" t="str">
            <v>一品多商</v>
          </cell>
          <cell r="H589" t="str">
            <v>品牌直发</v>
          </cell>
          <cell r="I589">
            <v>0</v>
          </cell>
        </row>
        <row r="590">
          <cell r="D590" t="str">
            <v>PE124302082</v>
          </cell>
          <cell r="E590" t="str">
            <v>伯希和/PELLIOT</v>
          </cell>
          <cell r="F590" t="str">
            <v>女装-长裤-冲锋裤</v>
          </cell>
          <cell r="G590" t="str">
            <v>一品多商</v>
          </cell>
          <cell r="H590" t="str">
            <v>品牌直发</v>
          </cell>
          <cell r="I590">
            <v>0</v>
          </cell>
        </row>
        <row r="591">
          <cell r="D591" t="str">
            <v>PE114376127</v>
          </cell>
          <cell r="E591" t="str">
            <v>伯希和/PELLIOT</v>
          </cell>
          <cell r="F591" t="str">
            <v>服装-外套-马甲</v>
          </cell>
          <cell r="G591" t="str">
            <v>一品多商</v>
          </cell>
          <cell r="H591" t="str">
            <v>品牌直发</v>
          </cell>
          <cell r="I591">
            <v>0</v>
          </cell>
        </row>
        <row r="592">
          <cell r="D592" t="str">
            <v>PE124315382</v>
          </cell>
          <cell r="E592" t="str">
            <v>伯希和/PELLIOT</v>
          </cell>
          <cell r="F592" t="str">
            <v>女装-上衣-T恤</v>
          </cell>
          <cell r="G592" t="str">
            <v>一品一商</v>
          </cell>
          <cell r="H592" t="str">
            <v>品牌直发</v>
          </cell>
          <cell r="I592">
            <v>0</v>
          </cell>
        </row>
        <row r="593">
          <cell r="D593" t="str">
            <v>PE114301013</v>
          </cell>
          <cell r="E593" t="str">
            <v>伯希和/PELLIOT</v>
          </cell>
          <cell r="F593" t="str">
            <v>服装-外套-冲锋衣</v>
          </cell>
          <cell r="G593" t="str">
            <v>一品多商</v>
          </cell>
          <cell r="H593" t="str">
            <v>品牌直发</v>
          </cell>
          <cell r="I593">
            <v>0</v>
          </cell>
        </row>
        <row r="594">
          <cell r="D594" t="str">
            <v>PE114301011</v>
          </cell>
          <cell r="E594" t="str">
            <v>伯希和/PELLIOT</v>
          </cell>
          <cell r="F594" t="str">
            <v>服装-外套-冲锋衣</v>
          </cell>
          <cell r="G594" t="str">
            <v>一品多商</v>
          </cell>
          <cell r="H594" t="str">
            <v>品牌直发</v>
          </cell>
          <cell r="I594">
            <v>0</v>
          </cell>
        </row>
        <row r="595">
          <cell r="D595" t="str">
            <v>PE114302081</v>
          </cell>
          <cell r="E595" t="str">
            <v>伯希和/PELLIOT</v>
          </cell>
          <cell r="F595" t="str">
            <v>服装-长裤-冲锋裤</v>
          </cell>
          <cell r="G595" t="str">
            <v>一品多商</v>
          </cell>
          <cell r="H595" t="str">
            <v>品牌直发</v>
          </cell>
          <cell r="I595">
            <v>0</v>
          </cell>
        </row>
        <row r="596">
          <cell r="D596" t="str">
            <v>PE114351093</v>
          </cell>
          <cell r="E596" t="str">
            <v>伯希和/PELLIOT</v>
          </cell>
          <cell r="F596" t="str">
            <v>服装-外套-夹克</v>
          </cell>
          <cell r="G596" t="str">
            <v>一品多商</v>
          </cell>
          <cell r="H596" t="str">
            <v>品牌直发</v>
          </cell>
          <cell r="I596">
            <v>0</v>
          </cell>
        </row>
        <row r="597">
          <cell r="D597" t="str">
            <v>PE124319002</v>
          </cell>
          <cell r="E597" t="str">
            <v>伯希和/PELLIOT</v>
          </cell>
          <cell r="F597" t="str">
            <v>鞋-运动鞋-越野跑鞋</v>
          </cell>
          <cell r="G597" t="str">
            <v>一品多商</v>
          </cell>
          <cell r="H597" t="str">
            <v>品牌直发</v>
          </cell>
          <cell r="I597">
            <v>0</v>
          </cell>
        </row>
        <row r="598">
          <cell r="D598" t="str">
            <v>PE114306141</v>
          </cell>
          <cell r="E598" t="str">
            <v>伯希和/PELLIOT</v>
          </cell>
          <cell r="F598" t="str">
            <v>服装-外套-软壳衣</v>
          </cell>
          <cell r="G598" t="str">
            <v>一品一商</v>
          </cell>
          <cell r="H598" t="str">
            <v>品牌直发</v>
          </cell>
          <cell r="I598">
            <v>0</v>
          </cell>
        </row>
        <row r="599">
          <cell r="D599">
            <v>16402502</v>
          </cell>
          <cell r="E599" t="str">
            <v>伯希和/PELLIOT</v>
          </cell>
          <cell r="F599" t="str">
            <v>箱包-包袋-户外包</v>
          </cell>
          <cell r="G599" t="str">
            <v>一品一商</v>
          </cell>
          <cell r="H599" t="str">
            <v>品牌直发</v>
          </cell>
          <cell r="I599">
            <v>0</v>
          </cell>
        </row>
        <row r="600">
          <cell r="D600" t="str">
            <v>114419005女款</v>
          </cell>
          <cell r="E600" t="str">
            <v>伯希和/PELLIOT</v>
          </cell>
          <cell r="F600" t="str">
            <v>鞋-运动鞋-登山鞋/徒步鞋</v>
          </cell>
          <cell r="G600" t="str">
            <v>一品一商</v>
          </cell>
          <cell r="H600" t="str">
            <v>品牌直发</v>
          </cell>
          <cell r="I600">
            <v>0</v>
          </cell>
        </row>
        <row r="601">
          <cell r="D601" t="str">
            <v>114419005男款</v>
          </cell>
          <cell r="E601" t="str">
            <v>伯希和/PELLIOT</v>
          </cell>
          <cell r="F601" t="str">
            <v>鞋-运动鞋-登山鞋/徒步鞋</v>
          </cell>
          <cell r="G601" t="str">
            <v>一品一商</v>
          </cell>
          <cell r="H601" t="str">
            <v>品牌直发</v>
          </cell>
          <cell r="I601">
            <v>0</v>
          </cell>
        </row>
        <row r="602">
          <cell r="D602">
            <v>164035001</v>
          </cell>
          <cell r="E602" t="str">
            <v>伯希和/PELLIOT</v>
          </cell>
          <cell r="F602" t="str">
            <v>内衣-袜子-高筒袜</v>
          </cell>
          <cell r="G602" t="str">
            <v>一品一商</v>
          </cell>
          <cell r="H602" t="str">
            <v>品牌直发</v>
          </cell>
          <cell r="I602">
            <v>0</v>
          </cell>
        </row>
        <row r="603">
          <cell r="D603" t="str">
            <v>PE124314372</v>
          </cell>
          <cell r="E603" t="str">
            <v>伯希和/PELLIOT</v>
          </cell>
          <cell r="F603" t="str">
            <v>女装-户外运动服-速干裤</v>
          </cell>
          <cell r="G603" t="str">
            <v>一品一商</v>
          </cell>
          <cell r="H603" t="str">
            <v>品牌直发</v>
          </cell>
          <cell r="I603">
            <v>0</v>
          </cell>
        </row>
        <row r="604">
          <cell r="D604" t="str">
            <v>PE12410202</v>
          </cell>
          <cell r="E604" t="str">
            <v>伯希和/PELLIOT</v>
          </cell>
          <cell r="F604" t="str">
            <v>女装-长裤-冲锋裤</v>
          </cell>
          <cell r="G604" t="str">
            <v>一品多商</v>
          </cell>
          <cell r="H604" t="str">
            <v>品牌直发</v>
          </cell>
          <cell r="I604">
            <v>0</v>
          </cell>
        </row>
        <row r="605">
          <cell r="D605">
            <v>124351094</v>
          </cell>
          <cell r="E605" t="str">
            <v>伯希和/PELLIOT</v>
          </cell>
          <cell r="F605" t="str">
            <v>女装-外套-夹克</v>
          </cell>
          <cell r="G605" t="str">
            <v>一品一商</v>
          </cell>
          <cell r="H605" t="str">
            <v>品牌直发</v>
          </cell>
          <cell r="I605">
            <v>0</v>
          </cell>
        </row>
        <row r="606">
          <cell r="D606" t="str">
            <v>ys124101048</v>
          </cell>
          <cell r="E606" t="str">
            <v>伯希和/PELLIOT</v>
          </cell>
          <cell r="F606" t="str">
            <v>服装-外套-冲锋衣</v>
          </cell>
          <cell r="G606" t="str">
            <v>一品多商</v>
          </cell>
          <cell r="H606" t="str">
            <v>品牌直发</v>
          </cell>
          <cell r="I606">
            <v>0</v>
          </cell>
        </row>
        <row r="607">
          <cell r="D607">
            <v>114314375</v>
          </cell>
          <cell r="E607" t="str">
            <v>伯希和/PELLIOT</v>
          </cell>
          <cell r="F607" t="str">
            <v>服装-户外运动服-速干裤</v>
          </cell>
          <cell r="G607" t="str">
            <v>一品多商</v>
          </cell>
          <cell r="H607" t="str">
            <v>品牌直发</v>
          </cell>
          <cell r="I607">
            <v>0</v>
          </cell>
        </row>
        <row r="608">
          <cell r="D608">
            <v>124310190</v>
          </cell>
          <cell r="E608" t="str">
            <v>伯希和/PELLIOT</v>
          </cell>
          <cell r="F608" t="str">
            <v>女装-户外运动服-抓绒衣</v>
          </cell>
          <cell r="G608" t="str">
            <v>一品一商</v>
          </cell>
          <cell r="H608" t="str">
            <v>品牌直发</v>
          </cell>
          <cell r="I608">
            <v>0</v>
          </cell>
        </row>
        <row r="609">
          <cell r="D609">
            <v>124307168</v>
          </cell>
          <cell r="E609" t="str">
            <v>伯希和/PELLIOT</v>
          </cell>
          <cell r="F609" t="str">
            <v>女装-长裤-软壳裤</v>
          </cell>
          <cell r="G609" t="str">
            <v>一品一商</v>
          </cell>
          <cell r="H609" t="str">
            <v>品牌直发</v>
          </cell>
          <cell r="I609">
            <v>0</v>
          </cell>
        </row>
        <row r="610">
          <cell r="D610">
            <v>124351092</v>
          </cell>
          <cell r="E610" t="str">
            <v>伯希和/PELLIOT</v>
          </cell>
          <cell r="F610" t="str">
            <v>女装-外套-软壳衣</v>
          </cell>
          <cell r="G610" t="str">
            <v>一品多商</v>
          </cell>
          <cell r="H610" t="str">
            <v>品牌直发</v>
          </cell>
          <cell r="I610">
            <v>0</v>
          </cell>
        </row>
        <row r="611">
          <cell r="D611">
            <v>114301039</v>
          </cell>
          <cell r="E611" t="str">
            <v>伯希和/PELLIOT</v>
          </cell>
          <cell r="F611" t="str">
            <v>服装-外套-冲锋衣</v>
          </cell>
          <cell r="G611" t="str">
            <v>一品一商</v>
          </cell>
          <cell r="H611" t="str">
            <v>品牌直发</v>
          </cell>
          <cell r="I611">
            <v>0</v>
          </cell>
        </row>
        <row r="612">
          <cell r="D612">
            <v>114306147</v>
          </cell>
          <cell r="E612" t="str">
            <v>伯希和/PELLIOT</v>
          </cell>
          <cell r="F612" t="str">
            <v>服装-外套-软壳衣</v>
          </cell>
          <cell r="G612" t="str">
            <v>一品多商</v>
          </cell>
          <cell r="H612" t="str">
            <v>品牌直发</v>
          </cell>
          <cell r="I612">
            <v>0</v>
          </cell>
        </row>
        <row r="613">
          <cell r="D613">
            <v>124314374</v>
          </cell>
          <cell r="E613" t="str">
            <v>伯希和/PELLIOT</v>
          </cell>
          <cell r="F613" t="str">
            <v>女装-长裤-软壳裤</v>
          </cell>
          <cell r="G613" t="str">
            <v>一品一商</v>
          </cell>
          <cell r="H613" t="str">
            <v>品牌直发</v>
          </cell>
          <cell r="I613">
            <v>0</v>
          </cell>
        </row>
        <row r="614">
          <cell r="D614">
            <v>164334403</v>
          </cell>
          <cell r="E614" t="str">
            <v>伯希和/PELLIOT</v>
          </cell>
          <cell r="F614" t="str">
            <v>流行饰品/眼镜/服配-帽子-绒线帽</v>
          </cell>
          <cell r="G614" t="str">
            <v>一品一商</v>
          </cell>
          <cell r="H614" t="str">
            <v>品牌直发</v>
          </cell>
          <cell r="I614">
            <v>0</v>
          </cell>
        </row>
        <row r="615">
          <cell r="D615" t="str">
            <v>PE124301012</v>
          </cell>
          <cell r="E615" t="str">
            <v>伯希和/PELLIOT</v>
          </cell>
          <cell r="F615" t="str">
            <v>女装-外套-冲锋衣</v>
          </cell>
          <cell r="G615" t="str">
            <v>一品一商</v>
          </cell>
          <cell r="H615" t="str">
            <v>品牌直发</v>
          </cell>
          <cell r="I615">
            <v>0</v>
          </cell>
        </row>
        <row r="616">
          <cell r="D616" t="str">
            <v>PE124301014</v>
          </cell>
          <cell r="E616" t="str">
            <v>伯希和/PELLIOT</v>
          </cell>
          <cell r="F616" t="str">
            <v>女装-外套-冲锋衣</v>
          </cell>
          <cell r="G616" t="str">
            <v>一品多商</v>
          </cell>
          <cell r="H616" t="str">
            <v>品牌直发</v>
          </cell>
          <cell r="I616">
            <v>0</v>
          </cell>
        </row>
        <row r="617">
          <cell r="D617">
            <v>134334002</v>
          </cell>
          <cell r="E617" t="str">
            <v>伯希和/PELLIOT</v>
          </cell>
          <cell r="F617" t="str">
            <v>流行饰品/眼镜/服配-帽子-雷锋帽</v>
          </cell>
          <cell r="G617" t="str">
            <v>一品一商</v>
          </cell>
          <cell r="H617" t="str">
            <v>品牌直发</v>
          </cell>
          <cell r="I617">
            <v>0</v>
          </cell>
        </row>
        <row r="618">
          <cell r="D618">
            <v>116243501</v>
          </cell>
          <cell r="E618" t="str">
            <v>伯希和/PELLIOT</v>
          </cell>
          <cell r="F618" t="str">
            <v>内衣-袜子-中筒袜</v>
          </cell>
          <cell r="G618" t="str">
            <v>一品一商</v>
          </cell>
          <cell r="H618" t="str">
            <v>品牌直发</v>
          </cell>
          <cell r="I618">
            <v>0</v>
          </cell>
        </row>
        <row r="619">
          <cell r="D619">
            <v>164025003</v>
          </cell>
          <cell r="E619" t="str">
            <v>伯希和/PELLIOT</v>
          </cell>
          <cell r="F619" t="str">
            <v>箱包-包袋-户外包</v>
          </cell>
          <cell r="G619" t="str">
            <v>一品一商</v>
          </cell>
          <cell r="H619" t="str">
            <v>品牌直发</v>
          </cell>
          <cell r="I619">
            <v>0</v>
          </cell>
        </row>
        <row r="620">
          <cell r="D620">
            <v>164334402</v>
          </cell>
          <cell r="E620" t="str">
            <v>伯希和/PELLIOT</v>
          </cell>
          <cell r="F620" t="str">
            <v>流行饰品/眼镜/服配-帽子-绒线帽</v>
          </cell>
          <cell r="G620" t="str">
            <v>一品一商</v>
          </cell>
          <cell r="H620" t="str">
            <v>品牌直发</v>
          </cell>
          <cell r="I620">
            <v>0</v>
          </cell>
        </row>
        <row r="621">
          <cell r="D621">
            <v>114314371</v>
          </cell>
          <cell r="E621" t="str">
            <v>伯希和/PELLIOT</v>
          </cell>
          <cell r="F621" t="str">
            <v>服装-户外运动服-速干裤</v>
          </cell>
          <cell r="G621" t="str">
            <v>一品一商</v>
          </cell>
          <cell r="H621" t="str">
            <v>品牌直发</v>
          </cell>
          <cell r="I621">
            <v>0</v>
          </cell>
        </row>
        <row r="622">
          <cell r="D622">
            <v>114314373</v>
          </cell>
          <cell r="E622" t="str">
            <v>伯希和/PELLIOT</v>
          </cell>
          <cell r="F622" t="str">
            <v>服装-户外运动服-速干裤</v>
          </cell>
          <cell r="G622" t="str">
            <v>一品一商</v>
          </cell>
          <cell r="H622" t="str">
            <v>品牌直发</v>
          </cell>
          <cell r="I622">
            <v>0</v>
          </cell>
        </row>
        <row r="623">
          <cell r="D623">
            <v>124307166</v>
          </cell>
          <cell r="E623" t="str">
            <v>伯希和/PELLIOT</v>
          </cell>
          <cell r="F623" t="str">
            <v>女装-长裤-软壳裤</v>
          </cell>
          <cell r="G623" t="str">
            <v>一品多商</v>
          </cell>
          <cell r="H623" t="str">
            <v>品牌直发</v>
          </cell>
          <cell r="I623">
            <v>0</v>
          </cell>
        </row>
        <row r="624">
          <cell r="D624">
            <v>114310203</v>
          </cell>
          <cell r="E624" t="str">
            <v>伯希和/PELLIOT</v>
          </cell>
          <cell r="F624" t="str">
            <v>服装-户外运动服-抓绒衣</v>
          </cell>
          <cell r="G624" t="str">
            <v>一品多商</v>
          </cell>
          <cell r="H624" t="str">
            <v>品牌直发</v>
          </cell>
          <cell r="I624">
            <v>0</v>
          </cell>
        </row>
        <row r="625">
          <cell r="D625">
            <v>114306143</v>
          </cell>
          <cell r="E625" t="str">
            <v>伯希和/PELLIOT</v>
          </cell>
          <cell r="F625" t="str">
            <v>服装-外套-软壳衣</v>
          </cell>
          <cell r="G625" t="str">
            <v>一品一商</v>
          </cell>
          <cell r="H625" t="str">
            <v>品牌直发</v>
          </cell>
          <cell r="I625">
            <v>0</v>
          </cell>
        </row>
        <row r="626">
          <cell r="D626">
            <v>114302083</v>
          </cell>
          <cell r="E626" t="str">
            <v>伯希和/PELLIOT</v>
          </cell>
          <cell r="F626" t="str">
            <v>服装-长裤-冲锋裤</v>
          </cell>
          <cell r="G626" t="str">
            <v>一品多商</v>
          </cell>
          <cell r="H626" t="str">
            <v>品牌直发</v>
          </cell>
          <cell r="I626">
            <v>0</v>
          </cell>
        </row>
        <row r="627">
          <cell r="D627">
            <v>114307165</v>
          </cell>
          <cell r="E627" t="str">
            <v>伯希和/PELLIOT</v>
          </cell>
          <cell r="F627" t="str">
            <v>服装-长裤-软壳裤</v>
          </cell>
          <cell r="G627" t="str">
            <v>一品一商</v>
          </cell>
          <cell r="H627" t="str">
            <v>品牌直发</v>
          </cell>
          <cell r="I627">
            <v>0</v>
          </cell>
        </row>
        <row r="628">
          <cell r="D628">
            <v>114307163</v>
          </cell>
          <cell r="E628" t="str">
            <v>伯希和/PELLIOT</v>
          </cell>
          <cell r="F628" t="str">
            <v>服装-长裤-软壳裤</v>
          </cell>
          <cell r="G628" t="str">
            <v>一品多商</v>
          </cell>
          <cell r="H628" t="str">
            <v>品牌直发</v>
          </cell>
          <cell r="I628">
            <v>0</v>
          </cell>
        </row>
        <row r="629">
          <cell r="D629">
            <v>124307164</v>
          </cell>
          <cell r="E629" t="str">
            <v>伯希和/PELLIOT</v>
          </cell>
          <cell r="F629" t="str">
            <v>女装-长裤-软壳裤</v>
          </cell>
          <cell r="G629" t="str">
            <v>一品一商</v>
          </cell>
          <cell r="H629" t="str">
            <v>品牌直发</v>
          </cell>
          <cell r="I629">
            <v>0</v>
          </cell>
        </row>
        <row r="630">
          <cell r="D630">
            <v>124319004</v>
          </cell>
          <cell r="E630" t="str">
            <v>伯希和/PELLIOT</v>
          </cell>
          <cell r="F630" t="str">
            <v>鞋-运动鞋-登山鞋/徒步鞋</v>
          </cell>
          <cell r="G630" t="str">
            <v>一品一商</v>
          </cell>
          <cell r="H630" t="str">
            <v>品牌直发</v>
          </cell>
          <cell r="I630">
            <v>0</v>
          </cell>
        </row>
        <row r="631">
          <cell r="D631">
            <v>114311231</v>
          </cell>
          <cell r="E631" t="str">
            <v>伯希和/PELLIOT</v>
          </cell>
          <cell r="F631" t="str">
            <v>服装-长裤-休闲裤</v>
          </cell>
          <cell r="G631" t="str">
            <v>一品一商</v>
          </cell>
          <cell r="H631" t="str">
            <v>品牌直发</v>
          </cell>
          <cell r="I631">
            <v>0</v>
          </cell>
        </row>
        <row r="632">
          <cell r="D632">
            <v>16843502</v>
          </cell>
          <cell r="E632" t="str">
            <v>伯希和/PELLIOT</v>
          </cell>
          <cell r="F632" t="str">
            <v>内衣-袜子-中筒袜</v>
          </cell>
          <cell r="G632" t="str">
            <v>一品一商</v>
          </cell>
          <cell r="H632" t="str">
            <v>品牌直发</v>
          </cell>
          <cell r="I632">
            <v>0</v>
          </cell>
        </row>
        <row r="633">
          <cell r="D633">
            <v>12421414</v>
          </cell>
          <cell r="E633" t="str">
            <v>伯希和/PELLIOT</v>
          </cell>
          <cell r="F633" t="str">
            <v>女装-户外运动服-速干裤</v>
          </cell>
          <cell r="G633" t="str">
            <v>一品多商</v>
          </cell>
          <cell r="H633" t="str">
            <v>品牌直发</v>
          </cell>
          <cell r="I633">
            <v>0</v>
          </cell>
        </row>
        <row r="634">
          <cell r="D634">
            <v>12421512</v>
          </cell>
          <cell r="E634" t="str">
            <v>伯希和/PELLIOT</v>
          </cell>
          <cell r="F634" t="str">
            <v>女装-户外运动服-速干T恤</v>
          </cell>
          <cell r="G634" t="str">
            <v>一品一商</v>
          </cell>
          <cell r="H634" t="str">
            <v>品牌直发</v>
          </cell>
          <cell r="I634">
            <v>0</v>
          </cell>
        </row>
        <row r="635">
          <cell r="D635">
            <v>12421510</v>
          </cell>
          <cell r="E635" t="str">
            <v>伯希和/PELLIOT</v>
          </cell>
          <cell r="F635" t="str">
            <v>女装-上衣-T恤</v>
          </cell>
          <cell r="G635" t="str">
            <v>一品一商</v>
          </cell>
          <cell r="H635" t="str">
            <v>品牌直发</v>
          </cell>
          <cell r="I635">
            <v>0</v>
          </cell>
        </row>
        <row r="636">
          <cell r="D636">
            <v>124311232</v>
          </cell>
          <cell r="E636" t="str">
            <v>伯希和/PELLIOT</v>
          </cell>
          <cell r="F636" t="str">
            <v>女装-户外运动服-抓绒裤</v>
          </cell>
          <cell r="G636" t="str">
            <v>一品一商</v>
          </cell>
          <cell r="H636" t="str">
            <v>品牌直发</v>
          </cell>
          <cell r="I636">
            <v>0</v>
          </cell>
        </row>
        <row r="637">
          <cell r="D637" t="str">
            <v>PE13415145</v>
          </cell>
          <cell r="E637" t="str">
            <v>伯希和/PELLIOT</v>
          </cell>
          <cell r="F637" t="str">
            <v>童装-儿童上装-其他上装</v>
          </cell>
          <cell r="G637" t="str">
            <v>一品一商</v>
          </cell>
          <cell r="H637" t="str">
            <v>品牌直发</v>
          </cell>
          <cell r="I637">
            <v>0</v>
          </cell>
        </row>
        <row r="638">
          <cell r="D638" t="str">
            <v>PE13421430</v>
          </cell>
          <cell r="E638" t="str">
            <v>伯希和/PELLIOT</v>
          </cell>
          <cell r="F638" t="str">
            <v>童装-儿童下装-卫裤</v>
          </cell>
          <cell r="G638" t="str">
            <v>一品一商</v>
          </cell>
          <cell r="H638" t="str">
            <v>品牌直发</v>
          </cell>
          <cell r="I638">
            <v>0</v>
          </cell>
        </row>
        <row r="639">
          <cell r="D639" t="str">
            <v>PE13421431</v>
          </cell>
          <cell r="E639" t="str">
            <v>伯希和/PELLIOT</v>
          </cell>
          <cell r="F639" t="str">
            <v>童装-儿童下装-短裤</v>
          </cell>
          <cell r="G639" t="str">
            <v>一品一商</v>
          </cell>
          <cell r="H639" t="str">
            <v>品牌直发</v>
          </cell>
          <cell r="I639">
            <v>0</v>
          </cell>
        </row>
        <row r="640">
          <cell r="D640">
            <v>13421235</v>
          </cell>
          <cell r="E640" t="str">
            <v>伯希和/PELLIOT</v>
          </cell>
          <cell r="F640" t="str">
            <v>童装-儿童上装-防晒衣</v>
          </cell>
          <cell r="G640" t="str">
            <v>一品一商</v>
          </cell>
          <cell r="H640" t="str">
            <v>品牌直发</v>
          </cell>
          <cell r="I640">
            <v>0</v>
          </cell>
        </row>
        <row r="641">
          <cell r="D641">
            <v>164026422</v>
          </cell>
          <cell r="E641" t="str">
            <v>伯希和/PELLIOT</v>
          </cell>
          <cell r="F641" t="str">
            <v>箱包-包袋-户外包</v>
          </cell>
          <cell r="G641" t="str">
            <v>一品一商</v>
          </cell>
          <cell r="H641" t="str">
            <v>品牌直发</v>
          </cell>
          <cell r="I641">
            <v>0</v>
          </cell>
        </row>
        <row r="642">
          <cell r="D642">
            <v>124222002</v>
          </cell>
          <cell r="E642" t="str">
            <v>伯希和/PELLIOT</v>
          </cell>
          <cell r="F642" t="str">
            <v>鞋-运动鞋-登山鞋/徒步鞋</v>
          </cell>
          <cell r="G642" t="str">
            <v>一品一商</v>
          </cell>
          <cell r="H642" t="str">
            <v>品牌直发</v>
          </cell>
          <cell r="I642">
            <v>0</v>
          </cell>
        </row>
        <row r="643">
          <cell r="D643">
            <v>13421546</v>
          </cell>
          <cell r="E643" t="str">
            <v>伯希和/PELLIOT</v>
          </cell>
          <cell r="F643" t="str">
            <v>童装-儿童上装-T恤</v>
          </cell>
          <cell r="G643" t="str">
            <v>一品一商</v>
          </cell>
          <cell r="H643" t="str">
            <v>品牌直发</v>
          </cell>
          <cell r="I643">
            <v>0</v>
          </cell>
        </row>
        <row r="644">
          <cell r="D644">
            <v>164026416</v>
          </cell>
          <cell r="E644" t="str">
            <v>伯希和/PELLIOT</v>
          </cell>
          <cell r="F644" t="str">
            <v>箱包-包袋-户外包</v>
          </cell>
          <cell r="G644" t="str">
            <v>一品一商</v>
          </cell>
          <cell r="H644" t="str">
            <v>品牌直发</v>
          </cell>
          <cell r="I644">
            <v>0</v>
          </cell>
        </row>
        <row r="645">
          <cell r="D645">
            <v>124301032</v>
          </cell>
          <cell r="E645" t="str">
            <v>伯希和/PELLIOT</v>
          </cell>
          <cell r="F645" t="str">
            <v>女装-外套-冲锋衣</v>
          </cell>
          <cell r="G645" t="str">
            <v>一品多商</v>
          </cell>
          <cell r="H645" t="str">
            <v>品牌直发</v>
          </cell>
          <cell r="I645">
            <v>0</v>
          </cell>
        </row>
        <row r="646">
          <cell r="D646">
            <v>114301033</v>
          </cell>
          <cell r="E646" t="str">
            <v>伯希和/PELLIOT</v>
          </cell>
          <cell r="F646" t="str">
            <v>服装-外套-冲锋衣</v>
          </cell>
          <cell r="G646" t="str">
            <v>一品多商</v>
          </cell>
          <cell r="H646" t="str">
            <v>品牌直发</v>
          </cell>
          <cell r="I646">
            <v>0</v>
          </cell>
        </row>
        <row r="647">
          <cell r="D647">
            <v>124301030</v>
          </cell>
          <cell r="E647" t="str">
            <v>伯希和/PELLIOT</v>
          </cell>
          <cell r="F647" t="str">
            <v>女装-外套-冲锋衣</v>
          </cell>
          <cell r="G647" t="str">
            <v>一品多商</v>
          </cell>
          <cell r="H647" t="str">
            <v>品牌直发</v>
          </cell>
          <cell r="I647">
            <v>0</v>
          </cell>
        </row>
        <row r="648">
          <cell r="D648" t="str">
            <v>PE124101060</v>
          </cell>
          <cell r="E648" t="str">
            <v>伯希和/PELLIOT</v>
          </cell>
          <cell r="F648" t="str">
            <v>女装-外套-冲锋衣</v>
          </cell>
          <cell r="G648" t="str">
            <v>一品一商</v>
          </cell>
          <cell r="H648" t="str">
            <v>品牌直发</v>
          </cell>
          <cell r="I648">
            <v>0</v>
          </cell>
        </row>
        <row r="649">
          <cell r="D649">
            <v>114101059</v>
          </cell>
          <cell r="E649" t="str">
            <v>伯希和/PELLIOT</v>
          </cell>
          <cell r="F649" t="str">
            <v>服装-外套-冲锋衣</v>
          </cell>
          <cell r="G649" t="str">
            <v>一品一商</v>
          </cell>
          <cell r="H649" t="str">
            <v>品牌直发</v>
          </cell>
          <cell r="I649">
            <v>0</v>
          </cell>
        </row>
        <row r="650">
          <cell r="D650">
            <v>114301037</v>
          </cell>
          <cell r="E650" t="str">
            <v>伯希和/PELLIOT</v>
          </cell>
          <cell r="F650" t="str">
            <v>服装-外套-冲锋衣</v>
          </cell>
          <cell r="G650" t="str">
            <v>一品多商</v>
          </cell>
          <cell r="H650" t="str">
            <v>品牌直发</v>
          </cell>
          <cell r="I650">
            <v>0</v>
          </cell>
        </row>
        <row r="651">
          <cell r="D651">
            <v>112321516</v>
          </cell>
          <cell r="E651" t="str">
            <v>伯希和/PELLIOT</v>
          </cell>
          <cell r="F651" t="str">
            <v>女装-上衣-Polo衫</v>
          </cell>
          <cell r="G651" t="str">
            <v>一品一商</v>
          </cell>
          <cell r="H651" t="str">
            <v>品牌直发</v>
          </cell>
          <cell r="I651">
            <v>0</v>
          </cell>
        </row>
        <row r="652">
          <cell r="D652">
            <v>113240815</v>
          </cell>
          <cell r="E652" t="str">
            <v>伯希和/PELLIOT</v>
          </cell>
          <cell r="F652" t="str">
            <v>童装-儿童上装-羽绒服</v>
          </cell>
          <cell r="G652" t="str">
            <v>一品一商</v>
          </cell>
          <cell r="H652" t="str">
            <v>品牌直发</v>
          </cell>
          <cell r="I652">
            <v>0</v>
          </cell>
        </row>
        <row r="653">
          <cell r="D653">
            <v>114301087</v>
          </cell>
          <cell r="E653" t="str">
            <v>伯希和/PELLIOT</v>
          </cell>
          <cell r="F653" t="str">
            <v>服装-外套-冲锋衣</v>
          </cell>
          <cell r="G653" t="str">
            <v>一品多商</v>
          </cell>
          <cell r="H653" t="str">
            <v>品牌直发</v>
          </cell>
          <cell r="I653">
            <v>0</v>
          </cell>
        </row>
        <row r="654">
          <cell r="D654">
            <v>124301038</v>
          </cell>
          <cell r="E654" t="str">
            <v>伯希和/PELLIOT</v>
          </cell>
          <cell r="F654" t="str">
            <v>女装-外套-冲锋衣</v>
          </cell>
          <cell r="G654" t="str">
            <v>一品多商</v>
          </cell>
          <cell r="H654" t="str">
            <v>品牌直发</v>
          </cell>
          <cell r="I654">
            <v>0</v>
          </cell>
        </row>
        <row r="655">
          <cell r="D655">
            <v>111040303</v>
          </cell>
          <cell r="E655" t="str">
            <v>伯希和/PELLIOT</v>
          </cell>
          <cell r="F655" t="str">
            <v>服装-户外运动服-登山服</v>
          </cell>
          <cell r="G655" t="str">
            <v>一品一商</v>
          </cell>
          <cell r="H655" t="str">
            <v>品牌直发</v>
          </cell>
          <cell r="I655">
            <v>0</v>
          </cell>
        </row>
        <row r="656">
          <cell r="D656">
            <v>112340158</v>
          </cell>
          <cell r="E656" t="str">
            <v>伯希和/PELLIOT</v>
          </cell>
          <cell r="F656" t="str">
            <v>女装-外套-冲锋衣</v>
          </cell>
          <cell r="G656" t="str">
            <v>一品一商</v>
          </cell>
          <cell r="H656" t="str">
            <v>品牌直发</v>
          </cell>
          <cell r="I656">
            <v>0</v>
          </cell>
        </row>
        <row r="657">
          <cell r="D657">
            <v>16702609</v>
          </cell>
          <cell r="E657" t="str">
            <v>伯希和/PELLIOT</v>
          </cell>
          <cell r="F657" t="str">
            <v>箱包-包袋-手机包</v>
          </cell>
          <cell r="G657" t="str">
            <v>一品一商</v>
          </cell>
          <cell r="H657" t="str">
            <v>品牌直发</v>
          </cell>
          <cell r="I657">
            <v>0</v>
          </cell>
        </row>
        <row r="658">
          <cell r="D658">
            <v>16702618</v>
          </cell>
          <cell r="E658" t="str">
            <v>伯希和/PELLIOT</v>
          </cell>
          <cell r="F658" t="str">
            <v>箱包-包袋-出行收纳包</v>
          </cell>
          <cell r="G658" t="str">
            <v>一品一商</v>
          </cell>
          <cell r="H658" t="str">
            <v>品牌直发</v>
          </cell>
          <cell r="I658">
            <v>0</v>
          </cell>
        </row>
        <row r="659">
          <cell r="D659">
            <v>113140132</v>
          </cell>
          <cell r="E659" t="str">
            <v>伯希和/PELLIOT</v>
          </cell>
          <cell r="F659" t="str">
            <v>童装-儿童上装-冲锋衣</v>
          </cell>
          <cell r="G659" t="str">
            <v>一品一商</v>
          </cell>
          <cell r="H659" t="str">
            <v>品牌直发</v>
          </cell>
          <cell r="I659">
            <v>0</v>
          </cell>
        </row>
        <row r="660">
          <cell r="D660">
            <v>124301002</v>
          </cell>
          <cell r="E660" t="str">
            <v>伯希和/PELLIOT</v>
          </cell>
          <cell r="F660" t="str">
            <v>女装-外套-冲锋衣</v>
          </cell>
          <cell r="G660" t="str">
            <v>一品多商</v>
          </cell>
          <cell r="H660" t="str">
            <v>品牌直发</v>
          </cell>
          <cell r="I660">
            <v>0</v>
          </cell>
        </row>
        <row r="661">
          <cell r="D661">
            <v>114301001</v>
          </cell>
          <cell r="E661" t="str">
            <v>伯希和/PELLIOT</v>
          </cell>
          <cell r="F661" t="str">
            <v>服装-外套-冲锋衣</v>
          </cell>
          <cell r="G661" t="str">
            <v>一品多商</v>
          </cell>
          <cell r="H661" t="str">
            <v>品牌直发</v>
          </cell>
          <cell r="I661">
            <v>0</v>
          </cell>
        </row>
        <row r="662">
          <cell r="D662">
            <v>124301024</v>
          </cell>
          <cell r="E662" t="str">
            <v>伯希和/PELLIOT</v>
          </cell>
          <cell r="F662" t="str">
            <v>女装-外套-冲锋衣</v>
          </cell>
          <cell r="G662" t="str">
            <v>一品多商</v>
          </cell>
          <cell r="H662" t="str">
            <v>品牌直发</v>
          </cell>
          <cell r="I662">
            <v>0</v>
          </cell>
        </row>
        <row r="663">
          <cell r="D663">
            <v>114301023</v>
          </cell>
          <cell r="E663" t="str">
            <v>伯希和/PELLIOT</v>
          </cell>
          <cell r="F663" t="str">
            <v>服装-外套-冲锋衣</v>
          </cell>
          <cell r="G663" t="str">
            <v>一品多商</v>
          </cell>
          <cell r="H663" t="str">
            <v>品牌直发</v>
          </cell>
          <cell r="I663">
            <v>0</v>
          </cell>
        </row>
        <row r="664">
          <cell r="D664">
            <v>112331010</v>
          </cell>
          <cell r="E664" t="str">
            <v>伯希和/PELLIOT</v>
          </cell>
          <cell r="F664" t="str">
            <v>女装-户外运动服-抓绒衣</v>
          </cell>
          <cell r="G664" t="str">
            <v>一品一商</v>
          </cell>
          <cell r="H664" t="str">
            <v>品牌直发</v>
          </cell>
          <cell r="I664">
            <v>0</v>
          </cell>
        </row>
        <row r="665">
          <cell r="D665">
            <v>112331026</v>
          </cell>
          <cell r="E665" t="str">
            <v>伯希和/PELLIOT</v>
          </cell>
          <cell r="F665" t="str">
            <v>女装-户外运动服-抓绒衣</v>
          </cell>
          <cell r="G665" t="str">
            <v>一品一商</v>
          </cell>
          <cell r="H665" t="str">
            <v>品牌直发</v>
          </cell>
          <cell r="I665">
            <v>0</v>
          </cell>
        </row>
        <row r="666">
          <cell r="D666">
            <v>111421301</v>
          </cell>
          <cell r="E666" t="str">
            <v>伯希和/PELLIOT</v>
          </cell>
          <cell r="F666" t="str">
            <v>服装-上衣-衬衫</v>
          </cell>
          <cell r="G666" t="str">
            <v>一品一商</v>
          </cell>
          <cell r="H666" t="str">
            <v>品牌直发</v>
          </cell>
          <cell r="I666">
            <v>0</v>
          </cell>
        </row>
        <row r="667">
          <cell r="D667">
            <v>12415104</v>
          </cell>
          <cell r="E667" t="str">
            <v>伯希和/PELLIOT</v>
          </cell>
          <cell r="F667" t="str">
            <v>女装-外套-软壳衣</v>
          </cell>
          <cell r="G667" t="str">
            <v>一品一商</v>
          </cell>
          <cell r="H667" t="str">
            <v>品牌直发</v>
          </cell>
          <cell r="I667">
            <v>0</v>
          </cell>
        </row>
        <row r="668">
          <cell r="D668">
            <v>11415103</v>
          </cell>
          <cell r="E668" t="str">
            <v>伯希和/PELLIOT</v>
          </cell>
          <cell r="F668" t="str">
            <v>服装-户外运动服-风壳</v>
          </cell>
          <cell r="G668" t="str">
            <v>一品多商</v>
          </cell>
          <cell r="H668" t="str">
            <v>品牌直发</v>
          </cell>
          <cell r="I668">
            <v>0</v>
          </cell>
        </row>
        <row r="669">
          <cell r="D669">
            <v>12421216</v>
          </cell>
          <cell r="E669" t="str">
            <v>伯希和/PELLIOT</v>
          </cell>
          <cell r="F669" t="str">
            <v>女装-外套-防晒服</v>
          </cell>
          <cell r="G669" t="str">
            <v>一品多商</v>
          </cell>
          <cell r="H669" t="str">
            <v>品牌直发</v>
          </cell>
          <cell r="I669">
            <v>0</v>
          </cell>
        </row>
        <row r="670">
          <cell r="D670">
            <v>12421428</v>
          </cell>
          <cell r="E670" t="str">
            <v>伯希和/PELLIOT</v>
          </cell>
          <cell r="F670" t="str">
            <v>服装-长裤-工装裤</v>
          </cell>
          <cell r="G670" t="str">
            <v>一品一商</v>
          </cell>
          <cell r="H670" t="str">
            <v>品牌直发</v>
          </cell>
          <cell r="I670">
            <v>0</v>
          </cell>
        </row>
        <row r="671">
          <cell r="D671">
            <v>11421419</v>
          </cell>
          <cell r="E671" t="str">
            <v>伯希和/PELLIOT</v>
          </cell>
          <cell r="F671" t="str">
            <v>服装-健身服-运动短裤</v>
          </cell>
          <cell r="G671" t="str">
            <v>一品一商</v>
          </cell>
          <cell r="H671" t="str">
            <v>品牌直发</v>
          </cell>
          <cell r="I671">
            <v>0</v>
          </cell>
        </row>
        <row r="672">
          <cell r="D672">
            <v>11421301</v>
          </cell>
          <cell r="E672" t="str">
            <v>伯希和/PELLIOT</v>
          </cell>
          <cell r="F672" t="str">
            <v>服装-上衣-衬衫</v>
          </cell>
          <cell r="G672" t="str">
            <v>一品一商</v>
          </cell>
          <cell r="H672" t="str">
            <v>品牌直发</v>
          </cell>
          <cell r="I672">
            <v>0</v>
          </cell>
        </row>
        <row r="673">
          <cell r="D673">
            <v>16402504</v>
          </cell>
          <cell r="E673" t="str">
            <v>伯希和/PELLIOT</v>
          </cell>
          <cell r="F673" t="str">
            <v>箱包-包袋-户外包</v>
          </cell>
          <cell r="G673" t="str">
            <v>一品一商</v>
          </cell>
          <cell r="H673" t="str">
            <v>品牌直发</v>
          </cell>
          <cell r="I673">
            <v>0</v>
          </cell>
        </row>
        <row r="674">
          <cell r="D674">
            <v>16402608</v>
          </cell>
          <cell r="E674" t="str">
            <v>伯希和/PELLIOT</v>
          </cell>
          <cell r="F674" t="str">
            <v>箱包-包袋-手拿包</v>
          </cell>
          <cell r="G674" t="str">
            <v>一品一商</v>
          </cell>
          <cell r="H674" t="str">
            <v>品牌直发</v>
          </cell>
          <cell r="I674">
            <v>0</v>
          </cell>
        </row>
        <row r="675">
          <cell r="D675">
            <v>12111901</v>
          </cell>
          <cell r="E675" t="str">
            <v>伯希和/PELLIOT</v>
          </cell>
          <cell r="F675" t="str">
            <v>鞋-运动鞋-跑步鞋</v>
          </cell>
          <cell r="G675" t="str">
            <v>一品一商</v>
          </cell>
          <cell r="H675" t="str">
            <v>品牌直发</v>
          </cell>
          <cell r="I675">
            <v>0</v>
          </cell>
        </row>
        <row r="676">
          <cell r="D676">
            <v>12331902</v>
          </cell>
          <cell r="E676" t="str">
            <v>伯希和/PELLIOT</v>
          </cell>
          <cell r="F676" t="str">
            <v>鞋-运动鞋-登山鞋/徒步鞋</v>
          </cell>
          <cell r="G676" t="str">
            <v>一品一商</v>
          </cell>
          <cell r="H676" t="str">
            <v>品牌直发</v>
          </cell>
          <cell r="I676">
            <v>0</v>
          </cell>
        </row>
        <row r="677">
          <cell r="D677">
            <v>11411909</v>
          </cell>
          <cell r="E677" t="str">
            <v>伯希和/PELLIOT</v>
          </cell>
          <cell r="F677" t="str">
            <v>鞋-运动鞋-登山鞋/徒步鞋</v>
          </cell>
          <cell r="G677" t="str">
            <v>一品多商</v>
          </cell>
          <cell r="H677" t="str">
            <v>品牌直发</v>
          </cell>
          <cell r="I677">
            <v>0</v>
          </cell>
        </row>
        <row r="678">
          <cell r="D678">
            <v>11111905</v>
          </cell>
          <cell r="E678" t="str">
            <v>伯希和/PELLIOT</v>
          </cell>
          <cell r="F678" t="str">
            <v>鞋-运动鞋-跑步鞋</v>
          </cell>
          <cell r="G678" t="str">
            <v>一品一商</v>
          </cell>
          <cell r="H678" t="str">
            <v>品牌直发</v>
          </cell>
          <cell r="I678">
            <v>0</v>
          </cell>
        </row>
        <row r="679">
          <cell r="D679">
            <v>11411907</v>
          </cell>
          <cell r="E679" t="str">
            <v>伯希和/PELLIOT</v>
          </cell>
          <cell r="F679" t="str">
            <v>鞋-运动鞋-登山鞋/徒步鞋</v>
          </cell>
          <cell r="G679" t="str">
            <v>一品一商</v>
          </cell>
          <cell r="H679" t="str">
            <v>品牌直发</v>
          </cell>
          <cell r="I679">
            <v>0</v>
          </cell>
        </row>
        <row r="680">
          <cell r="D680">
            <v>12422004</v>
          </cell>
          <cell r="E680" t="str">
            <v>伯希和/PELLIOT</v>
          </cell>
          <cell r="F680" t="str">
            <v>鞋-运动鞋-户外功能鞋</v>
          </cell>
          <cell r="G680" t="str">
            <v>一品一商</v>
          </cell>
          <cell r="H680" t="str">
            <v>品牌直发</v>
          </cell>
          <cell r="I680">
            <v>0</v>
          </cell>
        </row>
        <row r="681">
          <cell r="D681">
            <v>12421238</v>
          </cell>
          <cell r="E681" t="str">
            <v>伯希和/PELLIOT</v>
          </cell>
          <cell r="F681" t="str">
            <v>女装-外套-防晒服</v>
          </cell>
          <cell r="G681" t="str">
            <v>一品一商</v>
          </cell>
          <cell r="H681" t="str">
            <v>品牌直发</v>
          </cell>
          <cell r="I681">
            <v>0</v>
          </cell>
        </row>
        <row r="682">
          <cell r="D682">
            <v>11011901</v>
          </cell>
          <cell r="E682" t="str">
            <v>伯希和/PELLIOT</v>
          </cell>
          <cell r="F682" t="str">
            <v>鞋-运动鞋-跑步鞋</v>
          </cell>
          <cell r="G682" t="str">
            <v>一品一商</v>
          </cell>
          <cell r="H682" t="str">
            <v>品牌直发</v>
          </cell>
          <cell r="I682">
            <v>0</v>
          </cell>
        </row>
        <row r="683">
          <cell r="D683">
            <v>12022104</v>
          </cell>
          <cell r="E683" t="str">
            <v>伯希和/PELLIOT</v>
          </cell>
          <cell r="F683" t="str">
            <v>鞋-运动鞋-户外功能鞋</v>
          </cell>
          <cell r="G683" t="str">
            <v>一品一商</v>
          </cell>
          <cell r="H683" t="str">
            <v>品牌直发</v>
          </cell>
          <cell r="I683">
            <v>0</v>
          </cell>
        </row>
        <row r="684">
          <cell r="D684">
            <v>16123406</v>
          </cell>
          <cell r="E684" t="str">
            <v>伯希和/PELLIOT</v>
          </cell>
          <cell r="F684" t="str">
            <v>流行饰品/眼镜/服配-帽子-鸭舌帽</v>
          </cell>
          <cell r="G684" t="str">
            <v>一品一商</v>
          </cell>
          <cell r="H684" t="str">
            <v>品牌直发</v>
          </cell>
          <cell r="I684">
            <v>0</v>
          </cell>
        </row>
        <row r="685">
          <cell r="D685">
            <v>1116023410</v>
          </cell>
          <cell r="E685" t="str">
            <v>伯希和/PELLIOT</v>
          </cell>
          <cell r="F685" t="str">
            <v>流行饰品/眼镜/服配-防晒服配-防晒帽</v>
          </cell>
          <cell r="G685" t="str">
            <v>一品一商</v>
          </cell>
          <cell r="H685" t="str">
            <v>品牌直发</v>
          </cell>
          <cell r="I685">
            <v>0</v>
          </cell>
        </row>
        <row r="686">
          <cell r="D686">
            <v>16325602</v>
          </cell>
          <cell r="E686" t="str">
            <v>伯希和/PELLIOT</v>
          </cell>
          <cell r="F686" t="str">
            <v>流行饰品/眼镜/服配-配饰-口罩</v>
          </cell>
          <cell r="G686" t="str">
            <v>一品一商</v>
          </cell>
          <cell r="H686" t="str">
            <v>品牌直发</v>
          </cell>
          <cell r="I686">
            <v>0</v>
          </cell>
        </row>
        <row r="687">
          <cell r="D687">
            <v>12421410</v>
          </cell>
          <cell r="E687" t="str">
            <v>伯希和/PELLIOT</v>
          </cell>
          <cell r="F687" t="str">
            <v>女装-户外运动服-速干裤</v>
          </cell>
          <cell r="G687" t="str">
            <v>一品一商</v>
          </cell>
          <cell r="H687" t="str">
            <v>品牌直发</v>
          </cell>
          <cell r="I687">
            <v>0</v>
          </cell>
        </row>
        <row r="688">
          <cell r="D688">
            <v>12411402</v>
          </cell>
          <cell r="E688" t="str">
            <v>伯希和/PELLIOT</v>
          </cell>
          <cell r="F688" t="str">
            <v>女装-长裤-软壳裤</v>
          </cell>
          <cell r="G688" t="str">
            <v>一品一商</v>
          </cell>
          <cell r="H688" t="str">
            <v>品牌直发</v>
          </cell>
          <cell r="I688">
            <v>0</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heet1"/>
    </sheetNames>
    <sheetDataSet>
      <sheetData sheetId="0">
        <row r="1">
          <cell r="D1" t="str">
            <v>商品货号</v>
          </cell>
          <cell r="E1" t="str">
            <v>品牌名称</v>
          </cell>
          <cell r="F1" t="str">
            <v>类目名称</v>
          </cell>
          <cell r="G1" t="str">
            <v>商品类型</v>
          </cell>
          <cell r="H1" t="str">
            <v>出价渠道</v>
          </cell>
          <cell r="I1" t="str">
            <v>支付金额</v>
          </cell>
        </row>
        <row r="2">
          <cell r="D2">
            <v>11421507</v>
          </cell>
          <cell r="E2" t="str">
            <v>伯希和/PELLIOT</v>
          </cell>
          <cell r="F2" t="str">
            <v>服装-上衣-Polo衫</v>
          </cell>
          <cell r="G2" t="str">
            <v>一品多商</v>
          </cell>
          <cell r="H2" t="str">
            <v>品牌直发</v>
          </cell>
          <cell r="I2">
            <v>18423</v>
          </cell>
        </row>
        <row r="3">
          <cell r="D3">
            <v>115214024</v>
          </cell>
          <cell r="E3" t="str">
            <v>伯希和/PELLIOT</v>
          </cell>
          <cell r="F3" t="str">
            <v>服装-户外运动服-速干裤</v>
          </cell>
          <cell r="G3" t="str">
            <v>一品多商</v>
          </cell>
          <cell r="H3" t="str">
            <v>品牌直发</v>
          </cell>
          <cell r="I3">
            <v>6599.5</v>
          </cell>
        </row>
        <row r="4">
          <cell r="D4">
            <v>11421509</v>
          </cell>
          <cell r="E4" t="str">
            <v>伯希和/PELLIOT</v>
          </cell>
          <cell r="F4" t="str">
            <v>服装-上衣-T恤</v>
          </cell>
          <cell r="G4" t="str">
            <v>一品多商</v>
          </cell>
          <cell r="H4" t="str">
            <v>品牌直发</v>
          </cell>
          <cell r="I4">
            <v>2534</v>
          </cell>
        </row>
        <row r="5">
          <cell r="D5">
            <v>11421415</v>
          </cell>
          <cell r="E5" t="str">
            <v>伯希和/PELLIOT</v>
          </cell>
          <cell r="F5" t="str">
            <v>服装-户外运动服-速干裤</v>
          </cell>
          <cell r="G5" t="str">
            <v>一品多商</v>
          </cell>
          <cell r="H5" t="str">
            <v>品牌直发</v>
          </cell>
          <cell r="I5">
            <v>4566</v>
          </cell>
        </row>
        <row r="6">
          <cell r="D6" t="str">
            <v>x1622</v>
          </cell>
          <cell r="E6" t="str">
            <v>伯希和/PELLIOT</v>
          </cell>
          <cell r="F6" t="str">
            <v>流行饰品/眼镜/服配-帽子-渔夫帽</v>
          </cell>
          <cell r="G6" t="str">
            <v>一品一商</v>
          </cell>
          <cell r="H6" t="str">
            <v>品牌直发</v>
          </cell>
          <cell r="I6">
            <v>1271</v>
          </cell>
        </row>
        <row r="7">
          <cell r="D7">
            <v>12421440</v>
          </cell>
          <cell r="E7" t="str">
            <v>伯希和/PELLIOT</v>
          </cell>
          <cell r="F7" t="str">
            <v>服装-健身服-运动短裤</v>
          </cell>
          <cell r="G7" t="str">
            <v>一品多商</v>
          </cell>
          <cell r="H7" t="str">
            <v>品牌直发</v>
          </cell>
          <cell r="I7">
            <v>2012</v>
          </cell>
        </row>
        <row r="8">
          <cell r="D8">
            <v>115215019</v>
          </cell>
          <cell r="E8" t="str">
            <v>伯希和/PELLIOT</v>
          </cell>
          <cell r="F8" t="str">
            <v>服装-上衣-Polo衫</v>
          </cell>
          <cell r="G8" t="str">
            <v>一品多商</v>
          </cell>
          <cell r="H8" t="str">
            <v>品牌直发</v>
          </cell>
          <cell r="I8">
            <v>2205</v>
          </cell>
        </row>
        <row r="9">
          <cell r="D9">
            <v>115215047</v>
          </cell>
          <cell r="E9" t="str">
            <v>伯希和/PELLIOT</v>
          </cell>
          <cell r="F9" t="str">
            <v>服装-上衣-T恤</v>
          </cell>
          <cell r="G9" t="str">
            <v>一品一商</v>
          </cell>
          <cell r="H9" t="str">
            <v>品牌直发</v>
          </cell>
          <cell r="I9">
            <v>1121</v>
          </cell>
        </row>
        <row r="10">
          <cell r="D10">
            <v>11421241</v>
          </cell>
          <cell r="E10" t="str">
            <v>伯希和/PELLIOT</v>
          </cell>
          <cell r="F10" t="str">
            <v>服装-外套-防晒服</v>
          </cell>
          <cell r="G10" t="str">
            <v>一品多商</v>
          </cell>
          <cell r="H10" t="str">
            <v>品牌直发</v>
          </cell>
          <cell r="I10">
            <v>1618</v>
          </cell>
        </row>
        <row r="11">
          <cell r="D11">
            <v>11421533</v>
          </cell>
          <cell r="E11" t="str">
            <v>伯希和/PELLIOT</v>
          </cell>
          <cell r="F11" t="str">
            <v>服装-上衣-Polo衫</v>
          </cell>
          <cell r="G11" t="str">
            <v>一品多商</v>
          </cell>
          <cell r="H11" t="str">
            <v>品牌直发</v>
          </cell>
          <cell r="I11">
            <v>2652</v>
          </cell>
        </row>
        <row r="12">
          <cell r="D12">
            <v>12421220</v>
          </cell>
          <cell r="E12" t="str">
            <v>伯希和/PELLIOT</v>
          </cell>
          <cell r="F12" t="str">
            <v>服装-外套-防晒服</v>
          </cell>
          <cell r="G12" t="str">
            <v>一品多商</v>
          </cell>
          <cell r="H12" t="str">
            <v>品牌直发</v>
          </cell>
          <cell r="I12">
            <v>2529</v>
          </cell>
        </row>
        <row r="13">
          <cell r="D13">
            <v>11340105</v>
          </cell>
          <cell r="E13" t="str">
            <v>伯希和/PELLIOT</v>
          </cell>
          <cell r="F13" t="str">
            <v>服装-外套-冲锋衣</v>
          </cell>
          <cell r="G13" t="str">
            <v>一品多商</v>
          </cell>
          <cell r="H13" t="str">
            <v>品牌直发</v>
          </cell>
          <cell r="I13">
            <v>3999</v>
          </cell>
        </row>
        <row r="14">
          <cell r="D14">
            <v>11421201</v>
          </cell>
          <cell r="E14" t="str">
            <v>伯希和/PELLIOT</v>
          </cell>
          <cell r="F14" t="str">
            <v>服装-外套-防晒服</v>
          </cell>
          <cell r="G14" t="str">
            <v>一品多商</v>
          </cell>
          <cell r="H14" t="str">
            <v>品牌直发</v>
          </cell>
          <cell r="I14">
            <v>1684</v>
          </cell>
        </row>
        <row r="15">
          <cell r="D15">
            <v>115214025</v>
          </cell>
          <cell r="E15" t="str">
            <v>伯希和/PELLIOT</v>
          </cell>
          <cell r="F15" t="str">
            <v>服装-户外运动服-速干裤</v>
          </cell>
          <cell r="G15" t="str">
            <v>一品多商</v>
          </cell>
          <cell r="H15" t="str">
            <v>品牌直发</v>
          </cell>
          <cell r="I15">
            <v>1945</v>
          </cell>
        </row>
        <row r="16">
          <cell r="D16">
            <v>115214021</v>
          </cell>
          <cell r="E16" t="str">
            <v>伯希和/PELLIOT</v>
          </cell>
          <cell r="F16" t="str">
            <v>服装-户外运动服-速干裤</v>
          </cell>
          <cell r="G16" t="str">
            <v>一品多商</v>
          </cell>
          <cell r="H16" t="str">
            <v>品牌直发</v>
          </cell>
          <cell r="I16">
            <v>1776</v>
          </cell>
        </row>
        <row r="17">
          <cell r="D17">
            <v>16403404</v>
          </cell>
          <cell r="E17" t="str">
            <v>伯希和/PELLIOT</v>
          </cell>
          <cell r="F17" t="str">
            <v>流行饰品/眼镜/服配-帽子-鸭舌帽</v>
          </cell>
          <cell r="G17" t="str">
            <v>一品一商</v>
          </cell>
          <cell r="H17" t="str">
            <v>品牌直发</v>
          </cell>
          <cell r="I17">
            <v>386</v>
          </cell>
        </row>
        <row r="18">
          <cell r="D18">
            <v>12421534</v>
          </cell>
          <cell r="E18" t="str">
            <v>伯希和/PELLIOT</v>
          </cell>
          <cell r="F18" t="str">
            <v>女装-上衣-Polo衫</v>
          </cell>
          <cell r="G18" t="str">
            <v>一品多商</v>
          </cell>
          <cell r="H18" t="str">
            <v>品牌直发</v>
          </cell>
          <cell r="I18">
            <v>1602</v>
          </cell>
        </row>
        <row r="19">
          <cell r="D19">
            <v>12321218</v>
          </cell>
          <cell r="E19" t="str">
            <v>伯希和/PELLIOT</v>
          </cell>
          <cell r="F19" t="str">
            <v>女装-外套-防晒服</v>
          </cell>
          <cell r="G19" t="str">
            <v>一品多商</v>
          </cell>
          <cell r="H19" t="str">
            <v>品牌直发</v>
          </cell>
          <cell r="I19">
            <v>857</v>
          </cell>
        </row>
        <row r="20">
          <cell r="D20">
            <v>165041001</v>
          </cell>
          <cell r="E20" t="str">
            <v>伯希和/PELLIOT</v>
          </cell>
          <cell r="F20" t="str">
            <v>流行饰品/眼镜/服配-防晒服配-防晒脖套</v>
          </cell>
          <cell r="G20" t="str">
            <v>一品一商</v>
          </cell>
          <cell r="H20" t="str">
            <v>品牌直发</v>
          </cell>
          <cell r="I20">
            <v>219</v>
          </cell>
        </row>
        <row r="21">
          <cell r="D21">
            <v>115215025</v>
          </cell>
          <cell r="E21" t="str">
            <v>伯希和/PELLIOT</v>
          </cell>
          <cell r="F21" t="str">
            <v>服装-户外运动服-速干T恤</v>
          </cell>
          <cell r="G21" t="str">
            <v>一品多商</v>
          </cell>
          <cell r="H21" t="str">
            <v>品牌直发</v>
          </cell>
          <cell r="I21">
            <v>1768</v>
          </cell>
        </row>
        <row r="22">
          <cell r="D22">
            <v>115215045</v>
          </cell>
          <cell r="E22" t="str">
            <v>伯希和/PELLIOT</v>
          </cell>
          <cell r="F22" t="str">
            <v>服装-上衣-T恤</v>
          </cell>
          <cell r="G22" t="str">
            <v>一品一商</v>
          </cell>
          <cell r="H22" t="str">
            <v>品牌直发</v>
          </cell>
          <cell r="I22">
            <v>646</v>
          </cell>
        </row>
        <row r="23">
          <cell r="D23">
            <v>115214005</v>
          </cell>
          <cell r="E23" t="str">
            <v>伯希和/PELLIOT</v>
          </cell>
          <cell r="F23" t="str">
            <v>服装-户外运动服-速干裤</v>
          </cell>
          <cell r="G23" t="str">
            <v>一品多商</v>
          </cell>
          <cell r="H23" t="str">
            <v>品牌直发</v>
          </cell>
          <cell r="I23">
            <v>1381</v>
          </cell>
        </row>
        <row r="24">
          <cell r="D24">
            <v>105212020</v>
          </cell>
          <cell r="E24" t="str">
            <v>伯希和/PELLIOT</v>
          </cell>
          <cell r="F24" t="str">
            <v>服装-外套-防晒服</v>
          </cell>
          <cell r="G24" t="str">
            <v>一品多商</v>
          </cell>
          <cell r="H24" t="str">
            <v>品牌直发</v>
          </cell>
          <cell r="I24">
            <v>1516</v>
          </cell>
        </row>
        <row r="25">
          <cell r="D25">
            <v>124301070</v>
          </cell>
          <cell r="E25" t="str">
            <v>伯希和/PELLIOT</v>
          </cell>
          <cell r="F25" t="str">
            <v>服装-外套-冲锋衣</v>
          </cell>
          <cell r="G25" t="str">
            <v>一品多商</v>
          </cell>
          <cell r="H25" t="str">
            <v>品牌直发</v>
          </cell>
          <cell r="I25">
            <v>4312.45</v>
          </cell>
        </row>
        <row r="26">
          <cell r="D26">
            <v>11410201</v>
          </cell>
          <cell r="E26" t="str">
            <v>伯希和/PELLIOT</v>
          </cell>
          <cell r="F26" t="str">
            <v>服装-长裤-冲锋裤</v>
          </cell>
          <cell r="G26" t="str">
            <v>一品多商</v>
          </cell>
          <cell r="H26" t="str">
            <v>品牌直发</v>
          </cell>
          <cell r="I26">
            <v>2150</v>
          </cell>
        </row>
        <row r="27">
          <cell r="D27">
            <v>12321414</v>
          </cell>
          <cell r="E27" t="str">
            <v>伯希和/PELLIOT</v>
          </cell>
          <cell r="F27" t="str">
            <v>女装-户外运动服-速干裤</v>
          </cell>
          <cell r="G27" t="str">
            <v>一品一商</v>
          </cell>
          <cell r="H27" t="str">
            <v>品牌直发</v>
          </cell>
          <cell r="I27">
            <v>616</v>
          </cell>
        </row>
        <row r="28">
          <cell r="D28">
            <v>125215020</v>
          </cell>
          <cell r="E28" t="str">
            <v>伯希和/PELLIOT</v>
          </cell>
          <cell r="F28" t="str">
            <v>女装-上衣-Polo衫</v>
          </cell>
          <cell r="G28" t="str">
            <v>一品多商</v>
          </cell>
          <cell r="H28" t="str">
            <v>品牌直发</v>
          </cell>
          <cell r="I28">
            <v>867</v>
          </cell>
        </row>
        <row r="29">
          <cell r="D29" t="str">
            <v>124101048-新加色</v>
          </cell>
          <cell r="E29" t="str">
            <v>伯希和/PELLIOT</v>
          </cell>
          <cell r="F29" t="str">
            <v>服装-外套-冲锋衣</v>
          </cell>
          <cell r="G29" t="str">
            <v>一品多商</v>
          </cell>
          <cell r="H29" t="str">
            <v>品牌直发</v>
          </cell>
          <cell r="I29">
            <v>3112</v>
          </cell>
        </row>
        <row r="30">
          <cell r="D30">
            <v>124419008</v>
          </cell>
          <cell r="E30" t="str">
            <v>伯希和/PELLIOT</v>
          </cell>
          <cell r="F30" t="str">
            <v>鞋-运动鞋-登山鞋/徒步鞋</v>
          </cell>
          <cell r="G30" t="str">
            <v>一品一商</v>
          </cell>
          <cell r="H30" t="str">
            <v>品牌直发</v>
          </cell>
          <cell r="I30">
            <v>2172</v>
          </cell>
        </row>
        <row r="31">
          <cell r="D31">
            <v>12421508</v>
          </cell>
          <cell r="E31" t="str">
            <v>伯希和/PELLIOT</v>
          </cell>
          <cell r="F31" t="str">
            <v>女装-上衣-Polo衫</v>
          </cell>
          <cell r="G31" t="str">
            <v>一品多商</v>
          </cell>
          <cell r="H31" t="str">
            <v>品牌直发</v>
          </cell>
          <cell r="I31">
            <v>576</v>
          </cell>
        </row>
        <row r="32">
          <cell r="D32">
            <v>12421250</v>
          </cell>
          <cell r="E32" t="str">
            <v>伯希和/PELLIOT</v>
          </cell>
          <cell r="F32" t="str">
            <v>女装-外套-防晒服</v>
          </cell>
          <cell r="G32" t="str">
            <v>一品多商</v>
          </cell>
          <cell r="H32" t="str">
            <v>品牌直发</v>
          </cell>
          <cell r="I32">
            <v>803</v>
          </cell>
        </row>
        <row r="33">
          <cell r="D33">
            <v>115110021</v>
          </cell>
          <cell r="E33" t="str">
            <v>伯希和/PELLIOT</v>
          </cell>
          <cell r="F33" t="str">
            <v>服装-户外运动服-抓绒衣</v>
          </cell>
          <cell r="G33" t="str">
            <v>一品多商</v>
          </cell>
          <cell r="H33" t="str">
            <v>品牌直发</v>
          </cell>
          <cell r="I33">
            <v>833</v>
          </cell>
        </row>
        <row r="34">
          <cell r="D34">
            <v>115181001</v>
          </cell>
          <cell r="E34" t="str">
            <v>伯希和/PELLIOT</v>
          </cell>
          <cell r="F34" t="str">
            <v>鞋-运动鞋-登山鞋/徒步鞋</v>
          </cell>
          <cell r="G34" t="str">
            <v>一品多商</v>
          </cell>
          <cell r="H34" t="str">
            <v>品牌直发</v>
          </cell>
          <cell r="I34">
            <v>2082</v>
          </cell>
        </row>
        <row r="35">
          <cell r="D35" t="str">
            <v>12421220-新加色</v>
          </cell>
          <cell r="E35" t="str">
            <v>伯希和/PELLIOT</v>
          </cell>
          <cell r="F35" t="str">
            <v>服装-外套-防晒服</v>
          </cell>
          <cell r="G35" t="str">
            <v>一品多商</v>
          </cell>
          <cell r="H35" t="str">
            <v>品牌直发</v>
          </cell>
          <cell r="I35">
            <v>1063</v>
          </cell>
        </row>
        <row r="36">
          <cell r="D36">
            <v>125214022</v>
          </cell>
          <cell r="E36" t="str">
            <v>伯希和/PELLIOT</v>
          </cell>
          <cell r="F36" t="str">
            <v>女装-户外运动服-速干裤</v>
          </cell>
          <cell r="G36" t="str">
            <v>一品一商</v>
          </cell>
          <cell r="H36" t="str">
            <v>品牌直发</v>
          </cell>
          <cell r="I36">
            <v>888</v>
          </cell>
        </row>
        <row r="37">
          <cell r="D37">
            <v>12421254</v>
          </cell>
          <cell r="E37" t="str">
            <v>伯希和/PELLIOT</v>
          </cell>
          <cell r="F37" t="str">
            <v>女装-外套-防晒服</v>
          </cell>
          <cell r="G37" t="str">
            <v>一品多商</v>
          </cell>
          <cell r="H37" t="str">
            <v>品牌直发</v>
          </cell>
          <cell r="I37">
            <v>622</v>
          </cell>
        </row>
        <row r="38">
          <cell r="D38">
            <v>12340106</v>
          </cell>
          <cell r="E38" t="str">
            <v>伯希和/PELLIOT</v>
          </cell>
          <cell r="F38" t="str">
            <v>女装-外套-冲锋衣</v>
          </cell>
          <cell r="G38" t="str">
            <v>一品多商</v>
          </cell>
          <cell r="H38" t="str">
            <v>品牌直发</v>
          </cell>
          <cell r="I38">
            <v>1352</v>
          </cell>
        </row>
        <row r="39">
          <cell r="D39">
            <v>12230602</v>
          </cell>
          <cell r="E39" t="str">
            <v>伯希和/PELLIOT</v>
          </cell>
          <cell r="F39" t="str">
            <v>女装-外套-软壳衣</v>
          </cell>
          <cell r="G39" t="str">
            <v>一品多商</v>
          </cell>
          <cell r="H39" t="str">
            <v>品牌直发</v>
          </cell>
          <cell r="I39">
            <v>1014</v>
          </cell>
        </row>
        <row r="40">
          <cell r="D40">
            <v>115215030</v>
          </cell>
          <cell r="E40" t="str">
            <v>伯希和/PELLIOT</v>
          </cell>
          <cell r="F40" t="str">
            <v>服装-上衣-T恤</v>
          </cell>
          <cell r="G40" t="str">
            <v>一品一商</v>
          </cell>
          <cell r="H40" t="str">
            <v>品牌直发</v>
          </cell>
          <cell r="I40">
            <v>502</v>
          </cell>
        </row>
        <row r="41">
          <cell r="D41">
            <v>115220021</v>
          </cell>
          <cell r="E41" t="str">
            <v>伯希和/PELLIOT</v>
          </cell>
          <cell r="F41" t="str">
            <v>鞋-凉鞋/拖鞋-溯溪鞋</v>
          </cell>
          <cell r="G41" t="str">
            <v>一品一商</v>
          </cell>
          <cell r="H41" t="str">
            <v>品牌直发</v>
          </cell>
          <cell r="I41">
            <v>1279</v>
          </cell>
        </row>
        <row r="42">
          <cell r="D42">
            <v>134301049</v>
          </cell>
          <cell r="E42" t="str">
            <v>伯希和/PELLIOT</v>
          </cell>
          <cell r="F42" t="str">
            <v>童装-儿童上装-冲锋衣</v>
          </cell>
          <cell r="G42" t="str">
            <v>一品一商</v>
          </cell>
          <cell r="H42" t="str">
            <v>品牌直发</v>
          </cell>
          <cell r="I42">
            <v>1416</v>
          </cell>
        </row>
        <row r="43">
          <cell r="D43">
            <v>116202507</v>
          </cell>
          <cell r="E43" t="str">
            <v>伯希和/PELLIOT</v>
          </cell>
          <cell r="F43" t="str">
            <v>箱包-包袋-户外包</v>
          </cell>
          <cell r="G43" t="str">
            <v>一品多商</v>
          </cell>
          <cell r="H43" t="str">
            <v>品牌直发</v>
          </cell>
          <cell r="I43">
            <v>969</v>
          </cell>
        </row>
        <row r="44">
          <cell r="D44">
            <v>114319003</v>
          </cell>
          <cell r="E44" t="str">
            <v>伯希和/PELLIOT</v>
          </cell>
          <cell r="F44" t="str">
            <v>鞋-运动鞋-登山鞋/徒步鞋</v>
          </cell>
          <cell r="G44" t="str">
            <v>一品多商</v>
          </cell>
          <cell r="H44" t="str">
            <v>品牌直发</v>
          </cell>
          <cell r="I44">
            <v>1007</v>
          </cell>
        </row>
        <row r="45">
          <cell r="D45">
            <v>16202612</v>
          </cell>
          <cell r="E45" t="str">
            <v>伯希和/PELLIOT</v>
          </cell>
          <cell r="F45" t="str">
            <v>箱包-包袋-户外包</v>
          </cell>
          <cell r="G45" t="str">
            <v>一品一商</v>
          </cell>
          <cell r="H45" t="str">
            <v>品牌直发</v>
          </cell>
          <cell r="I45">
            <v>105</v>
          </cell>
        </row>
        <row r="46">
          <cell r="D46">
            <v>16402503</v>
          </cell>
          <cell r="E46" t="str">
            <v>伯希和/PELLIOT</v>
          </cell>
          <cell r="F46" t="str">
            <v>箱包-包袋-户外包</v>
          </cell>
          <cell r="G46" t="str">
            <v>一品多商</v>
          </cell>
          <cell r="H46" t="str">
            <v>品牌直发</v>
          </cell>
          <cell r="I46">
            <v>863</v>
          </cell>
        </row>
        <row r="47">
          <cell r="D47">
            <v>16325602</v>
          </cell>
          <cell r="E47" t="str">
            <v>伯希和/PELLIOT</v>
          </cell>
          <cell r="F47" t="str">
            <v>流行饰品/眼镜/服配-配饰-口罩</v>
          </cell>
          <cell r="G47" t="str">
            <v>一品一商</v>
          </cell>
          <cell r="H47" t="str">
            <v>品牌直发</v>
          </cell>
          <cell r="I47">
            <v>70</v>
          </cell>
        </row>
        <row r="48">
          <cell r="D48">
            <v>12421228</v>
          </cell>
          <cell r="E48" t="str">
            <v>伯希和/PELLIOT</v>
          </cell>
          <cell r="F48" t="str">
            <v>女装-外套-防晒服</v>
          </cell>
          <cell r="G48" t="str">
            <v>一品多商</v>
          </cell>
          <cell r="H48" t="str">
            <v>品牌直发</v>
          </cell>
          <cell r="I48">
            <v>328</v>
          </cell>
        </row>
        <row r="49">
          <cell r="D49">
            <v>12331012</v>
          </cell>
          <cell r="E49" t="str">
            <v>伯希和/PELLIOT</v>
          </cell>
          <cell r="F49" t="str">
            <v>女装-户外运动服-抓绒衣</v>
          </cell>
          <cell r="G49" t="str">
            <v>一品多商</v>
          </cell>
          <cell r="H49" t="str">
            <v>品牌直发</v>
          </cell>
          <cell r="I49">
            <v>324</v>
          </cell>
        </row>
        <row r="50">
          <cell r="D50">
            <v>11321405</v>
          </cell>
          <cell r="E50" t="str">
            <v>伯希和/PELLIOT</v>
          </cell>
          <cell r="F50" t="str">
            <v>服装-户外运动服-速干裤</v>
          </cell>
          <cell r="G50" t="str">
            <v>一品多商</v>
          </cell>
          <cell r="H50" t="str">
            <v>品牌直发</v>
          </cell>
          <cell r="I50">
            <v>486</v>
          </cell>
        </row>
        <row r="51">
          <cell r="D51">
            <v>115116021</v>
          </cell>
          <cell r="E51" t="str">
            <v>伯希和/PELLIOT</v>
          </cell>
          <cell r="F51" t="str">
            <v>服装-上衣-T恤</v>
          </cell>
          <cell r="G51" t="str">
            <v>一品多商</v>
          </cell>
          <cell r="H51" t="str">
            <v>品牌直发</v>
          </cell>
          <cell r="I51">
            <v>284</v>
          </cell>
        </row>
        <row r="52">
          <cell r="D52">
            <v>125110022</v>
          </cell>
          <cell r="E52" t="str">
            <v>伯希和/PELLIOT</v>
          </cell>
          <cell r="F52" t="str">
            <v>女装-户外运动服-抓绒衣</v>
          </cell>
          <cell r="G52" t="str">
            <v>一品多商</v>
          </cell>
          <cell r="H52" t="str">
            <v>品牌直发</v>
          </cell>
          <cell r="I52">
            <v>442</v>
          </cell>
        </row>
        <row r="53">
          <cell r="D53">
            <v>125302008</v>
          </cell>
          <cell r="E53" t="str">
            <v>伯希和/PELLIOT</v>
          </cell>
          <cell r="F53" t="str">
            <v>女装-长裤-冲锋裤</v>
          </cell>
          <cell r="G53" t="str">
            <v>一品多商</v>
          </cell>
          <cell r="H53" t="str">
            <v>品牌直发</v>
          </cell>
          <cell r="I53">
            <v>1144</v>
          </cell>
        </row>
        <row r="54">
          <cell r="D54">
            <v>115220001</v>
          </cell>
          <cell r="E54" t="str">
            <v>伯希和/PELLIOT</v>
          </cell>
          <cell r="F54" t="str">
            <v>鞋-凉鞋/拖鞋-溯溪鞋</v>
          </cell>
          <cell r="G54" t="str">
            <v>一品多商</v>
          </cell>
          <cell r="H54" t="str">
            <v>品牌直发</v>
          </cell>
          <cell r="I54">
            <v>914</v>
          </cell>
        </row>
        <row r="55">
          <cell r="D55">
            <v>115151007</v>
          </cell>
          <cell r="E55" t="str">
            <v>伯希和/PELLIOT</v>
          </cell>
          <cell r="F55" t="str">
            <v>服装-外套-夹克</v>
          </cell>
          <cell r="G55" t="str">
            <v>一品多商</v>
          </cell>
          <cell r="H55" t="str">
            <v>品牌直发</v>
          </cell>
          <cell r="I55">
            <v>1043.68</v>
          </cell>
        </row>
        <row r="56">
          <cell r="D56">
            <v>125215048</v>
          </cell>
          <cell r="E56" t="str">
            <v>伯希和/PELLIOT</v>
          </cell>
          <cell r="F56" t="str">
            <v>女装-户外运动服-速干T恤</v>
          </cell>
          <cell r="G56" t="str">
            <v>一品一商</v>
          </cell>
          <cell r="H56" t="str">
            <v>品牌直发</v>
          </cell>
          <cell r="I56">
            <v>177.22</v>
          </cell>
        </row>
        <row r="57">
          <cell r="D57">
            <v>115214015</v>
          </cell>
          <cell r="E57" t="str">
            <v>伯希和/PELLIOT</v>
          </cell>
          <cell r="F57" t="str">
            <v>服装-户外运动服-速干裤</v>
          </cell>
          <cell r="G57" t="str">
            <v>一品一商</v>
          </cell>
          <cell r="H57" t="str">
            <v>品牌直发</v>
          </cell>
          <cell r="I57">
            <v>379</v>
          </cell>
        </row>
        <row r="58">
          <cell r="D58">
            <v>115215039</v>
          </cell>
          <cell r="E58" t="str">
            <v>伯希和/PELLIOT</v>
          </cell>
          <cell r="F58" t="str">
            <v>服装-上衣-Polo衫</v>
          </cell>
          <cell r="G58" t="str">
            <v>一品多商</v>
          </cell>
          <cell r="H58" t="str">
            <v>品牌直发</v>
          </cell>
          <cell r="I58">
            <v>744</v>
          </cell>
        </row>
        <row r="59">
          <cell r="D59">
            <v>115102001</v>
          </cell>
          <cell r="E59" t="str">
            <v>伯希和/PELLIOT</v>
          </cell>
          <cell r="F59" t="str">
            <v>服装-长裤-冲锋裤</v>
          </cell>
          <cell r="G59" t="str">
            <v>一品多商</v>
          </cell>
          <cell r="H59" t="str">
            <v>品牌直发</v>
          </cell>
          <cell r="I59">
            <v>1455</v>
          </cell>
        </row>
        <row r="60">
          <cell r="D60">
            <v>115301054</v>
          </cell>
          <cell r="E60" t="str">
            <v>伯希和/PELLIOT</v>
          </cell>
          <cell r="F60" t="str">
            <v>服装-外套-冲锋衣</v>
          </cell>
          <cell r="G60" t="str">
            <v>一品多商</v>
          </cell>
          <cell r="H60" t="str">
            <v>品牌直发</v>
          </cell>
          <cell r="I60">
            <v>1075</v>
          </cell>
        </row>
        <row r="61">
          <cell r="D61">
            <v>16323204</v>
          </cell>
          <cell r="E61" t="str">
            <v>伯希和/PELLIOT</v>
          </cell>
          <cell r="F61" t="str">
            <v>流行饰品/眼镜/服配-防晒服配-防晒脖套</v>
          </cell>
          <cell r="G61" t="str">
            <v>一品一商</v>
          </cell>
          <cell r="H61" t="str">
            <v>品牌直发</v>
          </cell>
          <cell r="I61">
            <v>52</v>
          </cell>
        </row>
        <row r="62">
          <cell r="D62">
            <v>114310191</v>
          </cell>
          <cell r="E62" t="str">
            <v>伯希和/PELLIOT</v>
          </cell>
          <cell r="F62" t="str">
            <v>服装-户外运动服-抓绒衣</v>
          </cell>
          <cell r="G62" t="str">
            <v>一品多商</v>
          </cell>
          <cell r="H62" t="str">
            <v>品牌直发</v>
          </cell>
          <cell r="I62">
            <v>695</v>
          </cell>
        </row>
        <row r="63">
          <cell r="D63">
            <v>114301033</v>
          </cell>
          <cell r="E63" t="str">
            <v>伯希和/PELLIOT</v>
          </cell>
          <cell r="F63" t="str">
            <v>服装-外套-冲锋衣</v>
          </cell>
          <cell r="G63" t="str">
            <v>一品多商</v>
          </cell>
          <cell r="H63" t="str">
            <v>品牌直发</v>
          </cell>
          <cell r="I63">
            <v>1056</v>
          </cell>
        </row>
        <row r="64">
          <cell r="D64">
            <v>124301006</v>
          </cell>
          <cell r="E64" t="str">
            <v>伯希和/PELLIOT</v>
          </cell>
          <cell r="F64" t="str">
            <v>服装-外套-冲锋衣</v>
          </cell>
          <cell r="G64" t="str">
            <v>一品多商</v>
          </cell>
          <cell r="H64" t="str">
            <v>品牌直发</v>
          </cell>
          <cell r="I64">
            <v>1561</v>
          </cell>
        </row>
        <row r="65">
          <cell r="D65">
            <v>11421429</v>
          </cell>
          <cell r="E65" t="str">
            <v>伯希和/PELLIOT</v>
          </cell>
          <cell r="F65" t="str">
            <v>服装-短裤-休闲短裤</v>
          </cell>
          <cell r="G65" t="str">
            <v>一品一商</v>
          </cell>
          <cell r="H65" t="str">
            <v>品牌直发</v>
          </cell>
          <cell r="I65">
            <v>442</v>
          </cell>
        </row>
        <row r="66">
          <cell r="D66" t="str">
            <v>PE1124101048</v>
          </cell>
          <cell r="E66" t="str">
            <v>伯希和/PELLIOT</v>
          </cell>
          <cell r="F66" t="str">
            <v>服装-外套-冲锋衣</v>
          </cell>
          <cell r="G66" t="str">
            <v>一品多商</v>
          </cell>
          <cell r="H66" t="str">
            <v>品牌直发</v>
          </cell>
          <cell r="I66">
            <v>1336</v>
          </cell>
        </row>
        <row r="67">
          <cell r="D67">
            <v>11411401</v>
          </cell>
          <cell r="E67" t="str">
            <v>伯希和/PELLIOT</v>
          </cell>
          <cell r="F67" t="str">
            <v>服装-长裤-软壳裤</v>
          </cell>
          <cell r="G67" t="str">
            <v>一品多商</v>
          </cell>
          <cell r="H67" t="str">
            <v>品牌直发</v>
          </cell>
          <cell r="I67">
            <v>342</v>
          </cell>
        </row>
        <row r="68">
          <cell r="D68">
            <v>12425112</v>
          </cell>
          <cell r="E68" t="str">
            <v>伯希和/PELLIOT</v>
          </cell>
          <cell r="F68" t="str">
            <v>女装-外套-防晒服</v>
          </cell>
          <cell r="G68" t="str">
            <v>一品多商</v>
          </cell>
          <cell r="H68" t="str">
            <v>品牌直发</v>
          </cell>
          <cell r="I68">
            <v>196</v>
          </cell>
        </row>
        <row r="69">
          <cell r="D69">
            <v>11410303</v>
          </cell>
          <cell r="E69" t="str">
            <v>伯希和/PELLIOT</v>
          </cell>
          <cell r="F69" t="str">
            <v>服装-外套-棉服</v>
          </cell>
          <cell r="G69" t="str">
            <v>一品多商</v>
          </cell>
          <cell r="H69" t="str">
            <v>品牌直发</v>
          </cell>
          <cell r="I69">
            <v>582</v>
          </cell>
        </row>
        <row r="70">
          <cell r="D70">
            <v>6902507</v>
          </cell>
          <cell r="E70" t="str">
            <v>伯希和/PELLIOT</v>
          </cell>
          <cell r="F70" t="str">
            <v>箱包-包袋-户外包</v>
          </cell>
          <cell r="G70" t="str">
            <v>一品一商</v>
          </cell>
          <cell r="H70" t="str">
            <v>品牌直发</v>
          </cell>
          <cell r="I70">
            <v>278</v>
          </cell>
        </row>
        <row r="71">
          <cell r="D71" t="str">
            <v>12340164-新加色</v>
          </cell>
          <cell r="E71" t="str">
            <v>伯希和/PELLIOT</v>
          </cell>
          <cell r="F71" t="str">
            <v>服装-外套-冲锋衣</v>
          </cell>
          <cell r="G71" t="str">
            <v>一品多商</v>
          </cell>
          <cell r="H71" t="str">
            <v>品牌直发</v>
          </cell>
          <cell r="I71">
            <v>644</v>
          </cell>
        </row>
        <row r="72">
          <cell r="D72">
            <v>11331801</v>
          </cell>
          <cell r="E72" t="str">
            <v>伯希和/PELLIOT</v>
          </cell>
          <cell r="F72" t="str">
            <v>内衣-内衣裤-保暖套装</v>
          </cell>
          <cell r="G72" t="str">
            <v>一品多商</v>
          </cell>
          <cell r="H72" t="str">
            <v>品牌直发</v>
          </cell>
          <cell r="I72">
            <v>250</v>
          </cell>
        </row>
        <row r="73">
          <cell r="D73">
            <v>11340821</v>
          </cell>
          <cell r="E73" t="str">
            <v>伯希和/PELLIOT</v>
          </cell>
          <cell r="F73" t="str">
            <v>服装-外套-羽绒服</v>
          </cell>
          <cell r="G73" t="str">
            <v>一品多商</v>
          </cell>
          <cell r="H73" t="str">
            <v>品牌直发</v>
          </cell>
          <cell r="I73">
            <v>560</v>
          </cell>
        </row>
        <row r="74">
          <cell r="D74">
            <v>11331003</v>
          </cell>
          <cell r="E74" t="str">
            <v>伯希和/PELLIOT</v>
          </cell>
          <cell r="F74" t="str">
            <v>服装-户外运动服-抓绒衣</v>
          </cell>
          <cell r="G74" t="str">
            <v>一品一商</v>
          </cell>
          <cell r="H74" t="str">
            <v>品牌直发</v>
          </cell>
          <cell r="I74">
            <v>272</v>
          </cell>
        </row>
        <row r="75">
          <cell r="D75">
            <v>12340164</v>
          </cell>
          <cell r="E75" t="str">
            <v>伯希和/PELLIOT</v>
          </cell>
          <cell r="F75" t="str">
            <v>服装-外套-冲锋衣</v>
          </cell>
          <cell r="G75" t="str">
            <v>一品多商</v>
          </cell>
          <cell r="H75" t="str">
            <v>品牌直发</v>
          </cell>
          <cell r="I75">
            <v>668</v>
          </cell>
        </row>
        <row r="76">
          <cell r="D76">
            <v>112230602</v>
          </cell>
          <cell r="E76" t="str">
            <v>伯希和/PELLIOT</v>
          </cell>
          <cell r="F76" t="str">
            <v>女装-外套-软壳衣</v>
          </cell>
          <cell r="G76" t="str">
            <v>一品一商</v>
          </cell>
          <cell r="H76" t="str">
            <v>品牌直发</v>
          </cell>
          <cell r="I76">
            <v>331</v>
          </cell>
        </row>
        <row r="77">
          <cell r="D77">
            <v>13121274</v>
          </cell>
          <cell r="E77" t="str">
            <v>伯希和/PELLIOT</v>
          </cell>
          <cell r="F77" t="str">
            <v>童装-儿童上装-防晒衣</v>
          </cell>
          <cell r="G77" t="str">
            <v>一品一商</v>
          </cell>
          <cell r="H77" t="str">
            <v>品牌直发</v>
          </cell>
          <cell r="I77">
            <v>111</v>
          </cell>
        </row>
        <row r="78">
          <cell r="D78">
            <v>111021401</v>
          </cell>
          <cell r="E78" t="str">
            <v>伯希和/PELLIOT</v>
          </cell>
          <cell r="F78" t="str">
            <v>服装-短裤-休闲短裤</v>
          </cell>
          <cell r="G78" t="str">
            <v>一品多商</v>
          </cell>
          <cell r="H78" t="str">
            <v>品牌直发</v>
          </cell>
          <cell r="I78">
            <v>104</v>
          </cell>
        </row>
        <row r="79">
          <cell r="D79">
            <v>11121411</v>
          </cell>
          <cell r="E79" t="str">
            <v>伯希和/PELLIOT</v>
          </cell>
          <cell r="F79" t="str">
            <v>服装-户外运动服-速干裤</v>
          </cell>
          <cell r="G79" t="str">
            <v>一品多商</v>
          </cell>
          <cell r="H79" t="str">
            <v>品牌直发</v>
          </cell>
          <cell r="I79">
            <v>171</v>
          </cell>
        </row>
        <row r="80">
          <cell r="D80">
            <v>12021510</v>
          </cell>
          <cell r="E80" t="str">
            <v>伯希和/PELLIOT</v>
          </cell>
          <cell r="F80" t="str">
            <v>女装-户外运动服-跑步T恤</v>
          </cell>
          <cell r="G80" t="str">
            <v>一品一商</v>
          </cell>
          <cell r="H80" t="str">
            <v>品牌直发</v>
          </cell>
          <cell r="I80">
            <v>84</v>
          </cell>
        </row>
        <row r="81">
          <cell r="D81">
            <v>12221514</v>
          </cell>
          <cell r="E81" t="str">
            <v>伯希和/PELLIOT</v>
          </cell>
          <cell r="F81" t="str">
            <v>女装-上衣-Polo衫</v>
          </cell>
          <cell r="G81" t="str">
            <v>一品一商</v>
          </cell>
          <cell r="H81" t="str">
            <v>品牌直发</v>
          </cell>
          <cell r="I81">
            <v>114</v>
          </cell>
        </row>
        <row r="82">
          <cell r="D82" t="str">
            <v>125116022-服</v>
          </cell>
          <cell r="E82" t="str">
            <v>伯希和/PELLIOT</v>
          </cell>
          <cell r="F82" t="str">
            <v>女装-户外运动服-跑步T恤</v>
          </cell>
          <cell r="G82" t="str">
            <v>一品多商</v>
          </cell>
          <cell r="H82" t="str">
            <v>品牌直发</v>
          </cell>
          <cell r="I82">
            <v>145</v>
          </cell>
        </row>
        <row r="83">
          <cell r="D83">
            <v>12321224</v>
          </cell>
          <cell r="E83" t="str">
            <v>伯希和/PELLIOT</v>
          </cell>
          <cell r="F83" t="str">
            <v>服装-外套-防晒服</v>
          </cell>
          <cell r="G83" t="str">
            <v>一品一商</v>
          </cell>
          <cell r="H83" t="str">
            <v>品牌直发</v>
          </cell>
          <cell r="I83">
            <v>419</v>
          </cell>
        </row>
        <row r="84">
          <cell r="D84">
            <v>11321207</v>
          </cell>
          <cell r="E84" t="str">
            <v>伯希和/PELLIOT</v>
          </cell>
          <cell r="F84" t="str">
            <v>服装-外套-防晒服</v>
          </cell>
          <cell r="G84" t="str">
            <v>一品多商</v>
          </cell>
          <cell r="H84" t="str">
            <v>品牌直发</v>
          </cell>
          <cell r="I84">
            <v>144</v>
          </cell>
        </row>
        <row r="85">
          <cell r="D85">
            <v>12130702</v>
          </cell>
          <cell r="E85" t="str">
            <v>伯希和/PELLIOT</v>
          </cell>
          <cell r="F85" t="str">
            <v>女装-长裤-软壳裤</v>
          </cell>
          <cell r="G85" t="str">
            <v>一品多商</v>
          </cell>
          <cell r="H85" t="str">
            <v>品牌直发</v>
          </cell>
          <cell r="I85">
            <v>330</v>
          </cell>
        </row>
        <row r="86">
          <cell r="D86">
            <v>11230601</v>
          </cell>
          <cell r="E86" t="str">
            <v>伯希和/PELLIOT</v>
          </cell>
          <cell r="F86" t="str">
            <v>服装-外套-软壳衣</v>
          </cell>
          <cell r="G86" t="str">
            <v>一品多商</v>
          </cell>
          <cell r="H86" t="str">
            <v>品牌直发</v>
          </cell>
          <cell r="I86">
            <v>339</v>
          </cell>
        </row>
        <row r="87">
          <cell r="D87">
            <v>12040106</v>
          </cell>
          <cell r="E87" t="str">
            <v>伯希和/PELLIOT</v>
          </cell>
          <cell r="F87" t="str">
            <v>女装-外套-冲锋衣</v>
          </cell>
          <cell r="G87" t="str">
            <v>一品多商</v>
          </cell>
          <cell r="H87" t="str">
            <v>品牌直发</v>
          </cell>
          <cell r="I87">
            <v>518</v>
          </cell>
        </row>
        <row r="88">
          <cell r="D88">
            <v>12321248</v>
          </cell>
          <cell r="E88" t="str">
            <v>伯希和/PELLIOT</v>
          </cell>
          <cell r="F88" t="str">
            <v>女装-外套-防晒服</v>
          </cell>
          <cell r="G88" t="str">
            <v>一品多商</v>
          </cell>
          <cell r="H88" t="str">
            <v>品牌直发</v>
          </cell>
          <cell r="I88">
            <v>187</v>
          </cell>
        </row>
        <row r="89">
          <cell r="D89">
            <v>12121262</v>
          </cell>
          <cell r="E89" t="str">
            <v>伯希和/PELLIOT</v>
          </cell>
          <cell r="F89" t="str">
            <v>女装-外套-防晒服</v>
          </cell>
          <cell r="G89" t="str">
            <v>一品多商</v>
          </cell>
          <cell r="H89" t="str">
            <v>品牌直发</v>
          </cell>
          <cell r="I89">
            <v>154</v>
          </cell>
        </row>
        <row r="90">
          <cell r="D90">
            <v>112121202</v>
          </cell>
          <cell r="E90" t="str">
            <v>伯希和/PELLIOT</v>
          </cell>
          <cell r="F90" t="str">
            <v>女装-外套-防晒服</v>
          </cell>
          <cell r="G90" t="str">
            <v>一品一商</v>
          </cell>
          <cell r="H90" t="str">
            <v>品牌直发</v>
          </cell>
          <cell r="I90">
            <v>124</v>
          </cell>
        </row>
        <row r="91">
          <cell r="D91" t="str">
            <v>16302602-2025</v>
          </cell>
          <cell r="E91" t="str">
            <v>伯希和/PELLIOT</v>
          </cell>
          <cell r="F91" t="str">
            <v>箱包-包袋-手机包</v>
          </cell>
          <cell r="G91" t="str">
            <v>一品一商</v>
          </cell>
          <cell r="H91" t="str">
            <v>品牌直发</v>
          </cell>
          <cell r="I91">
            <v>28</v>
          </cell>
        </row>
        <row r="92">
          <cell r="D92" t="str">
            <v>105301056-2025</v>
          </cell>
          <cell r="E92" t="str">
            <v>伯希和/PELLIOT</v>
          </cell>
          <cell r="F92" t="str">
            <v>女装-外套-冲锋衣</v>
          </cell>
          <cell r="G92" t="str">
            <v>一品多商</v>
          </cell>
          <cell r="H92" t="str">
            <v>品牌直发</v>
          </cell>
          <cell r="I92">
            <v>972</v>
          </cell>
        </row>
        <row r="93">
          <cell r="D93" t="str">
            <v>124101048-2025</v>
          </cell>
          <cell r="E93" t="str">
            <v>伯希和/PELLIOT</v>
          </cell>
          <cell r="F93" t="str">
            <v>女装-外套-冲锋衣</v>
          </cell>
          <cell r="G93" t="str">
            <v>一品多商</v>
          </cell>
          <cell r="H93" t="str">
            <v>品牌直发</v>
          </cell>
          <cell r="I93">
            <v>672</v>
          </cell>
        </row>
        <row r="94">
          <cell r="D94">
            <v>115302003</v>
          </cell>
          <cell r="E94" t="str">
            <v>伯希和/PELLIOT</v>
          </cell>
          <cell r="F94" t="str">
            <v>服装-长裤-冲锋裤</v>
          </cell>
          <cell r="G94" t="str">
            <v>一品多商</v>
          </cell>
          <cell r="H94" t="str">
            <v>品牌直发</v>
          </cell>
          <cell r="I94">
            <v>637</v>
          </cell>
        </row>
        <row r="95">
          <cell r="D95">
            <v>115302007</v>
          </cell>
          <cell r="E95" t="str">
            <v>伯希和/PELLIOT</v>
          </cell>
          <cell r="F95" t="str">
            <v>服装-长裤-冲锋裤</v>
          </cell>
          <cell r="G95" t="str">
            <v>一品多商</v>
          </cell>
          <cell r="H95" t="str">
            <v>品牌直发</v>
          </cell>
          <cell r="I95">
            <v>543</v>
          </cell>
        </row>
        <row r="96">
          <cell r="D96">
            <v>115316032</v>
          </cell>
          <cell r="E96" t="str">
            <v>伯希和/PELLIOT</v>
          </cell>
          <cell r="F96" t="str">
            <v>服装-上衣-T恤</v>
          </cell>
          <cell r="G96" t="str">
            <v>一品多商</v>
          </cell>
          <cell r="H96" t="str">
            <v>品牌直发</v>
          </cell>
          <cell r="I96">
            <v>281</v>
          </cell>
        </row>
        <row r="97">
          <cell r="D97">
            <v>105301056</v>
          </cell>
          <cell r="E97" t="str">
            <v>伯希和/PELLIOT</v>
          </cell>
          <cell r="F97" t="str">
            <v>服装-外套-冲锋衣</v>
          </cell>
          <cell r="G97" t="str">
            <v>一品多商</v>
          </cell>
          <cell r="H97" t="str">
            <v>品牌直发</v>
          </cell>
          <cell r="I97">
            <v>962</v>
          </cell>
        </row>
        <row r="98">
          <cell r="D98">
            <v>1124301070</v>
          </cell>
          <cell r="E98" t="str">
            <v>伯希和/PELLIOT</v>
          </cell>
          <cell r="F98" t="str">
            <v>服装-外套-冲锋衣</v>
          </cell>
          <cell r="G98" t="str">
            <v>一品多商</v>
          </cell>
          <cell r="H98" t="str">
            <v>品牌直发</v>
          </cell>
          <cell r="I98">
            <v>814</v>
          </cell>
        </row>
        <row r="99">
          <cell r="D99">
            <v>115214007</v>
          </cell>
          <cell r="E99" t="str">
            <v>伯希和/PELLIOT</v>
          </cell>
          <cell r="F99" t="str">
            <v>服装-短裤-休闲短裤</v>
          </cell>
          <cell r="G99" t="str">
            <v>一品一商</v>
          </cell>
          <cell r="H99" t="str">
            <v>品牌直发</v>
          </cell>
          <cell r="I99">
            <v>332</v>
          </cell>
        </row>
        <row r="100">
          <cell r="D100">
            <v>115212003</v>
          </cell>
          <cell r="E100" t="str">
            <v>伯希和/PELLIOT</v>
          </cell>
          <cell r="F100" t="str">
            <v>服装-外套-防晒服</v>
          </cell>
          <cell r="G100" t="str">
            <v>一品多商</v>
          </cell>
          <cell r="H100" t="str">
            <v>品牌直发</v>
          </cell>
          <cell r="I100">
            <v>218</v>
          </cell>
        </row>
        <row r="101">
          <cell r="D101">
            <v>105025008</v>
          </cell>
          <cell r="E101" t="str">
            <v>伯希和/PELLIOT</v>
          </cell>
          <cell r="F101" t="str">
            <v>箱包-包袋-户外包</v>
          </cell>
          <cell r="G101" t="str">
            <v>一品多商</v>
          </cell>
          <cell r="H101" t="str">
            <v>品牌直发</v>
          </cell>
          <cell r="I101">
            <v>332</v>
          </cell>
        </row>
        <row r="102">
          <cell r="D102">
            <v>115215001</v>
          </cell>
          <cell r="E102" t="str">
            <v>伯希和/PELLIOT</v>
          </cell>
          <cell r="F102" t="str">
            <v>服装-上衣-T恤</v>
          </cell>
          <cell r="G102" t="str">
            <v>一品多商</v>
          </cell>
          <cell r="H102" t="str">
            <v>品牌直发</v>
          </cell>
          <cell r="I102">
            <v>199</v>
          </cell>
        </row>
        <row r="103">
          <cell r="D103">
            <v>135101022</v>
          </cell>
          <cell r="E103" t="str">
            <v>伯希和/PELLIOT</v>
          </cell>
          <cell r="F103" t="str">
            <v>童装-儿童上装-冲锋衣</v>
          </cell>
          <cell r="G103" t="str">
            <v>一品一商</v>
          </cell>
          <cell r="H103" t="str">
            <v>品牌直发</v>
          </cell>
          <cell r="I103">
            <v>327</v>
          </cell>
        </row>
        <row r="104">
          <cell r="D104">
            <v>115119035</v>
          </cell>
          <cell r="E104" t="str">
            <v>伯希和/PELLIOT</v>
          </cell>
          <cell r="F104" t="str">
            <v>鞋-运动鞋-登山鞋/徒步鞋</v>
          </cell>
          <cell r="G104" t="str">
            <v>一品多商</v>
          </cell>
          <cell r="H104" t="str">
            <v>品牌直发</v>
          </cell>
          <cell r="I104">
            <v>453</v>
          </cell>
        </row>
        <row r="105">
          <cell r="D105">
            <v>135101017</v>
          </cell>
          <cell r="E105" t="str">
            <v>伯希和/PELLIOT</v>
          </cell>
          <cell r="F105" t="str">
            <v>童装-儿童上装-冲锋衣</v>
          </cell>
          <cell r="G105" t="str">
            <v>一品多商</v>
          </cell>
          <cell r="H105" t="str">
            <v>品牌直发</v>
          </cell>
          <cell r="I105">
            <v>537</v>
          </cell>
        </row>
        <row r="106">
          <cell r="D106">
            <v>125301055</v>
          </cell>
          <cell r="E106" t="str">
            <v>伯希和/PELLIOT</v>
          </cell>
          <cell r="F106" t="str">
            <v>女装-外套-冲锋衣</v>
          </cell>
          <cell r="G106" t="str">
            <v>一品多商</v>
          </cell>
          <cell r="H106" t="str">
            <v>品牌直发</v>
          </cell>
          <cell r="I106">
            <v>578</v>
          </cell>
        </row>
        <row r="107">
          <cell r="D107">
            <v>115119025</v>
          </cell>
          <cell r="E107" t="str">
            <v>伯希和/PELLIOT</v>
          </cell>
          <cell r="F107" t="str">
            <v>鞋-运动鞋-越野跑鞋</v>
          </cell>
          <cell r="G107" t="str">
            <v>一品多商</v>
          </cell>
          <cell r="H107" t="str">
            <v>品牌直发</v>
          </cell>
          <cell r="I107">
            <v>315</v>
          </cell>
        </row>
        <row r="108">
          <cell r="D108" t="str">
            <v>12340164-2025</v>
          </cell>
          <cell r="E108" t="str">
            <v>伯希和/PELLIOT</v>
          </cell>
          <cell r="F108" t="str">
            <v>服装-外套-冲锋衣</v>
          </cell>
          <cell r="G108" t="str">
            <v>一品多商</v>
          </cell>
          <cell r="H108" t="str">
            <v>品牌直发</v>
          </cell>
          <cell r="I108">
            <v>681</v>
          </cell>
        </row>
        <row r="109">
          <cell r="D109">
            <v>125151010</v>
          </cell>
          <cell r="E109" t="str">
            <v>伯希和/PELLIOT</v>
          </cell>
          <cell r="F109" t="str">
            <v>女装-外套-夹克</v>
          </cell>
          <cell r="G109" t="str">
            <v>一品一商</v>
          </cell>
          <cell r="H109" t="str">
            <v>品牌直发</v>
          </cell>
          <cell r="I109">
            <v>372</v>
          </cell>
        </row>
        <row r="110">
          <cell r="D110">
            <v>134301043</v>
          </cell>
          <cell r="E110" t="str">
            <v>伯希和/PELLIOT</v>
          </cell>
          <cell r="F110" t="str">
            <v>童装-儿童上装-冲锋衣</v>
          </cell>
          <cell r="G110" t="str">
            <v>一品一商</v>
          </cell>
          <cell r="H110" t="str">
            <v>品牌直发</v>
          </cell>
          <cell r="I110">
            <v>372</v>
          </cell>
        </row>
        <row r="111">
          <cell r="D111">
            <v>114301079</v>
          </cell>
          <cell r="E111" t="str">
            <v>伯希和/PELLIOT</v>
          </cell>
          <cell r="F111" t="str">
            <v>服装-外套-冲锋衣</v>
          </cell>
          <cell r="G111" t="str">
            <v>一品多商</v>
          </cell>
          <cell r="H111" t="str">
            <v>品牌直发</v>
          </cell>
          <cell r="I111">
            <v>977</v>
          </cell>
        </row>
        <row r="112">
          <cell r="D112">
            <v>124311234</v>
          </cell>
          <cell r="E112" t="str">
            <v>伯希和/PELLIOT</v>
          </cell>
          <cell r="F112" t="str">
            <v>女装-户外运动服-抓绒裤</v>
          </cell>
          <cell r="G112" t="str">
            <v>一品多商</v>
          </cell>
          <cell r="H112" t="str">
            <v>品牌直发</v>
          </cell>
          <cell r="I112">
            <v>272</v>
          </cell>
        </row>
        <row r="113">
          <cell r="D113">
            <v>114401041</v>
          </cell>
          <cell r="E113" t="str">
            <v>伯希和/PELLIOT</v>
          </cell>
          <cell r="F113" t="str">
            <v>服装-外套-冲锋衣</v>
          </cell>
          <cell r="G113" t="str">
            <v>一品多商</v>
          </cell>
          <cell r="H113" t="str">
            <v>品牌直发</v>
          </cell>
          <cell r="I113">
            <v>910</v>
          </cell>
        </row>
        <row r="114">
          <cell r="D114" t="str">
            <v>11421551-SG51</v>
          </cell>
          <cell r="E114" t="str">
            <v>伯希和/PELLIOT</v>
          </cell>
          <cell r="F114" t="str">
            <v>服装-上衣-Polo衫</v>
          </cell>
          <cell r="G114" t="str">
            <v>一品一商</v>
          </cell>
          <cell r="H114" t="str">
            <v>品牌直发</v>
          </cell>
          <cell r="I114">
            <v>177</v>
          </cell>
        </row>
        <row r="115">
          <cell r="D115">
            <v>124401010</v>
          </cell>
          <cell r="E115" t="str">
            <v>伯希和/PELLIOT</v>
          </cell>
          <cell r="F115" t="str">
            <v>女装-外套-冲锋衣</v>
          </cell>
          <cell r="G115" t="str">
            <v>一品一商</v>
          </cell>
          <cell r="H115" t="str">
            <v>品牌直发</v>
          </cell>
          <cell r="I115">
            <v>1272</v>
          </cell>
        </row>
        <row r="116">
          <cell r="D116">
            <v>114307161</v>
          </cell>
          <cell r="E116" t="str">
            <v>伯希和/PELLIOT</v>
          </cell>
          <cell r="F116" t="str">
            <v>服装-长裤-软壳裤</v>
          </cell>
          <cell r="G116" t="str">
            <v>一品一商</v>
          </cell>
          <cell r="H116" t="str">
            <v>品牌直发</v>
          </cell>
          <cell r="I116">
            <v>347</v>
          </cell>
        </row>
        <row r="117">
          <cell r="D117" t="str">
            <v>11340105-新加色</v>
          </cell>
          <cell r="E117" t="str">
            <v>伯希和/PELLIOT</v>
          </cell>
          <cell r="F117" t="str">
            <v>服装-外套-冲锋衣</v>
          </cell>
          <cell r="G117" t="str">
            <v>一品多商</v>
          </cell>
          <cell r="H117" t="str">
            <v>品牌直发</v>
          </cell>
          <cell r="I117">
            <v>478</v>
          </cell>
        </row>
        <row r="118">
          <cell r="D118">
            <v>16402511</v>
          </cell>
          <cell r="E118" t="str">
            <v>伯希和/PELLIOT</v>
          </cell>
          <cell r="F118" t="str">
            <v>箱包-包袋-户外包</v>
          </cell>
          <cell r="G118" t="str">
            <v>一品多商</v>
          </cell>
          <cell r="H118" t="str">
            <v>品牌直发</v>
          </cell>
          <cell r="I118">
            <v>232</v>
          </cell>
        </row>
        <row r="119">
          <cell r="D119">
            <v>114306147</v>
          </cell>
          <cell r="E119" t="str">
            <v>伯希和/PELLIOT</v>
          </cell>
          <cell r="F119" t="str">
            <v>服装-外套-软壳衣</v>
          </cell>
          <cell r="G119" t="str">
            <v>一品多商</v>
          </cell>
          <cell r="H119" t="str">
            <v>品牌直发</v>
          </cell>
          <cell r="I119">
            <v>472</v>
          </cell>
        </row>
        <row r="120">
          <cell r="D120">
            <v>164334403</v>
          </cell>
          <cell r="E120" t="str">
            <v>伯希和/PELLIOT</v>
          </cell>
          <cell r="F120" t="str">
            <v>流行饰品/眼镜/服配-帽子-绒线帽</v>
          </cell>
          <cell r="G120" t="str">
            <v>一品一商</v>
          </cell>
          <cell r="H120" t="str">
            <v>品牌直发</v>
          </cell>
          <cell r="I120">
            <v>67</v>
          </cell>
        </row>
        <row r="121">
          <cell r="D121">
            <v>114310203</v>
          </cell>
          <cell r="E121" t="str">
            <v>伯希和/PELLIOT</v>
          </cell>
          <cell r="F121" t="str">
            <v>服装-户外运动服-抓绒衣</v>
          </cell>
          <cell r="G121" t="str">
            <v>一品多商</v>
          </cell>
          <cell r="H121" t="str">
            <v>品牌直发</v>
          </cell>
          <cell r="I121">
            <v>312</v>
          </cell>
        </row>
        <row r="122">
          <cell r="D122">
            <v>164026422</v>
          </cell>
          <cell r="E122" t="str">
            <v>伯希和/PELLIOT</v>
          </cell>
          <cell r="F122" t="str">
            <v>箱包-包袋-户外包</v>
          </cell>
          <cell r="G122" t="str">
            <v>一品一商</v>
          </cell>
          <cell r="H122" t="str">
            <v>品牌直发</v>
          </cell>
          <cell r="I122">
            <v>74</v>
          </cell>
        </row>
        <row r="123">
          <cell r="D123">
            <v>114301037</v>
          </cell>
          <cell r="E123" t="str">
            <v>伯希和/PELLIOT</v>
          </cell>
          <cell r="F123" t="str">
            <v>服装-外套-冲锋衣</v>
          </cell>
          <cell r="G123" t="str">
            <v>一品多商</v>
          </cell>
          <cell r="H123" t="str">
            <v>品牌直发</v>
          </cell>
          <cell r="I123">
            <v>629</v>
          </cell>
        </row>
        <row r="124">
          <cell r="D124">
            <v>114301087</v>
          </cell>
          <cell r="E124" t="str">
            <v>伯希和/PELLIOT</v>
          </cell>
          <cell r="F124" t="str">
            <v>服装-外套-冲锋衣</v>
          </cell>
          <cell r="G124" t="str">
            <v>一品多商</v>
          </cell>
          <cell r="H124" t="str">
            <v>品牌直发</v>
          </cell>
          <cell r="I124">
            <v>2178</v>
          </cell>
        </row>
        <row r="125">
          <cell r="D125">
            <v>16702618</v>
          </cell>
          <cell r="E125" t="str">
            <v>伯希和/PELLIOT</v>
          </cell>
          <cell r="F125" t="str">
            <v>箱包-包袋-出行收纳包</v>
          </cell>
          <cell r="G125" t="str">
            <v>一品一商</v>
          </cell>
          <cell r="H125" t="str">
            <v>品牌直发</v>
          </cell>
          <cell r="I125">
            <v>49</v>
          </cell>
        </row>
        <row r="126">
          <cell r="D126">
            <v>114301001</v>
          </cell>
          <cell r="E126" t="str">
            <v>伯希和/PELLIOT</v>
          </cell>
          <cell r="F126" t="str">
            <v>服装-外套-冲锋衣</v>
          </cell>
          <cell r="G126" t="str">
            <v>一品多商</v>
          </cell>
          <cell r="H126" t="str">
            <v>品牌直发</v>
          </cell>
          <cell r="I126">
            <v>489</v>
          </cell>
        </row>
        <row r="127">
          <cell r="D127">
            <v>124301024</v>
          </cell>
          <cell r="E127" t="str">
            <v>伯希和/PELLIOT</v>
          </cell>
          <cell r="F127" t="str">
            <v>女装-外套-冲锋衣</v>
          </cell>
          <cell r="G127" t="str">
            <v>一品多商</v>
          </cell>
          <cell r="H127" t="str">
            <v>品牌直发</v>
          </cell>
          <cell r="I127">
            <v>772</v>
          </cell>
        </row>
        <row r="128">
          <cell r="D128">
            <v>165025069</v>
          </cell>
          <cell r="E128" t="str">
            <v>伯希和/PELLIOT</v>
          </cell>
          <cell r="F128" t="str">
            <v>箱包-包袋-户外包</v>
          </cell>
          <cell r="G128" t="str">
            <v>一品一商</v>
          </cell>
          <cell r="H128" t="str">
            <v>品牌直发</v>
          </cell>
          <cell r="I128">
            <v>84</v>
          </cell>
        </row>
        <row r="129">
          <cell r="D129">
            <v>16402501</v>
          </cell>
          <cell r="E129" t="str">
            <v>伯希和/PELLIOT</v>
          </cell>
          <cell r="F129" t="str">
            <v>箱包-包袋-户外包</v>
          </cell>
          <cell r="G129" t="str">
            <v>一品一商</v>
          </cell>
          <cell r="H129" t="str">
            <v>品牌直发</v>
          </cell>
          <cell r="I129">
            <v>149</v>
          </cell>
        </row>
        <row r="130">
          <cell r="D130">
            <v>11411909</v>
          </cell>
          <cell r="E130" t="str">
            <v>伯希和/PELLIOT</v>
          </cell>
          <cell r="F130" t="str">
            <v>鞋-运动鞋-登山鞋/徒步鞋</v>
          </cell>
          <cell r="G130" t="str">
            <v>一品多商</v>
          </cell>
          <cell r="H130" t="str">
            <v>品牌直发</v>
          </cell>
          <cell r="I130">
            <v>345</v>
          </cell>
        </row>
        <row r="131">
          <cell r="D131">
            <v>11411907</v>
          </cell>
          <cell r="E131" t="str">
            <v>伯希和/PELLIOT</v>
          </cell>
          <cell r="F131" t="str">
            <v>鞋-运动鞋-登山鞋/徒步鞋</v>
          </cell>
          <cell r="G131" t="str">
            <v>一品一商</v>
          </cell>
          <cell r="H131" t="str">
            <v>品牌直发</v>
          </cell>
          <cell r="I131">
            <v>318</v>
          </cell>
        </row>
        <row r="132">
          <cell r="D132">
            <v>12421252</v>
          </cell>
          <cell r="E132" t="str">
            <v>伯希和/PELLIOT</v>
          </cell>
          <cell r="F132" t="str">
            <v>女装-外套-防晒服</v>
          </cell>
          <cell r="G132" t="str">
            <v>一品多商</v>
          </cell>
          <cell r="H132" t="str">
            <v>品牌直发</v>
          </cell>
          <cell r="I132">
            <v>0</v>
          </cell>
        </row>
        <row r="133">
          <cell r="D133">
            <v>12421230</v>
          </cell>
          <cell r="E133" t="str">
            <v>伯希和/PELLIOT</v>
          </cell>
          <cell r="F133" t="str">
            <v>女装-外套-防晒服</v>
          </cell>
          <cell r="G133" t="str">
            <v>一品多商</v>
          </cell>
          <cell r="H133" t="str">
            <v>品牌直发</v>
          </cell>
          <cell r="I133">
            <v>0</v>
          </cell>
        </row>
        <row r="134">
          <cell r="D134">
            <v>12421212</v>
          </cell>
          <cell r="E134" t="str">
            <v>伯希和/PELLIOT</v>
          </cell>
          <cell r="F134" t="str">
            <v>女装-外套-防晒服</v>
          </cell>
          <cell r="G134" t="str">
            <v>一品多商</v>
          </cell>
          <cell r="H134" t="str">
            <v>品牌直发</v>
          </cell>
          <cell r="I134">
            <v>0</v>
          </cell>
        </row>
        <row r="135">
          <cell r="D135">
            <v>11421411</v>
          </cell>
          <cell r="E135" t="str">
            <v>伯希和/PELLIOT</v>
          </cell>
          <cell r="F135" t="str">
            <v>服装-户外运动服-速干裤</v>
          </cell>
          <cell r="G135" t="str">
            <v>一品多商</v>
          </cell>
          <cell r="H135" t="str">
            <v>品牌直发</v>
          </cell>
          <cell r="I135">
            <v>0</v>
          </cell>
        </row>
        <row r="136">
          <cell r="D136">
            <v>11421409</v>
          </cell>
          <cell r="E136" t="str">
            <v>伯希和/PELLIOT</v>
          </cell>
          <cell r="F136" t="str">
            <v>服装-户外运动服-速干裤</v>
          </cell>
          <cell r="G136" t="str">
            <v>一品多商</v>
          </cell>
          <cell r="H136" t="str">
            <v>品牌直发</v>
          </cell>
          <cell r="I136">
            <v>0</v>
          </cell>
        </row>
        <row r="137">
          <cell r="D137">
            <v>11411405</v>
          </cell>
          <cell r="E137" t="str">
            <v>伯希和/PELLIOT</v>
          </cell>
          <cell r="F137" t="str">
            <v>服装-长裤-软壳裤</v>
          </cell>
          <cell r="G137" t="str">
            <v>一品一商</v>
          </cell>
          <cell r="H137" t="str">
            <v>品牌直发</v>
          </cell>
          <cell r="I137">
            <v>0</v>
          </cell>
        </row>
        <row r="138">
          <cell r="D138">
            <v>11421211</v>
          </cell>
          <cell r="E138" t="str">
            <v>伯希和/PELLIOT</v>
          </cell>
          <cell r="F138" t="str">
            <v>服装-外套-防晒服</v>
          </cell>
          <cell r="G138" t="str">
            <v>一品多商</v>
          </cell>
          <cell r="H138" t="str">
            <v>品牌直发</v>
          </cell>
          <cell r="I138">
            <v>0</v>
          </cell>
        </row>
        <row r="139">
          <cell r="D139">
            <v>12421538</v>
          </cell>
          <cell r="E139" t="str">
            <v>伯希和/PELLIOT</v>
          </cell>
          <cell r="F139" t="str">
            <v>女装-户外运动服-跑步T恤</v>
          </cell>
          <cell r="G139" t="str">
            <v>一品一商</v>
          </cell>
          <cell r="H139" t="str">
            <v>品牌直发</v>
          </cell>
          <cell r="I139">
            <v>0</v>
          </cell>
        </row>
        <row r="140">
          <cell r="D140" t="str">
            <v>112340164-271037</v>
          </cell>
          <cell r="E140" t="str">
            <v>伯希和/PELLIOT</v>
          </cell>
          <cell r="F140" t="str">
            <v>服装-外套-冲锋衣</v>
          </cell>
          <cell r="G140" t="str">
            <v>一品多商</v>
          </cell>
          <cell r="H140" t="str">
            <v>品牌直发</v>
          </cell>
          <cell r="I140">
            <v>0</v>
          </cell>
        </row>
        <row r="141">
          <cell r="D141">
            <v>16423433</v>
          </cell>
          <cell r="E141" t="str">
            <v>伯希和/PELLIOT</v>
          </cell>
          <cell r="F141" t="str">
            <v>流行饰品/眼镜/服配-防晒服配-防晒帽</v>
          </cell>
          <cell r="G141" t="str">
            <v>一品一商</v>
          </cell>
          <cell r="H141" t="str">
            <v>品牌直发</v>
          </cell>
          <cell r="I141">
            <v>0</v>
          </cell>
        </row>
        <row r="142">
          <cell r="D142">
            <v>11421519</v>
          </cell>
          <cell r="E142" t="str">
            <v>伯希和/PELLIOT</v>
          </cell>
          <cell r="F142" t="str">
            <v>服装-上衣-Polo衫</v>
          </cell>
          <cell r="G142" t="str">
            <v>一品一商</v>
          </cell>
          <cell r="H142" t="str">
            <v>品牌直发</v>
          </cell>
          <cell r="I142">
            <v>0</v>
          </cell>
        </row>
        <row r="143">
          <cell r="D143">
            <v>11421503</v>
          </cell>
          <cell r="E143" t="str">
            <v>伯希和/PELLIOT</v>
          </cell>
          <cell r="F143" t="str">
            <v>服装-上衣-Polo衫</v>
          </cell>
          <cell r="G143" t="str">
            <v>一品多商</v>
          </cell>
          <cell r="H143" t="str">
            <v>品牌直发</v>
          </cell>
          <cell r="I143">
            <v>0</v>
          </cell>
        </row>
        <row r="144">
          <cell r="D144">
            <v>11421215</v>
          </cell>
          <cell r="E144" t="str">
            <v>伯希和/PELLIOT</v>
          </cell>
          <cell r="F144" t="str">
            <v>服装-外套-防晒服</v>
          </cell>
          <cell r="G144" t="str">
            <v>一品多商</v>
          </cell>
          <cell r="H144" t="str">
            <v>品牌直发</v>
          </cell>
          <cell r="I144">
            <v>0</v>
          </cell>
        </row>
        <row r="145">
          <cell r="D145">
            <v>12421226</v>
          </cell>
          <cell r="E145" t="str">
            <v>伯希和/PELLIOT</v>
          </cell>
          <cell r="F145" t="str">
            <v>女装-外套-防晒服</v>
          </cell>
          <cell r="G145" t="str">
            <v>一品一商</v>
          </cell>
          <cell r="H145" t="str">
            <v>品牌直发</v>
          </cell>
          <cell r="I145">
            <v>0</v>
          </cell>
        </row>
        <row r="146">
          <cell r="D146">
            <v>12410306</v>
          </cell>
          <cell r="E146" t="str">
            <v>伯希和/PELLIOT</v>
          </cell>
          <cell r="F146" t="str">
            <v>女装-户外运动服-滑雪衣</v>
          </cell>
          <cell r="G146" t="str">
            <v>一品多商</v>
          </cell>
          <cell r="H146" t="str">
            <v>品牌直发</v>
          </cell>
          <cell r="I146">
            <v>0</v>
          </cell>
        </row>
        <row r="147">
          <cell r="D147">
            <v>11340157</v>
          </cell>
          <cell r="E147" t="str">
            <v>伯希和/PELLIOT</v>
          </cell>
          <cell r="F147" t="str">
            <v>服装-外套-冲锋衣</v>
          </cell>
          <cell r="G147" t="str">
            <v>一品一商</v>
          </cell>
          <cell r="H147" t="str">
            <v>品牌直发</v>
          </cell>
          <cell r="I147">
            <v>0</v>
          </cell>
        </row>
        <row r="148">
          <cell r="D148">
            <v>12421502</v>
          </cell>
          <cell r="E148" t="str">
            <v>伯希和/PELLIOT</v>
          </cell>
          <cell r="F148" t="str">
            <v>女装-户外运动服-速干衣</v>
          </cell>
          <cell r="G148" t="str">
            <v>一品多商</v>
          </cell>
          <cell r="H148" t="str">
            <v>品牌直发</v>
          </cell>
          <cell r="I148">
            <v>0</v>
          </cell>
        </row>
        <row r="149">
          <cell r="D149">
            <v>11421501</v>
          </cell>
          <cell r="E149" t="str">
            <v>伯希和/PELLIOT</v>
          </cell>
          <cell r="F149" t="str">
            <v>服装-上衣-T恤</v>
          </cell>
          <cell r="G149" t="str">
            <v>一品多商</v>
          </cell>
          <cell r="H149" t="str">
            <v>品牌直发</v>
          </cell>
          <cell r="I149">
            <v>0</v>
          </cell>
        </row>
        <row r="150">
          <cell r="D150">
            <v>16423408</v>
          </cell>
          <cell r="E150" t="str">
            <v>伯希和/PELLIOT</v>
          </cell>
          <cell r="F150" t="str">
            <v>流行饰品/眼镜/服配-防晒服配-防晒帽</v>
          </cell>
          <cell r="G150" t="str">
            <v>一品一商</v>
          </cell>
          <cell r="H150" t="str">
            <v>品牌直发</v>
          </cell>
          <cell r="I150">
            <v>0</v>
          </cell>
        </row>
        <row r="151">
          <cell r="D151">
            <v>116423401</v>
          </cell>
          <cell r="E151" t="str">
            <v>伯希和/PELLIOT</v>
          </cell>
          <cell r="F151" t="str">
            <v>流行饰品/眼镜/服配-帽子-渔夫帽</v>
          </cell>
          <cell r="G151" t="str">
            <v>一品一商</v>
          </cell>
          <cell r="H151" t="str">
            <v>品牌直发</v>
          </cell>
          <cell r="I151">
            <v>0</v>
          </cell>
        </row>
        <row r="152">
          <cell r="D152">
            <v>16423407</v>
          </cell>
          <cell r="E152" t="str">
            <v>伯希和/PELLIOT</v>
          </cell>
          <cell r="F152" t="str">
            <v>流行饰品/眼镜/服配-防晒服配-防晒帽</v>
          </cell>
          <cell r="G152" t="str">
            <v>一品一商</v>
          </cell>
          <cell r="H152" t="str">
            <v>品牌直发</v>
          </cell>
          <cell r="I152">
            <v>0</v>
          </cell>
        </row>
        <row r="153">
          <cell r="D153">
            <v>164332401</v>
          </cell>
          <cell r="E153" t="str">
            <v>伯希和/PELLIOT</v>
          </cell>
          <cell r="F153" t="str">
            <v>流行饰品/眼镜/服配-围巾-绒线围巾</v>
          </cell>
          <cell r="G153" t="str">
            <v>一品一商</v>
          </cell>
          <cell r="H153" t="str">
            <v>品牌直发</v>
          </cell>
          <cell r="I153">
            <v>0</v>
          </cell>
        </row>
        <row r="154">
          <cell r="D154">
            <v>16424601</v>
          </cell>
          <cell r="E154" t="str">
            <v>伯希和/PELLIOT</v>
          </cell>
          <cell r="F154" t="str">
            <v>流行饰品/眼镜/服配-防晒服配-防晒袖</v>
          </cell>
          <cell r="G154" t="str">
            <v>一品一商</v>
          </cell>
          <cell r="H154" t="str">
            <v>品牌直发</v>
          </cell>
          <cell r="I154">
            <v>0</v>
          </cell>
        </row>
        <row r="155">
          <cell r="D155">
            <v>11410305</v>
          </cell>
          <cell r="E155" t="str">
            <v>伯希和/PELLIOT</v>
          </cell>
          <cell r="F155" t="str">
            <v>服装-户外运动服-滑雪衣</v>
          </cell>
          <cell r="G155" t="str">
            <v>一品多商</v>
          </cell>
          <cell r="H155" t="str">
            <v>品牌直发</v>
          </cell>
          <cell r="I155">
            <v>0</v>
          </cell>
        </row>
        <row r="156">
          <cell r="D156">
            <v>116123408</v>
          </cell>
          <cell r="E156" t="str">
            <v>伯希和/PELLIOT</v>
          </cell>
          <cell r="F156" t="str">
            <v>流行饰品/眼镜/服配-防晒服配-防晒帽</v>
          </cell>
          <cell r="G156" t="str">
            <v>一品一商</v>
          </cell>
          <cell r="H156" t="str">
            <v>品牌直发</v>
          </cell>
          <cell r="I156">
            <v>0</v>
          </cell>
        </row>
        <row r="157">
          <cell r="D157">
            <v>16223401</v>
          </cell>
          <cell r="E157" t="str">
            <v>伯希和/PELLIOT</v>
          </cell>
          <cell r="F157" t="str">
            <v>流行饰品/眼镜/服配-防晒服配-防晒帽</v>
          </cell>
          <cell r="G157" t="str">
            <v>一品一商</v>
          </cell>
          <cell r="H157" t="str">
            <v>品牌直发</v>
          </cell>
          <cell r="I157">
            <v>0</v>
          </cell>
        </row>
        <row r="158">
          <cell r="D158">
            <v>116223402</v>
          </cell>
          <cell r="E158" t="str">
            <v>伯希和/PELLIOT</v>
          </cell>
          <cell r="F158" t="str">
            <v>流行饰品/眼镜/服配-防晒服配-防晒帽</v>
          </cell>
          <cell r="G158" t="str">
            <v>一品一商</v>
          </cell>
          <cell r="H158" t="str">
            <v>品牌直发</v>
          </cell>
          <cell r="I158">
            <v>0</v>
          </cell>
        </row>
        <row r="159">
          <cell r="D159">
            <v>16225604</v>
          </cell>
          <cell r="E159" t="str">
            <v>伯希和/PELLIOT</v>
          </cell>
          <cell r="F159" t="str">
            <v>流行饰品/眼镜/服配-防晒服配-防晒面罩</v>
          </cell>
          <cell r="G159" t="str">
            <v>一品一商</v>
          </cell>
          <cell r="H159" t="str">
            <v>品牌直发</v>
          </cell>
          <cell r="I159">
            <v>0</v>
          </cell>
        </row>
        <row r="160">
          <cell r="D160">
            <v>16423401</v>
          </cell>
          <cell r="E160" t="str">
            <v>伯希和/PELLIOT</v>
          </cell>
          <cell r="F160" t="str">
            <v>流行饰品/眼镜/服配-帽子-渔夫帽</v>
          </cell>
          <cell r="G160" t="str">
            <v>一品一商</v>
          </cell>
          <cell r="H160" t="str">
            <v>品牌直发</v>
          </cell>
          <cell r="I160">
            <v>0</v>
          </cell>
        </row>
        <row r="161">
          <cell r="D161">
            <v>16423406</v>
          </cell>
          <cell r="E161" t="str">
            <v>伯希和/PELLIOT</v>
          </cell>
          <cell r="F161" t="str">
            <v>流行饰品/眼镜/服配-防晒服配-防晒帽</v>
          </cell>
          <cell r="G161" t="str">
            <v>一品一商</v>
          </cell>
          <cell r="H161" t="str">
            <v>品牌直发</v>
          </cell>
          <cell r="I161">
            <v>0</v>
          </cell>
        </row>
        <row r="162">
          <cell r="D162">
            <v>16425601</v>
          </cell>
          <cell r="E162" t="str">
            <v>伯希和/PELLIOT</v>
          </cell>
          <cell r="F162" t="str">
            <v>流行饰品/眼镜/服配-防晒服配-防晒面罩</v>
          </cell>
          <cell r="G162" t="str">
            <v>一品一商</v>
          </cell>
          <cell r="H162" t="str">
            <v>品牌直发</v>
          </cell>
          <cell r="I162">
            <v>0</v>
          </cell>
        </row>
        <row r="163">
          <cell r="D163">
            <v>12421214</v>
          </cell>
          <cell r="E163" t="str">
            <v>伯希和/PELLIOT</v>
          </cell>
          <cell r="F163" t="str">
            <v>女装-外套-防晒服</v>
          </cell>
          <cell r="G163" t="str">
            <v>一品一商</v>
          </cell>
          <cell r="H163" t="str">
            <v>品牌直发</v>
          </cell>
          <cell r="I163">
            <v>0</v>
          </cell>
        </row>
        <row r="164">
          <cell r="D164">
            <v>16023203</v>
          </cell>
          <cell r="E164" t="str">
            <v>伯希和/PELLIOT</v>
          </cell>
          <cell r="F164" t="str">
            <v>流行饰品/眼镜/服配-防晒服配-防晒脖套</v>
          </cell>
          <cell r="G164" t="str">
            <v>一品一商</v>
          </cell>
          <cell r="H164" t="str">
            <v>品牌直发</v>
          </cell>
          <cell r="I164">
            <v>0</v>
          </cell>
        </row>
        <row r="165">
          <cell r="D165">
            <v>16943407</v>
          </cell>
          <cell r="E165" t="str">
            <v>伯希和/PELLIOT</v>
          </cell>
          <cell r="F165" t="str">
            <v>流行饰品/眼镜/服配-帽子-绒线帽</v>
          </cell>
          <cell r="G165" t="str">
            <v>一品一商</v>
          </cell>
          <cell r="H165" t="str">
            <v>品牌直发</v>
          </cell>
          <cell r="I165">
            <v>0</v>
          </cell>
        </row>
        <row r="166">
          <cell r="D166">
            <v>11421425</v>
          </cell>
          <cell r="E166" t="str">
            <v>伯希和/PELLIOT</v>
          </cell>
          <cell r="F166" t="str">
            <v>服装-长裤-针织运动裤</v>
          </cell>
          <cell r="G166" t="str">
            <v>一品多商</v>
          </cell>
          <cell r="H166" t="str">
            <v>品牌直发</v>
          </cell>
          <cell r="I166">
            <v>0</v>
          </cell>
        </row>
        <row r="167">
          <cell r="D167">
            <v>16903501</v>
          </cell>
          <cell r="E167" t="str">
            <v>伯希和/PELLIOT</v>
          </cell>
          <cell r="F167" t="str">
            <v>内衣-袜子-短袜</v>
          </cell>
          <cell r="G167" t="str">
            <v>一品一商</v>
          </cell>
          <cell r="H167" t="str">
            <v>品牌直发</v>
          </cell>
          <cell r="I167">
            <v>0</v>
          </cell>
        </row>
        <row r="168">
          <cell r="D168">
            <v>12421426</v>
          </cell>
          <cell r="E168" t="str">
            <v>伯希和/PELLIOT</v>
          </cell>
          <cell r="F168" t="str">
            <v>女装-户外运动服-速干裤</v>
          </cell>
          <cell r="G168" t="str">
            <v>一品多商</v>
          </cell>
          <cell r="H168" t="str">
            <v>品牌直发</v>
          </cell>
          <cell r="I168">
            <v>0</v>
          </cell>
        </row>
        <row r="169">
          <cell r="D169">
            <v>16023101</v>
          </cell>
          <cell r="E169" t="str">
            <v>伯希和/PELLIOT</v>
          </cell>
          <cell r="F169" t="str">
            <v>流行饰品/眼镜/服配-防晒服配-防晒手套</v>
          </cell>
          <cell r="G169" t="str">
            <v>一品一商</v>
          </cell>
          <cell r="H169" t="str">
            <v>品牌直发</v>
          </cell>
          <cell r="I169">
            <v>0</v>
          </cell>
        </row>
        <row r="170">
          <cell r="D170">
            <v>12421412</v>
          </cell>
          <cell r="E170" t="str">
            <v>伯希和/PELLIOT</v>
          </cell>
          <cell r="F170" t="str">
            <v>女装-户外运动服-速干裤</v>
          </cell>
          <cell r="G170" t="str">
            <v>一品多商</v>
          </cell>
          <cell r="H170" t="str">
            <v>品牌直发</v>
          </cell>
          <cell r="I170">
            <v>0</v>
          </cell>
        </row>
        <row r="171">
          <cell r="D171">
            <v>11331905</v>
          </cell>
          <cell r="E171" t="str">
            <v>伯希和/PELLIOT</v>
          </cell>
          <cell r="F171" t="str">
            <v>鞋-运动鞋-跑步鞋</v>
          </cell>
          <cell r="G171" t="str">
            <v>一品一商</v>
          </cell>
          <cell r="H171" t="str">
            <v>品牌直发</v>
          </cell>
          <cell r="I171">
            <v>0</v>
          </cell>
        </row>
        <row r="172">
          <cell r="D172">
            <v>16043429</v>
          </cell>
          <cell r="E172" t="str">
            <v>伯希和/PELLIOT</v>
          </cell>
          <cell r="F172" t="str">
            <v>流行饰品/眼镜/服配-帽子-绒线帽</v>
          </cell>
          <cell r="G172" t="str">
            <v>一品一商</v>
          </cell>
          <cell r="H172" t="str">
            <v>品牌直发</v>
          </cell>
          <cell r="I172">
            <v>0</v>
          </cell>
        </row>
        <row r="173">
          <cell r="D173">
            <v>16302836</v>
          </cell>
          <cell r="E173" t="str">
            <v>伯希和/PELLIOT</v>
          </cell>
          <cell r="F173" t="str">
            <v>户外装备-露营/野炊装备-户外充气床</v>
          </cell>
          <cell r="G173" t="str">
            <v>一品一商</v>
          </cell>
          <cell r="H173" t="str">
            <v>普通现货</v>
          </cell>
          <cell r="I173">
            <v>0</v>
          </cell>
        </row>
        <row r="174">
          <cell r="D174">
            <v>11325109</v>
          </cell>
          <cell r="E174" t="str">
            <v>伯希和/PELLIOT</v>
          </cell>
          <cell r="F174" t="str">
            <v>服装-外套-夹克</v>
          </cell>
          <cell r="G174" t="str">
            <v>一品一商</v>
          </cell>
          <cell r="H174" t="str">
            <v>品牌直发</v>
          </cell>
          <cell r="I174">
            <v>0</v>
          </cell>
        </row>
        <row r="175">
          <cell r="D175" t="str">
            <v>12331902-黑灰色</v>
          </cell>
          <cell r="E175" t="str">
            <v>伯希和/PELLIOT</v>
          </cell>
          <cell r="F175" t="str">
            <v>鞋-运动鞋-跑步鞋</v>
          </cell>
          <cell r="G175" t="str">
            <v>一品一商</v>
          </cell>
          <cell r="H175" t="str">
            <v>品牌直发</v>
          </cell>
          <cell r="I175">
            <v>0</v>
          </cell>
        </row>
        <row r="176">
          <cell r="D176" t="str">
            <v>12331902-浅卡其</v>
          </cell>
          <cell r="E176" t="str">
            <v>伯希和/PELLIOT</v>
          </cell>
          <cell r="F176" t="str">
            <v>鞋-运动鞋-跑步鞋</v>
          </cell>
          <cell r="G176" t="str">
            <v>一品多商</v>
          </cell>
          <cell r="H176" t="str">
            <v>品牌直发</v>
          </cell>
          <cell r="I176">
            <v>0</v>
          </cell>
        </row>
        <row r="177">
          <cell r="D177" t="str">
            <v>12331902-活力红</v>
          </cell>
          <cell r="E177" t="str">
            <v>伯希和/PELLIOT</v>
          </cell>
          <cell r="F177" t="str">
            <v>鞋-运动鞋-跑步鞋</v>
          </cell>
          <cell r="G177" t="str">
            <v>一品一商</v>
          </cell>
          <cell r="H177" t="str">
            <v>品牌直发</v>
          </cell>
          <cell r="I177">
            <v>0</v>
          </cell>
        </row>
        <row r="178">
          <cell r="D178">
            <v>12340820</v>
          </cell>
          <cell r="E178" t="str">
            <v>伯希和/PELLIOT</v>
          </cell>
          <cell r="F178" t="str">
            <v>服装-外套-羽绒服</v>
          </cell>
          <cell r="G178" t="str">
            <v>一品一商</v>
          </cell>
          <cell r="H178" t="str">
            <v>品牌直发</v>
          </cell>
          <cell r="I178">
            <v>0</v>
          </cell>
        </row>
        <row r="179">
          <cell r="D179">
            <v>12331028</v>
          </cell>
          <cell r="E179" t="str">
            <v>伯希和/PELLIOT</v>
          </cell>
          <cell r="F179" t="str">
            <v>服装-户外运动服-抓绒衣</v>
          </cell>
          <cell r="G179" t="str">
            <v>一品一商</v>
          </cell>
          <cell r="H179" t="str">
            <v>品牌直发</v>
          </cell>
          <cell r="I179">
            <v>0</v>
          </cell>
        </row>
        <row r="180">
          <cell r="D180">
            <v>12331032</v>
          </cell>
          <cell r="E180" t="str">
            <v>伯希和/PELLIOT</v>
          </cell>
          <cell r="F180" t="str">
            <v>服装-户外运动服-抓绒衣</v>
          </cell>
          <cell r="G180" t="str">
            <v>一品一商</v>
          </cell>
          <cell r="H180" t="str">
            <v>品牌直发</v>
          </cell>
          <cell r="I180">
            <v>0</v>
          </cell>
        </row>
        <row r="181">
          <cell r="D181">
            <v>12340806</v>
          </cell>
          <cell r="E181" t="str">
            <v>伯希和/PELLIOT</v>
          </cell>
          <cell r="F181" t="str">
            <v>女装-外套-羽绒服</v>
          </cell>
          <cell r="G181" t="str">
            <v>一品多商</v>
          </cell>
          <cell r="H181" t="str">
            <v>品牌直发</v>
          </cell>
          <cell r="I181">
            <v>0</v>
          </cell>
        </row>
        <row r="182">
          <cell r="D182">
            <v>12331030</v>
          </cell>
          <cell r="E182" t="str">
            <v>伯希和/PELLIOT</v>
          </cell>
          <cell r="F182" t="str">
            <v>服装-户外运动服-抓绒衣</v>
          </cell>
          <cell r="G182" t="str">
            <v>一品一商</v>
          </cell>
          <cell r="H182" t="str">
            <v>品牌直发</v>
          </cell>
          <cell r="I182">
            <v>0</v>
          </cell>
        </row>
        <row r="183">
          <cell r="D183">
            <v>11340805</v>
          </cell>
          <cell r="E183" t="str">
            <v>伯希和/PELLIOT</v>
          </cell>
          <cell r="F183" t="str">
            <v>服装-外套-羽绒服</v>
          </cell>
          <cell r="G183" t="str">
            <v>一品多商</v>
          </cell>
          <cell r="H183" t="str">
            <v>品牌直发</v>
          </cell>
          <cell r="I183">
            <v>0</v>
          </cell>
        </row>
        <row r="184">
          <cell r="D184">
            <v>11331021</v>
          </cell>
          <cell r="E184" t="str">
            <v>伯希和/PELLIOT</v>
          </cell>
          <cell r="F184" t="str">
            <v>服装-户外运动服-抓绒衣</v>
          </cell>
          <cell r="G184" t="str">
            <v>一品一商</v>
          </cell>
          <cell r="H184" t="str">
            <v>品牌直发</v>
          </cell>
          <cell r="I184">
            <v>0</v>
          </cell>
        </row>
        <row r="185">
          <cell r="D185">
            <v>11331057</v>
          </cell>
          <cell r="E185" t="str">
            <v>伯希和/PELLIOT</v>
          </cell>
          <cell r="F185" t="str">
            <v>服装-户外运动服-抓绒衣</v>
          </cell>
          <cell r="G185" t="str">
            <v>一品一商</v>
          </cell>
          <cell r="H185" t="str">
            <v>品牌直发</v>
          </cell>
          <cell r="I185">
            <v>0</v>
          </cell>
        </row>
        <row r="186">
          <cell r="D186">
            <v>12340836</v>
          </cell>
          <cell r="E186" t="str">
            <v>伯希和/PELLIOT</v>
          </cell>
          <cell r="F186" t="str">
            <v>服装-外套-羽绒服</v>
          </cell>
          <cell r="G186" t="str">
            <v>一品多商</v>
          </cell>
          <cell r="H186" t="str">
            <v>品牌直发</v>
          </cell>
          <cell r="I186">
            <v>0</v>
          </cell>
        </row>
        <row r="187">
          <cell r="D187">
            <v>12331058</v>
          </cell>
          <cell r="E187" t="str">
            <v>伯希和/PELLIOT</v>
          </cell>
          <cell r="F187" t="str">
            <v>女装-户外运动服-抓绒衣</v>
          </cell>
          <cell r="G187" t="str">
            <v>一品一商</v>
          </cell>
          <cell r="H187" t="str">
            <v>品牌直发</v>
          </cell>
          <cell r="I187">
            <v>0</v>
          </cell>
        </row>
        <row r="188">
          <cell r="D188">
            <v>12340828</v>
          </cell>
          <cell r="E188" t="str">
            <v>伯希和/PELLIOT</v>
          </cell>
          <cell r="F188" t="str">
            <v>服装-外套-羽绒服</v>
          </cell>
          <cell r="G188" t="str">
            <v>一品多商</v>
          </cell>
          <cell r="H188" t="str">
            <v>品牌直发</v>
          </cell>
          <cell r="I188">
            <v>0</v>
          </cell>
        </row>
        <row r="189">
          <cell r="D189">
            <v>12340812</v>
          </cell>
          <cell r="E189" t="str">
            <v>伯希和/PELLIOT</v>
          </cell>
          <cell r="F189" t="str">
            <v>服装-外套-羽绒服</v>
          </cell>
          <cell r="G189" t="str">
            <v>一品多商</v>
          </cell>
          <cell r="H189" t="str">
            <v>品牌直发</v>
          </cell>
          <cell r="I189">
            <v>0</v>
          </cell>
        </row>
        <row r="190">
          <cell r="D190">
            <v>12340134</v>
          </cell>
          <cell r="E190" t="str">
            <v>伯希和/PELLIOT</v>
          </cell>
          <cell r="F190" t="str">
            <v>服装-外套-冲锋衣</v>
          </cell>
          <cell r="G190" t="str">
            <v>一品一商</v>
          </cell>
          <cell r="H190" t="str">
            <v>品牌直发</v>
          </cell>
          <cell r="I190">
            <v>0</v>
          </cell>
        </row>
        <row r="191">
          <cell r="D191">
            <v>114408281</v>
          </cell>
          <cell r="E191" t="str">
            <v>伯希和/PELLIOT</v>
          </cell>
          <cell r="F191" t="str">
            <v>服装-外套-羽绒服</v>
          </cell>
          <cell r="G191" t="str">
            <v>一品多商</v>
          </cell>
          <cell r="H191" t="str">
            <v>品牌直发</v>
          </cell>
          <cell r="I191">
            <v>0</v>
          </cell>
        </row>
        <row r="192">
          <cell r="D192">
            <v>12340804</v>
          </cell>
          <cell r="E192" t="str">
            <v>伯希和/PELLIOT</v>
          </cell>
          <cell r="F192" t="str">
            <v>女装-外套-羽绒服</v>
          </cell>
          <cell r="G192" t="str">
            <v>一品多商</v>
          </cell>
          <cell r="H192" t="str">
            <v>品牌直发</v>
          </cell>
          <cell r="I192">
            <v>0</v>
          </cell>
        </row>
        <row r="193">
          <cell r="D193">
            <v>12340814</v>
          </cell>
          <cell r="E193" t="str">
            <v>伯希和/PELLIOT</v>
          </cell>
          <cell r="F193" t="str">
            <v>服装-外套-羽绒服</v>
          </cell>
          <cell r="G193" t="str">
            <v>一品多商</v>
          </cell>
          <cell r="H193" t="str">
            <v>品牌直发</v>
          </cell>
          <cell r="I193">
            <v>0</v>
          </cell>
        </row>
        <row r="194">
          <cell r="D194">
            <v>11340139</v>
          </cell>
          <cell r="E194" t="str">
            <v>伯希和/PELLIOT</v>
          </cell>
          <cell r="F194" t="str">
            <v>服装-外套-冲锋衣</v>
          </cell>
          <cell r="G194" t="str">
            <v>一品多商</v>
          </cell>
          <cell r="H194" t="str">
            <v>品牌直发</v>
          </cell>
          <cell r="I194">
            <v>0</v>
          </cell>
        </row>
        <row r="195">
          <cell r="D195">
            <v>12331018</v>
          </cell>
          <cell r="E195" t="str">
            <v>伯希和/PELLIOT</v>
          </cell>
          <cell r="F195" t="str">
            <v>服装-户外运动服-抓绒衣</v>
          </cell>
          <cell r="G195" t="str">
            <v>一品一商</v>
          </cell>
          <cell r="H195" t="str">
            <v>品牌直发</v>
          </cell>
          <cell r="I195">
            <v>0</v>
          </cell>
        </row>
        <row r="196">
          <cell r="D196">
            <v>12331026</v>
          </cell>
          <cell r="E196" t="str">
            <v>伯希和/PELLIOT</v>
          </cell>
          <cell r="F196" t="str">
            <v>女装-户外运动服-抓绒衣</v>
          </cell>
          <cell r="G196" t="str">
            <v>一品多商</v>
          </cell>
          <cell r="H196" t="str">
            <v>品牌直发</v>
          </cell>
          <cell r="I196">
            <v>0</v>
          </cell>
        </row>
        <row r="197">
          <cell r="D197">
            <v>11331027</v>
          </cell>
          <cell r="E197" t="str">
            <v>伯希和/PELLIOT</v>
          </cell>
          <cell r="F197" t="str">
            <v>服装-户外运动服-抓绒衣</v>
          </cell>
          <cell r="G197" t="str">
            <v>一品一商</v>
          </cell>
          <cell r="H197" t="str">
            <v>品牌直发</v>
          </cell>
          <cell r="I197">
            <v>0</v>
          </cell>
        </row>
        <row r="198">
          <cell r="D198">
            <v>12331008</v>
          </cell>
          <cell r="E198" t="str">
            <v>伯希和/PELLIOT</v>
          </cell>
          <cell r="F198" t="str">
            <v>女装-户外运动服-抓绒衣</v>
          </cell>
          <cell r="G198" t="str">
            <v>一品一商</v>
          </cell>
          <cell r="H198" t="str">
            <v>品牌直发</v>
          </cell>
          <cell r="I198">
            <v>0</v>
          </cell>
        </row>
        <row r="199">
          <cell r="D199">
            <v>12331004</v>
          </cell>
          <cell r="E199" t="str">
            <v>伯希和/PELLIOT</v>
          </cell>
          <cell r="F199" t="str">
            <v>女装-户外运动服-抓绒衣</v>
          </cell>
          <cell r="G199" t="str">
            <v>一品一商</v>
          </cell>
          <cell r="H199" t="str">
            <v>品牌直发</v>
          </cell>
          <cell r="I199">
            <v>0</v>
          </cell>
        </row>
        <row r="200">
          <cell r="D200">
            <v>11331011</v>
          </cell>
          <cell r="E200" t="str">
            <v>伯希和/PELLIOT</v>
          </cell>
          <cell r="F200" t="str">
            <v>服装-户外运动服-抓绒衣</v>
          </cell>
          <cell r="G200" t="str">
            <v>一品多商</v>
          </cell>
          <cell r="H200" t="str">
            <v>品牌直发</v>
          </cell>
          <cell r="I200">
            <v>0</v>
          </cell>
        </row>
        <row r="201">
          <cell r="D201">
            <v>12340822</v>
          </cell>
          <cell r="E201" t="str">
            <v>伯希和/PELLIOT</v>
          </cell>
          <cell r="F201" t="str">
            <v>女装-外套-羽绒服</v>
          </cell>
          <cell r="G201" t="str">
            <v>一品多商</v>
          </cell>
          <cell r="H201" t="str">
            <v>品牌直发</v>
          </cell>
          <cell r="I201">
            <v>0</v>
          </cell>
        </row>
        <row r="202">
          <cell r="D202">
            <v>11330601</v>
          </cell>
          <cell r="E202" t="str">
            <v>伯希和/PELLIOT</v>
          </cell>
          <cell r="F202" t="str">
            <v>服装-外套-软壳衣</v>
          </cell>
          <cell r="G202" t="str">
            <v>一品一商</v>
          </cell>
          <cell r="H202" t="str">
            <v>品牌直发</v>
          </cell>
          <cell r="I202">
            <v>0</v>
          </cell>
        </row>
        <row r="203">
          <cell r="D203">
            <v>12330706</v>
          </cell>
          <cell r="E203" t="str">
            <v>伯希和/PELLIOT</v>
          </cell>
          <cell r="F203" t="str">
            <v>女装-长裤-软壳裤</v>
          </cell>
          <cell r="G203" t="str">
            <v>一品一商</v>
          </cell>
          <cell r="H203" t="str">
            <v>品牌直发</v>
          </cell>
          <cell r="I203">
            <v>0</v>
          </cell>
        </row>
        <row r="204">
          <cell r="D204" t="str">
            <v>12815108-yc</v>
          </cell>
          <cell r="E204" t="str">
            <v>伯希和/PELLIOT</v>
          </cell>
          <cell r="F204" t="str">
            <v>服装-外套-防晒服</v>
          </cell>
          <cell r="G204" t="str">
            <v>一品一商</v>
          </cell>
          <cell r="H204" t="str">
            <v>品牌直发</v>
          </cell>
          <cell r="I204">
            <v>0</v>
          </cell>
        </row>
        <row r="205">
          <cell r="D205">
            <v>12933728</v>
          </cell>
          <cell r="E205" t="str">
            <v>伯希和/PELLIOT</v>
          </cell>
          <cell r="F205" t="str">
            <v>女装-上衣-卫衣</v>
          </cell>
          <cell r="G205" t="str">
            <v>一品一商</v>
          </cell>
          <cell r="H205" t="str">
            <v>品牌直发</v>
          </cell>
          <cell r="I205">
            <v>0</v>
          </cell>
        </row>
        <row r="206">
          <cell r="D206">
            <v>114301085</v>
          </cell>
          <cell r="E206" t="str">
            <v>伯希和/PELLIOT</v>
          </cell>
          <cell r="F206" t="str">
            <v>服装-外套-冲锋衣</v>
          </cell>
          <cell r="G206" t="str">
            <v>一品多商</v>
          </cell>
          <cell r="H206" t="str">
            <v>品牌直发</v>
          </cell>
          <cell r="I206">
            <v>0</v>
          </cell>
        </row>
        <row r="207">
          <cell r="D207">
            <v>11235109</v>
          </cell>
          <cell r="E207" t="str">
            <v>伯希和/PELLIOT</v>
          </cell>
          <cell r="F207" t="str">
            <v>服装-外套-夹克</v>
          </cell>
          <cell r="G207" t="str">
            <v>一品一商</v>
          </cell>
          <cell r="H207" t="str">
            <v>品牌直发</v>
          </cell>
          <cell r="I207">
            <v>0</v>
          </cell>
        </row>
        <row r="208">
          <cell r="D208">
            <v>11140127</v>
          </cell>
          <cell r="E208" t="str">
            <v>伯希和/PELLIOT</v>
          </cell>
          <cell r="F208" t="str">
            <v>服装-外套-冲锋衣</v>
          </cell>
          <cell r="G208" t="str">
            <v>一品一商</v>
          </cell>
          <cell r="H208" t="str">
            <v>品牌直发</v>
          </cell>
          <cell r="I208">
            <v>0</v>
          </cell>
        </row>
        <row r="209">
          <cell r="D209">
            <v>12131002</v>
          </cell>
          <cell r="E209" t="str">
            <v>伯希和/PELLIOT</v>
          </cell>
          <cell r="F209" t="str">
            <v>女装-户外运动服-抓绒衣</v>
          </cell>
          <cell r="G209" t="str">
            <v>一品一商</v>
          </cell>
          <cell r="H209" t="str">
            <v>品牌直发</v>
          </cell>
          <cell r="I209">
            <v>0</v>
          </cell>
        </row>
        <row r="210">
          <cell r="D210">
            <v>12330602</v>
          </cell>
          <cell r="E210" t="str">
            <v>伯希和/PELLIOT</v>
          </cell>
          <cell r="F210" t="str">
            <v>女装-外套-软壳衣</v>
          </cell>
          <cell r="G210" t="str">
            <v>一品多商</v>
          </cell>
          <cell r="H210" t="str">
            <v>品牌直发</v>
          </cell>
          <cell r="I210">
            <v>0</v>
          </cell>
        </row>
        <row r="211">
          <cell r="D211">
            <v>12221258</v>
          </cell>
          <cell r="E211" t="str">
            <v>伯希和/PELLIOT</v>
          </cell>
          <cell r="F211" t="str">
            <v>女装-外套-防晒服</v>
          </cell>
          <cell r="G211" t="str">
            <v>一品一商</v>
          </cell>
          <cell r="H211" t="str">
            <v>普通现货</v>
          </cell>
          <cell r="I211">
            <v>0</v>
          </cell>
        </row>
        <row r="212">
          <cell r="D212">
            <v>112221210</v>
          </cell>
          <cell r="E212" t="str">
            <v>伯希和/PELLIOT</v>
          </cell>
          <cell r="F212" t="str">
            <v>女装-外套-防晒服</v>
          </cell>
          <cell r="G212" t="str">
            <v>一品一商</v>
          </cell>
          <cell r="H212" t="str">
            <v>品牌直发</v>
          </cell>
          <cell r="I212">
            <v>0</v>
          </cell>
        </row>
        <row r="213">
          <cell r="D213">
            <v>12133802</v>
          </cell>
          <cell r="E213" t="str">
            <v>伯希和/PELLIOT</v>
          </cell>
          <cell r="F213" t="str">
            <v>女装-长裤-针织运动裤</v>
          </cell>
          <cell r="G213" t="str">
            <v>一品一商</v>
          </cell>
          <cell r="H213" t="str">
            <v>品牌直发</v>
          </cell>
          <cell r="I213">
            <v>0</v>
          </cell>
        </row>
        <row r="214">
          <cell r="D214">
            <v>112325110</v>
          </cell>
          <cell r="E214" t="str">
            <v>伯希和/PELLIOT</v>
          </cell>
          <cell r="F214" t="str">
            <v>女装-外套-夹克</v>
          </cell>
          <cell r="G214" t="str">
            <v>一品一商</v>
          </cell>
          <cell r="H214" t="str">
            <v>普通现货</v>
          </cell>
          <cell r="I214">
            <v>0</v>
          </cell>
        </row>
        <row r="215">
          <cell r="D215">
            <v>12340132</v>
          </cell>
          <cell r="E215" t="str">
            <v>伯希和/PELLIOT</v>
          </cell>
          <cell r="F215" t="str">
            <v>服装-外套-冲锋衣</v>
          </cell>
          <cell r="G215" t="str">
            <v>一品一商</v>
          </cell>
          <cell r="H215" t="str">
            <v>品牌直发</v>
          </cell>
          <cell r="I215">
            <v>0</v>
          </cell>
        </row>
        <row r="216">
          <cell r="D216">
            <v>16202509</v>
          </cell>
          <cell r="E216" t="str">
            <v>伯希和/PELLIOT</v>
          </cell>
          <cell r="F216" t="str">
            <v>箱包-包袋-户外包</v>
          </cell>
          <cell r="G216" t="str">
            <v>一品一商</v>
          </cell>
          <cell r="H216" t="str">
            <v>品牌直发</v>
          </cell>
          <cell r="I216">
            <v>0</v>
          </cell>
        </row>
        <row r="217">
          <cell r="D217">
            <v>12340104</v>
          </cell>
          <cell r="E217" t="str">
            <v>伯希和/PELLIOT</v>
          </cell>
          <cell r="F217" t="str">
            <v>女装-外套-冲锋衣</v>
          </cell>
          <cell r="G217" t="str">
            <v>一品多商</v>
          </cell>
          <cell r="H217" t="str">
            <v>品牌直发</v>
          </cell>
          <cell r="I217">
            <v>0</v>
          </cell>
        </row>
        <row r="218">
          <cell r="D218">
            <v>12340130</v>
          </cell>
          <cell r="E218" t="str">
            <v>伯希和/PELLIOT</v>
          </cell>
          <cell r="F218" t="str">
            <v>服装-外套-冲锋衣</v>
          </cell>
          <cell r="G218" t="str">
            <v>一品多商</v>
          </cell>
          <cell r="H218" t="str">
            <v>品牌直发</v>
          </cell>
          <cell r="I218">
            <v>0</v>
          </cell>
        </row>
        <row r="219">
          <cell r="D219" t="str">
            <v>12011902-樱花粉</v>
          </cell>
          <cell r="E219" t="str">
            <v>伯希和/PELLIOT</v>
          </cell>
          <cell r="F219" t="str">
            <v>鞋-运动鞋-跑步鞋</v>
          </cell>
          <cell r="G219" t="str">
            <v>一品一商</v>
          </cell>
          <cell r="H219" t="str">
            <v>品牌直发</v>
          </cell>
          <cell r="I219">
            <v>0</v>
          </cell>
        </row>
        <row r="220">
          <cell r="D220" t="str">
            <v>12211904-经典黑</v>
          </cell>
          <cell r="E220" t="str">
            <v>伯希和/PELLIOT</v>
          </cell>
          <cell r="F220" t="str">
            <v>鞋-运动鞋-跑步鞋</v>
          </cell>
          <cell r="G220" t="str">
            <v>一品一商</v>
          </cell>
          <cell r="H220" t="str">
            <v>品牌直发</v>
          </cell>
          <cell r="I220">
            <v>0</v>
          </cell>
        </row>
        <row r="221">
          <cell r="D221">
            <v>12231034</v>
          </cell>
          <cell r="E221" t="str">
            <v>伯希和/PELLIOT</v>
          </cell>
          <cell r="F221" t="str">
            <v>女装-户外运动服-抓绒衣</v>
          </cell>
          <cell r="G221" t="str">
            <v>一品一商</v>
          </cell>
          <cell r="H221" t="str">
            <v>品牌直发</v>
          </cell>
          <cell r="I221">
            <v>0</v>
          </cell>
        </row>
        <row r="222">
          <cell r="D222">
            <v>12231026</v>
          </cell>
          <cell r="E222" t="str">
            <v>伯希和/PELLIOT</v>
          </cell>
          <cell r="F222" t="str">
            <v>女装-户外运动服-抓绒衣</v>
          </cell>
          <cell r="G222" t="str">
            <v>一品一商</v>
          </cell>
          <cell r="H222" t="str">
            <v>品牌直发</v>
          </cell>
          <cell r="I222">
            <v>0</v>
          </cell>
        </row>
        <row r="223">
          <cell r="D223">
            <v>11813705</v>
          </cell>
          <cell r="E223" t="str">
            <v>伯希和/PELLIOT</v>
          </cell>
          <cell r="F223" t="str">
            <v>服装-上衣-卫衣</v>
          </cell>
          <cell r="G223" t="str">
            <v>一品一商</v>
          </cell>
          <cell r="H223" t="str">
            <v>品牌直发</v>
          </cell>
          <cell r="I223">
            <v>0</v>
          </cell>
        </row>
        <row r="224">
          <cell r="D224">
            <v>11133803</v>
          </cell>
          <cell r="E224" t="str">
            <v>伯希和/PELLIOT</v>
          </cell>
          <cell r="F224" t="str">
            <v>服装-长裤-针织运动裤</v>
          </cell>
          <cell r="G224" t="str">
            <v>一品一商</v>
          </cell>
          <cell r="H224" t="str">
            <v>品牌直发</v>
          </cell>
          <cell r="I224">
            <v>0</v>
          </cell>
        </row>
        <row r="225">
          <cell r="D225">
            <v>13321435</v>
          </cell>
          <cell r="E225" t="str">
            <v>伯希和/PELLIOT</v>
          </cell>
          <cell r="F225" t="str">
            <v>童装-儿童下装-针织运动裤</v>
          </cell>
          <cell r="G225" t="str">
            <v>一品一商</v>
          </cell>
          <cell r="H225" t="str">
            <v>品牌直发</v>
          </cell>
          <cell r="I225">
            <v>0</v>
          </cell>
        </row>
        <row r="226">
          <cell r="D226">
            <v>23930709</v>
          </cell>
          <cell r="E226" t="str">
            <v>伯希和/PELLIOT</v>
          </cell>
          <cell r="F226" t="str">
            <v>童装-儿童下装-儿童软壳裤</v>
          </cell>
          <cell r="G226" t="str">
            <v>一品一商</v>
          </cell>
          <cell r="H226" t="str">
            <v>品牌直发</v>
          </cell>
          <cell r="I226">
            <v>0</v>
          </cell>
        </row>
        <row r="227">
          <cell r="D227">
            <v>12121216</v>
          </cell>
          <cell r="E227" t="str">
            <v>伯希和/PELLIOT</v>
          </cell>
          <cell r="F227" t="str">
            <v>女装-外套-防晒服</v>
          </cell>
          <cell r="G227" t="str">
            <v>一品多商</v>
          </cell>
          <cell r="H227" t="str">
            <v>品牌直发</v>
          </cell>
          <cell r="I227">
            <v>0</v>
          </cell>
        </row>
        <row r="228">
          <cell r="D228">
            <v>13131023</v>
          </cell>
          <cell r="E228" t="str">
            <v>伯希和/PELLIOT</v>
          </cell>
          <cell r="F228" t="str">
            <v>童装-儿童上装-夹克</v>
          </cell>
          <cell r="G228" t="str">
            <v>一品一商</v>
          </cell>
          <cell r="H228" t="str">
            <v>品牌直发</v>
          </cell>
          <cell r="I228">
            <v>0</v>
          </cell>
        </row>
        <row r="229">
          <cell r="D229">
            <v>13231017</v>
          </cell>
          <cell r="E229" t="str">
            <v>伯希和/PELLIOT</v>
          </cell>
          <cell r="F229" t="str">
            <v>童装-儿童上装-其他上装</v>
          </cell>
          <cell r="G229" t="str">
            <v>一品一商</v>
          </cell>
          <cell r="H229" t="str">
            <v>品牌直发</v>
          </cell>
          <cell r="I229">
            <v>0</v>
          </cell>
        </row>
        <row r="230">
          <cell r="D230">
            <v>12131004</v>
          </cell>
          <cell r="E230" t="str">
            <v>伯希和/PELLIOT</v>
          </cell>
          <cell r="F230" t="str">
            <v>女装-户外运动服-抓绒衣</v>
          </cell>
          <cell r="G230" t="str">
            <v>一品一商</v>
          </cell>
          <cell r="H230" t="str">
            <v>品牌直发</v>
          </cell>
          <cell r="I230">
            <v>0</v>
          </cell>
        </row>
        <row r="231">
          <cell r="D231">
            <v>13131026</v>
          </cell>
          <cell r="E231" t="str">
            <v>伯希和/PELLIOT</v>
          </cell>
          <cell r="F231" t="str">
            <v>童装-儿童上装-马甲</v>
          </cell>
          <cell r="G231" t="str">
            <v>一品一商</v>
          </cell>
          <cell r="H231" t="str">
            <v>品牌直发</v>
          </cell>
          <cell r="I231">
            <v>0</v>
          </cell>
        </row>
        <row r="232">
          <cell r="D232">
            <v>13131501</v>
          </cell>
          <cell r="E232" t="str">
            <v>伯希和/PELLIOT</v>
          </cell>
          <cell r="F232" t="str">
            <v>童装-儿童上装-T恤</v>
          </cell>
          <cell r="G232" t="str">
            <v>一品一商</v>
          </cell>
          <cell r="H232" t="str">
            <v>品牌直发</v>
          </cell>
          <cell r="I232">
            <v>0</v>
          </cell>
        </row>
        <row r="233">
          <cell r="D233">
            <v>13221533</v>
          </cell>
          <cell r="E233" t="str">
            <v>伯希和/PELLIOT</v>
          </cell>
          <cell r="F233" t="str">
            <v>童装-儿童上装-T恤</v>
          </cell>
          <cell r="G233" t="str">
            <v>一品一商</v>
          </cell>
          <cell r="H233" t="str">
            <v>品牌直发</v>
          </cell>
          <cell r="I233">
            <v>0</v>
          </cell>
        </row>
        <row r="234">
          <cell r="D234">
            <v>12123812</v>
          </cell>
          <cell r="E234" t="str">
            <v>伯希和/PELLIOT</v>
          </cell>
          <cell r="F234" t="str">
            <v>女装-短裤-休闲短裤</v>
          </cell>
          <cell r="G234" t="str">
            <v>一品一商</v>
          </cell>
          <cell r="H234" t="str">
            <v>品牌直发</v>
          </cell>
          <cell r="I234">
            <v>0</v>
          </cell>
        </row>
        <row r="235">
          <cell r="D235">
            <v>13113706</v>
          </cell>
          <cell r="E235" t="str">
            <v>伯希和/PELLIOT</v>
          </cell>
          <cell r="F235" t="str">
            <v>童装-儿童上装-卫衣</v>
          </cell>
          <cell r="G235" t="str">
            <v>一品一商</v>
          </cell>
          <cell r="H235" t="str">
            <v>品牌直发</v>
          </cell>
          <cell r="I235">
            <v>0</v>
          </cell>
        </row>
        <row r="236">
          <cell r="D236">
            <v>13221525</v>
          </cell>
          <cell r="E236" t="str">
            <v>伯希和/PELLIOT</v>
          </cell>
          <cell r="F236" t="str">
            <v>童装-儿童上装-T恤</v>
          </cell>
          <cell r="G236" t="str">
            <v>一品一商</v>
          </cell>
          <cell r="H236" t="str">
            <v>品牌直发</v>
          </cell>
          <cell r="I236">
            <v>0</v>
          </cell>
        </row>
        <row r="237">
          <cell r="D237">
            <v>113221526</v>
          </cell>
          <cell r="E237" t="str">
            <v>伯希和/PELLIOT</v>
          </cell>
          <cell r="F237" t="str">
            <v>童装-儿童上装-T恤</v>
          </cell>
          <cell r="G237" t="str">
            <v>一品一商</v>
          </cell>
          <cell r="H237" t="str">
            <v>品牌直发</v>
          </cell>
          <cell r="I237">
            <v>0</v>
          </cell>
        </row>
        <row r="238">
          <cell r="D238">
            <v>12133704</v>
          </cell>
          <cell r="E238" t="str">
            <v>伯希和/PELLIOT</v>
          </cell>
          <cell r="F238" t="str">
            <v>女装-上衣-卫衣</v>
          </cell>
          <cell r="G238" t="str">
            <v>一品一商</v>
          </cell>
          <cell r="H238" t="str">
            <v>品牌直发</v>
          </cell>
          <cell r="I238">
            <v>0</v>
          </cell>
        </row>
        <row r="239">
          <cell r="D239">
            <v>11133707</v>
          </cell>
          <cell r="E239" t="str">
            <v>伯希和/PELLIOT</v>
          </cell>
          <cell r="F239" t="str">
            <v>服装-上衣-卫衣</v>
          </cell>
          <cell r="G239" t="str">
            <v>一品一商</v>
          </cell>
          <cell r="H239" t="str">
            <v>品牌直发</v>
          </cell>
          <cell r="I239">
            <v>0</v>
          </cell>
        </row>
        <row r="240">
          <cell r="D240">
            <v>11133805</v>
          </cell>
          <cell r="E240" t="str">
            <v>伯希和/PELLIOT</v>
          </cell>
          <cell r="F240" t="str">
            <v>服装-长裤-针织运动裤</v>
          </cell>
          <cell r="G240" t="str">
            <v>一品一商</v>
          </cell>
          <cell r="H240" t="str">
            <v>品牌直发</v>
          </cell>
          <cell r="I240">
            <v>0</v>
          </cell>
        </row>
        <row r="241">
          <cell r="D241">
            <v>11131105</v>
          </cell>
          <cell r="E241" t="str">
            <v>伯希和/PELLIOT</v>
          </cell>
          <cell r="F241" t="str">
            <v>服装-户外运动服-抓绒裤</v>
          </cell>
          <cell r="G241" t="str">
            <v>一品一商</v>
          </cell>
          <cell r="H241" t="str">
            <v>品牌直发</v>
          </cell>
          <cell r="I241">
            <v>0</v>
          </cell>
        </row>
        <row r="242">
          <cell r="D242">
            <v>112221508</v>
          </cell>
          <cell r="E242" t="str">
            <v>伯希和/PELLIOT</v>
          </cell>
          <cell r="F242" t="str">
            <v>女装-上衣-T恤</v>
          </cell>
          <cell r="G242" t="str">
            <v>一品一商</v>
          </cell>
          <cell r="H242" t="str">
            <v>品牌直发</v>
          </cell>
          <cell r="I242">
            <v>0</v>
          </cell>
        </row>
        <row r="243">
          <cell r="D243">
            <v>13213709</v>
          </cell>
          <cell r="E243" t="str">
            <v>伯希和/PELLIOT</v>
          </cell>
          <cell r="F243" t="str">
            <v>童装-儿童上装-夹克</v>
          </cell>
          <cell r="G243" t="str">
            <v>一品一商</v>
          </cell>
          <cell r="H243" t="str">
            <v>品牌直发</v>
          </cell>
          <cell r="I243">
            <v>0</v>
          </cell>
        </row>
        <row r="244">
          <cell r="D244">
            <v>13121426</v>
          </cell>
          <cell r="E244" t="str">
            <v>伯希和/PELLIOT</v>
          </cell>
          <cell r="F244" t="str">
            <v>童装-儿童下装-针织运动裤</v>
          </cell>
          <cell r="G244" t="str">
            <v>一品一商</v>
          </cell>
          <cell r="H244" t="str">
            <v>品牌直发</v>
          </cell>
          <cell r="I244">
            <v>0</v>
          </cell>
        </row>
        <row r="245">
          <cell r="D245">
            <v>111121427</v>
          </cell>
          <cell r="E245" t="str">
            <v>伯希和/PELLIOT</v>
          </cell>
          <cell r="F245" t="str">
            <v>服装-户外运动服-速干裤</v>
          </cell>
          <cell r="G245" t="str">
            <v>一品一商</v>
          </cell>
          <cell r="H245" t="str">
            <v>品牌直发</v>
          </cell>
          <cell r="I245">
            <v>0</v>
          </cell>
        </row>
        <row r="246">
          <cell r="D246">
            <v>13231018</v>
          </cell>
          <cell r="E246" t="str">
            <v>伯希和/PELLIOT</v>
          </cell>
          <cell r="F246" t="str">
            <v>童装-儿童上装-卫衣</v>
          </cell>
          <cell r="G246" t="str">
            <v>一品一商</v>
          </cell>
          <cell r="H246" t="str">
            <v>品牌直发</v>
          </cell>
          <cell r="I246">
            <v>0</v>
          </cell>
        </row>
        <row r="247">
          <cell r="D247">
            <v>112221424</v>
          </cell>
          <cell r="E247" t="str">
            <v>伯希和/PELLIOT</v>
          </cell>
          <cell r="F247" t="str">
            <v>女装-健身服-运动短裤</v>
          </cell>
          <cell r="G247" t="str">
            <v>一品一商</v>
          </cell>
          <cell r="H247" t="str">
            <v>品牌直发</v>
          </cell>
          <cell r="I247">
            <v>0</v>
          </cell>
        </row>
        <row r="248">
          <cell r="D248">
            <v>13213805</v>
          </cell>
          <cell r="E248" t="str">
            <v>伯希和/PELLIOT</v>
          </cell>
          <cell r="F248" t="str">
            <v>童装-儿童下装-针织运动裤</v>
          </cell>
          <cell r="G248" t="str">
            <v>一品一商</v>
          </cell>
          <cell r="H248" t="str">
            <v>品牌直发</v>
          </cell>
          <cell r="I248">
            <v>0</v>
          </cell>
        </row>
        <row r="249">
          <cell r="D249">
            <v>13121220</v>
          </cell>
          <cell r="E249" t="str">
            <v>伯希和/PELLIOT</v>
          </cell>
          <cell r="F249" t="str">
            <v>童装-儿童上装-防晒衣</v>
          </cell>
          <cell r="G249" t="str">
            <v>一品一商</v>
          </cell>
          <cell r="H249" t="str">
            <v>品牌直发</v>
          </cell>
          <cell r="I249">
            <v>0</v>
          </cell>
        </row>
        <row r="250">
          <cell r="D250">
            <v>112121402</v>
          </cell>
          <cell r="E250" t="str">
            <v>伯希和/PELLIOT</v>
          </cell>
          <cell r="F250" t="str">
            <v>女装-健身服-运动短裤</v>
          </cell>
          <cell r="G250" t="str">
            <v>一品一商</v>
          </cell>
          <cell r="H250" t="str">
            <v>品牌直发</v>
          </cell>
          <cell r="I250">
            <v>0</v>
          </cell>
        </row>
        <row r="251">
          <cell r="D251">
            <v>113021234</v>
          </cell>
          <cell r="E251" t="str">
            <v>伯希和/PELLIOT</v>
          </cell>
          <cell r="F251" t="str">
            <v>童装-儿童上装-防晒衣</v>
          </cell>
          <cell r="G251" t="str">
            <v>一品一商</v>
          </cell>
          <cell r="H251" t="str">
            <v>普通现货</v>
          </cell>
          <cell r="I251">
            <v>0</v>
          </cell>
        </row>
        <row r="252">
          <cell r="D252">
            <v>113121276</v>
          </cell>
          <cell r="E252" t="str">
            <v>伯希和/PELLIOT</v>
          </cell>
          <cell r="F252" t="str">
            <v>童装-儿童上装-防晒衣</v>
          </cell>
          <cell r="G252" t="str">
            <v>一品一商</v>
          </cell>
          <cell r="H252" t="str">
            <v>品牌直发</v>
          </cell>
          <cell r="I252">
            <v>0</v>
          </cell>
        </row>
        <row r="253">
          <cell r="D253">
            <v>13113805</v>
          </cell>
          <cell r="E253" t="str">
            <v>伯希和/PELLIOT</v>
          </cell>
          <cell r="F253" t="str">
            <v>童装-儿童下装-针织运动裤</v>
          </cell>
          <cell r="G253" t="str">
            <v>一品一商</v>
          </cell>
          <cell r="H253" t="str">
            <v>品牌直发</v>
          </cell>
          <cell r="I253">
            <v>0</v>
          </cell>
        </row>
        <row r="254">
          <cell r="D254">
            <v>113231543</v>
          </cell>
          <cell r="E254" t="str">
            <v>伯希和/PELLIOT</v>
          </cell>
          <cell r="F254" t="str">
            <v>童装-儿童上装-T恤</v>
          </cell>
          <cell r="G254" t="str">
            <v>一品一商</v>
          </cell>
          <cell r="H254" t="str">
            <v>品牌直发</v>
          </cell>
          <cell r="I254">
            <v>0</v>
          </cell>
        </row>
        <row r="255">
          <cell r="D255">
            <v>11021525</v>
          </cell>
          <cell r="E255" t="str">
            <v>伯希和/PELLIOT</v>
          </cell>
          <cell r="F255" t="str">
            <v>服装-上衣-T恤</v>
          </cell>
          <cell r="G255" t="str">
            <v>一品一商</v>
          </cell>
          <cell r="H255" t="str">
            <v>品牌直发</v>
          </cell>
          <cell r="I255">
            <v>0</v>
          </cell>
        </row>
        <row r="256">
          <cell r="D256">
            <v>13221427</v>
          </cell>
          <cell r="E256" t="str">
            <v>伯希和/PELLIOT</v>
          </cell>
          <cell r="F256" t="str">
            <v>童装-儿童下装-针织运动裤</v>
          </cell>
          <cell r="G256" t="str">
            <v>一品一商</v>
          </cell>
          <cell r="H256" t="str">
            <v>品牌直发</v>
          </cell>
          <cell r="I256">
            <v>0</v>
          </cell>
        </row>
        <row r="257">
          <cell r="D257">
            <v>13245112</v>
          </cell>
          <cell r="E257" t="str">
            <v>伯希和/PELLIOT</v>
          </cell>
          <cell r="F257" t="str">
            <v>童装-儿童上装-冲锋衣</v>
          </cell>
          <cell r="G257" t="str">
            <v>一品多商</v>
          </cell>
          <cell r="H257" t="str">
            <v>品牌直发</v>
          </cell>
          <cell r="I257">
            <v>0</v>
          </cell>
        </row>
        <row r="258">
          <cell r="D258">
            <v>113115106</v>
          </cell>
          <cell r="E258" t="str">
            <v>伯希和/PELLIOT</v>
          </cell>
          <cell r="F258" t="str">
            <v>童装-儿童上装-冲锋衣</v>
          </cell>
          <cell r="G258" t="str">
            <v>一品一商</v>
          </cell>
          <cell r="H258" t="str">
            <v>品牌直发</v>
          </cell>
          <cell r="I258">
            <v>0</v>
          </cell>
        </row>
        <row r="259">
          <cell r="D259">
            <v>13040127</v>
          </cell>
          <cell r="E259" t="str">
            <v>伯希和/PELLIOT</v>
          </cell>
          <cell r="F259" t="str">
            <v>童装-儿童上装-冲锋衣</v>
          </cell>
          <cell r="G259" t="str">
            <v>一品一商</v>
          </cell>
          <cell r="H259" t="str">
            <v>品牌直发</v>
          </cell>
          <cell r="I259">
            <v>0</v>
          </cell>
        </row>
        <row r="260">
          <cell r="D260">
            <v>13921412</v>
          </cell>
          <cell r="E260" t="str">
            <v>伯希和/PELLIOT</v>
          </cell>
          <cell r="F260" t="str">
            <v>童装-儿童下装-针织运动裤</v>
          </cell>
          <cell r="G260" t="str">
            <v>一品一商</v>
          </cell>
          <cell r="H260" t="str">
            <v>品牌直发</v>
          </cell>
          <cell r="I260">
            <v>0</v>
          </cell>
        </row>
        <row r="261">
          <cell r="D261">
            <v>11115101</v>
          </cell>
          <cell r="E261" t="str">
            <v>伯希和/PELLIOT</v>
          </cell>
          <cell r="F261" t="str">
            <v>服装-外套-夹克</v>
          </cell>
          <cell r="G261" t="str">
            <v>一品一商</v>
          </cell>
          <cell r="H261" t="str">
            <v>品牌直发</v>
          </cell>
          <cell r="I261">
            <v>0</v>
          </cell>
        </row>
        <row r="262">
          <cell r="D262">
            <v>13930611</v>
          </cell>
          <cell r="E262" t="str">
            <v>伯希和/PELLIOT</v>
          </cell>
          <cell r="F262" t="str">
            <v>童装-儿童上装-冲锋衣</v>
          </cell>
          <cell r="G262" t="str">
            <v>一品多商</v>
          </cell>
          <cell r="H262" t="str">
            <v>品牌直发</v>
          </cell>
          <cell r="I262">
            <v>0</v>
          </cell>
        </row>
        <row r="263">
          <cell r="D263">
            <v>113321236</v>
          </cell>
          <cell r="E263" t="str">
            <v>伯希和/PELLIOT</v>
          </cell>
          <cell r="F263" t="str">
            <v>童装-儿童上装-防晒衣</v>
          </cell>
          <cell r="G263" t="str">
            <v>一品一商</v>
          </cell>
          <cell r="H263" t="str">
            <v>品牌直发</v>
          </cell>
          <cell r="I263">
            <v>0</v>
          </cell>
        </row>
        <row r="264">
          <cell r="D264">
            <v>13221249</v>
          </cell>
          <cell r="E264" t="str">
            <v>伯希和/PELLIOT</v>
          </cell>
          <cell r="F264" t="str">
            <v>童装-儿童上装-防晒衣</v>
          </cell>
          <cell r="G264" t="str">
            <v>一品一商</v>
          </cell>
          <cell r="H264" t="str">
            <v>品牌直发</v>
          </cell>
          <cell r="I264">
            <v>0</v>
          </cell>
        </row>
        <row r="265">
          <cell r="D265">
            <v>13031019</v>
          </cell>
          <cell r="E265" t="str">
            <v>伯希和/PELLIOT</v>
          </cell>
          <cell r="F265" t="str">
            <v>童装-儿童上装-马甲</v>
          </cell>
          <cell r="G265" t="str">
            <v>一品一商</v>
          </cell>
          <cell r="H265" t="str">
            <v>品牌直发</v>
          </cell>
          <cell r="I265">
            <v>0</v>
          </cell>
        </row>
        <row r="266">
          <cell r="D266">
            <v>13121530</v>
          </cell>
          <cell r="E266" t="str">
            <v>伯希和/PELLIOT</v>
          </cell>
          <cell r="F266" t="str">
            <v>童装-儿童上装-T恤</v>
          </cell>
          <cell r="G266" t="str">
            <v>一品一商</v>
          </cell>
          <cell r="H266" t="str">
            <v>品牌直发</v>
          </cell>
          <cell r="I266">
            <v>0</v>
          </cell>
        </row>
        <row r="267">
          <cell r="D267">
            <v>13133807</v>
          </cell>
          <cell r="E267" t="str">
            <v>伯希和/PELLIOT</v>
          </cell>
          <cell r="F267" t="str">
            <v>童装-儿童下装-针织运动裤</v>
          </cell>
          <cell r="G267" t="str">
            <v>一品一商</v>
          </cell>
          <cell r="H267" t="str">
            <v>品牌直发</v>
          </cell>
          <cell r="I267">
            <v>0</v>
          </cell>
        </row>
        <row r="268">
          <cell r="D268">
            <v>13321235</v>
          </cell>
          <cell r="E268" t="str">
            <v>伯希和/PELLIOT</v>
          </cell>
          <cell r="F268" t="str">
            <v>童装-儿童上装-防晒衣</v>
          </cell>
          <cell r="G268" t="str">
            <v>一品一商</v>
          </cell>
          <cell r="H268" t="str">
            <v>品牌直发</v>
          </cell>
          <cell r="I268">
            <v>0</v>
          </cell>
        </row>
        <row r="269">
          <cell r="D269">
            <v>13221245</v>
          </cell>
          <cell r="E269" t="str">
            <v>伯希和/PELLIOT</v>
          </cell>
          <cell r="F269" t="str">
            <v>童装-儿童上装-防晒衣</v>
          </cell>
          <cell r="G269" t="str">
            <v>一品一商</v>
          </cell>
          <cell r="H269" t="str">
            <v>品牌直发</v>
          </cell>
          <cell r="I269">
            <v>0</v>
          </cell>
        </row>
        <row r="270">
          <cell r="D270">
            <v>13031113</v>
          </cell>
          <cell r="E270" t="str">
            <v>伯希和/PELLIOT</v>
          </cell>
          <cell r="F270" t="str">
            <v>童装-儿童下装-针织运动裤</v>
          </cell>
          <cell r="G270" t="str">
            <v>一品一商</v>
          </cell>
          <cell r="H270" t="str">
            <v>品牌直发</v>
          </cell>
          <cell r="I270">
            <v>0</v>
          </cell>
        </row>
        <row r="271">
          <cell r="D271">
            <v>13121436</v>
          </cell>
          <cell r="E271" t="str">
            <v>伯希和/PELLIOT</v>
          </cell>
          <cell r="F271" t="str">
            <v>童装-儿童下装-针织运动裤</v>
          </cell>
          <cell r="G271" t="str">
            <v>一品多商</v>
          </cell>
          <cell r="H271" t="str">
            <v>品牌直发</v>
          </cell>
          <cell r="I271">
            <v>0</v>
          </cell>
        </row>
        <row r="272">
          <cell r="D272">
            <v>112031026</v>
          </cell>
          <cell r="E272" t="str">
            <v>伯希和/PELLIOT</v>
          </cell>
          <cell r="F272" t="str">
            <v>女装-户外运动服-抓绒衣</v>
          </cell>
          <cell r="G272" t="str">
            <v>一品一商</v>
          </cell>
          <cell r="H272" t="str">
            <v>品牌直发</v>
          </cell>
          <cell r="I272">
            <v>0</v>
          </cell>
        </row>
        <row r="273">
          <cell r="D273">
            <v>12140128</v>
          </cell>
          <cell r="E273" t="str">
            <v>伯希和/PELLIOT</v>
          </cell>
          <cell r="F273" t="str">
            <v>女装-外套-冲锋衣</v>
          </cell>
          <cell r="G273" t="str">
            <v>一品一商</v>
          </cell>
          <cell r="H273" t="str">
            <v>品牌直发</v>
          </cell>
          <cell r="I273">
            <v>0</v>
          </cell>
        </row>
        <row r="274">
          <cell r="D274">
            <v>12121418</v>
          </cell>
          <cell r="E274" t="str">
            <v>伯希和/PELLIOT</v>
          </cell>
          <cell r="F274" t="str">
            <v>女装-长裤-针织运动裤</v>
          </cell>
          <cell r="G274" t="str">
            <v>一品一商</v>
          </cell>
          <cell r="H274" t="str">
            <v>品牌直发</v>
          </cell>
          <cell r="I274">
            <v>0</v>
          </cell>
        </row>
        <row r="275">
          <cell r="D275">
            <v>12221402</v>
          </cell>
          <cell r="E275" t="str">
            <v>伯希和/PELLIOT</v>
          </cell>
          <cell r="F275" t="str">
            <v>女装-户外运动服-速干裤</v>
          </cell>
          <cell r="G275" t="str">
            <v>一品一商</v>
          </cell>
          <cell r="H275" t="str">
            <v>品牌直发</v>
          </cell>
          <cell r="I275">
            <v>0</v>
          </cell>
        </row>
        <row r="276">
          <cell r="D276">
            <v>112321408</v>
          </cell>
          <cell r="E276" t="str">
            <v>伯希和/PELLIOT</v>
          </cell>
          <cell r="F276" t="str">
            <v>女装-户外运动服-速干裤</v>
          </cell>
          <cell r="G276" t="str">
            <v>一品多商</v>
          </cell>
          <cell r="H276" t="str">
            <v>品牌直发</v>
          </cell>
          <cell r="I276">
            <v>0</v>
          </cell>
        </row>
        <row r="277">
          <cell r="D277">
            <v>124408280</v>
          </cell>
          <cell r="E277" t="str">
            <v>伯希和/PELLIOT</v>
          </cell>
          <cell r="F277" t="str">
            <v>女装-外套-羽绒服</v>
          </cell>
          <cell r="G277" t="str">
            <v>一品多商</v>
          </cell>
          <cell r="H277" t="str">
            <v>品牌直发</v>
          </cell>
          <cell r="I277">
            <v>0</v>
          </cell>
        </row>
        <row r="278">
          <cell r="D278">
            <v>12940130</v>
          </cell>
          <cell r="E278" t="str">
            <v>伯希和/PELLIOT</v>
          </cell>
          <cell r="F278" t="str">
            <v>女装-外套-冲锋衣</v>
          </cell>
          <cell r="G278" t="str">
            <v>一品一商</v>
          </cell>
          <cell r="H278" t="str">
            <v>品牌直发</v>
          </cell>
          <cell r="I278">
            <v>0</v>
          </cell>
        </row>
        <row r="279">
          <cell r="D279">
            <v>112321426</v>
          </cell>
          <cell r="E279" t="str">
            <v>伯希和/PELLIOT</v>
          </cell>
          <cell r="F279" t="str">
            <v>女装-长裙-休闲长裙</v>
          </cell>
          <cell r="G279" t="str">
            <v>一品一商</v>
          </cell>
          <cell r="H279" t="str">
            <v>品牌直发</v>
          </cell>
          <cell r="I279">
            <v>0</v>
          </cell>
        </row>
        <row r="280">
          <cell r="D280">
            <v>12321502</v>
          </cell>
          <cell r="E280" t="str">
            <v>伯希和/PELLIOT</v>
          </cell>
          <cell r="F280" t="str">
            <v>女装-上衣-Polo衫</v>
          </cell>
          <cell r="G280" t="str">
            <v>一品一商</v>
          </cell>
          <cell r="H280" t="str">
            <v>品牌直发</v>
          </cell>
          <cell r="I280">
            <v>0</v>
          </cell>
        </row>
        <row r="281">
          <cell r="D281">
            <v>12130710</v>
          </cell>
          <cell r="E281" t="str">
            <v>伯希和/PELLIOT</v>
          </cell>
          <cell r="F281" t="str">
            <v>女装-长裤-软壳裤</v>
          </cell>
          <cell r="G281" t="str">
            <v>一品一商</v>
          </cell>
          <cell r="H281" t="str">
            <v>品牌直发</v>
          </cell>
          <cell r="I281">
            <v>0</v>
          </cell>
        </row>
        <row r="282">
          <cell r="D282">
            <v>11130701</v>
          </cell>
          <cell r="E282" t="str">
            <v>伯希和/PELLIOT</v>
          </cell>
          <cell r="F282" t="str">
            <v>服装-长裤-软壳裤</v>
          </cell>
          <cell r="G282" t="str">
            <v>一品多商</v>
          </cell>
          <cell r="H282" t="str">
            <v>品牌直发</v>
          </cell>
          <cell r="I282">
            <v>0</v>
          </cell>
        </row>
        <row r="283">
          <cell r="D283">
            <v>11231103</v>
          </cell>
          <cell r="E283" t="str">
            <v>伯希和/PELLIOT</v>
          </cell>
          <cell r="F283" t="str">
            <v>服装-户外运动服-抓绒裤</v>
          </cell>
          <cell r="G283" t="str">
            <v>一品一商</v>
          </cell>
          <cell r="H283" t="str">
            <v>品牌直发</v>
          </cell>
          <cell r="I283">
            <v>0</v>
          </cell>
        </row>
        <row r="284">
          <cell r="D284">
            <v>12221536</v>
          </cell>
          <cell r="E284" t="str">
            <v>伯希和/PELLIOT</v>
          </cell>
          <cell r="F284" t="str">
            <v>女装-户外运动服-速干T恤</v>
          </cell>
          <cell r="G284" t="str">
            <v>一品一商</v>
          </cell>
          <cell r="H284" t="str">
            <v>品牌直发</v>
          </cell>
          <cell r="I284">
            <v>0</v>
          </cell>
        </row>
        <row r="285">
          <cell r="D285">
            <v>12830708</v>
          </cell>
          <cell r="E285" t="str">
            <v>伯希和/PELLIOT</v>
          </cell>
          <cell r="F285" t="str">
            <v>女装-长裤-软壳裤</v>
          </cell>
          <cell r="G285" t="str">
            <v>一品多商</v>
          </cell>
          <cell r="H285" t="str">
            <v>品牌直发</v>
          </cell>
          <cell r="I285">
            <v>0</v>
          </cell>
        </row>
        <row r="286">
          <cell r="D286">
            <v>12321402</v>
          </cell>
          <cell r="E286" t="str">
            <v>伯希和/PELLIOT</v>
          </cell>
          <cell r="F286" t="str">
            <v>女装-户外运动服-速干裤</v>
          </cell>
          <cell r="G286" t="str">
            <v>一品一商</v>
          </cell>
          <cell r="H286" t="str">
            <v>品牌直发</v>
          </cell>
          <cell r="I286">
            <v>0</v>
          </cell>
        </row>
        <row r="287">
          <cell r="D287">
            <v>12231104</v>
          </cell>
          <cell r="E287" t="str">
            <v>伯希和/PELLIOT</v>
          </cell>
          <cell r="F287" t="str">
            <v>女装-户外运动服-抓绒裤</v>
          </cell>
          <cell r="G287" t="str">
            <v>一品一商</v>
          </cell>
          <cell r="H287" t="str">
            <v>品牌直发</v>
          </cell>
          <cell r="I287">
            <v>0</v>
          </cell>
        </row>
        <row r="288">
          <cell r="D288">
            <v>115107016</v>
          </cell>
          <cell r="E288" t="str">
            <v>伯希和/PELLIOT</v>
          </cell>
          <cell r="F288" t="str">
            <v>服装-长裤-软壳裤</v>
          </cell>
          <cell r="G288" t="str">
            <v>一品多商</v>
          </cell>
          <cell r="H288" t="str">
            <v>品牌直发</v>
          </cell>
          <cell r="I288">
            <v>0</v>
          </cell>
        </row>
        <row r="289">
          <cell r="D289">
            <v>12131106</v>
          </cell>
          <cell r="E289" t="str">
            <v>伯希和/PELLIOT</v>
          </cell>
          <cell r="F289" t="str">
            <v>女装-户外运动服-抓绒裤</v>
          </cell>
          <cell r="G289" t="str">
            <v>一品一商</v>
          </cell>
          <cell r="H289" t="str">
            <v>品牌直发</v>
          </cell>
          <cell r="I289">
            <v>0</v>
          </cell>
        </row>
        <row r="290">
          <cell r="D290">
            <v>11321401</v>
          </cell>
          <cell r="E290" t="str">
            <v>伯希和/PELLIOT</v>
          </cell>
          <cell r="F290" t="str">
            <v>服装-户外运动服-速干裤</v>
          </cell>
          <cell r="G290" t="str">
            <v>一品一商</v>
          </cell>
          <cell r="H290" t="str">
            <v>品牌直发</v>
          </cell>
          <cell r="I290">
            <v>0</v>
          </cell>
        </row>
        <row r="291">
          <cell r="D291">
            <v>11830603</v>
          </cell>
          <cell r="E291" t="str">
            <v>伯希和/PELLIOT</v>
          </cell>
          <cell r="F291" t="str">
            <v>服装-外套-软壳衣</v>
          </cell>
          <cell r="G291" t="str">
            <v>一品多商</v>
          </cell>
          <cell r="H291" t="str">
            <v>品牌直发</v>
          </cell>
          <cell r="I291">
            <v>0</v>
          </cell>
        </row>
        <row r="292">
          <cell r="D292">
            <v>12830604</v>
          </cell>
          <cell r="E292" t="str">
            <v>伯希和/PELLIOT</v>
          </cell>
          <cell r="F292" t="str">
            <v>女装-外套-软壳衣</v>
          </cell>
          <cell r="G292" t="str">
            <v>一品多商</v>
          </cell>
          <cell r="H292" t="str">
            <v>品牌直发</v>
          </cell>
          <cell r="I292">
            <v>0</v>
          </cell>
        </row>
        <row r="293">
          <cell r="D293">
            <v>12321406</v>
          </cell>
          <cell r="E293" t="str">
            <v>伯希和/PELLIOT</v>
          </cell>
          <cell r="F293" t="str">
            <v>女装-户外运动服-速干裤</v>
          </cell>
          <cell r="G293" t="str">
            <v>一品一商</v>
          </cell>
          <cell r="H293" t="str">
            <v>品牌直发</v>
          </cell>
          <cell r="I293">
            <v>0</v>
          </cell>
        </row>
        <row r="294">
          <cell r="D294">
            <v>11021509</v>
          </cell>
          <cell r="E294" t="str">
            <v>伯希和/PELLIOT</v>
          </cell>
          <cell r="F294" t="str">
            <v>服装-上衣-T恤</v>
          </cell>
          <cell r="G294" t="str">
            <v>一品一商</v>
          </cell>
          <cell r="H294" t="str">
            <v>品牌直发</v>
          </cell>
          <cell r="I294">
            <v>0</v>
          </cell>
        </row>
        <row r="295">
          <cell r="D295">
            <v>12213804</v>
          </cell>
          <cell r="E295" t="str">
            <v>伯希和/PELLIOT</v>
          </cell>
          <cell r="F295" t="str">
            <v>女装-长裤-休闲裤</v>
          </cell>
          <cell r="G295" t="str">
            <v>一品一商</v>
          </cell>
          <cell r="H295" t="str">
            <v>品牌直发</v>
          </cell>
          <cell r="I295">
            <v>0</v>
          </cell>
        </row>
        <row r="296">
          <cell r="D296">
            <v>12230702</v>
          </cell>
          <cell r="E296" t="str">
            <v>伯希和/PELLIOT</v>
          </cell>
          <cell r="F296" t="str">
            <v>女装-长裤-软壳裤</v>
          </cell>
          <cell r="G296" t="str">
            <v>一品多商</v>
          </cell>
          <cell r="H296" t="str">
            <v>品牌直发</v>
          </cell>
          <cell r="I296">
            <v>0</v>
          </cell>
        </row>
        <row r="297">
          <cell r="D297">
            <v>12033806</v>
          </cell>
          <cell r="E297" t="str">
            <v>伯希和/PELLIOT</v>
          </cell>
          <cell r="F297" t="str">
            <v>女装-长裤-休闲裤</v>
          </cell>
          <cell r="G297" t="str">
            <v>一品一商</v>
          </cell>
          <cell r="H297" t="str">
            <v>品牌直发</v>
          </cell>
          <cell r="I297">
            <v>0</v>
          </cell>
        </row>
        <row r="298">
          <cell r="D298">
            <v>112040112</v>
          </cell>
          <cell r="E298" t="str">
            <v>伯希和/PELLIOT</v>
          </cell>
          <cell r="F298" t="str">
            <v>女装-外套-冲锋衣</v>
          </cell>
          <cell r="G298" t="str">
            <v>一品一商</v>
          </cell>
          <cell r="H298" t="str">
            <v>品牌直发</v>
          </cell>
          <cell r="I298">
            <v>0</v>
          </cell>
        </row>
        <row r="299">
          <cell r="D299">
            <v>11230701</v>
          </cell>
          <cell r="E299" t="str">
            <v>伯希和/PELLIOT</v>
          </cell>
          <cell r="F299" t="str">
            <v>服装-长裤-软壳裤</v>
          </cell>
          <cell r="G299" t="str">
            <v>一品多商</v>
          </cell>
          <cell r="H299" t="str">
            <v>品牌直发</v>
          </cell>
          <cell r="I299">
            <v>0</v>
          </cell>
        </row>
        <row r="300">
          <cell r="D300">
            <v>11231443</v>
          </cell>
          <cell r="E300" t="str">
            <v>伯希和/PELLIOT</v>
          </cell>
          <cell r="F300" t="str">
            <v>服装-户外运动服-速干裤</v>
          </cell>
          <cell r="G300" t="str">
            <v>一品一商</v>
          </cell>
          <cell r="H300" t="str">
            <v>品牌直发</v>
          </cell>
          <cell r="I300">
            <v>0</v>
          </cell>
        </row>
        <row r="301">
          <cell r="D301">
            <v>12215104</v>
          </cell>
          <cell r="E301" t="str">
            <v>伯希和/PELLIOT</v>
          </cell>
          <cell r="F301" t="str">
            <v>女装-外套-夹克</v>
          </cell>
          <cell r="G301" t="str">
            <v>一品一商</v>
          </cell>
          <cell r="H301" t="str">
            <v>品牌直发</v>
          </cell>
          <cell r="I301">
            <v>0</v>
          </cell>
        </row>
        <row r="302">
          <cell r="D302">
            <v>112213710</v>
          </cell>
          <cell r="E302" t="str">
            <v>伯希和/PELLIOT</v>
          </cell>
          <cell r="F302" t="str">
            <v>服装-上衣-卫衣</v>
          </cell>
          <cell r="G302" t="str">
            <v>一品一商</v>
          </cell>
          <cell r="H302" t="str">
            <v>品牌直发</v>
          </cell>
          <cell r="I302">
            <v>0</v>
          </cell>
        </row>
        <row r="303">
          <cell r="D303">
            <v>111240115</v>
          </cell>
          <cell r="E303" t="str">
            <v>伯希和/PELLIOT</v>
          </cell>
          <cell r="F303" t="str">
            <v>服装-外套-冲锋衣</v>
          </cell>
          <cell r="G303" t="str">
            <v>一品一商</v>
          </cell>
          <cell r="H303" t="str">
            <v>品牌直发</v>
          </cell>
          <cell r="I303">
            <v>0</v>
          </cell>
        </row>
        <row r="304">
          <cell r="D304">
            <v>12321204</v>
          </cell>
          <cell r="E304" t="str">
            <v>伯希和/PELLIOT</v>
          </cell>
          <cell r="F304" t="str">
            <v>女装-外套-防晒服</v>
          </cell>
          <cell r="G304" t="str">
            <v>一品一商</v>
          </cell>
          <cell r="H304" t="str">
            <v>品牌直发</v>
          </cell>
          <cell r="I304">
            <v>0</v>
          </cell>
        </row>
        <row r="305">
          <cell r="D305">
            <v>11240203</v>
          </cell>
          <cell r="E305" t="str">
            <v>伯希和/PELLIOT</v>
          </cell>
          <cell r="F305" t="str">
            <v>服装-长裤-冲锋裤</v>
          </cell>
          <cell r="G305" t="str">
            <v>一品多商</v>
          </cell>
          <cell r="H305" t="str">
            <v>品牌直发</v>
          </cell>
          <cell r="I305">
            <v>0</v>
          </cell>
        </row>
        <row r="306">
          <cell r="D306">
            <v>11040107</v>
          </cell>
          <cell r="E306" t="str">
            <v>伯希和/PELLIOT</v>
          </cell>
          <cell r="F306" t="str">
            <v>服装-外套-冲锋衣</v>
          </cell>
          <cell r="G306" t="str">
            <v>一品多商</v>
          </cell>
          <cell r="H306" t="str">
            <v>品牌直发</v>
          </cell>
          <cell r="I306">
            <v>0</v>
          </cell>
        </row>
        <row r="307">
          <cell r="D307">
            <v>12221522</v>
          </cell>
          <cell r="E307" t="str">
            <v>伯希和/PELLIOT</v>
          </cell>
          <cell r="F307" t="str">
            <v>女装-户外运动服-跑步T恤</v>
          </cell>
          <cell r="G307" t="str">
            <v>一品一商</v>
          </cell>
          <cell r="H307" t="str">
            <v>品牌直发</v>
          </cell>
          <cell r="I307">
            <v>0</v>
          </cell>
        </row>
        <row r="308">
          <cell r="D308">
            <v>12230618</v>
          </cell>
          <cell r="E308" t="str">
            <v>伯希和/PELLIOT</v>
          </cell>
          <cell r="F308" t="str">
            <v>女装-外套-软壳衣</v>
          </cell>
          <cell r="G308" t="str">
            <v>一品一商</v>
          </cell>
          <cell r="H308" t="str">
            <v>品牌直发</v>
          </cell>
          <cell r="I308">
            <v>0</v>
          </cell>
        </row>
        <row r="309">
          <cell r="D309">
            <v>12130608</v>
          </cell>
          <cell r="E309" t="str">
            <v>伯希和/PELLIOT</v>
          </cell>
          <cell r="F309" t="str">
            <v>女装-外套-软壳衣</v>
          </cell>
          <cell r="G309" t="str">
            <v>一品多商</v>
          </cell>
          <cell r="H309" t="str">
            <v>品牌直发</v>
          </cell>
          <cell r="I309">
            <v>0</v>
          </cell>
        </row>
        <row r="310">
          <cell r="D310">
            <v>12313706</v>
          </cell>
          <cell r="E310" t="str">
            <v>伯希和/PELLIOT</v>
          </cell>
          <cell r="F310" t="str">
            <v>女装-上衣-卫衣</v>
          </cell>
          <cell r="G310" t="str">
            <v>一品一商</v>
          </cell>
          <cell r="H310" t="str">
            <v>品牌直发</v>
          </cell>
          <cell r="I310">
            <v>0</v>
          </cell>
        </row>
        <row r="311">
          <cell r="D311">
            <v>11213803</v>
          </cell>
          <cell r="E311" t="str">
            <v>伯希和/PELLIOT</v>
          </cell>
          <cell r="F311" t="str">
            <v>服装-长裤-针织运动裤</v>
          </cell>
          <cell r="G311" t="str">
            <v>一品一商</v>
          </cell>
          <cell r="H311" t="str">
            <v>品牌直发</v>
          </cell>
          <cell r="I311">
            <v>0</v>
          </cell>
        </row>
        <row r="312">
          <cell r="D312">
            <v>12221504</v>
          </cell>
          <cell r="E312" t="str">
            <v>伯希和/PELLIOT</v>
          </cell>
          <cell r="F312" t="str">
            <v>女装-上衣-T恤</v>
          </cell>
          <cell r="G312" t="str">
            <v>一品一商</v>
          </cell>
          <cell r="H312" t="str">
            <v>品牌直发</v>
          </cell>
          <cell r="I312">
            <v>0</v>
          </cell>
        </row>
        <row r="313">
          <cell r="D313">
            <v>12031016</v>
          </cell>
          <cell r="E313" t="str">
            <v>伯希和/PELLIOT</v>
          </cell>
          <cell r="F313" t="str">
            <v>女装-户外运动服-抓绒衣</v>
          </cell>
          <cell r="G313" t="str">
            <v>一品一商</v>
          </cell>
          <cell r="H313" t="str">
            <v>品牌直发</v>
          </cell>
          <cell r="I313">
            <v>0</v>
          </cell>
        </row>
        <row r="314">
          <cell r="D314">
            <v>12131022</v>
          </cell>
          <cell r="E314" t="str">
            <v>伯希和/PELLIOT</v>
          </cell>
          <cell r="F314" t="str">
            <v>女装-户外运动服-抓绒衣</v>
          </cell>
          <cell r="G314" t="str">
            <v>一品一商</v>
          </cell>
          <cell r="H314" t="str">
            <v>品牌直发</v>
          </cell>
          <cell r="I314">
            <v>0</v>
          </cell>
        </row>
        <row r="315">
          <cell r="D315">
            <v>112140110</v>
          </cell>
          <cell r="E315" t="str">
            <v>伯希和/PELLIOT</v>
          </cell>
          <cell r="F315" t="str">
            <v>女装-外套-冲锋衣</v>
          </cell>
          <cell r="G315" t="str">
            <v>一品一商</v>
          </cell>
          <cell r="H315" t="str">
            <v>品牌直发</v>
          </cell>
          <cell r="I315">
            <v>0</v>
          </cell>
        </row>
        <row r="316">
          <cell r="D316">
            <v>12121218</v>
          </cell>
          <cell r="E316" t="str">
            <v>伯希和/PELLIOT</v>
          </cell>
          <cell r="F316" t="str">
            <v>女装-外套-防晒服</v>
          </cell>
          <cell r="G316" t="str">
            <v>一品一商</v>
          </cell>
          <cell r="H316" t="str">
            <v>品牌直发</v>
          </cell>
          <cell r="I316">
            <v>0</v>
          </cell>
        </row>
        <row r="317">
          <cell r="D317">
            <v>16804501</v>
          </cell>
          <cell r="E317" t="str">
            <v>伯希和/PELLIOT</v>
          </cell>
          <cell r="F317" t="str">
            <v>户外装备-露营/野炊装备-秋千</v>
          </cell>
          <cell r="G317" t="str">
            <v>一品多商</v>
          </cell>
          <cell r="H317" t="str">
            <v>普通现货</v>
          </cell>
          <cell r="I317">
            <v>0</v>
          </cell>
        </row>
        <row r="318">
          <cell r="D318">
            <v>11221203</v>
          </cell>
          <cell r="E318" t="str">
            <v>伯希和/PELLIOT</v>
          </cell>
          <cell r="F318" t="str">
            <v>服装-外套-防晒服</v>
          </cell>
          <cell r="G318" t="str">
            <v>一品一商</v>
          </cell>
          <cell r="H318" t="str">
            <v>品牌直发</v>
          </cell>
          <cell r="I318">
            <v>0</v>
          </cell>
        </row>
        <row r="319">
          <cell r="D319">
            <v>12221202</v>
          </cell>
          <cell r="E319" t="str">
            <v>伯希和/PELLIOT</v>
          </cell>
          <cell r="F319" t="str">
            <v>女装-外套-防晒服</v>
          </cell>
          <cell r="G319" t="str">
            <v>一品多商</v>
          </cell>
          <cell r="H319" t="str">
            <v>品牌直发</v>
          </cell>
          <cell r="I319">
            <v>0</v>
          </cell>
        </row>
        <row r="320">
          <cell r="D320">
            <v>12215102</v>
          </cell>
          <cell r="E320" t="str">
            <v>伯希和/PELLIOT</v>
          </cell>
          <cell r="F320" t="str">
            <v>女装-外套-夹克</v>
          </cell>
          <cell r="G320" t="str">
            <v>一品一商</v>
          </cell>
          <cell r="H320" t="str">
            <v>品牌直发</v>
          </cell>
          <cell r="I320">
            <v>0</v>
          </cell>
        </row>
        <row r="321">
          <cell r="D321">
            <v>12121412</v>
          </cell>
          <cell r="E321" t="str">
            <v>伯希和/PELLIOT</v>
          </cell>
          <cell r="F321" t="str">
            <v>女装-户外运动服-速干裤</v>
          </cell>
          <cell r="G321" t="str">
            <v>一品多商</v>
          </cell>
          <cell r="H321" t="str">
            <v>品牌直发</v>
          </cell>
          <cell r="I321">
            <v>0</v>
          </cell>
        </row>
        <row r="322">
          <cell r="D322">
            <v>12231006</v>
          </cell>
          <cell r="E322" t="str">
            <v>伯希和/PELLIOT</v>
          </cell>
          <cell r="F322" t="str">
            <v>女装-户外运动服-抓绒衣</v>
          </cell>
          <cell r="G322" t="str">
            <v>一品一商</v>
          </cell>
          <cell r="H322" t="str">
            <v>品牌直发</v>
          </cell>
          <cell r="I322">
            <v>0</v>
          </cell>
        </row>
        <row r="323">
          <cell r="D323">
            <v>12231004</v>
          </cell>
          <cell r="E323" t="str">
            <v>伯希和/PELLIOT</v>
          </cell>
          <cell r="F323" t="str">
            <v>女装-户外运动服-抓绒衣</v>
          </cell>
          <cell r="G323" t="str">
            <v>一品一商</v>
          </cell>
          <cell r="H323" t="str">
            <v>品牌直发</v>
          </cell>
          <cell r="I323">
            <v>0</v>
          </cell>
        </row>
        <row r="324">
          <cell r="D324">
            <v>12321222</v>
          </cell>
          <cell r="E324" t="str">
            <v>伯希和/PELLIOT</v>
          </cell>
          <cell r="F324" t="str">
            <v>女装-外套-防晒服</v>
          </cell>
          <cell r="G324" t="str">
            <v>一品多商</v>
          </cell>
          <cell r="H324" t="str">
            <v>品牌直发</v>
          </cell>
          <cell r="I324">
            <v>0</v>
          </cell>
        </row>
        <row r="325">
          <cell r="D325">
            <v>12131006</v>
          </cell>
          <cell r="E325" t="str">
            <v>伯希和/PELLIOT</v>
          </cell>
          <cell r="F325" t="str">
            <v>女装-户外运动服-抓绒衣</v>
          </cell>
          <cell r="G325" t="str">
            <v>一品一商</v>
          </cell>
          <cell r="H325" t="str">
            <v>普通现货</v>
          </cell>
          <cell r="I325">
            <v>0</v>
          </cell>
        </row>
        <row r="326">
          <cell r="D326">
            <v>12230706</v>
          </cell>
          <cell r="E326" t="str">
            <v>伯希和/PELLIOT</v>
          </cell>
          <cell r="F326" t="str">
            <v>女装-长裤-软壳裤</v>
          </cell>
          <cell r="G326" t="str">
            <v>一品多商</v>
          </cell>
          <cell r="H326" t="str">
            <v>品牌直发</v>
          </cell>
          <cell r="I326">
            <v>0</v>
          </cell>
        </row>
        <row r="327">
          <cell r="D327">
            <v>11240121</v>
          </cell>
          <cell r="E327" t="str">
            <v>伯希和/PELLIOT</v>
          </cell>
          <cell r="F327" t="str">
            <v>服装-外套-冲锋衣</v>
          </cell>
          <cell r="G327" t="str">
            <v>一品一商</v>
          </cell>
          <cell r="H327" t="str">
            <v>品牌直发</v>
          </cell>
          <cell r="I327">
            <v>0</v>
          </cell>
        </row>
        <row r="328">
          <cell r="D328">
            <v>12231016</v>
          </cell>
          <cell r="E328" t="str">
            <v>伯希和/PELLIOT</v>
          </cell>
          <cell r="F328" t="str">
            <v>女装-户外运动服-抓绒衣</v>
          </cell>
          <cell r="G328" t="str">
            <v>一品一商</v>
          </cell>
          <cell r="H328" t="str">
            <v>品牌直发</v>
          </cell>
          <cell r="I328">
            <v>0</v>
          </cell>
        </row>
        <row r="329">
          <cell r="D329">
            <v>12231032</v>
          </cell>
          <cell r="E329" t="str">
            <v>伯希和/PELLIOT</v>
          </cell>
          <cell r="F329" t="str">
            <v>女装-户外运动服-抓绒衣</v>
          </cell>
          <cell r="G329" t="str">
            <v>一品一商</v>
          </cell>
          <cell r="H329" t="str">
            <v>品牌直发</v>
          </cell>
          <cell r="I329">
            <v>0</v>
          </cell>
        </row>
        <row r="330">
          <cell r="D330">
            <v>12231802</v>
          </cell>
          <cell r="E330" t="str">
            <v>伯希和/PELLIOT</v>
          </cell>
          <cell r="F330" t="str">
            <v>内衣-内衣裤-保暖套装</v>
          </cell>
          <cell r="G330" t="str">
            <v>一品一商</v>
          </cell>
          <cell r="H330" t="str">
            <v>品牌直发</v>
          </cell>
          <cell r="I330">
            <v>0</v>
          </cell>
        </row>
        <row r="331">
          <cell r="D331">
            <v>12240834</v>
          </cell>
          <cell r="E331" t="str">
            <v>伯希和/PELLIOT</v>
          </cell>
          <cell r="F331" t="str">
            <v>女装-外套-羽绒服</v>
          </cell>
          <cell r="G331" t="str">
            <v>一品多商</v>
          </cell>
          <cell r="H331" t="str">
            <v>品牌直发</v>
          </cell>
          <cell r="I331">
            <v>0</v>
          </cell>
        </row>
        <row r="332">
          <cell r="D332">
            <v>11140809</v>
          </cell>
          <cell r="E332" t="str">
            <v>伯希和/PELLIOT</v>
          </cell>
          <cell r="F332" t="str">
            <v>服装-外套-羽绒服</v>
          </cell>
          <cell r="G332" t="str">
            <v>一品多商</v>
          </cell>
          <cell r="H332" t="str">
            <v>品牌直发</v>
          </cell>
          <cell r="I332">
            <v>0</v>
          </cell>
        </row>
        <row r="333">
          <cell r="D333">
            <v>12140810</v>
          </cell>
          <cell r="E333" t="str">
            <v>伯希和/PELLIOT</v>
          </cell>
          <cell r="F333" t="str">
            <v>女装-外套-羽绒服</v>
          </cell>
          <cell r="G333" t="str">
            <v>一品多商</v>
          </cell>
          <cell r="H333" t="str">
            <v>品牌直发</v>
          </cell>
          <cell r="I333">
            <v>0</v>
          </cell>
        </row>
        <row r="334">
          <cell r="D334">
            <v>12740808</v>
          </cell>
          <cell r="E334" t="str">
            <v>伯希和/PELLIOT</v>
          </cell>
          <cell r="F334" t="str">
            <v>服装-外套-羽绒服</v>
          </cell>
          <cell r="G334" t="str">
            <v>一品一商</v>
          </cell>
          <cell r="H334" t="str">
            <v>品牌直发</v>
          </cell>
          <cell r="I334">
            <v>0</v>
          </cell>
        </row>
        <row r="335">
          <cell r="D335">
            <v>11140813</v>
          </cell>
          <cell r="E335" t="str">
            <v>伯希和/PELLIOT</v>
          </cell>
          <cell r="F335" t="str">
            <v>服装-外套-羽绒服</v>
          </cell>
          <cell r="G335" t="str">
            <v>一品多商</v>
          </cell>
          <cell r="H335" t="str">
            <v>品牌直发</v>
          </cell>
          <cell r="I335">
            <v>0</v>
          </cell>
        </row>
        <row r="336">
          <cell r="D336">
            <v>11240301</v>
          </cell>
          <cell r="E336" t="str">
            <v>伯希和/PELLIOT</v>
          </cell>
          <cell r="F336" t="str">
            <v>服装-外套-棉服</v>
          </cell>
          <cell r="G336" t="str">
            <v>一品多商</v>
          </cell>
          <cell r="H336" t="str">
            <v>品牌直发</v>
          </cell>
          <cell r="I336">
            <v>0</v>
          </cell>
        </row>
        <row r="337">
          <cell r="D337">
            <v>12140814</v>
          </cell>
          <cell r="E337" t="str">
            <v>伯希和/PELLIOT</v>
          </cell>
          <cell r="F337" t="str">
            <v>女装-外套-羽绒服</v>
          </cell>
          <cell r="G337" t="str">
            <v>一品多商</v>
          </cell>
          <cell r="H337" t="str">
            <v>品牌直发</v>
          </cell>
          <cell r="I337">
            <v>0</v>
          </cell>
        </row>
        <row r="338">
          <cell r="D338">
            <v>12140804</v>
          </cell>
          <cell r="E338" t="str">
            <v>伯希和/PELLIOT</v>
          </cell>
          <cell r="F338" t="str">
            <v>女装-外套-羽绒服</v>
          </cell>
          <cell r="G338" t="str">
            <v>一品一商</v>
          </cell>
          <cell r="H338" t="str">
            <v>品牌直发</v>
          </cell>
          <cell r="I338">
            <v>0</v>
          </cell>
        </row>
        <row r="339">
          <cell r="D339">
            <v>12131802</v>
          </cell>
          <cell r="E339" t="str">
            <v>伯希和/PELLIOT</v>
          </cell>
          <cell r="F339" t="str">
            <v>内衣-内衣裤-保暖套装</v>
          </cell>
          <cell r="G339" t="str">
            <v>一品一商</v>
          </cell>
          <cell r="H339" t="str">
            <v>品牌直发</v>
          </cell>
          <cell r="I339">
            <v>0</v>
          </cell>
        </row>
        <row r="340">
          <cell r="D340">
            <v>11240823</v>
          </cell>
          <cell r="E340" t="str">
            <v>伯希和/PELLIOT</v>
          </cell>
          <cell r="F340" t="str">
            <v>服装-外套-羽绒服</v>
          </cell>
          <cell r="G340" t="str">
            <v>一品多商</v>
          </cell>
          <cell r="H340" t="str">
            <v>品牌直发</v>
          </cell>
          <cell r="I340">
            <v>0</v>
          </cell>
        </row>
        <row r="341">
          <cell r="D341">
            <v>11140101</v>
          </cell>
          <cell r="E341" t="str">
            <v>伯希和/PELLIOT</v>
          </cell>
          <cell r="F341" t="str">
            <v>服装-外套-冲锋衣</v>
          </cell>
          <cell r="G341" t="str">
            <v>一品多商</v>
          </cell>
          <cell r="H341" t="str">
            <v>品牌直发</v>
          </cell>
          <cell r="I341">
            <v>0</v>
          </cell>
        </row>
        <row r="342">
          <cell r="D342">
            <v>12140102</v>
          </cell>
          <cell r="E342" t="str">
            <v>伯希和/PELLIOT</v>
          </cell>
          <cell r="F342" t="str">
            <v>女装-外套-冲锋衣</v>
          </cell>
          <cell r="G342" t="str">
            <v>一品多商</v>
          </cell>
          <cell r="H342" t="str">
            <v>品牌直发</v>
          </cell>
          <cell r="I342">
            <v>0</v>
          </cell>
        </row>
        <row r="343">
          <cell r="D343">
            <v>11140121</v>
          </cell>
          <cell r="E343" t="str">
            <v>伯希和/PELLIOT</v>
          </cell>
          <cell r="F343" t="str">
            <v>服装-外套-冲锋衣</v>
          </cell>
          <cell r="G343" t="str">
            <v>一品一商</v>
          </cell>
          <cell r="H343" t="str">
            <v>品牌直发</v>
          </cell>
          <cell r="I343">
            <v>0</v>
          </cell>
        </row>
        <row r="344">
          <cell r="D344">
            <v>11240828</v>
          </cell>
          <cell r="E344" t="str">
            <v>伯希和/PELLIOT</v>
          </cell>
          <cell r="F344" t="str">
            <v>女装-外套-羽绒服</v>
          </cell>
          <cell r="G344" t="str">
            <v>一品一商</v>
          </cell>
          <cell r="H344" t="str">
            <v>品牌直发</v>
          </cell>
          <cell r="I344">
            <v>0</v>
          </cell>
        </row>
        <row r="345">
          <cell r="D345">
            <v>114408279</v>
          </cell>
          <cell r="E345" t="str">
            <v>伯希和/PELLIOT</v>
          </cell>
          <cell r="F345" t="str">
            <v>服装-外套-羽绒服</v>
          </cell>
          <cell r="G345" t="str">
            <v>一品多商</v>
          </cell>
          <cell r="H345" t="str">
            <v>品牌直发</v>
          </cell>
          <cell r="I345">
            <v>0</v>
          </cell>
        </row>
        <row r="346">
          <cell r="D346">
            <v>12240822</v>
          </cell>
          <cell r="E346" t="str">
            <v>伯希和/PELLIOT</v>
          </cell>
          <cell r="F346" t="str">
            <v>女装-外套-羽绒服</v>
          </cell>
          <cell r="G346" t="str">
            <v>一品多商</v>
          </cell>
          <cell r="H346" t="str">
            <v>品牌直发</v>
          </cell>
          <cell r="I346">
            <v>0</v>
          </cell>
        </row>
        <row r="347">
          <cell r="D347">
            <v>12231022</v>
          </cell>
          <cell r="E347" t="str">
            <v>伯希和/PELLIOT</v>
          </cell>
          <cell r="F347" t="str">
            <v>服装-户外运动服-抓绒衣</v>
          </cell>
          <cell r="G347" t="str">
            <v>一品一商</v>
          </cell>
          <cell r="H347" t="str">
            <v>品牌直发</v>
          </cell>
          <cell r="I347">
            <v>0</v>
          </cell>
        </row>
        <row r="348">
          <cell r="D348">
            <v>12231024</v>
          </cell>
          <cell r="E348" t="str">
            <v>伯希和/PELLIOT</v>
          </cell>
          <cell r="F348" t="str">
            <v>服装-户外运动服-抓绒衣</v>
          </cell>
          <cell r="G348" t="str">
            <v>一品一商</v>
          </cell>
          <cell r="H348" t="str">
            <v>品牌直发</v>
          </cell>
          <cell r="I348">
            <v>0</v>
          </cell>
        </row>
        <row r="349">
          <cell r="D349">
            <v>11240821</v>
          </cell>
          <cell r="E349" t="str">
            <v>伯希和/PELLIOT</v>
          </cell>
          <cell r="F349" t="str">
            <v>服装-外套-羽绒服</v>
          </cell>
          <cell r="G349" t="str">
            <v>一品多商</v>
          </cell>
          <cell r="H349" t="str">
            <v>品牌直发</v>
          </cell>
          <cell r="I349">
            <v>0</v>
          </cell>
        </row>
        <row r="350">
          <cell r="D350">
            <v>12240112</v>
          </cell>
          <cell r="E350" t="str">
            <v>伯希和/PELLIOT</v>
          </cell>
          <cell r="F350" t="str">
            <v>女装-外套-冲锋衣</v>
          </cell>
          <cell r="G350" t="str">
            <v>一品多商</v>
          </cell>
          <cell r="H350" t="str">
            <v>品牌直发</v>
          </cell>
          <cell r="I350">
            <v>0</v>
          </cell>
        </row>
        <row r="351">
          <cell r="D351">
            <v>11240129</v>
          </cell>
          <cell r="E351" t="str">
            <v>伯希和/PELLIOT</v>
          </cell>
          <cell r="F351" t="str">
            <v>服装-外套-冲锋衣</v>
          </cell>
          <cell r="G351" t="str">
            <v>一品多商</v>
          </cell>
          <cell r="H351" t="str">
            <v>品牌直发</v>
          </cell>
          <cell r="I351">
            <v>0</v>
          </cell>
        </row>
        <row r="352">
          <cell r="D352">
            <v>11040139</v>
          </cell>
          <cell r="E352" t="str">
            <v>伯希和/PELLIOT</v>
          </cell>
          <cell r="F352" t="str">
            <v>服装-外套-冲锋衣</v>
          </cell>
          <cell r="G352" t="str">
            <v>一品一商</v>
          </cell>
          <cell r="H352" t="str">
            <v>品牌直发</v>
          </cell>
          <cell r="I352">
            <v>0</v>
          </cell>
        </row>
        <row r="353">
          <cell r="D353">
            <v>11231031</v>
          </cell>
          <cell r="E353" t="str">
            <v>伯希和/PELLIOT</v>
          </cell>
          <cell r="F353" t="str">
            <v>服装-户外运动服-抓绒衣</v>
          </cell>
          <cell r="G353" t="str">
            <v>一品一商</v>
          </cell>
          <cell r="H353" t="str">
            <v>品牌直发</v>
          </cell>
          <cell r="I353">
            <v>0</v>
          </cell>
        </row>
        <row r="354">
          <cell r="D354">
            <v>112240824</v>
          </cell>
          <cell r="E354" t="str">
            <v>伯希和/PELLIOT</v>
          </cell>
          <cell r="F354" t="str">
            <v>服装-外套-羽绒马甲</v>
          </cell>
          <cell r="G354" t="str">
            <v>一品一商</v>
          </cell>
          <cell r="H354" t="str">
            <v>品牌直发</v>
          </cell>
          <cell r="I354">
            <v>0</v>
          </cell>
        </row>
        <row r="355">
          <cell r="D355">
            <v>112240128</v>
          </cell>
          <cell r="E355" t="str">
            <v>伯希和/PELLIOT</v>
          </cell>
          <cell r="F355" t="str">
            <v>服装-外套-冲锋衣</v>
          </cell>
          <cell r="G355" t="str">
            <v>一品多商</v>
          </cell>
          <cell r="H355" t="str">
            <v>品牌直发</v>
          </cell>
          <cell r="I355">
            <v>0</v>
          </cell>
        </row>
        <row r="356">
          <cell r="D356">
            <v>111230705</v>
          </cell>
          <cell r="E356" t="str">
            <v>伯希和/PELLIOT</v>
          </cell>
          <cell r="F356" t="str">
            <v>服装-长裤-冲锋裤</v>
          </cell>
          <cell r="G356" t="str">
            <v>一品多商</v>
          </cell>
          <cell r="H356" t="str">
            <v>品牌直发</v>
          </cell>
          <cell r="I356">
            <v>0</v>
          </cell>
        </row>
        <row r="357">
          <cell r="D357">
            <v>11040105</v>
          </cell>
          <cell r="E357" t="str">
            <v>伯希和/PELLIOT</v>
          </cell>
          <cell r="F357" t="str">
            <v>服装-外套-冲锋衣</v>
          </cell>
          <cell r="G357" t="str">
            <v>一品多商</v>
          </cell>
          <cell r="H357" t="str">
            <v>品牌直发</v>
          </cell>
          <cell r="I357">
            <v>0</v>
          </cell>
        </row>
        <row r="358">
          <cell r="D358">
            <v>12040134</v>
          </cell>
          <cell r="E358" t="str">
            <v>伯希和/PELLIOT</v>
          </cell>
          <cell r="F358" t="str">
            <v>女装-外套-冲锋衣</v>
          </cell>
          <cell r="G358" t="str">
            <v>一品一商</v>
          </cell>
          <cell r="H358" t="str">
            <v>品牌直发</v>
          </cell>
          <cell r="I358">
            <v>0</v>
          </cell>
        </row>
        <row r="359">
          <cell r="D359">
            <v>11133703</v>
          </cell>
          <cell r="E359" t="str">
            <v>伯希和/PELLIOT</v>
          </cell>
          <cell r="F359" t="str">
            <v>服装-上衣-卫衣</v>
          </cell>
          <cell r="G359" t="str">
            <v>一品一商</v>
          </cell>
          <cell r="H359" t="str">
            <v>品牌直发</v>
          </cell>
          <cell r="I359">
            <v>0</v>
          </cell>
        </row>
        <row r="360">
          <cell r="D360">
            <v>12221528</v>
          </cell>
          <cell r="E360" t="str">
            <v>伯希和/PELLIOT</v>
          </cell>
          <cell r="F360" t="str">
            <v>女装-上衣-T恤</v>
          </cell>
          <cell r="G360" t="str">
            <v>一品一商</v>
          </cell>
          <cell r="H360" t="str">
            <v>品牌直发</v>
          </cell>
          <cell r="I360">
            <v>0</v>
          </cell>
        </row>
        <row r="361">
          <cell r="D361">
            <v>12140112</v>
          </cell>
          <cell r="E361" t="str">
            <v>伯希和/PELLIOT</v>
          </cell>
          <cell r="F361" t="str">
            <v>女装-外套-冲锋衣</v>
          </cell>
          <cell r="G361" t="str">
            <v>一品多商</v>
          </cell>
          <cell r="H361" t="str">
            <v>品牌直发</v>
          </cell>
          <cell r="I361">
            <v>0</v>
          </cell>
        </row>
        <row r="362">
          <cell r="D362">
            <v>11130709</v>
          </cell>
          <cell r="E362" t="str">
            <v>伯希和/PELLIOT</v>
          </cell>
          <cell r="F362" t="str">
            <v>服装-长裤-软壳裤</v>
          </cell>
          <cell r="G362" t="str">
            <v>一品一商</v>
          </cell>
          <cell r="H362" t="str">
            <v>品牌直发</v>
          </cell>
          <cell r="I362">
            <v>0</v>
          </cell>
        </row>
        <row r="363">
          <cell r="D363">
            <v>11121269</v>
          </cell>
          <cell r="E363" t="str">
            <v>伯希和/PELLIOT</v>
          </cell>
          <cell r="F363" t="str">
            <v>服装-外套-防晒服</v>
          </cell>
          <cell r="G363" t="str">
            <v>一品一商</v>
          </cell>
          <cell r="H363" t="str">
            <v>品牌直发</v>
          </cell>
          <cell r="I363">
            <v>0</v>
          </cell>
        </row>
        <row r="364">
          <cell r="D364">
            <v>11221219</v>
          </cell>
          <cell r="E364" t="str">
            <v>伯希和/PELLIOT</v>
          </cell>
          <cell r="F364" t="str">
            <v>服装-外套-防晒服</v>
          </cell>
          <cell r="G364" t="str">
            <v>一品多商</v>
          </cell>
          <cell r="H364" t="str">
            <v>品牌直发</v>
          </cell>
          <cell r="I364">
            <v>0</v>
          </cell>
        </row>
        <row r="365">
          <cell r="D365">
            <v>12221440</v>
          </cell>
          <cell r="E365" t="str">
            <v>伯希和/PELLIOT</v>
          </cell>
          <cell r="F365" t="str">
            <v>女装-户外运动服-速干裤</v>
          </cell>
          <cell r="G365" t="str">
            <v>一品一商</v>
          </cell>
          <cell r="H365" t="str">
            <v>品牌直发</v>
          </cell>
          <cell r="I365">
            <v>0</v>
          </cell>
        </row>
        <row r="366">
          <cell r="D366">
            <v>112221430</v>
          </cell>
          <cell r="E366" t="str">
            <v>伯希和/PELLIOT</v>
          </cell>
          <cell r="F366" t="str">
            <v>服装-户外运动服-速干裤</v>
          </cell>
          <cell r="G366" t="str">
            <v>一品一商</v>
          </cell>
          <cell r="H366" t="str">
            <v>品牌直发</v>
          </cell>
          <cell r="I366">
            <v>0</v>
          </cell>
        </row>
        <row r="367">
          <cell r="D367">
            <v>112221530</v>
          </cell>
          <cell r="E367" t="str">
            <v>伯希和/PELLIOT</v>
          </cell>
          <cell r="F367" t="str">
            <v>服装-上衣-T恤</v>
          </cell>
          <cell r="G367" t="str">
            <v>一品多商</v>
          </cell>
          <cell r="H367" t="str">
            <v>品牌直发</v>
          </cell>
          <cell r="I367">
            <v>0</v>
          </cell>
        </row>
        <row r="368">
          <cell r="D368" t="str">
            <v>16403641-2025</v>
          </cell>
          <cell r="E368" t="str">
            <v>伯希和/PELLIOT</v>
          </cell>
          <cell r="F368" t="str">
            <v>户外装备-徒步/攀登-登山杖/手杖</v>
          </cell>
          <cell r="G368" t="str">
            <v>一品一商</v>
          </cell>
          <cell r="H368" t="str">
            <v>品牌直发</v>
          </cell>
          <cell r="I368">
            <v>0</v>
          </cell>
        </row>
        <row r="369">
          <cell r="D369" t="str">
            <v>16003601-2025</v>
          </cell>
          <cell r="E369" t="str">
            <v>伯希和/PELLIOT</v>
          </cell>
          <cell r="F369" t="str">
            <v>户外装备-徒步/攀登-登山杖/手杖</v>
          </cell>
          <cell r="G369" t="str">
            <v>一品一商</v>
          </cell>
          <cell r="H369" t="str">
            <v>品牌直发</v>
          </cell>
          <cell r="I369">
            <v>0</v>
          </cell>
        </row>
        <row r="370">
          <cell r="D370" t="str">
            <v>16303650-2025</v>
          </cell>
          <cell r="E370" t="str">
            <v>伯希和/PELLIOT</v>
          </cell>
          <cell r="F370" t="str">
            <v>户外装备-徒步/攀登-登山杖/手杖</v>
          </cell>
          <cell r="G370" t="str">
            <v>一品一商</v>
          </cell>
          <cell r="H370" t="str">
            <v>普通现货</v>
          </cell>
          <cell r="I370">
            <v>0</v>
          </cell>
        </row>
        <row r="371">
          <cell r="D371">
            <v>115376009</v>
          </cell>
          <cell r="E371" t="str">
            <v>伯希和/PELLIOT</v>
          </cell>
          <cell r="F371" t="str">
            <v>服装-外套-棉服</v>
          </cell>
          <cell r="G371" t="str">
            <v>一品多商</v>
          </cell>
          <cell r="H371" t="str">
            <v>普通现货</v>
          </cell>
          <cell r="I371">
            <v>0</v>
          </cell>
        </row>
        <row r="372">
          <cell r="D372" t="str">
            <v>16403602-2025</v>
          </cell>
          <cell r="E372" t="str">
            <v>伯希和/PELLIOT</v>
          </cell>
          <cell r="F372" t="str">
            <v>户外装备-徒步/攀登-登山杖/手杖</v>
          </cell>
          <cell r="G372" t="str">
            <v>一品一商</v>
          </cell>
          <cell r="H372" t="str">
            <v>品牌直发</v>
          </cell>
          <cell r="I372">
            <v>0</v>
          </cell>
        </row>
        <row r="373">
          <cell r="D373" t="str">
            <v>16403644-2025</v>
          </cell>
          <cell r="E373" t="str">
            <v>伯希和/PELLIOT</v>
          </cell>
          <cell r="F373" t="str">
            <v>户外装备-徒步/攀登-登山杖/手杖</v>
          </cell>
          <cell r="G373" t="str">
            <v>一品一商</v>
          </cell>
          <cell r="H373" t="str">
            <v>品牌直发</v>
          </cell>
          <cell r="I373">
            <v>0</v>
          </cell>
        </row>
        <row r="374">
          <cell r="D374" t="str">
            <v>16105717-2025</v>
          </cell>
          <cell r="E374" t="str">
            <v>伯希和/PELLIOT</v>
          </cell>
          <cell r="F374" t="str">
            <v>户外装备-露营/野炊装备-户外折叠椅/凳</v>
          </cell>
          <cell r="G374" t="str">
            <v>一品一商</v>
          </cell>
          <cell r="H374" t="str">
            <v>品牌直发</v>
          </cell>
          <cell r="I374">
            <v>0</v>
          </cell>
        </row>
        <row r="375">
          <cell r="D375">
            <v>105025023</v>
          </cell>
          <cell r="E375" t="str">
            <v>伯希和/PELLIOT</v>
          </cell>
          <cell r="F375" t="str">
            <v>箱包-包袋-双肩包</v>
          </cell>
          <cell r="G375" t="str">
            <v>一品一商</v>
          </cell>
          <cell r="H375" t="str">
            <v>品牌直发</v>
          </cell>
          <cell r="I375">
            <v>0</v>
          </cell>
        </row>
        <row r="376">
          <cell r="D376">
            <v>165025027</v>
          </cell>
          <cell r="E376" t="str">
            <v>伯希和/PELLIOT</v>
          </cell>
          <cell r="F376" t="str">
            <v>箱包-包袋-户外包</v>
          </cell>
          <cell r="G376" t="str">
            <v>一品一商</v>
          </cell>
          <cell r="H376" t="str">
            <v>品牌直发</v>
          </cell>
          <cell r="I376">
            <v>0</v>
          </cell>
        </row>
        <row r="377">
          <cell r="D377" t="str">
            <v>125307006-2025</v>
          </cell>
          <cell r="E377" t="str">
            <v>伯希和/PELLIOT</v>
          </cell>
          <cell r="F377" t="str">
            <v>女装-长裤-软壳裤</v>
          </cell>
          <cell r="G377" t="str">
            <v>一品多商</v>
          </cell>
          <cell r="H377" t="str">
            <v>普通现货</v>
          </cell>
          <cell r="I377">
            <v>0</v>
          </cell>
        </row>
        <row r="378">
          <cell r="D378">
            <v>125316033</v>
          </cell>
          <cell r="E378" t="str">
            <v>伯希和/PELLIOT</v>
          </cell>
          <cell r="F378" t="str">
            <v>女装-上衣-T恤</v>
          </cell>
          <cell r="G378" t="str">
            <v>一品多商</v>
          </cell>
          <cell r="H378" t="str">
            <v>品牌直发</v>
          </cell>
          <cell r="I378">
            <v>0</v>
          </cell>
        </row>
        <row r="379">
          <cell r="D379" t="str">
            <v>124301006-2025</v>
          </cell>
          <cell r="E379" t="str">
            <v>伯希和/PELLIOT</v>
          </cell>
          <cell r="F379" t="str">
            <v>女装-外套-冲锋衣</v>
          </cell>
          <cell r="G379" t="str">
            <v>一品一商</v>
          </cell>
          <cell r="H379" t="str">
            <v>品牌直发</v>
          </cell>
          <cell r="I379">
            <v>0</v>
          </cell>
        </row>
        <row r="380">
          <cell r="D380" t="str">
            <v>124301070-2025</v>
          </cell>
          <cell r="E380" t="str">
            <v>伯希和/PELLIOT</v>
          </cell>
          <cell r="F380" t="str">
            <v>女装-外套-冲锋衣</v>
          </cell>
          <cell r="G380" t="str">
            <v>一品多商</v>
          </cell>
          <cell r="H380" t="str">
            <v>品牌直发</v>
          </cell>
          <cell r="I380">
            <v>0</v>
          </cell>
        </row>
        <row r="381">
          <cell r="D381" t="str">
            <v>PE12340164</v>
          </cell>
          <cell r="E381" t="str">
            <v>伯希和/PELLIOT</v>
          </cell>
          <cell r="F381" t="str">
            <v>女装-外套-冲锋衣</v>
          </cell>
          <cell r="G381" t="str">
            <v>一品多商</v>
          </cell>
          <cell r="H381" t="str">
            <v>品牌直发</v>
          </cell>
          <cell r="I381">
            <v>0</v>
          </cell>
        </row>
        <row r="382">
          <cell r="D382">
            <v>115306017</v>
          </cell>
          <cell r="E382" t="str">
            <v>伯希和/PELLIOT</v>
          </cell>
          <cell r="F382" t="str">
            <v>服装-外套-软壳衣</v>
          </cell>
          <cell r="G382" t="str">
            <v>一品多商</v>
          </cell>
          <cell r="H382" t="str">
            <v>品牌直发</v>
          </cell>
          <cell r="I382">
            <v>0</v>
          </cell>
        </row>
        <row r="383">
          <cell r="D383">
            <v>125306018</v>
          </cell>
          <cell r="E383" t="str">
            <v>伯希和/PELLIOT</v>
          </cell>
          <cell r="F383" t="str">
            <v>女装-外套-软壳衣</v>
          </cell>
          <cell r="G383" t="str">
            <v>一品多商</v>
          </cell>
          <cell r="H383" t="str">
            <v>品牌直发</v>
          </cell>
          <cell r="I383">
            <v>0</v>
          </cell>
        </row>
        <row r="384">
          <cell r="D384">
            <v>105101023</v>
          </cell>
          <cell r="E384" t="str">
            <v>伯希和/PELLIOT</v>
          </cell>
          <cell r="F384" t="str">
            <v>服装-外套-冲锋衣</v>
          </cell>
          <cell r="G384" t="str">
            <v>一品多商</v>
          </cell>
          <cell r="H384" t="str">
            <v>品牌直发</v>
          </cell>
          <cell r="I384">
            <v>0</v>
          </cell>
        </row>
        <row r="385">
          <cell r="D385">
            <v>105301083</v>
          </cell>
          <cell r="E385" t="str">
            <v>伯希和/PELLIOT</v>
          </cell>
          <cell r="F385" t="str">
            <v>服装-外套-冲锋衣</v>
          </cell>
          <cell r="G385" t="str">
            <v>一品多商</v>
          </cell>
          <cell r="H385" t="str">
            <v>品牌直发</v>
          </cell>
          <cell r="I385">
            <v>0</v>
          </cell>
        </row>
        <row r="386">
          <cell r="D386">
            <v>105301051</v>
          </cell>
          <cell r="E386" t="str">
            <v>伯希和/PELLIOT</v>
          </cell>
          <cell r="F386" t="str">
            <v>服装-外套-冲锋衣</v>
          </cell>
          <cell r="G386" t="str">
            <v>一品多商</v>
          </cell>
          <cell r="H386" t="str">
            <v>普通现货</v>
          </cell>
          <cell r="I386">
            <v>0</v>
          </cell>
        </row>
        <row r="387">
          <cell r="D387">
            <v>125302004</v>
          </cell>
          <cell r="E387" t="str">
            <v>伯希和/PELLIOT</v>
          </cell>
          <cell r="F387" t="str">
            <v>女装-长裤-冲锋裤</v>
          </cell>
          <cell r="G387" t="str">
            <v>一品多商</v>
          </cell>
          <cell r="H387" t="str">
            <v>品牌直发</v>
          </cell>
          <cell r="I387">
            <v>0</v>
          </cell>
        </row>
        <row r="388">
          <cell r="D388">
            <v>105301059</v>
          </cell>
          <cell r="E388" t="str">
            <v>伯希和/PELLIOT</v>
          </cell>
          <cell r="F388" t="str">
            <v>服装-外套-冲锋衣</v>
          </cell>
          <cell r="G388" t="str">
            <v>一品多商</v>
          </cell>
          <cell r="H388" t="str">
            <v>品牌直发</v>
          </cell>
          <cell r="I388">
            <v>0</v>
          </cell>
        </row>
        <row r="389">
          <cell r="D389" t="str">
            <v>125301055-新加色</v>
          </cell>
          <cell r="E389" t="str">
            <v>伯希和/PELLIOT</v>
          </cell>
          <cell r="F389" t="str">
            <v>女装-外套-冲锋衣</v>
          </cell>
          <cell r="G389" t="str">
            <v>一品多商</v>
          </cell>
          <cell r="H389" t="str">
            <v>品牌直发</v>
          </cell>
          <cell r="I389">
            <v>0</v>
          </cell>
        </row>
        <row r="390">
          <cell r="D390" t="str">
            <v>115301054-新加色</v>
          </cell>
          <cell r="E390" t="str">
            <v>伯希和/PELLIOT</v>
          </cell>
          <cell r="F390" t="str">
            <v>服装-外套-冲锋衣</v>
          </cell>
          <cell r="G390" t="str">
            <v>一品多商</v>
          </cell>
          <cell r="H390" t="str">
            <v>品牌直发</v>
          </cell>
          <cell r="I390">
            <v>0</v>
          </cell>
        </row>
        <row r="391">
          <cell r="D391" t="str">
            <v>12040106-新加色</v>
          </cell>
          <cell r="E391" t="str">
            <v>伯希和/PELLIOT</v>
          </cell>
          <cell r="F391" t="str">
            <v>女装-外套-冲锋衣</v>
          </cell>
          <cell r="G391" t="str">
            <v>一品一商</v>
          </cell>
          <cell r="H391" t="str">
            <v>品牌直发</v>
          </cell>
          <cell r="I391">
            <v>0</v>
          </cell>
        </row>
        <row r="392">
          <cell r="D392" t="str">
            <v>11040105-新加色</v>
          </cell>
          <cell r="E392" t="str">
            <v>伯希和/PELLIOT</v>
          </cell>
          <cell r="F392" t="str">
            <v>服装-外套-冲锋衣</v>
          </cell>
          <cell r="G392" t="str">
            <v>一品一商</v>
          </cell>
          <cell r="H392" t="str">
            <v>品牌直发</v>
          </cell>
          <cell r="I392">
            <v>0</v>
          </cell>
        </row>
        <row r="393">
          <cell r="D393">
            <v>125220002</v>
          </cell>
          <cell r="E393" t="str">
            <v>伯希和/PELLIOT</v>
          </cell>
          <cell r="F393" t="str">
            <v>鞋-凉鞋/拖鞋-溯溪鞋</v>
          </cell>
          <cell r="G393" t="str">
            <v>一品一商</v>
          </cell>
          <cell r="H393" t="str">
            <v>品牌直发</v>
          </cell>
          <cell r="I393">
            <v>0</v>
          </cell>
        </row>
        <row r="394">
          <cell r="D394">
            <v>115106014</v>
          </cell>
          <cell r="E394" t="str">
            <v>伯希和/PELLIOT</v>
          </cell>
          <cell r="F394" t="str">
            <v>服装-外套-软壳衣</v>
          </cell>
          <cell r="G394" t="str">
            <v>一品多商</v>
          </cell>
          <cell r="H394" t="str">
            <v>品牌直发</v>
          </cell>
          <cell r="I394">
            <v>0</v>
          </cell>
        </row>
        <row r="395">
          <cell r="D395">
            <v>135101016</v>
          </cell>
          <cell r="E395" t="str">
            <v>伯希和/PELLIOT</v>
          </cell>
          <cell r="F395" t="str">
            <v>童装-儿童上装-冲锋衣</v>
          </cell>
          <cell r="G395" t="str">
            <v>一品一商</v>
          </cell>
          <cell r="H395" t="str">
            <v>品牌直发</v>
          </cell>
          <cell r="I395">
            <v>0</v>
          </cell>
        </row>
        <row r="396">
          <cell r="D396">
            <v>125251019</v>
          </cell>
          <cell r="E396" t="str">
            <v>伯希和/PELLIOT</v>
          </cell>
          <cell r="F396" t="str">
            <v>女装-外套-夹克</v>
          </cell>
          <cell r="G396" t="str">
            <v>一品多商</v>
          </cell>
          <cell r="H396" t="str">
            <v>品牌直发</v>
          </cell>
          <cell r="I396">
            <v>0</v>
          </cell>
        </row>
        <row r="397">
          <cell r="D397">
            <v>115251018</v>
          </cell>
          <cell r="E397" t="str">
            <v>伯希和/PELLIOT</v>
          </cell>
          <cell r="F397" t="str">
            <v>服装-外套-夹克</v>
          </cell>
          <cell r="G397" t="str">
            <v>一品多商</v>
          </cell>
          <cell r="H397" t="str">
            <v>品牌直发</v>
          </cell>
          <cell r="I397">
            <v>0</v>
          </cell>
        </row>
        <row r="398">
          <cell r="D398">
            <v>105101076</v>
          </cell>
          <cell r="E398" t="str">
            <v>伯希和/PELLIOT</v>
          </cell>
          <cell r="F398" t="str">
            <v>服装-外套-冲锋衣</v>
          </cell>
          <cell r="G398" t="str">
            <v>一品多商</v>
          </cell>
          <cell r="H398" t="str">
            <v>品牌直发</v>
          </cell>
          <cell r="I398">
            <v>0</v>
          </cell>
        </row>
        <row r="399">
          <cell r="D399" t="str">
            <v>11340105-2025</v>
          </cell>
          <cell r="E399" t="str">
            <v>伯希和/PELLIOT</v>
          </cell>
          <cell r="F399" t="str">
            <v>服装-外套-冲锋衣</v>
          </cell>
          <cell r="G399" t="str">
            <v>一品多商</v>
          </cell>
          <cell r="H399" t="str">
            <v>品牌直发</v>
          </cell>
          <cell r="I399">
            <v>0</v>
          </cell>
        </row>
        <row r="400">
          <cell r="D400">
            <v>135178022</v>
          </cell>
          <cell r="E400" t="str">
            <v>伯希和/PELLIOT</v>
          </cell>
          <cell r="F400" t="str">
            <v>童装-儿童下装-儿童运动裤</v>
          </cell>
          <cell r="G400" t="str">
            <v>一品一商</v>
          </cell>
          <cell r="H400" t="str">
            <v>品牌直发</v>
          </cell>
          <cell r="I400">
            <v>0</v>
          </cell>
        </row>
        <row r="401">
          <cell r="D401">
            <v>115119029</v>
          </cell>
          <cell r="E401" t="str">
            <v>伯希和/PELLIOT</v>
          </cell>
          <cell r="F401" t="str">
            <v>鞋-运动鞋-越野跑鞋</v>
          </cell>
          <cell r="G401" t="str">
            <v>一品多商</v>
          </cell>
          <cell r="H401" t="str">
            <v>品牌直发</v>
          </cell>
          <cell r="I401">
            <v>0</v>
          </cell>
        </row>
        <row r="402">
          <cell r="D402">
            <v>125119030</v>
          </cell>
          <cell r="E402" t="str">
            <v>伯希和/PELLIOT</v>
          </cell>
          <cell r="F402" t="str">
            <v>鞋-运动鞋-越野跑鞋</v>
          </cell>
          <cell r="G402" t="str">
            <v>一品多商</v>
          </cell>
          <cell r="H402" t="str">
            <v>品牌直发</v>
          </cell>
          <cell r="I402">
            <v>0</v>
          </cell>
        </row>
        <row r="403">
          <cell r="D403">
            <v>125181002</v>
          </cell>
          <cell r="E403" t="str">
            <v>伯希和/PELLIOT</v>
          </cell>
          <cell r="F403" t="str">
            <v>鞋-运动鞋-登山鞋/徒步鞋</v>
          </cell>
          <cell r="G403" t="str">
            <v>一品多商</v>
          </cell>
          <cell r="H403" t="str">
            <v>品牌直发</v>
          </cell>
          <cell r="I403">
            <v>0</v>
          </cell>
        </row>
        <row r="404">
          <cell r="D404">
            <v>115215009</v>
          </cell>
          <cell r="E404" t="str">
            <v>伯希和/PELLIOT</v>
          </cell>
          <cell r="F404" t="str">
            <v>服装-上衣-Polo衫</v>
          </cell>
          <cell r="G404" t="str">
            <v>一品一商</v>
          </cell>
          <cell r="H404" t="str">
            <v>品牌直发</v>
          </cell>
          <cell r="I404">
            <v>0</v>
          </cell>
        </row>
        <row r="405">
          <cell r="D405">
            <v>115122023</v>
          </cell>
          <cell r="E405" t="str">
            <v>伯希和/PELLIOT</v>
          </cell>
          <cell r="F405" t="str">
            <v>鞋-运动鞋-登山鞋/徒步鞋</v>
          </cell>
          <cell r="G405" t="str">
            <v>一品一商</v>
          </cell>
          <cell r="H405" t="str">
            <v>品牌直发</v>
          </cell>
          <cell r="I405">
            <v>0</v>
          </cell>
        </row>
        <row r="406">
          <cell r="D406">
            <v>125122024</v>
          </cell>
          <cell r="E406" t="str">
            <v>伯希和/PELLIOT</v>
          </cell>
          <cell r="F406" t="str">
            <v>鞋-运动鞋-登山鞋/徒步鞋</v>
          </cell>
          <cell r="G406" t="str">
            <v>一品一商</v>
          </cell>
          <cell r="H406" t="str">
            <v>品牌直发</v>
          </cell>
          <cell r="I406">
            <v>0</v>
          </cell>
        </row>
        <row r="407">
          <cell r="D407">
            <v>115215007</v>
          </cell>
          <cell r="E407" t="str">
            <v>伯希和/PELLIOT</v>
          </cell>
          <cell r="F407" t="str">
            <v>服装-上衣-Polo衫</v>
          </cell>
          <cell r="G407" t="str">
            <v>一品多商</v>
          </cell>
          <cell r="H407" t="str">
            <v>品牌直发</v>
          </cell>
          <cell r="I407">
            <v>0</v>
          </cell>
        </row>
        <row r="408">
          <cell r="D408">
            <v>135212024</v>
          </cell>
          <cell r="E408" t="str">
            <v>伯希和/PELLIOT</v>
          </cell>
          <cell r="F408" t="str">
            <v>童装-儿童上装-防晒衣</v>
          </cell>
          <cell r="G408" t="str">
            <v>一品多商</v>
          </cell>
          <cell r="H408" t="str">
            <v>品牌直发</v>
          </cell>
          <cell r="I408">
            <v>0</v>
          </cell>
        </row>
        <row r="409">
          <cell r="D409">
            <v>135215035</v>
          </cell>
          <cell r="E409" t="str">
            <v>伯希和/PELLIOT</v>
          </cell>
          <cell r="F409" t="str">
            <v>童装-儿童上装-T恤</v>
          </cell>
          <cell r="G409" t="str">
            <v>一品一商</v>
          </cell>
          <cell r="H409" t="str">
            <v>品牌直发</v>
          </cell>
          <cell r="I409">
            <v>0</v>
          </cell>
        </row>
        <row r="410">
          <cell r="D410">
            <v>125214019</v>
          </cell>
          <cell r="E410" t="str">
            <v>伯希和/PELLIOT</v>
          </cell>
          <cell r="F410" t="str">
            <v>女装-长裙-休闲长裙</v>
          </cell>
          <cell r="G410" t="str">
            <v>一品多商</v>
          </cell>
          <cell r="H410" t="str">
            <v>品牌直发</v>
          </cell>
          <cell r="I410">
            <v>0</v>
          </cell>
        </row>
        <row r="411">
          <cell r="D411">
            <v>135212023</v>
          </cell>
          <cell r="E411" t="str">
            <v>伯希和/PELLIOT</v>
          </cell>
          <cell r="F411" t="str">
            <v>童装-儿童上装-防晒衣</v>
          </cell>
          <cell r="G411" t="str">
            <v>一品多商</v>
          </cell>
          <cell r="H411" t="str">
            <v>品牌直发</v>
          </cell>
          <cell r="I411">
            <v>0</v>
          </cell>
        </row>
        <row r="412">
          <cell r="D412">
            <v>135215036</v>
          </cell>
          <cell r="E412" t="str">
            <v>伯希和/PELLIOT</v>
          </cell>
          <cell r="F412" t="str">
            <v>童装-儿童上装-T恤</v>
          </cell>
          <cell r="G412" t="str">
            <v>一品一商</v>
          </cell>
          <cell r="H412" t="str">
            <v>品牌直发</v>
          </cell>
          <cell r="I412">
            <v>0</v>
          </cell>
        </row>
        <row r="413">
          <cell r="D413">
            <v>135214018</v>
          </cell>
          <cell r="E413" t="str">
            <v>伯希和/PELLIOT</v>
          </cell>
          <cell r="F413" t="str">
            <v>童装-儿童下装-儿童速干裤</v>
          </cell>
          <cell r="G413" t="str">
            <v>一品多商</v>
          </cell>
          <cell r="H413" t="str">
            <v>品牌直发</v>
          </cell>
          <cell r="I413">
            <v>0</v>
          </cell>
        </row>
        <row r="414">
          <cell r="D414">
            <v>115215005</v>
          </cell>
          <cell r="E414" t="str">
            <v>伯希和/PELLIOT</v>
          </cell>
          <cell r="F414" t="str">
            <v>服装-户外运动服-速干T恤</v>
          </cell>
          <cell r="G414" t="str">
            <v>一品多商</v>
          </cell>
          <cell r="H414" t="str">
            <v>品牌直发</v>
          </cell>
          <cell r="I414">
            <v>0</v>
          </cell>
        </row>
        <row r="415">
          <cell r="D415">
            <v>125119028</v>
          </cell>
          <cell r="E415" t="str">
            <v>伯希和/PELLIOT</v>
          </cell>
          <cell r="F415" t="str">
            <v>鞋-运动鞋-登山鞋/徒步鞋</v>
          </cell>
          <cell r="G415" t="str">
            <v>一品一商</v>
          </cell>
          <cell r="H415" t="str">
            <v>品牌直发</v>
          </cell>
          <cell r="I415">
            <v>0</v>
          </cell>
        </row>
        <row r="416">
          <cell r="D416">
            <v>115215037</v>
          </cell>
          <cell r="E416" t="str">
            <v>伯希和/PELLIOT</v>
          </cell>
          <cell r="F416" t="str">
            <v>服装-上衣-Polo衫</v>
          </cell>
          <cell r="G416" t="str">
            <v>一品一商</v>
          </cell>
          <cell r="H416" t="str">
            <v>品牌直发</v>
          </cell>
          <cell r="I416">
            <v>0</v>
          </cell>
        </row>
        <row r="417">
          <cell r="D417">
            <v>125215046</v>
          </cell>
          <cell r="E417" t="str">
            <v>伯希和/PELLIOT</v>
          </cell>
          <cell r="F417" t="str">
            <v>女装-上衣-T恤</v>
          </cell>
          <cell r="G417" t="str">
            <v>一品一商</v>
          </cell>
          <cell r="H417" t="str">
            <v>品牌直发</v>
          </cell>
          <cell r="I417">
            <v>0</v>
          </cell>
        </row>
        <row r="418">
          <cell r="D418">
            <v>115119027</v>
          </cell>
          <cell r="E418" t="str">
            <v>伯希和/PELLIOT</v>
          </cell>
          <cell r="F418" t="str">
            <v>鞋-运动鞋-越野跑鞋</v>
          </cell>
          <cell r="G418" t="str">
            <v>一品多商</v>
          </cell>
          <cell r="H418" t="str">
            <v>品牌直发</v>
          </cell>
          <cell r="I418">
            <v>0</v>
          </cell>
        </row>
        <row r="419">
          <cell r="D419">
            <v>105101011</v>
          </cell>
          <cell r="E419" t="str">
            <v>伯希和/PELLIOT</v>
          </cell>
          <cell r="F419" t="str">
            <v>服装-外套-冲锋衣</v>
          </cell>
          <cell r="G419" t="str">
            <v>一品多商</v>
          </cell>
          <cell r="H419" t="str">
            <v>品牌直发</v>
          </cell>
          <cell r="I419">
            <v>0</v>
          </cell>
        </row>
        <row r="420">
          <cell r="D420">
            <v>125215038</v>
          </cell>
          <cell r="E420" t="str">
            <v>伯希和/PELLIOT</v>
          </cell>
          <cell r="F420" t="str">
            <v>女装-上衣-Polo衫</v>
          </cell>
          <cell r="G420" t="str">
            <v>一品一商</v>
          </cell>
          <cell r="H420" t="str">
            <v>品牌直发</v>
          </cell>
          <cell r="I420">
            <v>0</v>
          </cell>
        </row>
        <row r="421">
          <cell r="D421">
            <v>115215021</v>
          </cell>
          <cell r="E421" t="str">
            <v>伯希和/PELLIOT</v>
          </cell>
          <cell r="F421" t="str">
            <v>服装-上衣-T恤</v>
          </cell>
          <cell r="G421" t="str">
            <v>一品一商</v>
          </cell>
          <cell r="H421" t="str">
            <v>品牌直发</v>
          </cell>
          <cell r="I421">
            <v>0</v>
          </cell>
        </row>
        <row r="422">
          <cell r="D422">
            <v>125215022</v>
          </cell>
          <cell r="E422" t="str">
            <v>伯希和/PELLIOT</v>
          </cell>
          <cell r="F422" t="str">
            <v>女装-户外运动服-跑步T恤</v>
          </cell>
          <cell r="G422" t="str">
            <v>一品一商</v>
          </cell>
          <cell r="H422" t="str">
            <v>品牌直发</v>
          </cell>
          <cell r="I422">
            <v>0</v>
          </cell>
        </row>
        <row r="423">
          <cell r="D423">
            <v>125220022</v>
          </cell>
          <cell r="E423" t="str">
            <v>伯希和/PELLIOT</v>
          </cell>
          <cell r="F423" t="str">
            <v>鞋-凉鞋/拖鞋-溯溪鞋</v>
          </cell>
          <cell r="G423" t="str">
            <v>一品多商</v>
          </cell>
          <cell r="H423" t="str">
            <v>品牌直发</v>
          </cell>
          <cell r="I423">
            <v>0</v>
          </cell>
        </row>
        <row r="424">
          <cell r="D424">
            <v>125215024</v>
          </cell>
          <cell r="E424" t="str">
            <v>伯希和/PELLIOT</v>
          </cell>
          <cell r="F424" t="str">
            <v>女装-户外运动服-速干T恤</v>
          </cell>
          <cell r="G424" t="str">
            <v>一品多商</v>
          </cell>
          <cell r="H424" t="str">
            <v>品牌直发</v>
          </cell>
          <cell r="I424">
            <v>0</v>
          </cell>
        </row>
        <row r="425">
          <cell r="D425">
            <v>125215018</v>
          </cell>
          <cell r="E425" t="str">
            <v>伯希和/PELLIOT</v>
          </cell>
          <cell r="F425" t="str">
            <v>女装-户外运动服-速干T恤</v>
          </cell>
          <cell r="G425" t="str">
            <v>一品一商</v>
          </cell>
          <cell r="H425" t="str">
            <v>品牌直发</v>
          </cell>
          <cell r="I425">
            <v>0</v>
          </cell>
        </row>
        <row r="426">
          <cell r="D426">
            <v>125215008</v>
          </cell>
          <cell r="E426" t="str">
            <v>伯希和/PELLIOT</v>
          </cell>
          <cell r="F426" t="str">
            <v>女装-上衣-Polo衫</v>
          </cell>
          <cell r="G426" t="str">
            <v>一品一商</v>
          </cell>
          <cell r="H426" t="str">
            <v>品牌直发</v>
          </cell>
          <cell r="I426">
            <v>0</v>
          </cell>
        </row>
        <row r="427">
          <cell r="D427">
            <v>115215023</v>
          </cell>
          <cell r="E427" t="str">
            <v>伯希和/PELLIOT</v>
          </cell>
          <cell r="F427" t="str">
            <v>服装-上衣-T恤</v>
          </cell>
          <cell r="G427" t="str">
            <v>一品多商</v>
          </cell>
          <cell r="H427" t="str">
            <v>品牌直发</v>
          </cell>
          <cell r="I427">
            <v>0</v>
          </cell>
        </row>
        <row r="428">
          <cell r="D428">
            <v>115215017</v>
          </cell>
          <cell r="E428" t="str">
            <v>伯希和/PELLIOT</v>
          </cell>
          <cell r="F428" t="str">
            <v>服装-上衣-T恤</v>
          </cell>
          <cell r="G428" t="str">
            <v>一品一商</v>
          </cell>
          <cell r="H428" t="str">
            <v>品牌直发</v>
          </cell>
          <cell r="I428">
            <v>0</v>
          </cell>
        </row>
        <row r="429">
          <cell r="D429">
            <v>115278007</v>
          </cell>
          <cell r="E429" t="str">
            <v>伯希和/PELLIOT</v>
          </cell>
          <cell r="F429" t="str">
            <v>服装-长裤-休闲裤</v>
          </cell>
          <cell r="G429" t="str">
            <v>一品一商</v>
          </cell>
          <cell r="H429" t="str">
            <v>品牌直发</v>
          </cell>
          <cell r="I429">
            <v>0</v>
          </cell>
        </row>
        <row r="430">
          <cell r="D430">
            <v>115212005</v>
          </cell>
          <cell r="E430" t="str">
            <v>伯希和/PELLIOT</v>
          </cell>
          <cell r="F430" t="str">
            <v>服装-外套-防晒服</v>
          </cell>
          <cell r="G430" t="str">
            <v>一品多商</v>
          </cell>
          <cell r="H430" t="str">
            <v>品牌直发</v>
          </cell>
          <cell r="I430">
            <v>0</v>
          </cell>
        </row>
        <row r="431">
          <cell r="D431" t="str">
            <v>PE125215026</v>
          </cell>
          <cell r="E431" t="str">
            <v>伯希和/PELLIOT</v>
          </cell>
          <cell r="F431" t="str">
            <v>女装-户外运动服-速干T恤</v>
          </cell>
          <cell r="G431" t="str">
            <v>一品一商</v>
          </cell>
          <cell r="H431" t="str">
            <v>品牌直发</v>
          </cell>
          <cell r="I431">
            <v>0</v>
          </cell>
        </row>
        <row r="432">
          <cell r="D432">
            <v>115151005</v>
          </cell>
          <cell r="E432" t="str">
            <v>伯希和/PELLIOT</v>
          </cell>
          <cell r="F432" t="str">
            <v>服装-外套-夹克</v>
          </cell>
          <cell r="G432" t="str">
            <v>一品一商</v>
          </cell>
          <cell r="H432" t="str">
            <v>品牌直发</v>
          </cell>
          <cell r="I432">
            <v>0</v>
          </cell>
        </row>
        <row r="433">
          <cell r="D433">
            <v>115114001</v>
          </cell>
          <cell r="E433" t="str">
            <v>伯希和/PELLIOT</v>
          </cell>
          <cell r="F433" t="str">
            <v>服装-户外运动服-速干裤</v>
          </cell>
          <cell r="G433" t="str">
            <v>一品一商</v>
          </cell>
          <cell r="H433" t="str">
            <v>品牌直发</v>
          </cell>
          <cell r="I433">
            <v>0</v>
          </cell>
        </row>
        <row r="434">
          <cell r="D434">
            <v>125106002</v>
          </cell>
          <cell r="E434" t="str">
            <v>伯希和/PELLIOT</v>
          </cell>
          <cell r="F434" t="str">
            <v>女装-外套-软壳衣</v>
          </cell>
          <cell r="G434" t="str">
            <v>一品一商</v>
          </cell>
          <cell r="H434" t="str">
            <v>品牌直发</v>
          </cell>
          <cell r="I434">
            <v>0</v>
          </cell>
        </row>
        <row r="435">
          <cell r="D435" t="str">
            <v>PE125107004</v>
          </cell>
          <cell r="E435" t="str">
            <v>伯希和/PELLIOT</v>
          </cell>
          <cell r="F435" t="str">
            <v>女装-长裤-软壳裤</v>
          </cell>
          <cell r="G435" t="str">
            <v>一品多商</v>
          </cell>
          <cell r="H435" t="str">
            <v>品牌直发</v>
          </cell>
          <cell r="I435">
            <v>0</v>
          </cell>
        </row>
        <row r="436">
          <cell r="D436">
            <v>115107001</v>
          </cell>
          <cell r="E436" t="str">
            <v>伯希和/PELLIOT</v>
          </cell>
          <cell r="F436" t="str">
            <v>服装-长裤-软壳裤</v>
          </cell>
          <cell r="G436" t="str">
            <v>一品多商</v>
          </cell>
          <cell r="H436" t="str">
            <v>品牌直发</v>
          </cell>
          <cell r="I436">
            <v>0</v>
          </cell>
        </row>
        <row r="437">
          <cell r="D437">
            <v>115106003</v>
          </cell>
          <cell r="E437" t="str">
            <v>伯希和/PELLIOT</v>
          </cell>
          <cell r="F437" t="str">
            <v>服装-外套-软壳衣</v>
          </cell>
          <cell r="G437" t="str">
            <v>一品多商</v>
          </cell>
          <cell r="H437" t="str">
            <v>品牌直发</v>
          </cell>
          <cell r="I437">
            <v>0</v>
          </cell>
        </row>
        <row r="438">
          <cell r="D438">
            <v>115107003</v>
          </cell>
          <cell r="E438" t="str">
            <v>伯希和/PELLIOT</v>
          </cell>
          <cell r="F438" t="str">
            <v>服装-长裤-软壳裤</v>
          </cell>
          <cell r="G438" t="str">
            <v>一品多商</v>
          </cell>
          <cell r="H438" t="str">
            <v>品牌直发</v>
          </cell>
          <cell r="I438">
            <v>0</v>
          </cell>
        </row>
        <row r="439">
          <cell r="D439">
            <v>125119036</v>
          </cell>
          <cell r="E439" t="str">
            <v>伯希和/PELLIOT</v>
          </cell>
          <cell r="F439" t="str">
            <v>鞋-运动鞋-登山鞋/徒步鞋</v>
          </cell>
          <cell r="G439" t="str">
            <v>一品多商</v>
          </cell>
          <cell r="H439" t="str">
            <v>品牌直发</v>
          </cell>
          <cell r="I439">
            <v>0</v>
          </cell>
        </row>
        <row r="440">
          <cell r="D440" t="str">
            <v>PE125101014</v>
          </cell>
          <cell r="E440" t="str">
            <v>伯希和/PELLIOT</v>
          </cell>
          <cell r="F440" t="str">
            <v>女装-外套-冲锋衣</v>
          </cell>
          <cell r="G440" t="str">
            <v>一品多商</v>
          </cell>
          <cell r="H440" t="str">
            <v>品牌直发</v>
          </cell>
          <cell r="I440">
            <v>0</v>
          </cell>
        </row>
        <row r="441">
          <cell r="D441">
            <v>115101013</v>
          </cell>
          <cell r="E441" t="str">
            <v>伯希和/PELLIOT</v>
          </cell>
          <cell r="F441" t="str">
            <v>服装-外套-冲锋衣</v>
          </cell>
          <cell r="G441" t="str">
            <v>一品多商</v>
          </cell>
          <cell r="H441" t="str">
            <v>品牌直发</v>
          </cell>
          <cell r="I441">
            <v>0</v>
          </cell>
        </row>
        <row r="442">
          <cell r="D442">
            <v>115101001</v>
          </cell>
          <cell r="E442" t="str">
            <v>伯希和/PELLIOT</v>
          </cell>
          <cell r="F442" t="str">
            <v>服装-外套-冲锋衣</v>
          </cell>
          <cell r="G442" t="str">
            <v>一品多商</v>
          </cell>
          <cell r="H442" t="str">
            <v>品牌直发</v>
          </cell>
          <cell r="I442">
            <v>0</v>
          </cell>
        </row>
        <row r="443">
          <cell r="D443">
            <v>125212014</v>
          </cell>
          <cell r="E443" t="str">
            <v>伯希和/PELLIOT</v>
          </cell>
          <cell r="F443" t="str">
            <v>女装-外套-防晒服</v>
          </cell>
          <cell r="G443" t="str">
            <v>一品一商</v>
          </cell>
          <cell r="H443" t="str">
            <v>品牌直发</v>
          </cell>
          <cell r="I443">
            <v>0</v>
          </cell>
        </row>
        <row r="444">
          <cell r="D444" t="str">
            <v>125102002-新</v>
          </cell>
          <cell r="E444" t="str">
            <v>伯希和/PELLIOT</v>
          </cell>
          <cell r="F444" t="str">
            <v>女装-长裤-冲锋裤</v>
          </cell>
          <cell r="G444" t="str">
            <v>一品一商</v>
          </cell>
          <cell r="H444" t="str">
            <v>品牌直发</v>
          </cell>
          <cell r="I444">
            <v>0</v>
          </cell>
        </row>
        <row r="445">
          <cell r="D445">
            <v>115212013</v>
          </cell>
          <cell r="E445" t="str">
            <v>伯希和/PELLIOT</v>
          </cell>
          <cell r="F445" t="str">
            <v>服装-外套-防晒服</v>
          </cell>
          <cell r="G445" t="str">
            <v>一品一商</v>
          </cell>
          <cell r="H445" t="str">
            <v>品牌直发</v>
          </cell>
          <cell r="I445">
            <v>0</v>
          </cell>
        </row>
        <row r="446">
          <cell r="D446">
            <v>105112021</v>
          </cell>
          <cell r="E446" t="str">
            <v>伯希和/PELLIOT</v>
          </cell>
          <cell r="F446" t="str">
            <v>服装-外套-防晒服</v>
          </cell>
          <cell r="G446" t="str">
            <v>一品多商</v>
          </cell>
          <cell r="H446" t="str">
            <v>品牌直发</v>
          </cell>
          <cell r="I446">
            <v>0</v>
          </cell>
        </row>
        <row r="447">
          <cell r="D447">
            <v>1105212020</v>
          </cell>
          <cell r="E447" t="str">
            <v>伯希和/PELLIOT</v>
          </cell>
          <cell r="F447" t="str">
            <v>服装-外套-防晒服</v>
          </cell>
          <cell r="G447" t="str">
            <v>一品一商</v>
          </cell>
          <cell r="H447" t="str">
            <v>品牌直发</v>
          </cell>
          <cell r="I447">
            <v>0</v>
          </cell>
        </row>
        <row r="448">
          <cell r="D448">
            <v>125212004</v>
          </cell>
          <cell r="E448" t="str">
            <v>伯希和/PELLIOT</v>
          </cell>
          <cell r="F448" t="str">
            <v>女装-外套-防晒服</v>
          </cell>
          <cell r="G448" t="str">
            <v>一品多商</v>
          </cell>
          <cell r="H448" t="str">
            <v>品牌直发</v>
          </cell>
          <cell r="I448">
            <v>0</v>
          </cell>
        </row>
        <row r="449">
          <cell r="D449">
            <v>115101019</v>
          </cell>
          <cell r="E449" t="str">
            <v>伯希和/PELLIOT</v>
          </cell>
          <cell r="F449" t="str">
            <v>服装-外套-冲锋衣</v>
          </cell>
          <cell r="G449" t="str">
            <v>一品多商</v>
          </cell>
          <cell r="H449" t="str">
            <v>品牌直发</v>
          </cell>
          <cell r="I449">
            <v>0</v>
          </cell>
        </row>
        <row r="450">
          <cell r="D450">
            <v>135116010</v>
          </cell>
          <cell r="E450" t="str">
            <v>伯希和/PELLIOT</v>
          </cell>
          <cell r="F450" t="str">
            <v>童装-儿童上装-T恤</v>
          </cell>
          <cell r="G450" t="str">
            <v>一品多商</v>
          </cell>
          <cell r="H450" t="str">
            <v>品牌直发</v>
          </cell>
          <cell r="I450">
            <v>0</v>
          </cell>
        </row>
        <row r="451">
          <cell r="D451" t="str">
            <v>PE115106001</v>
          </cell>
          <cell r="E451" t="str">
            <v>伯希和/PELLIOT</v>
          </cell>
          <cell r="F451" t="str">
            <v>服装-外套-软壳衣</v>
          </cell>
          <cell r="G451" t="str">
            <v>一品多商</v>
          </cell>
          <cell r="H451" t="str">
            <v>品牌直发</v>
          </cell>
          <cell r="I451">
            <v>0</v>
          </cell>
        </row>
        <row r="452">
          <cell r="D452" t="str">
            <v>PE125119032</v>
          </cell>
          <cell r="E452" t="str">
            <v>伯希和/PELLIOT</v>
          </cell>
          <cell r="F452" t="str">
            <v>鞋-运动鞋-登山鞋/徒步鞋</v>
          </cell>
          <cell r="G452" t="str">
            <v>一品多商</v>
          </cell>
          <cell r="H452" t="str">
            <v>品牌直发</v>
          </cell>
          <cell r="I452">
            <v>0</v>
          </cell>
        </row>
        <row r="453">
          <cell r="D453" t="str">
            <v>PE125119026</v>
          </cell>
          <cell r="E453" t="str">
            <v>伯希和/PELLIOT</v>
          </cell>
          <cell r="F453" t="str">
            <v>鞋-运动鞋-跑步鞋</v>
          </cell>
          <cell r="G453" t="str">
            <v>一品多商</v>
          </cell>
          <cell r="H453" t="str">
            <v>品牌直发</v>
          </cell>
          <cell r="I453">
            <v>0</v>
          </cell>
        </row>
        <row r="454">
          <cell r="D454">
            <v>115119031</v>
          </cell>
          <cell r="E454" t="str">
            <v>伯希和/PELLIOT</v>
          </cell>
          <cell r="F454" t="str">
            <v>鞋-运动鞋-登山鞋/徒步鞋</v>
          </cell>
          <cell r="G454" t="str">
            <v>一品多商</v>
          </cell>
          <cell r="H454" t="str">
            <v>品牌直发</v>
          </cell>
          <cell r="I454">
            <v>0</v>
          </cell>
        </row>
        <row r="455">
          <cell r="D455">
            <v>115101007</v>
          </cell>
          <cell r="E455" t="str">
            <v>伯希和/PELLIOT</v>
          </cell>
          <cell r="F455" t="str">
            <v>服装-外套-冲锋衣</v>
          </cell>
          <cell r="G455" t="str">
            <v>一品多商</v>
          </cell>
          <cell r="H455" t="str">
            <v>品牌直发</v>
          </cell>
          <cell r="I455">
            <v>0</v>
          </cell>
        </row>
        <row r="456">
          <cell r="D456">
            <v>1125107002</v>
          </cell>
          <cell r="E456" t="str">
            <v>伯希和/PELLIOT</v>
          </cell>
          <cell r="F456" t="str">
            <v>女装-长裤-软壳裤</v>
          </cell>
          <cell r="G456" t="str">
            <v>一品一商</v>
          </cell>
          <cell r="H456" t="str">
            <v>品牌直发</v>
          </cell>
          <cell r="I456">
            <v>0</v>
          </cell>
        </row>
        <row r="457">
          <cell r="D457">
            <v>1125116008</v>
          </cell>
          <cell r="E457" t="str">
            <v>伯希和/PELLIOT</v>
          </cell>
          <cell r="F457" t="str">
            <v>女装-户外运动服-跑步T恤</v>
          </cell>
          <cell r="G457" t="str">
            <v>一品一商</v>
          </cell>
          <cell r="H457" t="str">
            <v>品牌直发</v>
          </cell>
          <cell r="I457">
            <v>0</v>
          </cell>
        </row>
        <row r="458">
          <cell r="D458">
            <v>1115116007</v>
          </cell>
          <cell r="E458" t="str">
            <v>伯希和/PELLIOT</v>
          </cell>
          <cell r="F458" t="str">
            <v>服装-上衣-T恤</v>
          </cell>
          <cell r="G458" t="str">
            <v>一品多商</v>
          </cell>
          <cell r="H458" t="str">
            <v>品牌直发</v>
          </cell>
          <cell r="I458">
            <v>0</v>
          </cell>
        </row>
        <row r="459">
          <cell r="D459">
            <v>125151008</v>
          </cell>
          <cell r="E459" t="str">
            <v>伯希和/PELLIOT</v>
          </cell>
          <cell r="F459" t="str">
            <v>女装-外套-夹克</v>
          </cell>
          <cell r="G459" t="str">
            <v>一品一商</v>
          </cell>
          <cell r="H459" t="str">
            <v>品牌直发</v>
          </cell>
          <cell r="I459">
            <v>0</v>
          </cell>
        </row>
        <row r="460">
          <cell r="D460">
            <v>1125178002</v>
          </cell>
          <cell r="E460" t="str">
            <v>伯希和/PELLIOT</v>
          </cell>
          <cell r="F460" t="str">
            <v>女装-长裤-休闲裤</v>
          </cell>
          <cell r="G460" t="str">
            <v>一品一商</v>
          </cell>
          <cell r="H460" t="str">
            <v>品牌直发</v>
          </cell>
          <cell r="I460">
            <v>0</v>
          </cell>
        </row>
        <row r="461">
          <cell r="D461">
            <v>115151009</v>
          </cell>
          <cell r="E461" t="str">
            <v>伯希和/PELLIOT</v>
          </cell>
          <cell r="F461" t="str">
            <v>服装-外套-夹克</v>
          </cell>
          <cell r="G461" t="str">
            <v>一品一商</v>
          </cell>
          <cell r="H461" t="str">
            <v>品牌直发</v>
          </cell>
          <cell r="I461">
            <v>0</v>
          </cell>
        </row>
        <row r="462">
          <cell r="D462">
            <v>1125101020</v>
          </cell>
          <cell r="E462" t="str">
            <v>伯希和/PELLIOT</v>
          </cell>
          <cell r="F462" t="str">
            <v>女装-外套-冲锋衣</v>
          </cell>
          <cell r="G462" t="str">
            <v>一品多商</v>
          </cell>
          <cell r="H462" t="str">
            <v>品牌直发</v>
          </cell>
          <cell r="I462">
            <v>0</v>
          </cell>
        </row>
        <row r="463">
          <cell r="D463">
            <v>1125101008</v>
          </cell>
          <cell r="E463" t="str">
            <v>伯希和/PELLIOT</v>
          </cell>
          <cell r="F463" t="str">
            <v>女装-外套-冲锋衣</v>
          </cell>
          <cell r="G463" t="str">
            <v>一品多商</v>
          </cell>
          <cell r="H463" t="str">
            <v>品牌直发</v>
          </cell>
          <cell r="I463">
            <v>0</v>
          </cell>
        </row>
        <row r="464">
          <cell r="D464" t="str">
            <v>PE105151011</v>
          </cell>
          <cell r="E464" t="str">
            <v>伯希和/PELLIOT</v>
          </cell>
          <cell r="F464" t="str">
            <v>服装-外套-夹克</v>
          </cell>
          <cell r="G464" t="str">
            <v>一品一商</v>
          </cell>
          <cell r="H464" t="str">
            <v>品牌直发</v>
          </cell>
          <cell r="I464">
            <v>0</v>
          </cell>
        </row>
        <row r="465">
          <cell r="D465" t="str">
            <v>PE114310205</v>
          </cell>
          <cell r="E465" t="str">
            <v>伯希和/PELLIOT</v>
          </cell>
          <cell r="F465" t="str">
            <v>服装-户外运动服-抓绒衣</v>
          </cell>
          <cell r="G465" t="str">
            <v>一品一商</v>
          </cell>
          <cell r="H465" t="str">
            <v>品牌直发</v>
          </cell>
          <cell r="I465">
            <v>0</v>
          </cell>
        </row>
        <row r="466">
          <cell r="D466" t="str">
            <v>PE124310206</v>
          </cell>
          <cell r="E466" t="str">
            <v>伯希和/PELLIOT</v>
          </cell>
          <cell r="F466" t="str">
            <v>女装-上衣-T恤</v>
          </cell>
          <cell r="G466" t="str">
            <v>一品一商</v>
          </cell>
          <cell r="H466" t="str">
            <v>品牌直发</v>
          </cell>
          <cell r="I466">
            <v>0</v>
          </cell>
        </row>
        <row r="467">
          <cell r="D467">
            <v>1115214009</v>
          </cell>
          <cell r="E467" t="str">
            <v>伯希和/PELLIOT</v>
          </cell>
          <cell r="F467" t="str">
            <v>服装-户外运动服-速干裤</v>
          </cell>
          <cell r="G467" t="str">
            <v>一品多商</v>
          </cell>
          <cell r="H467" t="str">
            <v>品牌直发</v>
          </cell>
          <cell r="I467">
            <v>0</v>
          </cell>
        </row>
        <row r="468">
          <cell r="D468">
            <v>124310206</v>
          </cell>
          <cell r="E468" t="str">
            <v>伯希和/PELLIOT</v>
          </cell>
          <cell r="F468" t="str">
            <v>女装-户外运动服-抓绒衣</v>
          </cell>
          <cell r="G468" t="str">
            <v>一品一商</v>
          </cell>
          <cell r="H468" t="str">
            <v>品牌直发</v>
          </cell>
          <cell r="I468">
            <v>0</v>
          </cell>
        </row>
        <row r="469">
          <cell r="D469">
            <v>114310205</v>
          </cell>
          <cell r="E469" t="str">
            <v>伯希和/PELLIOT</v>
          </cell>
          <cell r="F469" t="str">
            <v>内衣-内衣裤-保暖上装</v>
          </cell>
          <cell r="G469" t="str">
            <v>一品多商</v>
          </cell>
          <cell r="H469" t="str">
            <v>品牌直发</v>
          </cell>
          <cell r="I469">
            <v>0</v>
          </cell>
        </row>
        <row r="470">
          <cell r="D470">
            <v>105025005</v>
          </cell>
          <cell r="E470" t="str">
            <v>伯希和/PELLIOT</v>
          </cell>
          <cell r="F470" t="str">
            <v>箱包-包袋-户外包</v>
          </cell>
          <cell r="G470" t="str">
            <v>一品一商</v>
          </cell>
          <cell r="H470" t="str">
            <v>普通现货</v>
          </cell>
          <cell r="I470">
            <v>0</v>
          </cell>
        </row>
        <row r="471">
          <cell r="D471">
            <v>11340303</v>
          </cell>
          <cell r="E471" t="str">
            <v>伯希和/PELLIOT</v>
          </cell>
          <cell r="F471" t="str">
            <v>服装-外套-棉服</v>
          </cell>
          <cell r="G471" t="str">
            <v>一品多商</v>
          </cell>
          <cell r="H471" t="str">
            <v>品牌直发</v>
          </cell>
          <cell r="I471">
            <v>0</v>
          </cell>
        </row>
        <row r="472">
          <cell r="D472">
            <v>105025003</v>
          </cell>
          <cell r="E472" t="str">
            <v>伯希和/PELLIOT</v>
          </cell>
          <cell r="F472" t="str">
            <v>箱包-包袋-户外包</v>
          </cell>
          <cell r="G472" t="str">
            <v>一品一商</v>
          </cell>
          <cell r="H472" t="str">
            <v>品牌直发</v>
          </cell>
          <cell r="I472">
            <v>0</v>
          </cell>
        </row>
        <row r="473">
          <cell r="D473">
            <v>16123410</v>
          </cell>
          <cell r="E473" t="str">
            <v>伯希和/PELLIOT</v>
          </cell>
          <cell r="F473" t="str">
            <v>流行饰品/眼镜/服配-防晒服配-防晒帽</v>
          </cell>
          <cell r="G473" t="str">
            <v>一品一商</v>
          </cell>
          <cell r="H473" t="str">
            <v>品牌直发</v>
          </cell>
          <cell r="I473">
            <v>0</v>
          </cell>
        </row>
        <row r="474">
          <cell r="D474">
            <v>16223409</v>
          </cell>
          <cell r="E474" t="str">
            <v>伯希和/PELLIOT</v>
          </cell>
          <cell r="F474" t="str">
            <v>流行饰品/眼镜/服配-防晒服配-防晒帽</v>
          </cell>
          <cell r="G474" t="str">
            <v>一品一商</v>
          </cell>
          <cell r="H474" t="str">
            <v>品牌直发</v>
          </cell>
          <cell r="I474">
            <v>0</v>
          </cell>
        </row>
        <row r="475">
          <cell r="D475">
            <v>16123407</v>
          </cell>
          <cell r="E475" t="str">
            <v>伯希和/PELLIOT</v>
          </cell>
          <cell r="F475" t="str">
            <v>流行饰品/眼镜/服配-防晒服配-防晒帽</v>
          </cell>
          <cell r="G475" t="str">
            <v>一品一商</v>
          </cell>
          <cell r="H475" t="str">
            <v>普通现货</v>
          </cell>
          <cell r="I475">
            <v>0</v>
          </cell>
        </row>
        <row r="476">
          <cell r="D476">
            <v>16423417</v>
          </cell>
          <cell r="E476" t="str">
            <v>伯希和/PELLIOT</v>
          </cell>
          <cell r="F476" t="str">
            <v>流行饰品/眼镜/服配-防晒服配-防晒帽</v>
          </cell>
          <cell r="G476" t="str">
            <v>一品一商</v>
          </cell>
          <cell r="H476" t="str">
            <v>品牌直发</v>
          </cell>
          <cell r="I476">
            <v>0</v>
          </cell>
        </row>
        <row r="477">
          <cell r="D477">
            <v>16123409</v>
          </cell>
          <cell r="E477" t="str">
            <v>伯希和/PELLIOT</v>
          </cell>
          <cell r="F477" t="str">
            <v>流行饰品/眼镜/服配-防晒服配-防晒帽</v>
          </cell>
          <cell r="G477" t="str">
            <v>一品一商</v>
          </cell>
          <cell r="H477" t="str">
            <v>品牌直发</v>
          </cell>
          <cell r="I477">
            <v>0</v>
          </cell>
        </row>
        <row r="478">
          <cell r="D478">
            <v>16123403</v>
          </cell>
          <cell r="E478" t="str">
            <v>伯希和/PELLIOT</v>
          </cell>
          <cell r="F478" t="str">
            <v>流行饰品/眼镜/服配-帽子-渔夫帽</v>
          </cell>
          <cell r="G478" t="str">
            <v>一品一商</v>
          </cell>
          <cell r="H478" t="str">
            <v>品牌直发</v>
          </cell>
          <cell r="I478">
            <v>0</v>
          </cell>
        </row>
        <row r="479">
          <cell r="D479">
            <v>16223101</v>
          </cell>
          <cell r="E479" t="str">
            <v>伯希和/PELLIOT</v>
          </cell>
          <cell r="F479" t="str">
            <v>流行饰品/眼镜/服配-防晒服配-防晒手套</v>
          </cell>
          <cell r="G479" t="str">
            <v>一品一商</v>
          </cell>
          <cell r="H479" t="str">
            <v>品牌直发</v>
          </cell>
          <cell r="I479">
            <v>0</v>
          </cell>
        </row>
        <row r="480">
          <cell r="D480">
            <v>16043428</v>
          </cell>
          <cell r="E480" t="str">
            <v>伯希和/PELLIOT</v>
          </cell>
          <cell r="F480" t="str">
            <v>流行饰品/眼镜/服配-帽子-渔夫帽</v>
          </cell>
          <cell r="G480" t="str">
            <v>一品一商</v>
          </cell>
          <cell r="H480" t="str">
            <v>品牌直发</v>
          </cell>
          <cell r="I480">
            <v>0</v>
          </cell>
        </row>
        <row r="481">
          <cell r="D481">
            <v>16423418</v>
          </cell>
          <cell r="E481" t="str">
            <v>伯希和/PELLIOT</v>
          </cell>
          <cell r="F481" t="str">
            <v>流行饰品/眼镜/服配-帽子-鸭舌帽</v>
          </cell>
          <cell r="G481" t="str">
            <v>一品一商</v>
          </cell>
          <cell r="H481" t="str">
            <v>品牌直发</v>
          </cell>
          <cell r="I481">
            <v>0</v>
          </cell>
        </row>
        <row r="482">
          <cell r="D482">
            <v>16143205</v>
          </cell>
          <cell r="E482" t="str">
            <v>伯希和/PELLIOT</v>
          </cell>
          <cell r="F482" t="str">
            <v>流行饰品/眼镜/服配-围巾-围脖</v>
          </cell>
          <cell r="G482" t="str">
            <v>一品一商</v>
          </cell>
          <cell r="H482" t="str">
            <v>品牌直发</v>
          </cell>
          <cell r="I482">
            <v>0</v>
          </cell>
        </row>
        <row r="483">
          <cell r="D483">
            <v>16323402</v>
          </cell>
          <cell r="E483" t="str">
            <v>伯希和/PELLIOT</v>
          </cell>
          <cell r="F483" t="str">
            <v>流行饰品/眼镜/服配-防晒服配-防晒帽</v>
          </cell>
          <cell r="G483" t="str">
            <v>一品一商</v>
          </cell>
          <cell r="H483" t="str">
            <v>品牌直发</v>
          </cell>
          <cell r="I483">
            <v>0</v>
          </cell>
        </row>
        <row r="484">
          <cell r="D484">
            <v>16243103</v>
          </cell>
          <cell r="E484" t="str">
            <v>伯希和/PELLIOT</v>
          </cell>
          <cell r="F484" t="str">
            <v>流行饰品/眼镜/服配-手套-其他手套</v>
          </cell>
          <cell r="G484" t="str">
            <v>一品一商</v>
          </cell>
          <cell r="H484" t="str">
            <v>品牌直发</v>
          </cell>
          <cell r="I484">
            <v>0</v>
          </cell>
        </row>
        <row r="485">
          <cell r="D485">
            <v>16343418</v>
          </cell>
          <cell r="E485" t="str">
            <v>伯希和/PELLIOT</v>
          </cell>
          <cell r="F485" t="str">
            <v>流行饰品/眼镜/服配-帽子-其他帽子</v>
          </cell>
          <cell r="G485" t="str">
            <v>一品一商</v>
          </cell>
          <cell r="H485" t="str">
            <v>品牌直发</v>
          </cell>
          <cell r="I485">
            <v>0</v>
          </cell>
        </row>
        <row r="486">
          <cell r="D486">
            <v>1124310184</v>
          </cell>
          <cell r="E486" t="str">
            <v>伯希和/PELLIOT</v>
          </cell>
          <cell r="F486" t="str">
            <v>女装-户外运动服-抓绒衣</v>
          </cell>
          <cell r="G486" t="str">
            <v>一品一商</v>
          </cell>
          <cell r="H486" t="str">
            <v>品牌直发</v>
          </cell>
          <cell r="I486">
            <v>0</v>
          </cell>
        </row>
        <row r="487">
          <cell r="D487">
            <v>124401056</v>
          </cell>
          <cell r="E487" t="str">
            <v>伯希和/PELLIOT</v>
          </cell>
          <cell r="F487" t="str">
            <v>服装-外套-冲锋衣</v>
          </cell>
          <cell r="G487" t="str">
            <v>一品一商</v>
          </cell>
          <cell r="H487" t="str">
            <v>品牌直发</v>
          </cell>
          <cell r="I487">
            <v>0</v>
          </cell>
        </row>
        <row r="488">
          <cell r="D488">
            <v>124306142</v>
          </cell>
          <cell r="E488" t="str">
            <v>伯希和/PELLIOT</v>
          </cell>
          <cell r="F488" t="str">
            <v>女装-外套-软壳衣</v>
          </cell>
          <cell r="G488" t="str">
            <v>一品多商</v>
          </cell>
          <cell r="H488" t="str">
            <v>品牌直发</v>
          </cell>
          <cell r="I488">
            <v>0</v>
          </cell>
        </row>
        <row r="489">
          <cell r="D489">
            <v>114408263</v>
          </cell>
          <cell r="E489" t="str">
            <v>伯希和/PELLIOT</v>
          </cell>
          <cell r="F489" t="str">
            <v>服装-外套-羽绒服</v>
          </cell>
          <cell r="G489" t="str">
            <v>一品多商</v>
          </cell>
          <cell r="H489" t="str">
            <v>品牌直发</v>
          </cell>
          <cell r="I489">
            <v>0</v>
          </cell>
        </row>
        <row r="490">
          <cell r="D490">
            <v>114401077</v>
          </cell>
          <cell r="E490" t="str">
            <v>伯希和/PELLIOT</v>
          </cell>
          <cell r="F490" t="str">
            <v>服装-外套-冲锋衣</v>
          </cell>
          <cell r="G490" t="str">
            <v>一品多商</v>
          </cell>
          <cell r="H490" t="str">
            <v>品牌直发</v>
          </cell>
          <cell r="I490">
            <v>0</v>
          </cell>
        </row>
        <row r="491">
          <cell r="D491" t="str">
            <v>PE124423019</v>
          </cell>
          <cell r="E491" t="str">
            <v>伯希和/PELLIOT</v>
          </cell>
          <cell r="F491" t="str">
            <v>鞋-靴子-雪地靴</v>
          </cell>
          <cell r="G491" t="str">
            <v>一品一商</v>
          </cell>
          <cell r="H491" t="str">
            <v>品牌直发</v>
          </cell>
          <cell r="I491">
            <v>0</v>
          </cell>
        </row>
        <row r="492">
          <cell r="D492">
            <v>114315397</v>
          </cell>
          <cell r="E492" t="str">
            <v>伯希和/PELLIOT</v>
          </cell>
          <cell r="F492" t="str">
            <v>服装-上衣-T恤</v>
          </cell>
          <cell r="G492" t="str">
            <v>一品一商</v>
          </cell>
          <cell r="H492" t="str">
            <v>品牌直发</v>
          </cell>
          <cell r="I492">
            <v>0</v>
          </cell>
        </row>
        <row r="493">
          <cell r="D493">
            <v>124310204</v>
          </cell>
          <cell r="E493" t="str">
            <v>伯希和/PELLIOT</v>
          </cell>
          <cell r="F493" t="str">
            <v>女装-户外运动服-抓绒衣</v>
          </cell>
          <cell r="G493" t="str">
            <v>一品一商</v>
          </cell>
          <cell r="H493" t="str">
            <v>品牌直发</v>
          </cell>
          <cell r="I493">
            <v>0</v>
          </cell>
        </row>
        <row r="494">
          <cell r="D494" t="str">
            <v>PE114315381</v>
          </cell>
          <cell r="E494" t="str">
            <v>伯希和/PELLIOT</v>
          </cell>
          <cell r="F494" t="str">
            <v>服装-上衣-T恤</v>
          </cell>
          <cell r="G494" t="str">
            <v>一品一商</v>
          </cell>
          <cell r="H494" t="str">
            <v>品牌直发</v>
          </cell>
          <cell r="I494">
            <v>0</v>
          </cell>
        </row>
        <row r="495">
          <cell r="D495">
            <v>124409342</v>
          </cell>
          <cell r="E495" t="str">
            <v>伯希和/PELLIOT</v>
          </cell>
          <cell r="F495" t="str">
            <v>女装-长裤-羽绒裤</v>
          </cell>
          <cell r="G495" t="str">
            <v>一品多商</v>
          </cell>
          <cell r="H495" t="str">
            <v>品牌直发</v>
          </cell>
          <cell r="I495">
            <v>0</v>
          </cell>
        </row>
        <row r="496">
          <cell r="D496">
            <v>124306144</v>
          </cell>
          <cell r="E496" t="str">
            <v>伯希和/PELLIOT</v>
          </cell>
          <cell r="F496" t="str">
            <v>女装-外套-软壳衣</v>
          </cell>
          <cell r="G496" t="str">
            <v>一品多商</v>
          </cell>
          <cell r="H496" t="str">
            <v>品牌直发</v>
          </cell>
          <cell r="I496">
            <v>0</v>
          </cell>
        </row>
        <row r="497">
          <cell r="D497" t="str">
            <v>PE114377365</v>
          </cell>
          <cell r="E497" t="str">
            <v>伯希和/PELLIOT</v>
          </cell>
          <cell r="F497" t="str">
            <v>服装-健身服-运动长裤</v>
          </cell>
          <cell r="G497" t="str">
            <v>一品多商</v>
          </cell>
          <cell r="H497" t="str">
            <v>品牌直发</v>
          </cell>
          <cell r="I497">
            <v>0</v>
          </cell>
        </row>
        <row r="498">
          <cell r="D498">
            <v>114376411</v>
          </cell>
          <cell r="E498" t="str">
            <v>伯希和/PELLIOT</v>
          </cell>
          <cell r="F498" t="str">
            <v>服装-外套-棉服</v>
          </cell>
          <cell r="G498" t="str">
            <v>一品一商</v>
          </cell>
          <cell r="H498" t="str">
            <v>品牌直发</v>
          </cell>
          <cell r="I498">
            <v>0</v>
          </cell>
        </row>
        <row r="499">
          <cell r="D499" t="str">
            <v>PE124408264</v>
          </cell>
          <cell r="E499" t="str">
            <v>伯希和/PELLIOT</v>
          </cell>
          <cell r="F499" t="str">
            <v>服装-外套-羽绒服</v>
          </cell>
          <cell r="G499" t="str">
            <v>一品多商</v>
          </cell>
          <cell r="H499" t="str">
            <v>品牌直发</v>
          </cell>
          <cell r="I499">
            <v>0</v>
          </cell>
        </row>
        <row r="500">
          <cell r="D500">
            <v>114401061</v>
          </cell>
          <cell r="E500" t="str">
            <v>伯希和/PELLIOT</v>
          </cell>
          <cell r="F500" t="str">
            <v>服装-外套-冲锋衣</v>
          </cell>
          <cell r="G500" t="str">
            <v>一品一商</v>
          </cell>
          <cell r="H500" t="str">
            <v>品牌直发</v>
          </cell>
          <cell r="I500">
            <v>0</v>
          </cell>
        </row>
        <row r="501">
          <cell r="D501">
            <v>114408259</v>
          </cell>
          <cell r="E501" t="str">
            <v>伯希和/PELLIOT</v>
          </cell>
          <cell r="F501" t="str">
            <v>服装-外套-羽绒服</v>
          </cell>
          <cell r="G501" t="str">
            <v>一品多商</v>
          </cell>
          <cell r="H501" t="str">
            <v>品牌直发</v>
          </cell>
          <cell r="I501">
            <v>0</v>
          </cell>
        </row>
        <row r="502">
          <cell r="D502">
            <v>114408257</v>
          </cell>
          <cell r="E502" t="str">
            <v>伯希和/PELLIOT</v>
          </cell>
          <cell r="F502" t="str">
            <v>服装-外套-羽绒服</v>
          </cell>
          <cell r="G502" t="str">
            <v>一品多商</v>
          </cell>
          <cell r="H502" t="str">
            <v>品牌直发</v>
          </cell>
          <cell r="I502">
            <v>0</v>
          </cell>
        </row>
        <row r="503">
          <cell r="D503">
            <v>124301066</v>
          </cell>
          <cell r="E503" t="str">
            <v>伯希和/PELLIOT</v>
          </cell>
          <cell r="F503" t="str">
            <v>女装-外套-冲锋衣</v>
          </cell>
          <cell r="G503" t="str">
            <v>一品一商</v>
          </cell>
          <cell r="H503" t="str">
            <v>品牌直发</v>
          </cell>
          <cell r="I503">
            <v>0</v>
          </cell>
        </row>
        <row r="504">
          <cell r="D504">
            <v>124408254</v>
          </cell>
          <cell r="E504" t="str">
            <v>伯希和/PELLIOT</v>
          </cell>
          <cell r="F504" t="str">
            <v>服装-外套-羽绒服</v>
          </cell>
          <cell r="G504" t="str">
            <v>一品多商</v>
          </cell>
          <cell r="H504" t="str">
            <v>品牌直发</v>
          </cell>
          <cell r="I504">
            <v>0</v>
          </cell>
        </row>
        <row r="505">
          <cell r="D505">
            <v>124403128</v>
          </cell>
          <cell r="E505" t="str">
            <v>伯希和/PELLIOT</v>
          </cell>
          <cell r="F505" t="str">
            <v>服装-户外运动服-滑雪衣</v>
          </cell>
          <cell r="G505" t="str">
            <v>一品多商</v>
          </cell>
          <cell r="H505" t="str">
            <v>品牌直发</v>
          </cell>
          <cell r="I505">
            <v>0</v>
          </cell>
        </row>
        <row r="506">
          <cell r="D506">
            <v>114301071</v>
          </cell>
          <cell r="E506" t="str">
            <v>伯希和/PELLIOT</v>
          </cell>
          <cell r="F506" t="str">
            <v>服装-外套-冲锋衣</v>
          </cell>
          <cell r="G506" t="str">
            <v>一品多商</v>
          </cell>
          <cell r="H506" t="str">
            <v>品牌直发</v>
          </cell>
          <cell r="I506">
            <v>0</v>
          </cell>
        </row>
        <row r="507">
          <cell r="D507">
            <v>114408277</v>
          </cell>
          <cell r="E507" t="str">
            <v>伯希和/PELLIOT</v>
          </cell>
          <cell r="F507" t="str">
            <v>服装-外套-羽绒服</v>
          </cell>
          <cell r="G507" t="str">
            <v>一品多商</v>
          </cell>
          <cell r="H507" t="str">
            <v>品牌直发</v>
          </cell>
          <cell r="I507">
            <v>0</v>
          </cell>
        </row>
        <row r="508">
          <cell r="D508">
            <v>134401045</v>
          </cell>
          <cell r="E508" t="str">
            <v>伯希和/PELLIOT</v>
          </cell>
          <cell r="F508" t="str">
            <v>童装-儿童上装-冲锋衣</v>
          </cell>
          <cell r="G508" t="str">
            <v>一品一商</v>
          </cell>
          <cell r="H508" t="str">
            <v>品牌直发</v>
          </cell>
          <cell r="I508">
            <v>0</v>
          </cell>
        </row>
        <row r="509">
          <cell r="D509">
            <v>124403126</v>
          </cell>
          <cell r="E509" t="str">
            <v>伯希和/PELLIOT</v>
          </cell>
          <cell r="F509" t="str">
            <v>服装-户外运动服-滑雪衣</v>
          </cell>
          <cell r="G509" t="str">
            <v>一品一商</v>
          </cell>
          <cell r="H509" t="str">
            <v>品牌直发</v>
          </cell>
          <cell r="I509">
            <v>0</v>
          </cell>
        </row>
        <row r="510">
          <cell r="D510">
            <v>114408273</v>
          </cell>
          <cell r="E510" t="str">
            <v>伯希和/PELLIOT</v>
          </cell>
          <cell r="F510" t="str">
            <v>服装-外套-羽绒服</v>
          </cell>
          <cell r="G510" t="str">
            <v>一品多商</v>
          </cell>
          <cell r="H510" t="str">
            <v>品牌直发</v>
          </cell>
          <cell r="I510">
            <v>0</v>
          </cell>
        </row>
        <row r="511">
          <cell r="D511">
            <v>134408270</v>
          </cell>
          <cell r="E511" t="str">
            <v>伯希和/PELLIOT</v>
          </cell>
          <cell r="F511" t="str">
            <v>童装-儿童上装-羽绒服</v>
          </cell>
          <cell r="G511" t="str">
            <v>一品一商</v>
          </cell>
          <cell r="H511" t="str">
            <v>品牌直发</v>
          </cell>
          <cell r="I511">
            <v>0</v>
          </cell>
        </row>
        <row r="512">
          <cell r="D512" t="str">
            <v>PE124408260</v>
          </cell>
          <cell r="E512" t="str">
            <v>伯希和/PELLIOT</v>
          </cell>
          <cell r="F512" t="str">
            <v>女装-外套-羽绒服</v>
          </cell>
          <cell r="G512" t="str">
            <v>一品多商</v>
          </cell>
          <cell r="H512" t="str">
            <v>品牌直发</v>
          </cell>
          <cell r="I512">
            <v>0</v>
          </cell>
        </row>
        <row r="513">
          <cell r="D513">
            <v>124408240</v>
          </cell>
          <cell r="E513" t="str">
            <v>伯希和/PELLIOT</v>
          </cell>
          <cell r="F513" t="str">
            <v>服装-外套-羽绒服</v>
          </cell>
          <cell r="G513" t="str">
            <v>一品多商</v>
          </cell>
          <cell r="H513" t="str">
            <v>品牌直发</v>
          </cell>
          <cell r="I513">
            <v>0</v>
          </cell>
        </row>
        <row r="514">
          <cell r="D514" t="str">
            <v>PE114401055</v>
          </cell>
          <cell r="E514" t="str">
            <v>伯希和/PELLIOT</v>
          </cell>
          <cell r="F514" t="str">
            <v>服装-外套-冲锋衣</v>
          </cell>
          <cell r="G514" t="str">
            <v>一品一商</v>
          </cell>
          <cell r="H514" t="str">
            <v>品牌直发</v>
          </cell>
          <cell r="I514">
            <v>0</v>
          </cell>
        </row>
        <row r="515">
          <cell r="D515" t="str">
            <v>PE124408278</v>
          </cell>
          <cell r="E515" t="str">
            <v>伯希和/PELLIOT</v>
          </cell>
          <cell r="F515" t="str">
            <v>女装-外套-羽绒服</v>
          </cell>
          <cell r="G515" t="str">
            <v>一品多商</v>
          </cell>
          <cell r="H515" t="str">
            <v>品牌直发</v>
          </cell>
          <cell r="I515">
            <v>0</v>
          </cell>
        </row>
        <row r="516">
          <cell r="D516" t="str">
            <v>PE124315434</v>
          </cell>
          <cell r="E516" t="str">
            <v>伯希和/PELLIOT</v>
          </cell>
          <cell r="F516" t="str">
            <v>女装-上衣-T恤</v>
          </cell>
          <cell r="G516" t="str">
            <v>一品一商</v>
          </cell>
          <cell r="H516" t="str">
            <v>品牌直发</v>
          </cell>
          <cell r="I516">
            <v>0</v>
          </cell>
        </row>
        <row r="517">
          <cell r="D517" t="str">
            <v>PE114315433</v>
          </cell>
          <cell r="E517" t="str">
            <v>伯希和/PELLIOT</v>
          </cell>
          <cell r="F517" t="str">
            <v>服装-户外运动服-抓绒衣</v>
          </cell>
          <cell r="G517" t="str">
            <v>一品一商</v>
          </cell>
          <cell r="H517" t="str">
            <v>品牌直发</v>
          </cell>
          <cell r="I517">
            <v>0</v>
          </cell>
        </row>
        <row r="518">
          <cell r="D518" t="str">
            <v>PE124310192</v>
          </cell>
          <cell r="E518" t="str">
            <v>伯希和/PELLIOT</v>
          </cell>
          <cell r="F518" t="str">
            <v>女装-户外运动服-抓绒衣</v>
          </cell>
          <cell r="G518" t="str">
            <v>一品多商</v>
          </cell>
          <cell r="H518" t="str">
            <v>品牌直发</v>
          </cell>
          <cell r="I518">
            <v>0</v>
          </cell>
        </row>
        <row r="519">
          <cell r="D519">
            <v>134409343</v>
          </cell>
          <cell r="E519" t="str">
            <v>伯希和/PELLIOT</v>
          </cell>
          <cell r="F519" t="str">
            <v>童装-儿童下装-儿童运动裤</v>
          </cell>
          <cell r="G519" t="str">
            <v>一品一商</v>
          </cell>
          <cell r="H519" t="str">
            <v>品牌直发</v>
          </cell>
          <cell r="I519">
            <v>0</v>
          </cell>
        </row>
        <row r="520">
          <cell r="D520">
            <v>114311235</v>
          </cell>
          <cell r="E520" t="str">
            <v>伯希和/PELLIOT</v>
          </cell>
          <cell r="F520" t="str">
            <v>服装-长裤-休闲裤</v>
          </cell>
          <cell r="G520" t="str">
            <v>一品一商</v>
          </cell>
          <cell r="H520" t="str">
            <v>品牌直发</v>
          </cell>
          <cell r="I520">
            <v>0</v>
          </cell>
        </row>
        <row r="521">
          <cell r="D521">
            <v>134408267</v>
          </cell>
          <cell r="E521" t="str">
            <v>伯希和/PELLIOT</v>
          </cell>
          <cell r="F521" t="str">
            <v>童装-儿童上装-羽绒服</v>
          </cell>
          <cell r="G521" t="str">
            <v>一品一商</v>
          </cell>
          <cell r="H521" t="str">
            <v>品牌直发</v>
          </cell>
          <cell r="I521">
            <v>0</v>
          </cell>
        </row>
        <row r="522">
          <cell r="D522">
            <v>134306146</v>
          </cell>
          <cell r="E522" t="str">
            <v>伯希和/PELLIOT</v>
          </cell>
          <cell r="F522" t="str">
            <v>童装-儿童上装-夹克</v>
          </cell>
          <cell r="G522" t="str">
            <v>一品多商</v>
          </cell>
          <cell r="H522" t="str">
            <v>品牌直发</v>
          </cell>
          <cell r="I522">
            <v>0</v>
          </cell>
        </row>
        <row r="523">
          <cell r="D523">
            <v>114408265</v>
          </cell>
          <cell r="E523" t="str">
            <v>伯希和/PELLIOT</v>
          </cell>
          <cell r="F523" t="str">
            <v>服装-外套-羽绒服</v>
          </cell>
          <cell r="G523" t="str">
            <v>一品多商</v>
          </cell>
          <cell r="H523" t="str">
            <v>品牌直发</v>
          </cell>
          <cell r="I523">
            <v>0</v>
          </cell>
        </row>
        <row r="524">
          <cell r="D524">
            <v>114319017</v>
          </cell>
          <cell r="E524" t="str">
            <v>伯希和/PELLIOT</v>
          </cell>
          <cell r="F524" t="str">
            <v>鞋-运动鞋-登山鞋/徒步鞋</v>
          </cell>
          <cell r="G524" t="str">
            <v>一品一商</v>
          </cell>
          <cell r="H524" t="str">
            <v>品牌直发</v>
          </cell>
          <cell r="I524">
            <v>0</v>
          </cell>
        </row>
        <row r="525">
          <cell r="D525" t="str">
            <v>PE124408256</v>
          </cell>
          <cell r="E525" t="str">
            <v>伯希和/PELLIOT</v>
          </cell>
          <cell r="F525" t="str">
            <v>女装-外套-羽绒服</v>
          </cell>
          <cell r="G525" t="str">
            <v>一品多商</v>
          </cell>
          <cell r="H525" t="str">
            <v>品牌直发</v>
          </cell>
          <cell r="I525">
            <v>0</v>
          </cell>
        </row>
        <row r="526">
          <cell r="D526">
            <v>114408255</v>
          </cell>
          <cell r="E526" t="str">
            <v>伯希和/PELLIOT</v>
          </cell>
          <cell r="F526" t="str">
            <v>服装-外套-羽绒服</v>
          </cell>
          <cell r="G526" t="str">
            <v>一品多商</v>
          </cell>
          <cell r="H526" t="str">
            <v>品牌直发</v>
          </cell>
          <cell r="I526">
            <v>0</v>
          </cell>
        </row>
        <row r="527">
          <cell r="D527">
            <v>124408258</v>
          </cell>
          <cell r="E527" t="str">
            <v>伯希和/PELLIOT</v>
          </cell>
          <cell r="F527" t="str">
            <v>女装-外套-羽绒服</v>
          </cell>
          <cell r="G527" t="str">
            <v>一品多商</v>
          </cell>
          <cell r="H527" t="str">
            <v>品牌直发</v>
          </cell>
          <cell r="I527">
            <v>0</v>
          </cell>
        </row>
        <row r="528">
          <cell r="D528">
            <v>114401069</v>
          </cell>
          <cell r="E528" t="str">
            <v>伯希和/PELLIOT</v>
          </cell>
          <cell r="F528" t="str">
            <v>服装-外套-冲锋衣</v>
          </cell>
          <cell r="G528" t="str">
            <v>一品一商</v>
          </cell>
          <cell r="H528" t="str">
            <v>品牌直发</v>
          </cell>
          <cell r="I528">
            <v>0</v>
          </cell>
        </row>
        <row r="529">
          <cell r="D529">
            <v>114301015</v>
          </cell>
          <cell r="E529" t="str">
            <v>伯希和/PELLIOT</v>
          </cell>
          <cell r="F529" t="str">
            <v>服装-外套-冲锋衣</v>
          </cell>
          <cell r="G529" t="str">
            <v>一品多商</v>
          </cell>
          <cell r="H529" t="str">
            <v>品牌直发</v>
          </cell>
          <cell r="I529">
            <v>0</v>
          </cell>
        </row>
        <row r="530">
          <cell r="D530">
            <v>124311236</v>
          </cell>
          <cell r="E530" t="str">
            <v>伯希和/PELLIOT</v>
          </cell>
          <cell r="F530" t="str">
            <v>女装-户外运动服-抓绒裤</v>
          </cell>
          <cell r="G530" t="str">
            <v>一品一商</v>
          </cell>
          <cell r="H530" t="str">
            <v>品牌直发</v>
          </cell>
          <cell r="I530">
            <v>0</v>
          </cell>
        </row>
        <row r="531">
          <cell r="D531">
            <v>114408251</v>
          </cell>
          <cell r="E531" t="str">
            <v>伯希和/PELLIOT</v>
          </cell>
          <cell r="F531" t="str">
            <v>服装-外套-羽绒服</v>
          </cell>
          <cell r="G531" t="str">
            <v>一品一商</v>
          </cell>
          <cell r="H531" t="str">
            <v>品牌直发</v>
          </cell>
          <cell r="I531">
            <v>0</v>
          </cell>
        </row>
        <row r="532">
          <cell r="D532" t="str">
            <v>PE124408250</v>
          </cell>
          <cell r="E532" t="str">
            <v>伯希和/PELLIOT</v>
          </cell>
          <cell r="F532" t="str">
            <v>女装-外套-羽绒服</v>
          </cell>
          <cell r="G532" t="str">
            <v>一品一商</v>
          </cell>
          <cell r="H532" t="str">
            <v>品牌直发</v>
          </cell>
          <cell r="I532">
            <v>0</v>
          </cell>
        </row>
        <row r="533">
          <cell r="D533">
            <v>114409341</v>
          </cell>
          <cell r="E533" t="str">
            <v>伯希和/PELLIOT</v>
          </cell>
          <cell r="F533" t="str">
            <v>服装-长裤-羽绒裤</v>
          </cell>
          <cell r="G533" t="str">
            <v>一品多商</v>
          </cell>
          <cell r="H533" t="str">
            <v>品牌直发</v>
          </cell>
          <cell r="I533">
            <v>0</v>
          </cell>
        </row>
        <row r="534">
          <cell r="D534">
            <v>124304118</v>
          </cell>
          <cell r="E534" t="str">
            <v>伯希和/PELLIOT</v>
          </cell>
          <cell r="F534" t="str">
            <v>服装-户外运动服-滑雪裤</v>
          </cell>
          <cell r="G534" t="str">
            <v>一品多商</v>
          </cell>
          <cell r="H534" t="str">
            <v>品牌直发</v>
          </cell>
          <cell r="I534">
            <v>0</v>
          </cell>
        </row>
        <row r="535">
          <cell r="D535" t="str">
            <v>PE124404116</v>
          </cell>
          <cell r="E535" t="str">
            <v>伯希和/PELLIOT</v>
          </cell>
          <cell r="F535" t="str">
            <v>服装-户外运动服-滑雪裤</v>
          </cell>
          <cell r="G535" t="str">
            <v>一品多商</v>
          </cell>
          <cell r="H535" t="str">
            <v>品牌直发</v>
          </cell>
          <cell r="I535">
            <v>0</v>
          </cell>
        </row>
        <row r="536">
          <cell r="D536" t="str">
            <v>124319016曜石黑</v>
          </cell>
          <cell r="E536" t="str">
            <v>伯希和/PELLIOT</v>
          </cell>
          <cell r="F536" t="str">
            <v>鞋-运动鞋-登山鞋/徒步鞋</v>
          </cell>
          <cell r="G536" t="str">
            <v>一品一商</v>
          </cell>
          <cell r="H536" t="str">
            <v>品牌直发</v>
          </cell>
          <cell r="I536">
            <v>0</v>
          </cell>
        </row>
        <row r="537">
          <cell r="D537" t="str">
            <v>PE124310194</v>
          </cell>
          <cell r="E537" t="str">
            <v>伯希和/PELLIOT</v>
          </cell>
          <cell r="F537" t="str">
            <v>女装-户外运动服-抓绒衣</v>
          </cell>
          <cell r="G537" t="str">
            <v>一品一商</v>
          </cell>
          <cell r="H537" t="str">
            <v>品牌直发</v>
          </cell>
          <cell r="I537">
            <v>0</v>
          </cell>
        </row>
        <row r="538">
          <cell r="D538">
            <v>124408252</v>
          </cell>
          <cell r="E538" t="str">
            <v>伯希和/PELLIOT</v>
          </cell>
          <cell r="F538" t="str">
            <v>女装-外套-羽绒服</v>
          </cell>
          <cell r="G538" t="str">
            <v>一品多商</v>
          </cell>
          <cell r="H538" t="str">
            <v>品牌直发</v>
          </cell>
          <cell r="I538">
            <v>0</v>
          </cell>
        </row>
        <row r="539">
          <cell r="D539">
            <v>114351091</v>
          </cell>
          <cell r="E539" t="str">
            <v>伯希和/PELLIOT</v>
          </cell>
          <cell r="F539" t="str">
            <v>服装-外套-软壳衣</v>
          </cell>
          <cell r="G539" t="str">
            <v>一品多商</v>
          </cell>
          <cell r="H539" t="str">
            <v>品牌直发</v>
          </cell>
          <cell r="I539">
            <v>0</v>
          </cell>
        </row>
        <row r="540">
          <cell r="D540">
            <v>124310184</v>
          </cell>
          <cell r="E540" t="str">
            <v>伯希和/PELLIOT</v>
          </cell>
          <cell r="F540" t="str">
            <v>女装-上衣-卫衣</v>
          </cell>
          <cell r="G540" t="str">
            <v>一品一商</v>
          </cell>
          <cell r="H540" t="str">
            <v>品牌直发</v>
          </cell>
          <cell r="I540">
            <v>0</v>
          </cell>
        </row>
        <row r="541">
          <cell r="D541">
            <v>124377366</v>
          </cell>
          <cell r="E541" t="str">
            <v>伯希和/PELLIOT</v>
          </cell>
          <cell r="F541" t="str">
            <v>内衣-内衣裤-保暖裤</v>
          </cell>
          <cell r="G541" t="str">
            <v>一品一商</v>
          </cell>
          <cell r="H541" t="str">
            <v>品牌直发</v>
          </cell>
          <cell r="I541">
            <v>0</v>
          </cell>
        </row>
        <row r="542">
          <cell r="D542">
            <v>114315395</v>
          </cell>
          <cell r="E542" t="str">
            <v>伯希和/PELLIOT</v>
          </cell>
          <cell r="F542" t="str">
            <v>服装-户外运动服-速干衣</v>
          </cell>
          <cell r="G542" t="str">
            <v>一品一商</v>
          </cell>
          <cell r="H542" t="str">
            <v>品牌直发</v>
          </cell>
          <cell r="I542">
            <v>0</v>
          </cell>
        </row>
        <row r="543">
          <cell r="D543">
            <v>164334001</v>
          </cell>
          <cell r="E543" t="str">
            <v>伯希和/PELLIOT</v>
          </cell>
          <cell r="F543" t="str">
            <v>流行饰品/眼镜/服配-帽子-其他帽子</v>
          </cell>
          <cell r="G543" t="str">
            <v>一品一商</v>
          </cell>
          <cell r="H543" t="str">
            <v>品牌直发</v>
          </cell>
          <cell r="I543">
            <v>0</v>
          </cell>
        </row>
        <row r="544">
          <cell r="D544">
            <v>124315398</v>
          </cell>
          <cell r="E544" t="str">
            <v>伯希和/PELLIOT</v>
          </cell>
          <cell r="F544" t="str">
            <v>女装-上衣-T恤</v>
          </cell>
          <cell r="G544" t="str">
            <v>一品多商</v>
          </cell>
          <cell r="H544" t="str">
            <v>品牌直发</v>
          </cell>
          <cell r="I544">
            <v>0</v>
          </cell>
        </row>
        <row r="545">
          <cell r="D545">
            <v>124301080</v>
          </cell>
          <cell r="E545" t="str">
            <v>伯希和/PELLIOT</v>
          </cell>
          <cell r="F545" t="str">
            <v>女装-外套-冲锋衣</v>
          </cell>
          <cell r="G545" t="str">
            <v>一品多商</v>
          </cell>
          <cell r="H545" t="str">
            <v>品牌直发</v>
          </cell>
          <cell r="I545">
            <v>0</v>
          </cell>
        </row>
        <row r="546">
          <cell r="D546" t="str">
            <v>PE124306152</v>
          </cell>
          <cell r="E546" t="str">
            <v>伯希和/PELLIOT</v>
          </cell>
          <cell r="F546" t="str">
            <v>女装-外套-软壳衣</v>
          </cell>
          <cell r="G546" t="str">
            <v>一品多商</v>
          </cell>
          <cell r="H546" t="str">
            <v>品牌直发</v>
          </cell>
          <cell r="I546">
            <v>0</v>
          </cell>
        </row>
        <row r="547">
          <cell r="D547">
            <v>124408246</v>
          </cell>
          <cell r="E547" t="str">
            <v>伯希和/PELLIOT</v>
          </cell>
          <cell r="F547" t="str">
            <v>女装-外套-羽绒服</v>
          </cell>
          <cell r="G547" t="str">
            <v>一品多商</v>
          </cell>
          <cell r="H547" t="str">
            <v>品牌直发</v>
          </cell>
          <cell r="I547">
            <v>0</v>
          </cell>
        </row>
        <row r="548">
          <cell r="D548" t="str">
            <v>PE114401009</v>
          </cell>
          <cell r="E548" t="str">
            <v>伯希和/PELLIOT</v>
          </cell>
          <cell r="F548" t="str">
            <v>服装-外套-冲锋衣</v>
          </cell>
          <cell r="G548" t="str">
            <v>一品多商</v>
          </cell>
          <cell r="H548" t="str">
            <v>品牌直发</v>
          </cell>
          <cell r="I548">
            <v>0</v>
          </cell>
        </row>
        <row r="549">
          <cell r="D549">
            <v>114408249</v>
          </cell>
          <cell r="E549" t="str">
            <v>伯希和/PELLIOT</v>
          </cell>
          <cell r="F549" t="str">
            <v>服装-外套-羽绒服</v>
          </cell>
          <cell r="G549" t="str">
            <v>一品多商</v>
          </cell>
          <cell r="H549" t="str">
            <v>品牌直发</v>
          </cell>
          <cell r="I549">
            <v>0</v>
          </cell>
        </row>
        <row r="550">
          <cell r="D550" t="str">
            <v>124419010经典黑</v>
          </cell>
          <cell r="E550" t="str">
            <v>伯希和/PELLIOT</v>
          </cell>
          <cell r="F550" t="str">
            <v>鞋-运动鞋-登山鞋/徒步鞋</v>
          </cell>
          <cell r="G550" t="str">
            <v>一品一商</v>
          </cell>
          <cell r="H550" t="str">
            <v>品牌直发</v>
          </cell>
          <cell r="I550">
            <v>0</v>
          </cell>
        </row>
        <row r="551">
          <cell r="D551">
            <v>124318426</v>
          </cell>
          <cell r="E551" t="str">
            <v>伯希和/PELLIOT</v>
          </cell>
          <cell r="F551" t="str">
            <v>内衣-内衣裤-保暖套装</v>
          </cell>
          <cell r="G551" t="str">
            <v>一品一商</v>
          </cell>
          <cell r="H551" t="str">
            <v>普通现货</v>
          </cell>
          <cell r="I551">
            <v>0</v>
          </cell>
        </row>
        <row r="552">
          <cell r="D552">
            <v>124408244</v>
          </cell>
          <cell r="E552" t="str">
            <v>伯希和/PELLIOT</v>
          </cell>
          <cell r="F552" t="str">
            <v>服装-外套-羽绒服</v>
          </cell>
          <cell r="G552" t="str">
            <v>一品多商</v>
          </cell>
          <cell r="H552" t="str">
            <v>品牌直发</v>
          </cell>
          <cell r="I552">
            <v>0</v>
          </cell>
        </row>
        <row r="553">
          <cell r="D553">
            <v>114306151</v>
          </cell>
          <cell r="E553" t="str">
            <v>伯希和/PELLIOT</v>
          </cell>
          <cell r="F553" t="str">
            <v>服装-外套-软壳衣</v>
          </cell>
          <cell r="G553" t="str">
            <v>一品多商</v>
          </cell>
          <cell r="H553" t="str">
            <v>品牌直发</v>
          </cell>
          <cell r="I553">
            <v>0</v>
          </cell>
        </row>
        <row r="554">
          <cell r="D554">
            <v>124401042</v>
          </cell>
          <cell r="E554" t="str">
            <v>伯希和/PELLIOT</v>
          </cell>
          <cell r="F554" t="str">
            <v>女装-外套-冲锋衣</v>
          </cell>
          <cell r="G554" t="str">
            <v>一品多商</v>
          </cell>
          <cell r="H554" t="str">
            <v>品牌直发</v>
          </cell>
          <cell r="I554">
            <v>0</v>
          </cell>
        </row>
        <row r="555">
          <cell r="D555">
            <v>124376410</v>
          </cell>
          <cell r="E555" t="str">
            <v>伯希和/PELLIOT</v>
          </cell>
          <cell r="F555" t="str">
            <v>服装-外套-棉服</v>
          </cell>
          <cell r="G555" t="str">
            <v>一品多商</v>
          </cell>
          <cell r="H555" t="str">
            <v>品牌直发</v>
          </cell>
          <cell r="I555">
            <v>0</v>
          </cell>
        </row>
        <row r="556">
          <cell r="D556">
            <v>124419012</v>
          </cell>
          <cell r="E556" t="str">
            <v>伯希和/PELLIOT</v>
          </cell>
          <cell r="F556" t="str">
            <v>鞋-运动鞋-登山鞋/徒步鞋</v>
          </cell>
          <cell r="G556" t="str">
            <v>一品一商</v>
          </cell>
          <cell r="H556" t="str">
            <v>品牌直发</v>
          </cell>
          <cell r="I556">
            <v>0</v>
          </cell>
        </row>
        <row r="557">
          <cell r="D557">
            <v>114419011</v>
          </cell>
          <cell r="E557" t="str">
            <v>伯希和/PELLIOT</v>
          </cell>
          <cell r="F557" t="str">
            <v>鞋-运动鞋-登山鞋/徒步鞋</v>
          </cell>
          <cell r="G557" t="str">
            <v>一品一商</v>
          </cell>
          <cell r="H557" t="str">
            <v>品牌直发</v>
          </cell>
          <cell r="I557">
            <v>0</v>
          </cell>
        </row>
        <row r="558">
          <cell r="D558">
            <v>114311233</v>
          </cell>
          <cell r="E558" t="str">
            <v>伯希和/PELLIOT</v>
          </cell>
          <cell r="F558" t="str">
            <v>服装-户外运动服-抓绒裤</v>
          </cell>
          <cell r="G558" t="str">
            <v>一品多商</v>
          </cell>
          <cell r="H558" t="str">
            <v>品牌直发</v>
          </cell>
          <cell r="I558">
            <v>0</v>
          </cell>
        </row>
        <row r="559">
          <cell r="D559">
            <v>114408241</v>
          </cell>
          <cell r="E559" t="str">
            <v>伯希和/PELLIOT</v>
          </cell>
          <cell r="F559" t="str">
            <v>服装-外套-羽绒马甲</v>
          </cell>
          <cell r="G559" t="str">
            <v>一品多商</v>
          </cell>
          <cell r="H559" t="str">
            <v>品牌直发</v>
          </cell>
          <cell r="I559">
            <v>0</v>
          </cell>
        </row>
        <row r="560">
          <cell r="D560">
            <v>134408269</v>
          </cell>
          <cell r="E560" t="str">
            <v>伯希和/PELLIOT</v>
          </cell>
          <cell r="F560" t="str">
            <v>童装-儿童上装-羽绒服</v>
          </cell>
          <cell r="G560" t="str">
            <v>一品一商</v>
          </cell>
          <cell r="H560" t="str">
            <v>品牌直发</v>
          </cell>
          <cell r="I560">
            <v>0</v>
          </cell>
        </row>
        <row r="561">
          <cell r="D561">
            <v>124408268</v>
          </cell>
          <cell r="E561" t="str">
            <v>伯希和/PELLIOT</v>
          </cell>
          <cell r="F561" t="str">
            <v>女装-外套-羽绒服</v>
          </cell>
          <cell r="G561" t="str">
            <v>一品多商</v>
          </cell>
          <cell r="H561" t="str">
            <v>品牌直发</v>
          </cell>
          <cell r="I561">
            <v>0</v>
          </cell>
        </row>
        <row r="562">
          <cell r="D562">
            <v>114408245</v>
          </cell>
          <cell r="E562" t="str">
            <v>伯希和/PELLIOT</v>
          </cell>
          <cell r="F562" t="str">
            <v>服装-外套-羽绒马甲</v>
          </cell>
          <cell r="G562" t="str">
            <v>一品多商</v>
          </cell>
          <cell r="H562" t="str">
            <v>品牌直发</v>
          </cell>
          <cell r="I562">
            <v>0</v>
          </cell>
        </row>
        <row r="563">
          <cell r="D563">
            <v>124376130</v>
          </cell>
          <cell r="E563" t="str">
            <v>伯希和/PELLIOT</v>
          </cell>
          <cell r="F563" t="str">
            <v>女装-外套-棉服</v>
          </cell>
          <cell r="G563" t="str">
            <v>一品多商</v>
          </cell>
          <cell r="H563" t="str">
            <v>品牌直发</v>
          </cell>
          <cell r="I563">
            <v>0</v>
          </cell>
        </row>
        <row r="564">
          <cell r="D564">
            <v>114310189</v>
          </cell>
          <cell r="E564" t="str">
            <v>伯希和/PELLIOT</v>
          </cell>
          <cell r="F564" t="str">
            <v>服装-户外运动服-抓绒衣</v>
          </cell>
          <cell r="G564" t="str">
            <v>一品一商</v>
          </cell>
          <cell r="H564" t="str">
            <v>品牌直发</v>
          </cell>
          <cell r="I564">
            <v>0</v>
          </cell>
        </row>
        <row r="565">
          <cell r="D565">
            <v>124420014</v>
          </cell>
          <cell r="E565" t="str">
            <v>伯希和/PELLIOT</v>
          </cell>
          <cell r="F565" t="str">
            <v>鞋-潮流休闲鞋-生活休闲鞋</v>
          </cell>
          <cell r="G565" t="str">
            <v>一品一商</v>
          </cell>
          <cell r="H565" t="str">
            <v>品牌直发</v>
          </cell>
          <cell r="I565">
            <v>0</v>
          </cell>
        </row>
        <row r="566">
          <cell r="D566">
            <v>124315394</v>
          </cell>
          <cell r="E566" t="str">
            <v>伯希和/PELLIOT</v>
          </cell>
          <cell r="F566" t="str">
            <v>女装-上衣-T恤</v>
          </cell>
          <cell r="G566" t="str">
            <v>一品一商</v>
          </cell>
          <cell r="H566" t="str">
            <v>品牌直发</v>
          </cell>
          <cell r="I566">
            <v>0</v>
          </cell>
        </row>
        <row r="567">
          <cell r="D567">
            <v>124307170</v>
          </cell>
          <cell r="E567" t="str">
            <v>伯希和/PELLIOT</v>
          </cell>
          <cell r="F567" t="str">
            <v>女装-长裤-软壳裤</v>
          </cell>
          <cell r="G567" t="str">
            <v>一品多商</v>
          </cell>
          <cell r="H567" t="str">
            <v>品牌直发</v>
          </cell>
          <cell r="I567">
            <v>0</v>
          </cell>
        </row>
        <row r="568">
          <cell r="D568">
            <v>114315393</v>
          </cell>
          <cell r="E568" t="str">
            <v>伯希和/PELLIOT</v>
          </cell>
          <cell r="F568" t="str">
            <v>服装-上衣-T恤</v>
          </cell>
          <cell r="G568" t="str">
            <v>一品多商</v>
          </cell>
          <cell r="H568" t="str">
            <v>品牌直发</v>
          </cell>
          <cell r="I568">
            <v>0</v>
          </cell>
        </row>
        <row r="569">
          <cell r="D569">
            <v>124318424</v>
          </cell>
          <cell r="E569" t="str">
            <v>伯希和/PELLIOT</v>
          </cell>
          <cell r="F569" t="str">
            <v>内衣-内衣裤-保暖套装</v>
          </cell>
          <cell r="G569" t="str">
            <v>一品一商</v>
          </cell>
          <cell r="H569" t="str">
            <v>品牌直发</v>
          </cell>
          <cell r="I569">
            <v>0</v>
          </cell>
        </row>
        <row r="570">
          <cell r="D570">
            <v>134307173</v>
          </cell>
          <cell r="E570" t="str">
            <v>伯希和/PELLIOT</v>
          </cell>
          <cell r="F570" t="str">
            <v>童装-儿童下装-儿童运动裤</v>
          </cell>
          <cell r="G570" t="str">
            <v>一品一商</v>
          </cell>
          <cell r="H570" t="str">
            <v>品牌直发</v>
          </cell>
          <cell r="I570">
            <v>0</v>
          </cell>
        </row>
        <row r="571">
          <cell r="D571">
            <v>134310199</v>
          </cell>
          <cell r="E571" t="str">
            <v>伯希和/PELLIOT</v>
          </cell>
          <cell r="F571" t="str">
            <v>童装-儿童上装-卫衣</v>
          </cell>
          <cell r="G571" t="str">
            <v>一品一商</v>
          </cell>
          <cell r="H571" t="str">
            <v>品牌直发</v>
          </cell>
          <cell r="I571">
            <v>0</v>
          </cell>
        </row>
        <row r="572">
          <cell r="D572">
            <v>124307162</v>
          </cell>
          <cell r="E572" t="str">
            <v>伯希和/PELLIOT</v>
          </cell>
          <cell r="F572" t="str">
            <v>女装-长裤-软壳裤</v>
          </cell>
          <cell r="G572" t="str">
            <v>一品多商</v>
          </cell>
          <cell r="H572" t="str">
            <v>品牌直发</v>
          </cell>
          <cell r="I572">
            <v>0</v>
          </cell>
        </row>
        <row r="573">
          <cell r="D573">
            <v>114376129</v>
          </cell>
          <cell r="E573" t="str">
            <v>伯希和/PELLIOT</v>
          </cell>
          <cell r="F573" t="str">
            <v>服装-外套-棉服</v>
          </cell>
          <cell r="G573" t="str">
            <v>一品多商</v>
          </cell>
          <cell r="H573" t="str">
            <v>品牌直发</v>
          </cell>
          <cell r="I573">
            <v>0</v>
          </cell>
        </row>
        <row r="574">
          <cell r="D574">
            <v>114301065</v>
          </cell>
          <cell r="E574" t="str">
            <v>伯希和/PELLIOT</v>
          </cell>
          <cell r="F574" t="str">
            <v>服装-外套-冲锋衣</v>
          </cell>
          <cell r="G574" t="str">
            <v>一品一商</v>
          </cell>
          <cell r="H574" t="str">
            <v>品牌直发</v>
          </cell>
          <cell r="I574">
            <v>0</v>
          </cell>
        </row>
        <row r="575">
          <cell r="D575">
            <v>134310200</v>
          </cell>
          <cell r="E575" t="str">
            <v>伯希和/PELLIOT</v>
          </cell>
          <cell r="F575" t="str">
            <v>童装-儿童上装-夹克</v>
          </cell>
          <cell r="G575" t="str">
            <v>一品一商</v>
          </cell>
          <cell r="H575" t="str">
            <v>品牌直发</v>
          </cell>
          <cell r="I575">
            <v>0</v>
          </cell>
        </row>
        <row r="576">
          <cell r="D576">
            <v>114307175</v>
          </cell>
          <cell r="E576" t="str">
            <v>伯希和/PELLIOT</v>
          </cell>
          <cell r="F576" t="str">
            <v>服装-长裤-软壳裤</v>
          </cell>
          <cell r="G576" t="str">
            <v>一品多商</v>
          </cell>
          <cell r="H576" t="str">
            <v>品牌直发</v>
          </cell>
          <cell r="I576">
            <v>0</v>
          </cell>
        </row>
        <row r="577">
          <cell r="D577">
            <v>114310201</v>
          </cell>
          <cell r="E577" t="str">
            <v>伯希和/PELLIOT</v>
          </cell>
          <cell r="F577" t="str">
            <v>服装-户外运动服-抓绒衣</v>
          </cell>
          <cell r="G577" t="str">
            <v>一品多商</v>
          </cell>
          <cell r="H577" t="str">
            <v>品牌直发</v>
          </cell>
          <cell r="I577">
            <v>0</v>
          </cell>
        </row>
        <row r="578">
          <cell r="D578">
            <v>11340305</v>
          </cell>
          <cell r="E578" t="str">
            <v>伯希和/PELLIOT</v>
          </cell>
          <cell r="F578" t="str">
            <v>服装-外套-棉服</v>
          </cell>
          <cell r="G578" t="str">
            <v>一品多商</v>
          </cell>
          <cell r="H578" t="str">
            <v>品牌直发</v>
          </cell>
          <cell r="I578">
            <v>0</v>
          </cell>
        </row>
        <row r="579">
          <cell r="D579">
            <v>114315385</v>
          </cell>
          <cell r="E579" t="str">
            <v>伯希和/PELLIOT</v>
          </cell>
          <cell r="F579" t="str">
            <v>服装-上衣-T恤</v>
          </cell>
          <cell r="G579" t="str">
            <v>一品多商</v>
          </cell>
          <cell r="H579" t="str">
            <v>品牌直发</v>
          </cell>
          <cell r="I579">
            <v>0</v>
          </cell>
        </row>
        <row r="580">
          <cell r="D580">
            <v>124315390</v>
          </cell>
          <cell r="E580" t="str">
            <v>伯希和/PELLIOT</v>
          </cell>
          <cell r="F580" t="str">
            <v>服装-户外运动服-速干衣</v>
          </cell>
          <cell r="G580" t="str">
            <v>一品一商</v>
          </cell>
          <cell r="H580" t="str">
            <v>品牌直发</v>
          </cell>
          <cell r="I580">
            <v>0</v>
          </cell>
        </row>
        <row r="581">
          <cell r="D581">
            <v>114314377</v>
          </cell>
          <cell r="E581" t="str">
            <v>伯希和/PELLIOT</v>
          </cell>
          <cell r="F581" t="str">
            <v>服装-长裤-软壳裤</v>
          </cell>
          <cell r="G581" t="str">
            <v>一品多商</v>
          </cell>
          <cell r="H581" t="str">
            <v>品牌直发</v>
          </cell>
          <cell r="I581">
            <v>0</v>
          </cell>
        </row>
        <row r="582">
          <cell r="D582">
            <v>124315386</v>
          </cell>
          <cell r="E582" t="str">
            <v>伯希和/PELLIOT</v>
          </cell>
          <cell r="F582" t="str">
            <v>女装-上衣-T恤</v>
          </cell>
          <cell r="G582" t="str">
            <v>一品一商</v>
          </cell>
          <cell r="H582" t="str">
            <v>品牌直发</v>
          </cell>
          <cell r="I582">
            <v>0</v>
          </cell>
        </row>
        <row r="583">
          <cell r="D583">
            <v>134301031</v>
          </cell>
          <cell r="E583" t="str">
            <v>伯希和/PELLIOT</v>
          </cell>
          <cell r="F583" t="str">
            <v>童装-儿童上装-冲锋衣</v>
          </cell>
          <cell r="G583" t="str">
            <v>一品一商</v>
          </cell>
          <cell r="H583" t="str">
            <v>品牌直发</v>
          </cell>
          <cell r="I583">
            <v>0</v>
          </cell>
        </row>
        <row r="584">
          <cell r="D584" t="str">
            <v>PE114307167</v>
          </cell>
          <cell r="E584" t="str">
            <v>伯希和/PELLIOT</v>
          </cell>
          <cell r="F584" t="str">
            <v>服装-长裤-软壳裤</v>
          </cell>
          <cell r="G584" t="str">
            <v>一品多商</v>
          </cell>
          <cell r="H584" t="str">
            <v>品牌直发</v>
          </cell>
          <cell r="I584">
            <v>0</v>
          </cell>
        </row>
        <row r="585">
          <cell r="D585">
            <v>114307169</v>
          </cell>
          <cell r="E585" t="str">
            <v>伯希和/PELLIOT</v>
          </cell>
          <cell r="F585" t="str">
            <v>服装-长裤-软壳裤</v>
          </cell>
          <cell r="G585" t="str">
            <v>一品多商</v>
          </cell>
          <cell r="H585" t="str">
            <v>品牌直发</v>
          </cell>
          <cell r="I585">
            <v>0</v>
          </cell>
        </row>
        <row r="586">
          <cell r="D586" t="str">
            <v>PE124306150</v>
          </cell>
          <cell r="E586" t="str">
            <v>伯希和/PELLIOT</v>
          </cell>
          <cell r="F586" t="str">
            <v>女装-外套-软壳衣</v>
          </cell>
          <cell r="G586" t="str">
            <v>一品一商</v>
          </cell>
          <cell r="H586" t="str">
            <v>品牌直发</v>
          </cell>
          <cell r="I586">
            <v>0</v>
          </cell>
        </row>
        <row r="587">
          <cell r="D587">
            <v>12421552</v>
          </cell>
          <cell r="E587" t="str">
            <v>伯希和/PELLIOT</v>
          </cell>
          <cell r="F587" t="str">
            <v>女装-上衣-Polo衫</v>
          </cell>
          <cell r="G587" t="str">
            <v>一品一商</v>
          </cell>
          <cell r="H587" t="str">
            <v>品牌直发</v>
          </cell>
          <cell r="I587">
            <v>0</v>
          </cell>
        </row>
        <row r="588">
          <cell r="D588">
            <v>114306149</v>
          </cell>
          <cell r="E588" t="str">
            <v>伯希和/PELLIOT</v>
          </cell>
          <cell r="F588" t="str">
            <v>服装-外套-软壳衣</v>
          </cell>
          <cell r="G588" t="str">
            <v>一品多商</v>
          </cell>
          <cell r="H588" t="str">
            <v>品牌直发</v>
          </cell>
          <cell r="I588">
            <v>0</v>
          </cell>
        </row>
        <row r="589">
          <cell r="D589">
            <v>164334406</v>
          </cell>
          <cell r="E589" t="str">
            <v>伯希和/PELLIOT</v>
          </cell>
          <cell r="F589" t="str">
            <v>流行饰品/眼镜/服配-帽子-其他帽子</v>
          </cell>
          <cell r="G589" t="str">
            <v>一品一商</v>
          </cell>
          <cell r="H589" t="str">
            <v>品牌直发</v>
          </cell>
          <cell r="I589">
            <v>0</v>
          </cell>
        </row>
        <row r="590">
          <cell r="D590" t="str">
            <v>PE124301004</v>
          </cell>
          <cell r="E590" t="str">
            <v>伯希和/PELLIOT</v>
          </cell>
          <cell r="F590" t="str">
            <v>服装-外套-冲锋衣</v>
          </cell>
          <cell r="G590" t="str">
            <v>一品多商</v>
          </cell>
          <cell r="H590" t="str">
            <v>品牌直发</v>
          </cell>
          <cell r="I590">
            <v>0</v>
          </cell>
        </row>
        <row r="591">
          <cell r="D591" t="str">
            <v>PE124302082</v>
          </cell>
          <cell r="E591" t="str">
            <v>伯希和/PELLIOT</v>
          </cell>
          <cell r="F591" t="str">
            <v>女装-长裤-冲锋裤</v>
          </cell>
          <cell r="G591" t="str">
            <v>一品多商</v>
          </cell>
          <cell r="H591" t="str">
            <v>品牌直发</v>
          </cell>
          <cell r="I591">
            <v>0</v>
          </cell>
        </row>
        <row r="592">
          <cell r="D592" t="str">
            <v>PE114376127</v>
          </cell>
          <cell r="E592" t="str">
            <v>伯希和/PELLIOT</v>
          </cell>
          <cell r="F592" t="str">
            <v>服装-外套-马甲</v>
          </cell>
          <cell r="G592" t="str">
            <v>一品多商</v>
          </cell>
          <cell r="H592" t="str">
            <v>品牌直发</v>
          </cell>
          <cell r="I592">
            <v>0</v>
          </cell>
        </row>
        <row r="593">
          <cell r="D593">
            <v>124306148</v>
          </cell>
          <cell r="E593" t="str">
            <v>伯希和/PELLIOT</v>
          </cell>
          <cell r="F593" t="str">
            <v>女装-外套-软壳衣</v>
          </cell>
          <cell r="G593" t="str">
            <v>一品多商</v>
          </cell>
          <cell r="H593" t="str">
            <v>品牌直发</v>
          </cell>
          <cell r="I593">
            <v>0</v>
          </cell>
        </row>
        <row r="594">
          <cell r="D594" t="str">
            <v>PE114310183</v>
          </cell>
          <cell r="E594" t="str">
            <v>伯希和/PELLIOT</v>
          </cell>
          <cell r="F594" t="str">
            <v>服装-户外运动服-抓绒衣</v>
          </cell>
          <cell r="G594" t="str">
            <v>一品一商</v>
          </cell>
          <cell r="H594" t="str">
            <v>品牌直发</v>
          </cell>
          <cell r="I594">
            <v>0</v>
          </cell>
        </row>
        <row r="595">
          <cell r="D595" t="str">
            <v>PE124315382</v>
          </cell>
          <cell r="E595" t="str">
            <v>伯希和/PELLIOT</v>
          </cell>
          <cell r="F595" t="str">
            <v>女装-上衣-T恤</v>
          </cell>
          <cell r="G595" t="str">
            <v>一品一商</v>
          </cell>
          <cell r="H595" t="str">
            <v>品牌直发</v>
          </cell>
          <cell r="I595">
            <v>0</v>
          </cell>
        </row>
        <row r="596">
          <cell r="D596" t="str">
            <v>PE114301013</v>
          </cell>
          <cell r="E596" t="str">
            <v>伯希和/PELLIOT</v>
          </cell>
          <cell r="F596" t="str">
            <v>服装-外套-冲锋衣</v>
          </cell>
          <cell r="G596" t="str">
            <v>一品多商</v>
          </cell>
          <cell r="H596" t="str">
            <v>品牌直发</v>
          </cell>
          <cell r="I596">
            <v>0</v>
          </cell>
        </row>
        <row r="597">
          <cell r="D597" t="str">
            <v>PE114301011</v>
          </cell>
          <cell r="E597" t="str">
            <v>伯希和/PELLIOT</v>
          </cell>
          <cell r="F597" t="str">
            <v>服装-外套-冲锋衣</v>
          </cell>
          <cell r="G597" t="str">
            <v>一品多商</v>
          </cell>
          <cell r="H597" t="str">
            <v>品牌直发</v>
          </cell>
          <cell r="I597">
            <v>0</v>
          </cell>
        </row>
        <row r="598">
          <cell r="D598" t="str">
            <v>PE114302081</v>
          </cell>
          <cell r="E598" t="str">
            <v>伯希和/PELLIOT</v>
          </cell>
          <cell r="F598" t="str">
            <v>服装-长裤-冲锋裤</v>
          </cell>
          <cell r="G598" t="str">
            <v>一品多商</v>
          </cell>
          <cell r="H598" t="str">
            <v>品牌直发</v>
          </cell>
          <cell r="I598">
            <v>0</v>
          </cell>
        </row>
        <row r="599">
          <cell r="D599" t="str">
            <v>PE114351093</v>
          </cell>
          <cell r="E599" t="str">
            <v>伯希和/PELLIOT</v>
          </cell>
          <cell r="F599" t="str">
            <v>服装-外套-夹克</v>
          </cell>
          <cell r="G599" t="str">
            <v>一品多商</v>
          </cell>
          <cell r="H599" t="str">
            <v>品牌直发</v>
          </cell>
          <cell r="I599">
            <v>0</v>
          </cell>
        </row>
        <row r="600">
          <cell r="D600" t="str">
            <v>PE124319002</v>
          </cell>
          <cell r="E600" t="str">
            <v>伯希和/PELLIOT</v>
          </cell>
          <cell r="F600" t="str">
            <v>鞋-运动鞋-越野跑鞋</v>
          </cell>
          <cell r="G600" t="str">
            <v>一品多商</v>
          </cell>
          <cell r="H600" t="str">
            <v>品牌直发</v>
          </cell>
          <cell r="I600">
            <v>0</v>
          </cell>
        </row>
        <row r="601">
          <cell r="D601" t="str">
            <v>PE124314376</v>
          </cell>
          <cell r="E601" t="str">
            <v>伯希和/PELLIOT</v>
          </cell>
          <cell r="F601" t="str">
            <v>服装-户外运动服-速干裤</v>
          </cell>
          <cell r="G601" t="str">
            <v>一品多商</v>
          </cell>
          <cell r="H601" t="str">
            <v>品牌直发</v>
          </cell>
          <cell r="I601">
            <v>0</v>
          </cell>
        </row>
        <row r="602">
          <cell r="D602" t="str">
            <v>PE114306141</v>
          </cell>
          <cell r="E602" t="str">
            <v>伯希和/PELLIOT</v>
          </cell>
          <cell r="F602" t="str">
            <v>服装-外套-软壳衣</v>
          </cell>
          <cell r="G602" t="str">
            <v>一品一商</v>
          </cell>
          <cell r="H602" t="str">
            <v>品牌直发</v>
          </cell>
          <cell r="I602">
            <v>0</v>
          </cell>
        </row>
        <row r="603">
          <cell r="D603">
            <v>16402502</v>
          </cell>
          <cell r="E603" t="str">
            <v>伯希和/PELLIOT</v>
          </cell>
          <cell r="F603" t="str">
            <v>箱包-包袋-户外包</v>
          </cell>
          <cell r="G603" t="str">
            <v>一品一商</v>
          </cell>
          <cell r="H603" t="str">
            <v>品牌直发</v>
          </cell>
          <cell r="I603">
            <v>0</v>
          </cell>
        </row>
        <row r="604">
          <cell r="D604" t="str">
            <v>114419005女款</v>
          </cell>
          <cell r="E604" t="str">
            <v>伯希和/PELLIOT</v>
          </cell>
          <cell r="F604" t="str">
            <v>鞋-运动鞋-登山鞋/徒步鞋</v>
          </cell>
          <cell r="G604" t="str">
            <v>一品一商</v>
          </cell>
          <cell r="H604" t="str">
            <v>品牌直发</v>
          </cell>
          <cell r="I604">
            <v>0</v>
          </cell>
        </row>
        <row r="605">
          <cell r="D605" t="str">
            <v>114419005男款</v>
          </cell>
          <cell r="E605" t="str">
            <v>伯希和/PELLIOT</v>
          </cell>
          <cell r="F605" t="str">
            <v>鞋-运动鞋-登山鞋/徒步鞋</v>
          </cell>
          <cell r="G605" t="str">
            <v>一品一商</v>
          </cell>
          <cell r="H605" t="str">
            <v>品牌直发</v>
          </cell>
          <cell r="I605">
            <v>0</v>
          </cell>
        </row>
        <row r="606">
          <cell r="D606">
            <v>164035001</v>
          </cell>
          <cell r="E606" t="str">
            <v>伯希和/PELLIOT</v>
          </cell>
          <cell r="F606" t="str">
            <v>内衣-袜子-高筒袜</v>
          </cell>
          <cell r="G606" t="str">
            <v>一品一商</v>
          </cell>
          <cell r="H606" t="str">
            <v>品牌直发</v>
          </cell>
          <cell r="I606">
            <v>0</v>
          </cell>
        </row>
        <row r="607">
          <cell r="D607" t="str">
            <v>PE124314372</v>
          </cell>
          <cell r="E607" t="str">
            <v>伯希和/PELLIOT</v>
          </cell>
          <cell r="F607" t="str">
            <v>女装-户外运动服-速干裤</v>
          </cell>
          <cell r="G607" t="str">
            <v>一品一商</v>
          </cell>
          <cell r="H607" t="str">
            <v>品牌直发</v>
          </cell>
          <cell r="I607">
            <v>0</v>
          </cell>
        </row>
        <row r="608">
          <cell r="D608" t="str">
            <v>PE12410202</v>
          </cell>
          <cell r="E608" t="str">
            <v>伯希和/PELLIOT</v>
          </cell>
          <cell r="F608" t="str">
            <v>女装-长裤-冲锋裤</v>
          </cell>
          <cell r="G608" t="str">
            <v>一品多商</v>
          </cell>
          <cell r="H608" t="str">
            <v>品牌直发</v>
          </cell>
          <cell r="I608">
            <v>0</v>
          </cell>
        </row>
        <row r="609">
          <cell r="D609">
            <v>124351094</v>
          </cell>
          <cell r="E609" t="str">
            <v>伯希和/PELLIOT</v>
          </cell>
          <cell r="F609" t="str">
            <v>女装-外套-夹克</v>
          </cell>
          <cell r="G609" t="str">
            <v>一品一商</v>
          </cell>
          <cell r="H609" t="str">
            <v>品牌直发</v>
          </cell>
          <cell r="I609">
            <v>0</v>
          </cell>
        </row>
        <row r="610">
          <cell r="D610" t="str">
            <v>ys124101048</v>
          </cell>
          <cell r="E610" t="str">
            <v>伯希和/PELLIOT</v>
          </cell>
          <cell r="F610" t="str">
            <v>服装-外套-冲锋衣</v>
          </cell>
          <cell r="G610" t="str">
            <v>一品多商</v>
          </cell>
          <cell r="H610" t="str">
            <v>品牌直发</v>
          </cell>
          <cell r="I610">
            <v>0</v>
          </cell>
        </row>
        <row r="611">
          <cell r="D611">
            <v>114314375</v>
          </cell>
          <cell r="E611" t="str">
            <v>伯希和/PELLIOT</v>
          </cell>
          <cell r="F611" t="str">
            <v>服装-户外运动服-速干裤</v>
          </cell>
          <cell r="G611" t="str">
            <v>一品多商</v>
          </cell>
          <cell r="H611" t="str">
            <v>品牌直发</v>
          </cell>
          <cell r="I611">
            <v>0</v>
          </cell>
        </row>
        <row r="612">
          <cell r="D612">
            <v>164334405</v>
          </cell>
          <cell r="E612" t="str">
            <v>伯希和/PELLIOT</v>
          </cell>
          <cell r="F612" t="str">
            <v>流行饰品/眼镜/服配-帽子-绒线帽</v>
          </cell>
          <cell r="G612" t="str">
            <v>一品一商</v>
          </cell>
          <cell r="H612" t="str">
            <v>品牌直发</v>
          </cell>
          <cell r="I612">
            <v>0</v>
          </cell>
        </row>
        <row r="613">
          <cell r="D613">
            <v>124310190</v>
          </cell>
          <cell r="E613" t="str">
            <v>伯希和/PELLIOT</v>
          </cell>
          <cell r="F613" t="str">
            <v>女装-户外运动服-抓绒衣</v>
          </cell>
          <cell r="G613" t="str">
            <v>一品一商</v>
          </cell>
          <cell r="H613" t="str">
            <v>品牌直发</v>
          </cell>
          <cell r="I613">
            <v>0</v>
          </cell>
        </row>
        <row r="614">
          <cell r="D614">
            <v>124307168</v>
          </cell>
          <cell r="E614" t="str">
            <v>伯希和/PELLIOT</v>
          </cell>
          <cell r="F614" t="str">
            <v>女装-长裤-软壳裤</v>
          </cell>
          <cell r="G614" t="str">
            <v>一品一商</v>
          </cell>
          <cell r="H614" t="str">
            <v>品牌直发</v>
          </cell>
          <cell r="I614">
            <v>0</v>
          </cell>
        </row>
        <row r="615">
          <cell r="D615">
            <v>124351092</v>
          </cell>
          <cell r="E615" t="str">
            <v>伯希和/PELLIOT</v>
          </cell>
          <cell r="F615" t="str">
            <v>女装-外套-软壳衣</v>
          </cell>
          <cell r="G615" t="str">
            <v>一品多商</v>
          </cell>
          <cell r="H615" t="str">
            <v>品牌直发</v>
          </cell>
          <cell r="I615">
            <v>0</v>
          </cell>
        </row>
        <row r="616">
          <cell r="D616">
            <v>114301039</v>
          </cell>
          <cell r="E616" t="str">
            <v>伯希和/PELLIOT</v>
          </cell>
          <cell r="F616" t="str">
            <v>服装-外套-冲锋衣</v>
          </cell>
          <cell r="G616" t="str">
            <v>一品一商</v>
          </cell>
          <cell r="H616" t="str">
            <v>品牌直发</v>
          </cell>
          <cell r="I616">
            <v>0</v>
          </cell>
        </row>
        <row r="617">
          <cell r="D617">
            <v>124314374</v>
          </cell>
          <cell r="E617" t="str">
            <v>伯希和/PELLIOT</v>
          </cell>
          <cell r="F617" t="str">
            <v>女装-长裤-软壳裤</v>
          </cell>
          <cell r="G617" t="str">
            <v>一品一商</v>
          </cell>
          <cell r="H617" t="str">
            <v>品牌直发</v>
          </cell>
          <cell r="I617">
            <v>0</v>
          </cell>
        </row>
        <row r="618">
          <cell r="D618" t="str">
            <v>PE124301012</v>
          </cell>
          <cell r="E618" t="str">
            <v>伯希和/PELLIOT</v>
          </cell>
          <cell r="F618" t="str">
            <v>女装-外套-冲锋衣</v>
          </cell>
          <cell r="G618" t="str">
            <v>一品一商</v>
          </cell>
          <cell r="H618" t="str">
            <v>品牌直发</v>
          </cell>
          <cell r="I618">
            <v>0</v>
          </cell>
        </row>
        <row r="619">
          <cell r="D619" t="str">
            <v>PE124301014</v>
          </cell>
          <cell r="E619" t="str">
            <v>伯希和/PELLIOT</v>
          </cell>
          <cell r="F619" t="str">
            <v>女装-外套-冲锋衣</v>
          </cell>
          <cell r="G619" t="str">
            <v>一品多商</v>
          </cell>
          <cell r="H619" t="str">
            <v>品牌直发</v>
          </cell>
          <cell r="I619">
            <v>0</v>
          </cell>
        </row>
        <row r="620">
          <cell r="D620">
            <v>134334002</v>
          </cell>
          <cell r="E620" t="str">
            <v>伯希和/PELLIOT</v>
          </cell>
          <cell r="F620" t="str">
            <v>流行饰品/眼镜/服配-帽子-雷锋帽</v>
          </cell>
          <cell r="G620" t="str">
            <v>一品一商</v>
          </cell>
          <cell r="H620" t="str">
            <v>品牌直发</v>
          </cell>
          <cell r="I620">
            <v>0</v>
          </cell>
        </row>
        <row r="621">
          <cell r="D621">
            <v>116243501</v>
          </cell>
          <cell r="E621" t="str">
            <v>伯希和/PELLIOT</v>
          </cell>
          <cell r="F621" t="str">
            <v>内衣-袜子-中筒袜</v>
          </cell>
          <cell r="G621" t="str">
            <v>一品一商</v>
          </cell>
          <cell r="H621" t="str">
            <v>品牌直发</v>
          </cell>
          <cell r="I621">
            <v>0</v>
          </cell>
        </row>
        <row r="622">
          <cell r="D622">
            <v>164025003</v>
          </cell>
          <cell r="E622" t="str">
            <v>伯希和/PELLIOT</v>
          </cell>
          <cell r="F622" t="str">
            <v>箱包-包袋-户外包</v>
          </cell>
          <cell r="G622" t="str">
            <v>一品一商</v>
          </cell>
          <cell r="H622" t="str">
            <v>品牌直发</v>
          </cell>
          <cell r="I622">
            <v>0</v>
          </cell>
        </row>
        <row r="623">
          <cell r="D623">
            <v>164334402</v>
          </cell>
          <cell r="E623" t="str">
            <v>伯希和/PELLIOT</v>
          </cell>
          <cell r="F623" t="str">
            <v>流行饰品/眼镜/服配-帽子-绒线帽</v>
          </cell>
          <cell r="G623" t="str">
            <v>一品一商</v>
          </cell>
          <cell r="H623" t="str">
            <v>品牌直发</v>
          </cell>
          <cell r="I623">
            <v>0</v>
          </cell>
        </row>
        <row r="624">
          <cell r="D624">
            <v>114314371</v>
          </cell>
          <cell r="E624" t="str">
            <v>伯希和/PELLIOT</v>
          </cell>
          <cell r="F624" t="str">
            <v>服装-户外运动服-速干裤</v>
          </cell>
          <cell r="G624" t="str">
            <v>一品一商</v>
          </cell>
          <cell r="H624" t="str">
            <v>品牌直发</v>
          </cell>
          <cell r="I624">
            <v>0</v>
          </cell>
        </row>
        <row r="625">
          <cell r="D625">
            <v>114314373</v>
          </cell>
          <cell r="E625" t="str">
            <v>伯希和/PELLIOT</v>
          </cell>
          <cell r="F625" t="str">
            <v>服装-户外运动服-速干裤</v>
          </cell>
          <cell r="G625" t="str">
            <v>一品一商</v>
          </cell>
          <cell r="H625" t="str">
            <v>品牌直发</v>
          </cell>
          <cell r="I625">
            <v>0</v>
          </cell>
        </row>
        <row r="626">
          <cell r="D626">
            <v>124307166</v>
          </cell>
          <cell r="E626" t="str">
            <v>伯希和/PELLIOT</v>
          </cell>
          <cell r="F626" t="str">
            <v>女装-长裤-软壳裤</v>
          </cell>
          <cell r="G626" t="str">
            <v>一品多商</v>
          </cell>
          <cell r="H626" t="str">
            <v>品牌直发</v>
          </cell>
          <cell r="I626">
            <v>0</v>
          </cell>
        </row>
        <row r="627">
          <cell r="D627">
            <v>114306143</v>
          </cell>
          <cell r="E627" t="str">
            <v>伯希和/PELLIOT</v>
          </cell>
          <cell r="F627" t="str">
            <v>服装-外套-软壳衣</v>
          </cell>
          <cell r="G627" t="str">
            <v>一品一商</v>
          </cell>
          <cell r="H627" t="str">
            <v>品牌直发</v>
          </cell>
          <cell r="I627">
            <v>0</v>
          </cell>
        </row>
        <row r="628">
          <cell r="D628">
            <v>114302083</v>
          </cell>
          <cell r="E628" t="str">
            <v>伯希和/PELLIOT</v>
          </cell>
          <cell r="F628" t="str">
            <v>服装-长裤-冲锋裤</v>
          </cell>
          <cell r="G628" t="str">
            <v>一品多商</v>
          </cell>
          <cell r="H628" t="str">
            <v>品牌直发</v>
          </cell>
          <cell r="I628">
            <v>0</v>
          </cell>
        </row>
        <row r="629">
          <cell r="D629">
            <v>114307165</v>
          </cell>
          <cell r="E629" t="str">
            <v>伯希和/PELLIOT</v>
          </cell>
          <cell r="F629" t="str">
            <v>服装-长裤-软壳裤</v>
          </cell>
          <cell r="G629" t="str">
            <v>一品一商</v>
          </cell>
          <cell r="H629" t="str">
            <v>品牌直发</v>
          </cell>
          <cell r="I629">
            <v>0</v>
          </cell>
        </row>
        <row r="630">
          <cell r="D630">
            <v>114307163</v>
          </cell>
          <cell r="E630" t="str">
            <v>伯希和/PELLIOT</v>
          </cell>
          <cell r="F630" t="str">
            <v>服装-长裤-软壳裤</v>
          </cell>
          <cell r="G630" t="str">
            <v>一品多商</v>
          </cell>
          <cell r="H630" t="str">
            <v>品牌直发</v>
          </cell>
          <cell r="I630">
            <v>0</v>
          </cell>
        </row>
        <row r="631">
          <cell r="D631">
            <v>124307164</v>
          </cell>
          <cell r="E631" t="str">
            <v>伯希和/PELLIOT</v>
          </cell>
          <cell r="F631" t="str">
            <v>女装-长裤-软壳裤</v>
          </cell>
          <cell r="G631" t="str">
            <v>一品一商</v>
          </cell>
          <cell r="H631" t="str">
            <v>品牌直发</v>
          </cell>
          <cell r="I631">
            <v>0</v>
          </cell>
        </row>
        <row r="632">
          <cell r="D632">
            <v>124319004</v>
          </cell>
          <cell r="E632" t="str">
            <v>伯希和/PELLIOT</v>
          </cell>
          <cell r="F632" t="str">
            <v>鞋-运动鞋-登山鞋/徒步鞋</v>
          </cell>
          <cell r="G632" t="str">
            <v>一品一商</v>
          </cell>
          <cell r="H632" t="str">
            <v>品牌直发</v>
          </cell>
          <cell r="I632">
            <v>0</v>
          </cell>
        </row>
        <row r="633">
          <cell r="D633">
            <v>114311231</v>
          </cell>
          <cell r="E633" t="str">
            <v>伯希和/PELLIOT</v>
          </cell>
          <cell r="F633" t="str">
            <v>服装-长裤-休闲裤</v>
          </cell>
          <cell r="G633" t="str">
            <v>一品一商</v>
          </cell>
          <cell r="H633" t="str">
            <v>品牌直发</v>
          </cell>
          <cell r="I633">
            <v>0</v>
          </cell>
        </row>
        <row r="634">
          <cell r="D634">
            <v>16843502</v>
          </cell>
          <cell r="E634" t="str">
            <v>伯希和/PELLIOT</v>
          </cell>
          <cell r="F634" t="str">
            <v>内衣-袜子-中筒袜</v>
          </cell>
          <cell r="G634" t="str">
            <v>一品一商</v>
          </cell>
          <cell r="H634" t="str">
            <v>品牌直发</v>
          </cell>
          <cell r="I634">
            <v>0</v>
          </cell>
        </row>
        <row r="635">
          <cell r="D635">
            <v>12421414</v>
          </cell>
          <cell r="E635" t="str">
            <v>伯希和/PELLIOT</v>
          </cell>
          <cell r="F635" t="str">
            <v>女装-户外运动服-速干裤</v>
          </cell>
          <cell r="G635" t="str">
            <v>一品多商</v>
          </cell>
          <cell r="H635" t="str">
            <v>品牌直发</v>
          </cell>
          <cell r="I635">
            <v>0</v>
          </cell>
        </row>
        <row r="636">
          <cell r="D636">
            <v>12421512</v>
          </cell>
          <cell r="E636" t="str">
            <v>伯希和/PELLIOT</v>
          </cell>
          <cell r="F636" t="str">
            <v>女装-户外运动服-速干T恤</v>
          </cell>
          <cell r="G636" t="str">
            <v>一品一商</v>
          </cell>
          <cell r="H636" t="str">
            <v>品牌直发</v>
          </cell>
          <cell r="I636">
            <v>0</v>
          </cell>
        </row>
        <row r="637">
          <cell r="D637">
            <v>12421510</v>
          </cell>
          <cell r="E637" t="str">
            <v>伯希和/PELLIOT</v>
          </cell>
          <cell r="F637" t="str">
            <v>女装-上衣-T恤</v>
          </cell>
          <cell r="G637" t="str">
            <v>一品一商</v>
          </cell>
          <cell r="H637" t="str">
            <v>品牌直发</v>
          </cell>
          <cell r="I637">
            <v>0</v>
          </cell>
        </row>
        <row r="638">
          <cell r="D638">
            <v>124311232</v>
          </cell>
          <cell r="E638" t="str">
            <v>伯希和/PELLIOT</v>
          </cell>
          <cell r="F638" t="str">
            <v>女装-户外运动服-抓绒裤</v>
          </cell>
          <cell r="G638" t="str">
            <v>一品一商</v>
          </cell>
          <cell r="H638" t="str">
            <v>品牌直发</v>
          </cell>
          <cell r="I638">
            <v>0</v>
          </cell>
        </row>
        <row r="639">
          <cell r="D639">
            <v>16402506</v>
          </cell>
          <cell r="E639" t="str">
            <v>伯希和/PELLIOT</v>
          </cell>
          <cell r="F639" t="str">
            <v>箱包-包袋-户外包</v>
          </cell>
          <cell r="G639" t="str">
            <v>一品多商</v>
          </cell>
          <cell r="H639" t="str">
            <v>品牌直发</v>
          </cell>
          <cell r="I639">
            <v>0</v>
          </cell>
        </row>
        <row r="640">
          <cell r="D640" t="str">
            <v>PE13415145</v>
          </cell>
          <cell r="E640" t="str">
            <v>伯希和/PELLIOT</v>
          </cell>
          <cell r="F640" t="str">
            <v>童装-儿童上装-其他上装</v>
          </cell>
          <cell r="G640" t="str">
            <v>一品一商</v>
          </cell>
          <cell r="H640" t="str">
            <v>品牌直发</v>
          </cell>
          <cell r="I640">
            <v>0</v>
          </cell>
        </row>
        <row r="641">
          <cell r="D641" t="str">
            <v>PE13421430</v>
          </cell>
          <cell r="E641" t="str">
            <v>伯希和/PELLIOT</v>
          </cell>
          <cell r="F641" t="str">
            <v>童装-儿童下装-卫裤</v>
          </cell>
          <cell r="G641" t="str">
            <v>一品一商</v>
          </cell>
          <cell r="H641" t="str">
            <v>品牌直发</v>
          </cell>
          <cell r="I641">
            <v>0</v>
          </cell>
        </row>
        <row r="642">
          <cell r="D642" t="str">
            <v>PE13421431</v>
          </cell>
          <cell r="E642" t="str">
            <v>伯希和/PELLIOT</v>
          </cell>
          <cell r="F642" t="str">
            <v>童装-儿童下装-短裤</v>
          </cell>
          <cell r="G642" t="str">
            <v>一品一商</v>
          </cell>
          <cell r="H642" t="str">
            <v>品牌直发</v>
          </cell>
          <cell r="I642">
            <v>0</v>
          </cell>
        </row>
        <row r="643">
          <cell r="D643">
            <v>13421235</v>
          </cell>
          <cell r="E643" t="str">
            <v>伯希和/PELLIOT</v>
          </cell>
          <cell r="F643" t="str">
            <v>童装-儿童上装-防晒衣</v>
          </cell>
          <cell r="G643" t="str">
            <v>一品一商</v>
          </cell>
          <cell r="H643" t="str">
            <v>品牌直发</v>
          </cell>
          <cell r="I643">
            <v>0</v>
          </cell>
        </row>
        <row r="644">
          <cell r="D644">
            <v>124222002</v>
          </cell>
          <cell r="E644" t="str">
            <v>伯希和/PELLIOT</v>
          </cell>
          <cell r="F644" t="str">
            <v>鞋-运动鞋-登山鞋/徒步鞋</v>
          </cell>
          <cell r="G644" t="str">
            <v>一品一商</v>
          </cell>
          <cell r="H644" t="str">
            <v>品牌直发</v>
          </cell>
          <cell r="I644">
            <v>0</v>
          </cell>
        </row>
        <row r="645">
          <cell r="D645">
            <v>13421546</v>
          </cell>
          <cell r="E645" t="str">
            <v>伯希和/PELLIOT</v>
          </cell>
          <cell r="F645" t="str">
            <v>童装-儿童上装-T恤</v>
          </cell>
          <cell r="G645" t="str">
            <v>一品一商</v>
          </cell>
          <cell r="H645" t="str">
            <v>品牌直发</v>
          </cell>
          <cell r="I645">
            <v>0</v>
          </cell>
        </row>
        <row r="646">
          <cell r="D646">
            <v>164026416</v>
          </cell>
          <cell r="E646" t="str">
            <v>伯希和/PELLIOT</v>
          </cell>
          <cell r="F646" t="str">
            <v>箱包-包袋-户外包</v>
          </cell>
          <cell r="G646" t="str">
            <v>一品一商</v>
          </cell>
          <cell r="H646" t="str">
            <v>品牌直发</v>
          </cell>
          <cell r="I646">
            <v>0</v>
          </cell>
        </row>
        <row r="647">
          <cell r="D647">
            <v>124301032</v>
          </cell>
          <cell r="E647" t="str">
            <v>伯希和/PELLIOT</v>
          </cell>
          <cell r="F647" t="str">
            <v>女装-外套-冲锋衣</v>
          </cell>
          <cell r="G647" t="str">
            <v>一品多商</v>
          </cell>
          <cell r="H647" t="str">
            <v>品牌直发</v>
          </cell>
          <cell r="I647">
            <v>0</v>
          </cell>
        </row>
        <row r="648">
          <cell r="D648">
            <v>124301034</v>
          </cell>
          <cell r="E648" t="str">
            <v>伯希和/PELLIOT</v>
          </cell>
          <cell r="F648" t="str">
            <v>女装-外套-冲锋衣</v>
          </cell>
          <cell r="G648" t="str">
            <v>一品一商</v>
          </cell>
          <cell r="H648" t="str">
            <v>品牌直发</v>
          </cell>
          <cell r="I648">
            <v>0</v>
          </cell>
        </row>
        <row r="649">
          <cell r="D649">
            <v>124301030</v>
          </cell>
          <cell r="E649" t="str">
            <v>伯希和/PELLIOT</v>
          </cell>
          <cell r="F649" t="str">
            <v>女装-外套-冲锋衣</v>
          </cell>
          <cell r="G649" t="str">
            <v>一品多商</v>
          </cell>
          <cell r="H649" t="str">
            <v>品牌直发</v>
          </cell>
          <cell r="I649">
            <v>0</v>
          </cell>
        </row>
        <row r="650">
          <cell r="D650" t="str">
            <v>PE124101060</v>
          </cell>
          <cell r="E650" t="str">
            <v>伯希和/PELLIOT</v>
          </cell>
          <cell r="F650" t="str">
            <v>女装-外套-冲锋衣</v>
          </cell>
          <cell r="G650" t="str">
            <v>一品一商</v>
          </cell>
          <cell r="H650" t="str">
            <v>品牌直发</v>
          </cell>
          <cell r="I650">
            <v>0</v>
          </cell>
        </row>
        <row r="651">
          <cell r="D651">
            <v>114101059</v>
          </cell>
          <cell r="E651" t="str">
            <v>伯希和/PELLIOT</v>
          </cell>
          <cell r="F651" t="str">
            <v>服装-外套-冲锋衣</v>
          </cell>
          <cell r="G651" t="str">
            <v>一品一商</v>
          </cell>
          <cell r="H651" t="str">
            <v>品牌直发</v>
          </cell>
          <cell r="I651">
            <v>0</v>
          </cell>
        </row>
        <row r="652">
          <cell r="D652">
            <v>112321516</v>
          </cell>
          <cell r="E652" t="str">
            <v>伯希和/PELLIOT</v>
          </cell>
          <cell r="F652" t="str">
            <v>女装-上衣-Polo衫</v>
          </cell>
          <cell r="G652" t="str">
            <v>一品一商</v>
          </cell>
          <cell r="H652" t="str">
            <v>品牌直发</v>
          </cell>
          <cell r="I652">
            <v>0</v>
          </cell>
        </row>
        <row r="653">
          <cell r="D653">
            <v>113240815</v>
          </cell>
          <cell r="E653" t="str">
            <v>伯希和/PELLIOT</v>
          </cell>
          <cell r="F653" t="str">
            <v>童装-儿童上装-羽绒服</v>
          </cell>
          <cell r="G653" t="str">
            <v>一品一商</v>
          </cell>
          <cell r="H653" t="str">
            <v>品牌直发</v>
          </cell>
          <cell r="I653">
            <v>0</v>
          </cell>
        </row>
        <row r="654">
          <cell r="D654">
            <v>124301038</v>
          </cell>
          <cell r="E654" t="str">
            <v>伯希和/PELLIOT</v>
          </cell>
          <cell r="F654" t="str">
            <v>女装-外套-冲锋衣</v>
          </cell>
          <cell r="G654" t="str">
            <v>一品多商</v>
          </cell>
          <cell r="H654" t="str">
            <v>品牌直发</v>
          </cell>
          <cell r="I654">
            <v>0</v>
          </cell>
        </row>
        <row r="655">
          <cell r="D655">
            <v>111040303</v>
          </cell>
          <cell r="E655" t="str">
            <v>伯希和/PELLIOT</v>
          </cell>
          <cell r="F655" t="str">
            <v>服装-户外运动服-登山服</v>
          </cell>
          <cell r="G655" t="str">
            <v>一品一商</v>
          </cell>
          <cell r="H655" t="str">
            <v>品牌直发</v>
          </cell>
          <cell r="I655">
            <v>0</v>
          </cell>
        </row>
        <row r="656">
          <cell r="D656">
            <v>112340158</v>
          </cell>
          <cell r="E656" t="str">
            <v>伯希和/PELLIOT</v>
          </cell>
          <cell r="F656" t="str">
            <v>女装-外套-冲锋衣</v>
          </cell>
          <cell r="G656" t="str">
            <v>一品一商</v>
          </cell>
          <cell r="H656" t="str">
            <v>品牌直发</v>
          </cell>
          <cell r="I656">
            <v>0</v>
          </cell>
        </row>
        <row r="657">
          <cell r="D657">
            <v>16702609</v>
          </cell>
          <cell r="E657" t="str">
            <v>伯希和/PELLIOT</v>
          </cell>
          <cell r="F657" t="str">
            <v>箱包-包袋-手机包</v>
          </cell>
          <cell r="G657" t="str">
            <v>一品一商</v>
          </cell>
          <cell r="H657" t="str">
            <v>品牌直发</v>
          </cell>
          <cell r="I657">
            <v>0</v>
          </cell>
        </row>
        <row r="658">
          <cell r="D658">
            <v>113140132</v>
          </cell>
          <cell r="E658" t="str">
            <v>伯希和/PELLIOT</v>
          </cell>
          <cell r="F658" t="str">
            <v>童装-儿童上装-冲锋衣</v>
          </cell>
          <cell r="G658" t="str">
            <v>一品一商</v>
          </cell>
          <cell r="H658" t="str">
            <v>品牌直发</v>
          </cell>
          <cell r="I658">
            <v>0</v>
          </cell>
        </row>
        <row r="659">
          <cell r="D659">
            <v>114301029</v>
          </cell>
          <cell r="E659" t="str">
            <v>伯希和/PELLIOT</v>
          </cell>
          <cell r="F659" t="str">
            <v>服装-外套-冲锋衣</v>
          </cell>
          <cell r="G659" t="str">
            <v>一品多商</v>
          </cell>
          <cell r="H659" t="str">
            <v>品牌直发</v>
          </cell>
          <cell r="I659">
            <v>0</v>
          </cell>
        </row>
        <row r="660">
          <cell r="D660">
            <v>124301002</v>
          </cell>
          <cell r="E660" t="str">
            <v>伯希和/PELLIOT</v>
          </cell>
          <cell r="F660" t="str">
            <v>女装-外套-冲锋衣</v>
          </cell>
          <cell r="G660" t="str">
            <v>一品多商</v>
          </cell>
          <cell r="H660" t="str">
            <v>品牌直发</v>
          </cell>
          <cell r="I660">
            <v>0</v>
          </cell>
        </row>
        <row r="661">
          <cell r="D661">
            <v>114301023</v>
          </cell>
          <cell r="E661" t="str">
            <v>伯希和/PELLIOT</v>
          </cell>
          <cell r="F661" t="str">
            <v>服装-外套-冲锋衣</v>
          </cell>
          <cell r="G661" t="str">
            <v>一品多商</v>
          </cell>
          <cell r="H661" t="str">
            <v>品牌直发</v>
          </cell>
          <cell r="I661">
            <v>0</v>
          </cell>
        </row>
        <row r="662">
          <cell r="D662">
            <v>112331010</v>
          </cell>
          <cell r="E662" t="str">
            <v>伯希和/PELLIOT</v>
          </cell>
          <cell r="F662" t="str">
            <v>女装-户外运动服-抓绒衣</v>
          </cell>
          <cell r="G662" t="str">
            <v>一品一商</v>
          </cell>
          <cell r="H662" t="str">
            <v>品牌直发</v>
          </cell>
          <cell r="I662">
            <v>0</v>
          </cell>
        </row>
        <row r="663">
          <cell r="D663">
            <v>111331805</v>
          </cell>
          <cell r="E663" t="str">
            <v>伯希和/PELLIOT</v>
          </cell>
          <cell r="F663" t="str">
            <v>内衣-内衣裤-保暖套装</v>
          </cell>
          <cell r="G663" t="str">
            <v>一品一商</v>
          </cell>
          <cell r="H663" t="str">
            <v>品牌直发</v>
          </cell>
          <cell r="I663">
            <v>0</v>
          </cell>
        </row>
        <row r="664">
          <cell r="D664">
            <v>112331026</v>
          </cell>
          <cell r="E664" t="str">
            <v>伯希和/PELLIOT</v>
          </cell>
          <cell r="F664" t="str">
            <v>女装-户外运动服-抓绒衣</v>
          </cell>
          <cell r="G664" t="str">
            <v>一品一商</v>
          </cell>
          <cell r="H664" t="str">
            <v>品牌直发</v>
          </cell>
          <cell r="I664">
            <v>0</v>
          </cell>
        </row>
        <row r="665">
          <cell r="D665">
            <v>111421301</v>
          </cell>
          <cell r="E665" t="str">
            <v>伯希和/PELLIOT</v>
          </cell>
          <cell r="F665" t="str">
            <v>服装-上衣-衬衫</v>
          </cell>
          <cell r="G665" t="str">
            <v>一品一商</v>
          </cell>
          <cell r="H665" t="str">
            <v>品牌直发</v>
          </cell>
          <cell r="I665">
            <v>0</v>
          </cell>
        </row>
        <row r="666">
          <cell r="D666">
            <v>12415104</v>
          </cell>
          <cell r="E666" t="str">
            <v>伯希和/PELLIOT</v>
          </cell>
          <cell r="F666" t="str">
            <v>女装-外套-软壳衣</v>
          </cell>
          <cell r="G666" t="str">
            <v>一品一商</v>
          </cell>
          <cell r="H666" t="str">
            <v>品牌直发</v>
          </cell>
          <cell r="I666">
            <v>0</v>
          </cell>
        </row>
        <row r="667">
          <cell r="D667">
            <v>11415103</v>
          </cell>
          <cell r="E667" t="str">
            <v>伯希和/PELLIOT</v>
          </cell>
          <cell r="F667" t="str">
            <v>服装-户外运动服-风壳</v>
          </cell>
          <cell r="G667" t="str">
            <v>一品多商</v>
          </cell>
          <cell r="H667" t="str">
            <v>品牌直发</v>
          </cell>
          <cell r="I667">
            <v>0</v>
          </cell>
        </row>
        <row r="668">
          <cell r="D668">
            <v>12421216</v>
          </cell>
          <cell r="E668" t="str">
            <v>伯希和/PELLIOT</v>
          </cell>
          <cell r="F668" t="str">
            <v>女装-外套-防晒服</v>
          </cell>
          <cell r="G668" t="str">
            <v>一品多商</v>
          </cell>
          <cell r="H668" t="str">
            <v>品牌直发</v>
          </cell>
          <cell r="I668">
            <v>0</v>
          </cell>
        </row>
        <row r="669">
          <cell r="D669">
            <v>12421428</v>
          </cell>
          <cell r="E669" t="str">
            <v>伯希和/PELLIOT</v>
          </cell>
          <cell r="F669" t="str">
            <v>服装-长裤-工装裤</v>
          </cell>
          <cell r="G669" t="str">
            <v>一品一商</v>
          </cell>
          <cell r="H669" t="str">
            <v>品牌直发</v>
          </cell>
          <cell r="I669">
            <v>0</v>
          </cell>
        </row>
        <row r="670">
          <cell r="D670">
            <v>11421419</v>
          </cell>
          <cell r="E670" t="str">
            <v>伯希和/PELLIOT</v>
          </cell>
          <cell r="F670" t="str">
            <v>服装-健身服-运动短裤</v>
          </cell>
          <cell r="G670" t="str">
            <v>一品一商</v>
          </cell>
          <cell r="H670" t="str">
            <v>品牌直发</v>
          </cell>
          <cell r="I670">
            <v>0</v>
          </cell>
        </row>
        <row r="671">
          <cell r="D671">
            <v>11421301</v>
          </cell>
          <cell r="E671" t="str">
            <v>伯希和/PELLIOT</v>
          </cell>
          <cell r="F671" t="str">
            <v>服装-上衣-衬衫</v>
          </cell>
          <cell r="G671" t="str">
            <v>一品一商</v>
          </cell>
          <cell r="H671" t="str">
            <v>品牌直发</v>
          </cell>
          <cell r="I671">
            <v>0</v>
          </cell>
        </row>
        <row r="672">
          <cell r="D672">
            <v>16402504</v>
          </cell>
          <cell r="E672" t="str">
            <v>伯希和/PELLIOT</v>
          </cell>
          <cell r="F672" t="str">
            <v>箱包-包袋-户外包</v>
          </cell>
          <cell r="G672" t="str">
            <v>一品一商</v>
          </cell>
          <cell r="H672" t="str">
            <v>品牌直发</v>
          </cell>
          <cell r="I672">
            <v>0</v>
          </cell>
        </row>
        <row r="673">
          <cell r="D673">
            <v>16402608</v>
          </cell>
          <cell r="E673" t="str">
            <v>伯希和/PELLIOT</v>
          </cell>
          <cell r="F673" t="str">
            <v>箱包-包袋-手拿包</v>
          </cell>
          <cell r="G673" t="str">
            <v>一品一商</v>
          </cell>
          <cell r="H673" t="str">
            <v>品牌直发</v>
          </cell>
          <cell r="I673">
            <v>0</v>
          </cell>
        </row>
        <row r="674">
          <cell r="D674" t="str">
            <v>11340105-CF05</v>
          </cell>
          <cell r="E674" t="str">
            <v>伯希和/PELLIOT</v>
          </cell>
          <cell r="F674" t="str">
            <v>服装-外套-冲锋衣</v>
          </cell>
          <cell r="G674" t="str">
            <v>一品多商</v>
          </cell>
          <cell r="H674" t="str">
            <v>品牌直发</v>
          </cell>
          <cell r="I674">
            <v>0</v>
          </cell>
        </row>
        <row r="675">
          <cell r="D675">
            <v>12111901</v>
          </cell>
          <cell r="E675" t="str">
            <v>伯希和/PELLIOT</v>
          </cell>
          <cell r="F675" t="str">
            <v>鞋-运动鞋-跑步鞋</v>
          </cell>
          <cell r="G675" t="str">
            <v>一品一商</v>
          </cell>
          <cell r="H675" t="str">
            <v>品牌直发</v>
          </cell>
          <cell r="I675">
            <v>0</v>
          </cell>
        </row>
        <row r="676">
          <cell r="D676">
            <v>12331902</v>
          </cell>
          <cell r="E676" t="str">
            <v>伯希和/PELLIOT</v>
          </cell>
          <cell r="F676" t="str">
            <v>鞋-运动鞋-登山鞋/徒步鞋</v>
          </cell>
          <cell r="G676" t="str">
            <v>一品一商</v>
          </cell>
          <cell r="H676" t="str">
            <v>品牌直发</v>
          </cell>
          <cell r="I676">
            <v>0</v>
          </cell>
        </row>
        <row r="677">
          <cell r="D677">
            <v>11111905</v>
          </cell>
          <cell r="E677" t="str">
            <v>伯希和/PELLIOT</v>
          </cell>
          <cell r="F677" t="str">
            <v>鞋-运动鞋-跑步鞋</v>
          </cell>
          <cell r="G677" t="str">
            <v>一品一商</v>
          </cell>
          <cell r="H677" t="str">
            <v>品牌直发</v>
          </cell>
          <cell r="I677">
            <v>0</v>
          </cell>
        </row>
        <row r="678">
          <cell r="D678">
            <v>12422004</v>
          </cell>
          <cell r="E678" t="str">
            <v>伯希和/PELLIOT</v>
          </cell>
          <cell r="F678" t="str">
            <v>鞋-运动鞋-户外功能鞋</v>
          </cell>
          <cell r="G678" t="str">
            <v>一品一商</v>
          </cell>
          <cell r="H678" t="str">
            <v>品牌直发</v>
          </cell>
          <cell r="I678">
            <v>0</v>
          </cell>
        </row>
        <row r="679">
          <cell r="D679">
            <v>12421238</v>
          </cell>
          <cell r="E679" t="str">
            <v>伯希和/PELLIOT</v>
          </cell>
          <cell r="F679" t="str">
            <v>女装-外套-防晒服</v>
          </cell>
          <cell r="G679" t="str">
            <v>一品一商</v>
          </cell>
          <cell r="H679" t="str">
            <v>品牌直发</v>
          </cell>
          <cell r="I679">
            <v>0</v>
          </cell>
        </row>
        <row r="680">
          <cell r="D680">
            <v>12422002</v>
          </cell>
          <cell r="E680" t="str">
            <v>伯希和/PELLIOT</v>
          </cell>
          <cell r="F680" t="str">
            <v>鞋-运动鞋-户外功能鞋</v>
          </cell>
          <cell r="G680" t="str">
            <v>一品多商</v>
          </cell>
          <cell r="H680" t="str">
            <v>品牌直发</v>
          </cell>
          <cell r="I680">
            <v>0</v>
          </cell>
        </row>
        <row r="681">
          <cell r="D681">
            <v>11011901</v>
          </cell>
          <cell r="E681" t="str">
            <v>伯希和/PELLIOT</v>
          </cell>
          <cell r="F681" t="str">
            <v>鞋-运动鞋-跑步鞋</v>
          </cell>
          <cell r="G681" t="str">
            <v>一品一商</v>
          </cell>
          <cell r="H681" t="str">
            <v>品牌直发</v>
          </cell>
          <cell r="I681">
            <v>0</v>
          </cell>
        </row>
        <row r="682">
          <cell r="D682">
            <v>12022104</v>
          </cell>
          <cell r="E682" t="str">
            <v>伯希和/PELLIOT</v>
          </cell>
          <cell r="F682" t="str">
            <v>鞋-运动鞋-户外功能鞋</v>
          </cell>
          <cell r="G682" t="str">
            <v>一品一商</v>
          </cell>
          <cell r="H682" t="str">
            <v>品牌直发</v>
          </cell>
          <cell r="I682">
            <v>0</v>
          </cell>
        </row>
        <row r="683">
          <cell r="D683">
            <v>16123406</v>
          </cell>
          <cell r="E683" t="str">
            <v>伯希和/PELLIOT</v>
          </cell>
          <cell r="F683" t="str">
            <v>流行饰品/眼镜/服配-帽子-鸭舌帽</v>
          </cell>
          <cell r="G683" t="str">
            <v>一品一商</v>
          </cell>
          <cell r="H683" t="str">
            <v>品牌直发</v>
          </cell>
          <cell r="I683">
            <v>0</v>
          </cell>
        </row>
        <row r="684">
          <cell r="D684">
            <v>1116023410</v>
          </cell>
          <cell r="E684" t="str">
            <v>伯希和/PELLIOT</v>
          </cell>
          <cell r="F684" t="str">
            <v>流行饰品/眼镜/服配-防晒服配-防晒帽</v>
          </cell>
          <cell r="G684" t="str">
            <v>一品一商</v>
          </cell>
          <cell r="H684" t="str">
            <v>品牌直发</v>
          </cell>
          <cell r="I684">
            <v>0</v>
          </cell>
        </row>
        <row r="685">
          <cell r="D685">
            <v>12421410</v>
          </cell>
          <cell r="E685" t="str">
            <v>伯希和/PELLIOT</v>
          </cell>
          <cell r="F685" t="str">
            <v>女装-户外运动服-速干裤</v>
          </cell>
          <cell r="G685" t="str">
            <v>一品一商</v>
          </cell>
          <cell r="H685" t="str">
            <v>品牌直发</v>
          </cell>
          <cell r="I685">
            <v>0</v>
          </cell>
        </row>
        <row r="686">
          <cell r="D686">
            <v>12411402</v>
          </cell>
          <cell r="E686" t="str">
            <v>伯希和/PELLIOT</v>
          </cell>
          <cell r="F686" t="str">
            <v>女装-长裤-软壳裤</v>
          </cell>
          <cell r="G686" t="str">
            <v>一品一商</v>
          </cell>
          <cell r="H686" t="str">
            <v>品牌直发</v>
          </cell>
          <cell r="I686">
            <v>0</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s>
    <sheetDataSet>
      <sheetData sheetId="0">
        <row r="1">
          <cell r="D1" t="str">
            <v>商品货号</v>
          </cell>
          <cell r="E1" t="str">
            <v>品牌名称</v>
          </cell>
          <cell r="F1" t="str">
            <v>类目名称</v>
          </cell>
          <cell r="G1" t="str">
            <v>商品类型</v>
          </cell>
          <cell r="H1" t="str">
            <v>出价渠道</v>
          </cell>
          <cell r="I1" t="str">
            <v>支付金额</v>
          </cell>
        </row>
        <row r="2">
          <cell r="D2">
            <v>11421507</v>
          </cell>
          <cell r="E2" t="str">
            <v>伯希和/PELLIOT</v>
          </cell>
          <cell r="F2" t="str">
            <v>服装-上衣-Polo衫</v>
          </cell>
          <cell r="G2" t="str">
            <v>一品多商</v>
          </cell>
          <cell r="H2" t="str">
            <v>品牌直发</v>
          </cell>
          <cell r="I2">
            <v>18274.77</v>
          </cell>
        </row>
        <row r="3">
          <cell r="D3">
            <v>115214024</v>
          </cell>
          <cell r="E3" t="str">
            <v>伯希和/PELLIOT</v>
          </cell>
          <cell r="F3" t="str">
            <v>服装-户外运动服-速干裤</v>
          </cell>
          <cell r="G3" t="str">
            <v>一品多商</v>
          </cell>
          <cell r="H3" t="str">
            <v>品牌直发</v>
          </cell>
          <cell r="I3">
            <v>7169</v>
          </cell>
        </row>
        <row r="4">
          <cell r="D4">
            <v>11421509</v>
          </cell>
          <cell r="E4" t="str">
            <v>伯希和/PELLIOT</v>
          </cell>
          <cell r="F4" t="str">
            <v>服装-上衣-T恤</v>
          </cell>
          <cell r="G4" t="str">
            <v>一品多商</v>
          </cell>
          <cell r="H4" t="str">
            <v>品牌直发</v>
          </cell>
          <cell r="I4">
            <v>3437.18</v>
          </cell>
        </row>
        <row r="5">
          <cell r="D5" t="str">
            <v>x1622</v>
          </cell>
          <cell r="E5" t="str">
            <v>伯希和/PELLIOT</v>
          </cell>
          <cell r="F5" t="str">
            <v>流行饰品/眼镜/服配-帽子-渔夫帽</v>
          </cell>
          <cell r="G5" t="str">
            <v>一品一商</v>
          </cell>
          <cell r="H5" t="str">
            <v>品牌直发</v>
          </cell>
          <cell r="I5">
            <v>1874</v>
          </cell>
        </row>
        <row r="6">
          <cell r="D6">
            <v>115215019</v>
          </cell>
          <cell r="E6" t="str">
            <v>伯希和/PELLIOT</v>
          </cell>
          <cell r="F6" t="str">
            <v>服装-上衣-Polo衫</v>
          </cell>
          <cell r="G6" t="str">
            <v>一品多商</v>
          </cell>
          <cell r="H6" t="str">
            <v>品牌直发</v>
          </cell>
          <cell r="I6">
            <v>4071.92</v>
          </cell>
        </row>
        <row r="7">
          <cell r="D7">
            <v>11421415</v>
          </cell>
          <cell r="E7" t="str">
            <v>伯希和/PELLIOT</v>
          </cell>
          <cell r="F7" t="str">
            <v>服装-户外运动服-速干裤</v>
          </cell>
          <cell r="G7" t="str">
            <v>一品多商</v>
          </cell>
          <cell r="H7" t="str">
            <v>品牌直发</v>
          </cell>
          <cell r="I7">
            <v>3398</v>
          </cell>
        </row>
        <row r="8">
          <cell r="D8">
            <v>12421440</v>
          </cell>
          <cell r="E8" t="str">
            <v>伯希和/PELLIOT</v>
          </cell>
          <cell r="F8" t="str">
            <v>服装-健身服-运动短裤</v>
          </cell>
          <cell r="G8" t="str">
            <v>一品多商</v>
          </cell>
          <cell r="H8" t="str">
            <v>品牌直发</v>
          </cell>
          <cell r="I8">
            <v>2039</v>
          </cell>
        </row>
        <row r="9">
          <cell r="D9">
            <v>11421533</v>
          </cell>
          <cell r="E9" t="str">
            <v>伯希和/PELLIOT</v>
          </cell>
          <cell r="F9" t="str">
            <v>服装-上衣-Polo衫</v>
          </cell>
          <cell r="G9" t="str">
            <v>一品多商</v>
          </cell>
          <cell r="H9" t="str">
            <v>品牌直发</v>
          </cell>
          <cell r="I9">
            <v>2392</v>
          </cell>
        </row>
        <row r="10">
          <cell r="D10">
            <v>115215047</v>
          </cell>
          <cell r="E10" t="str">
            <v>伯希和/PELLIOT</v>
          </cell>
          <cell r="F10" t="str">
            <v>服装-上衣-T恤</v>
          </cell>
          <cell r="G10" t="str">
            <v>一品一商</v>
          </cell>
          <cell r="H10" t="str">
            <v>品牌直发</v>
          </cell>
          <cell r="I10">
            <v>885</v>
          </cell>
        </row>
        <row r="11">
          <cell r="D11">
            <v>11421241</v>
          </cell>
          <cell r="E11" t="str">
            <v>伯希和/PELLIOT</v>
          </cell>
          <cell r="F11" t="str">
            <v>服装-外套-防晒服</v>
          </cell>
          <cell r="G11" t="str">
            <v>一品多商</v>
          </cell>
          <cell r="H11" t="str">
            <v>品牌直发</v>
          </cell>
          <cell r="I11">
            <v>1336</v>
          </cell>
        </row>
        <row r="12">
          <cell r="D12">
            <v>11321405</v>
          </cell>
          <cell r="E12" t="str">
            <v>伯希和/PELLIOT</v>
          </cell>
          <cell r="F12" t="str">
            <v>服装-户外运动服-速干裤</v>
          </cell>
          <cell r="G12" t="str">
            <v>一品多商</v>
          </cell>
          <cell r="H12" t="str">
            <v>品牌直发</v>
          </cell>
          <cell r="I12">
            <v>2412</v>
          </cell>
        </row>
        <row r="13">
          <cell r="D13">
            <v>115214021</v>
          </cell>
          <cell r="E13" t="str">
            <v>伯希和/PELLIOT</v>
          </cell>
          <cell r="F13" t="str">
            <v>服装-户外运动服-速干裤</v>
          </cell>
          <cell r="G13" t="str">
            <v>一品多商</v>
          </cell>
          <cell r="H13" t="str">
            <v>品牌直发</v>
          </cell>
          <cell r="I13">
            <v>2212</v>
          </cell>
        </row>
        <row r="14">
          <cell r="D14">
            <v>115215025</v>
          </cell>
          <cell r="E14" t="str">
            <v>伯希和/PELLIOT</v>
          </cell>
          <cell r="F14" t="str">
            <v>服装-户外运动服-速干T恤</v>
          </cell>
          <cell r="G14" t="str">
            <v>一品多商</v>
          </cell>
          <cell r="H14" t="str">
            <v>品牌直发</v>
          </cell>
          <cell r="I14">
            <v>2520</v>
          </cell>
        </row>
        <row r="15">
          <cell r="D15">
            <v>12421220</v>
          </cell>
          <cell r="E15" t="str">
            <v>伯希和/PELLIOT</v>
          </cell>
          <cell r="F15" t="str">
            <v>服装-外套-防晒服</v>
          </cell>
          <cell r="G15" t="str">
            <v>一品多商</v>
          </cell>
          <cell r="H15" t="str">
            <v>品牌直发</v>
          </cell>
          <cell r="I15">
            <v>2514</v>
          </cell>
        </row>
        <row r="16">
          <cell r="D16">
            <v>115214025</v>
          </cell>
          <cell r="E16" t="str">
            <v>伯希和/PELLIOT</v>
          </cell>
          <cell r="F16" t="str">
            <v>服装-户外运动服-速干裤</v>
          </cell>
          <cell r="G16" t="str">
            <v>一品多商</v>
          </cell>
          <cell r="H16" t="str">
            <v>品牌直发</v>
          </cell>
          <cell r="I16">
            <v>1888</v>
          </cell>
        </row>
        <row r="17">
          <cell r="D17">
            <v>16403404</v>
          </cell>
          <cell r="E17" t="str">
            <v>伯希和/PELLIOT</v>
          </cell>
          <cell r="F17" t="str">
            <v>流行饰品/眼镜/服配-帽子-鸭舌帽</v>
          </cell>
          <cell r="G17" t="str">
            <v>一品一商</v>
          </cell>
          <cell r="H17" t="str">
            <v>品牌直发</v>
          </cell>
          <cell r="I17">
            <v>386</v>
          </cell>
        </row>
        <row r="18">
          <cell r="D18">
            <v>16402503</v>
          </cell>
          <cell r="E18" t="str">
            <v>伯希和/PELLIOT</v>
          </cell>
          <cell r="F18" t="str">
            <v>箱包-包袋-户外包</v>
          </cell>
          <cell r="G18" t="str">
            <v>一品多商</v>
          </cell>
          <cell r="H18" t="str">
            <v>品牌直发</v>
          </cell>
          <cell r="I18">
            <v>2363</v>
          </cell>
        </row>
        <row r="19">
          <cell r="D19">
            <v>105212020</v>
          </cell>
          <cell r="E19" t="str">
            <v>伯希和/PELLIOT</v>
          </cell>
          <cell r="F19" t="str">
            <v>服装-外套-防晒服</v>
          </cell>
          <cell r="G19" t="str">
            <v>一品多商</v>
          </cell>
          <cell r="H19" t="str">
            <v>品牌直发</v>
          </cell>
          <cell r="I19">
            <v>1869</v>
          </cell>
        </row>
        <row r="20">
          <cell r="D20" t="str">
            <v>124101048-新加色</v>
          </cell>
          <cell r="E20" t="str">
            <v>伯希和/PELLIOT</v>
          </cell>
          <cell r="F20" t="str">
            <v>服装-外套-冲锋衣</v>
          </cell>
          <cell r="G20" t="str">
            <v>一品多商</v>
          </cell>
          <cell r="H20" t="str">
            <v>品牌直发</v>
          </cell>
          <cell r="I20">
            <v>4391</v>
          </cell>
        </row>
        <row r="21">
          <cell r="D21">
            <v>12421250</v>
          </cell>
          <cell r="E21" t="str">
            <v>伯希和/PELLIOT</v>
          </cell>
          <cell r="F21" t="str">
            <v>女装-外套-防晒服</v>
          </cell>
          <cell r="G21" t="str">
            <v>一品多商</v>
          </cell>
          <cell r="H21" t="str">
            <v>品牌直发</v>
          </cell>
          <cell r="I21">
            <v>1219</v>
          </cell>
        </row>
        <row r="22">
          <cell r="D22">
            <v>11410201</v>
          </cell>
          <cell r="E22" t="str">
            <v>伯希和/PELLIOT</v>
          </cell>
          <cell r="F22" t="str">
            <v>服装-长裤-冲锋裤</v>
          </cell>
          <cell r="G22" t="str">
            <v>一品多商</v>
          </cell>
          <cell r="H22" t="str">
            <v>品牌直发</v>
          </cell>
          <cell r="I22">
            <v>2576</v>
          </cell>
        </row>
        <row r="23">
          <cell r="D23">
            <v>12340106</v>
          </cell>
          <cell r="E23" t="str">
            <v>伯希和/PELLIOT</v>
          </cell>
          <cell r="F23" t="str">
            <v>女装-外套-冲锋衣</v>
          </cell>
          <cell r="G23" t="str">
            <v>一品多商</v>
          </cell>
          <cell r="H23" t="str">
            <v>品牌直发</v>
          </cell>
          <cell r="I23">
            <v>2636</v>
          </cell>
        </row>
        <row r="24">
          <cell r="D24">
            <v>115107003</v>
          </cell>
          <cell r="E24" t="str">
            <v>伯希和/PELLIOT</v>
          </cell>
          <cell r="F24" t="str">
            <v>服装-长裤-软壳裤</v>
          </cell>
          <cell r="G24" t="str">
            <v>一品多商</v>
          </cell>
          <cell r="H24" t="str">
            <v>品牌直发</v>
          </cell>
          <cell r="I24">
            <v>2969</v>
          </cell>
        </row>
        <row r="25">
          <cell r="D25">
            <v>12421508</v>
          </cell>
          <cell r="E25" t="str">
            <v>伯希和/PELLIOT</v>
          </cell>
          <cell r="F25" t="str">
            <v>女装-上衣-Polo衫</v>
          </cell>
          <cell r="G25" t="str">
            <v>一品多商</v>
          </cell>
          <cell r="H25" t="str">
            <v>品牌直发</v>
          </cell>
          <cell r="I25">
            <v>698</v>
          </cell>
        </row>
        <row r="26">
          <cell r="D26">
            <v>11421201</v>
          </cell>
          <cell r="E26" t="str">
            <v>伯希和/PELLIOT</v>
          </cell>
          <cell r="F26" t="str">
            <v>服装-外套-防晒服</v>
          </cell>
          <cell r="G26" t="str">
            <v>一品多商</v>
          </cell>
          <cell r="H26" t="str">
            <v>品牌直发</v>
          </cell>
          <cell r="I26">
            <v>1050</v>
          </cell>
        </row>
        <row r="27">
          <cell r="D27">
            <v>12421534</v>
          </cell>
          <cell r="E27" t="str">
            <v>伯希和/PELLIOT</v>
          </cell>
          <cell r="F27" t="str">
            <v>女装-上衣-Polo衫</v>
          </cell>
          <cell r="G27" t="str">
            <v>一品多商</v>
          </cell>
          <cell r="H27" t="str">
            <v>品牌直发</v>
          </cell>
          <cell r="I27">
            <v>1107</v>
          </cell>
        </row>
        <row r="28">
          <cell r="D28">
            <v>115116021</v>
          </cell>
          <cell r="E28" t="str">
            <v>伯希和/PELLIOT</v>
          </cell>
          <cell r="F28" t="str">
            <v>服装-上衣-T恤</v>
          </cell>
          <cell r="G28" t="str">
            <v>一品多商</v>
          </cell>
          <cell r="H28" t="str">
            <v>品牌直发</v>
          </cell>
          <cell r="I28">
            <v>691</v>
          </cell>
        </row>
        <row r="29">
          <cell r="D29">
            <v>12321218</v>
          </cell>
          <cell r="E29" t="str">
            <v>伯希和/PELLIOT</v>
          </cell>
          <cell r="F29" t="str">
            <v>女装-外套-防晒服</v>
          </cell>
          <cell r="G29" t="str">
            <v>一品多商</v>
          </cell>
          <cell r="H29" t="str">
            <v>品牌直发</v>
          </cell>
          <cell r="I29">
            <v>621.65</v>
          </cell>
        </row>
        <row r="30">
          <cell r="D30" t="str">
            <v>12421220-新加色</v>
          </cell>
          <cell r="E30" t="str">
            <v>伯希和/PELLIOT</v>
          </cell>
          <cell r="F30" t="str">
            <v>服装-外套-防晒服</v>
          </cell>
          <cell r="G30" t="str">
            <v>一品多商</v>
          </cell>
          <cell r="H30" t="str">
            <v>品牌直发</v>
          </cell>
          <cell r="I30">
            <v>1306</v>
          </cell>
        </row>
        <row r="31">
          <cell r="D31">
            <v>115220021</v>
          </cell>
          <cell r="E31" t="str">
            <v>伯希和/PELLIOT</v>
          </cell>
          <cell r="F31" t="str">
            <v>鞋-凉鞋/拖鞋-溯溪鞋</v>
          </cell>
          <cell r="G31" t="str">
            <v>一品一商</v>
          </cell>
          <cell r="H31" t="str">
            <v>品牌直发</v>
          </cell>
          <cell r="I31">
            <v>2113</v>
          </cell>
        </row>
        <row r="32">
          <cell r="D32">
            <v>16402511</v>
          </cell>
          <cell r="E32" t="str">
            <v>伯希和/PELLIOT</v>
          </cell>
          <cell r="F32" t="str">
            <v>箱包-包袋-户外包</v>
          </cell>
          <cell r="G32" t="str">
            <v>一品多商</v>
          </cell>
          <cell r="H32" t="str">
            <v>品牌直发</v>
          </cell>
          <cell r="I32">
            <v>1203</v>
          </cell>
        </row>
        <row r="33">
          <cell r="D33">
            <v>11340105</v>
          </cell>
          <cell r="E33" t="str">
            <v>伯希和/PELLIOT</v>
          </cell>
          <cell r="F33" t="str">
            <v>服装-外套-冲锋衣</v>
          </cell>
          <cell r="G33" t="str">
            <v>一品多商</v>
          </cell>
          <cell r="H33" t="str">
            <v>品牌直发</v>
          </cell>
          <cell r="I33">
            <v>1795</v>
          </cell>
        </row>
        <row r="34">
          <cell r="D34">
            <v>115302007</v>
          </cell>
          <cell r="E34" t="str">
            <v>伯希和/PELLIOT</v>
          </cell>
          <cell r="F34" t="str">
            <v>服装-长裤-冲锋裤</v>
          </cell>
          <cell r="G34" t="str">
            <v>一品多商</v>
          </cell>
          <cell r="H34" t="str">
            <v>品牌直发</v>
          </cell>
          <cell r="I34">
            <v>2171</v>
          </cell>
        </row>
        <row r="35">
          <cell r="D35">
            <v>165041001</v>
          </cell>
          <cell r="E35" t="str">
            <v>伯希和/PELLIOT</v>
          </cell>
          <cell r="F35" t="str">
            <v>流行饰品/眼镜/服配-防晒服配-防晒脖套</v>
          </cell>
          <cell r="G35" t="str">
            <v>一品一商</v>
          </cell>
          <cell r="H35" t="str">
            <v>品牌直发</v>
          </cell>
          <cell r="I35">
            <v>126</v>
          </cell>
        </row>
        <row r="36">
          <cell r="D36">
            <v>125215020</v>
          </cell>
          <cell r="E36" t="str">
            <v>伯希和/PELLIOT</v>
          </cell>
          <cell r="F36" t="str">
            <v>女装-上衣-Polo衫</v>
          </cell>
          <cell r="G36" t="str">
            <v>一品多商</v>
          </cell>
          <cell r="H36" t="str">
            <v>品牌直发</v>
          </cell>
          <cell r="I36">
            <v>692</v>
          </cell>
        </row>
        <row r="37">
          <cell r="D37">
            <v>115181001</v>
          </cell>
          <cell r="E37" t="str">
            <v>伯希和/PELLIOT</v>
          </cell>
          <cell r="F37" t="str">
            <v>鞋-运动鞋-登山鞋/徒步鞋</v>
          </cell>
          <cell r="G37" t="str">
            <v>一品多商</v>
          </cell>
          <cell r="H37" t="str">
            <v>品牌直发</v>
          </cell>
          <cell r="I37">
            <v>2086</v>
          </cell>
        </row>
        <row r="38">
          <cell r="D38">
            <v>125214022</v>
          </cell>
          <cell r="E38" t="str">
            <v>伯希和/PELLIOT</v>
          </cell>
          <cell r="F38" t="str">
            <v>女装-户外运动服-速干裤</v>
          </cell>
          <cell r="G38" t="str">
            <v>一品一商</v>
          </cell>
          <cell r="H38" t="str">
            <v>品牌直发</v>
          </cell>
          <cell r="I38">
            <v>893</v>
          </cell>
        </row>
        <row r="39">
          <cell r="D39" t="str">
            <v>11340105-新加色</v>
          </cell>
          <cell r="E39" t="str">
            <v>伯希和/PELLIOT</v>
          </cell>
          <cell r="F39" t="str">
            <v>服装-外套-冲锋衣</v>
          </cell>
          <cell r="G39" t="str">
            <v>一品多商</v>
          </cell>
          <cell r="H39" t="str">
            <v>品牌直发</v>
          </cell>
          <cell r="I39">
            <v>1861</v>
          </cell>
        </row>
        <row r="40">
          <cell r="D40">
            <v>11340821</v>
          </cell>
          <cell r="E40" t="str">
            <v>伯希和/PELLIOT</v>
          </cell>
          <cell r="F40" t="str">
            <v>服装-外套-羽绒服</v>
          </cell>
          <cell r="G40" t="str">
            <v>一品多商</v>
          </cell>
          <cell r="H40" t="str">
            <v>品牌直发</v>
          </cell>
          <cell r="I40">
            <v>1762</v>
          </cell>
        </row>
        <row r="41">
          <cell r="D41">
            <v>115107016</v>
          </cell>
          <cell r="E41" t="str">
            <v>伯希和/PELLIOT</v>
          </cell>
          <cell r="F41" t="str">
            <v>服装-长裤-软壳裤</v>
          </cell>
          <cell r="G41" t="str">
            <v>一品多商</v>
          </cell>
          <cell r="H41" t="str">
            <v>品牌直发</v>
          </cell>
          <cell r="I41">
            <v>836</v>
          </cell>
        </row>
        <row r="42">
          <cell r="D42">
            <v>125302008</v>
          </cell>
          <cell r="E42" t="str">
            <v>伯希和/PELLIOT</v>
          </cell>
          <cell r="F42" t="str">
            <v>女装-长裤-冲锋裤</v>
          </cell>
          <cell r="G42" t="str">
            <v>一品多商</v>
          </cell>
          <cell r="H42" t="str">
            <v>品牌直发</v>
          </cell>
          <cell r="I42">
            <v>1716</v>
          </cell>
        </row>
        <row r="43">
          <cell r="D43">
            <v>105301056</v>
          </cell>
          <cell r="E43" t="str">
            <v>伯希和/PELLIOT</v>
          </cell>
          <cell r="F43" t="str">
            <v>服装-外套-冲锋衣</v>
          </cell>
          <cell r="G43" t="str">
            <v>一品多商</v>
          </cell>
          <cell r="H43" t="str">
            <v>品牌直发</v>
          </cell>
          <cell r="I43">
            <v>2858</v>
          </cell>
        </row>
        <row r="44">
          <cell r="D44">
            <v>115215045</v>
          </cell>
          <cell r="E44" t="str">
            <v>伯希和/PELLIOT</v>
          </cell>
          <cell r="F44" t="str">
            <v>服装-上衣-T恤</v>
          </cell>
          <cell r="G44" t="str">
            <v>一品一商</v>
          </cell>
          <cell r="H44" t="str">
            <v>品牌直发</v>
          </cell>
          <cell r="I44">
            <v>302</v>
          </cell>
        </row>
        <row r="45">
          <cell r="D45">
            <v>135101022</v>
          </cell>
          <cell r="E45" t="str">
            <v>伯希和/PELLIOT</v>
          </cell>
          <cell r="F45" t="str">
            <v>童装-儿童上装-冲锋衣</v>
          </cell>
          <cell r="G45" t="str">
            <v>一品一商</v>
          </cell>
          <cell r="H45" t="str">
            <v>品牌直发</v>
          </cell>
          <cell r="I45">
            <v>1016</v>
          </cell>
        </row>
        <row r="46">
          <cell r="D46">
            <v>164334403</v>
          </cell>
          <cell r="E46" t="str">
            <v>伯希和/PELLIOT</v>
          </cell>
          <cell r="F46" t="str">
            <v>流行饰品/眼镜/服配-帽子-绒线帽</v>
          </cell>
          <cell r="G46" t="str">
            <v>一品一商</v>
          </cell>
          <cell r="H46" t="str">
            <v>品牌直发</v>
          </cell>
          <cell r="I46">
            <v>198</v>
          </cell>
        </row>
        <row r="47">
          <cell r="D47">
            <v>114319003</v>
          </cell>
          <cell r="E47" t="str">
            <v>伯希和/PELLIOT</v>
          </cell>
          <cell r="F47" t="str">
            <v>鞋-运动鞋-登山鞋/徒步鞋</v>
          </cell>
          <cell r="G47" t="str">
            <v>一品多商</v>
          </cell>
          <cell r="H47" t="str">
            <v>品牌直发</v>
          </cell>
          <cell r="I47">
            <v>976</v>
          </cell>
        </row>
        <row r="48">
          <cell r="D48">
            <v>16202612</v>
          </cell>
          <cell r="E48" t="str">
            <v>伯希和/PELLIOT</v>
          </cell>
          <cell r="F48" t="str">
            <v>箱包-包袋-户外包</v>
          </cell>
          <cell r="G48" t="str">
            <v>一品一商</v>
          </cell>
          <cell r="H48" t="str">
            <v>品牌直发</v>
          </cell>
          <cell r="I48">
            <v>104.7</v>
          </cell>
        </row>
        <row r="49">
          <cell r="D49">
            <v>12421252</v>
          </cell>
          <cell r="E49" t="str">
            <v>伯希和/PELLIOT</v>
          </cell>
          <cell r="F49" t="str">
            <v>女装-外套-防晒服</v>
          </cell>
          <cell r="G49" t="str">
            <v>一品多商</v>
          </cell>
          <cell r="H49" t="str">
            <v>品牌直发</v>
          </cell>
          <cell r="I49">
            <v>334</v>
          </cell>
        </row>
        <row r="50">
          <cell r="D50">
            <v>12425112</v>
          </cell>
          <cell r="E50" t="str">
            <v>伯希和/PELLIOT</v>
          </cell>
          <cell r="F50" t="str">
            <v>女装-外套-防晒服</v>
          </cell>
          <cell r="G50" t="str">
            <v>一品多商</v>
          </cell>
          <cell r="H50" t="str">
            <v>品牌直发</v>
          </cell>
          <cell r="I50">
            <v>465</v>
          </cell>
        </row>
        <row r="51">
          <cell r="D51">
            <v>12421254</v>
          </cell>
          <cell r="E51" t="str">
            <v>伯希和/PELLIOT</v>
          </cell>
          <cell r="F51" t="str">
            <v>女装-外套-防晒服</v>
          </cell>
          <cell r="G51" t="str">
            <v>一品多商</v>
          </cell>
          <cell r="H51" t="str">
            <v>品牌直发</v>
          </cell>
          <cell r="I51">
            <v>428</v>
          </cell>
        </row>
        <row r="52">
          <cell r="D52">
            <v>11325109</v>
          </cell>
          <cell r="E52" t="str">
            <v>伯希和/PELLIOT</v>
          </cell>
          <cell r="F52" t="str">
            <v>服装-外套-夹克</v>
          </cell>
          <cell r="G52" t="str">
            <v>一品一商</v>
          </cell>
          <cell r="H52" t="str">
            <v>品牌直发</v>
          </cell>
          <cell r="I52">
            <v>687</v>
          </cell>
        </row>
        <row r="53">
          <cell r="D53">
            <v>11121411</v>
          </cell>
          <cell r="E53" t="str">
            <v>伯希和/PELLIOT</v>
          </cell>
          <cell r="F53" t="str">
            <v>服装-户外运动服-速干裤</v>
          </cell>
          <cell r="G53" t="str">
            <v>一品多商</v>
          </cell>
          <cell r="H53" t="str">
            <v>品牌直发</v>
          </cell>
          <cell r="I53">
            <v>349</v>
          </cell>
        </row>
        <row r="54">
          <cell r="D54">
            <v>12021510</v>
          </cell>
          <cell r="E54" t="str">
            <v>伯希和/PELLIOT</v>
          </cell>
          <cell r="F54" t="str">
            <v>女装-户外运动服-跑步T恤</v>
          </cell>
          <cell r="G54" t="str">
            <v>一品一商</v>
          </cell>
          <cell r="H54" t="str">
            <v>品牌直发</v>
          </cell>
          <cell r="I54">
            <v>168</v>
          </cell>
        </row>
        <row r="55">
          <cell r="D55">
            <v>12221536</v>
          </cell>
          <cell r="E55" t="str">
            <v>伯希和/PELLIOT</v>
          </cell>
          <cell r="F55" t="str">
            <v>女装-户外运动服-速干T恤</v>
          </cell>
          <cell r="G55" t="str">
            <v>一品一商</v>
          </cell>
          <cell r="H55" t="str">
            <v>品牌直发</v>
          </cell>
          <cell r="I55">
            <v>168</v>
          </cell>
        </row>
        <row r="56">
          <cell r="D56">
            <v>12321224</v>
          </cell>
          <cell r="E56" t="str">
            <v>伯希和/PELLIOT</v>
          </cell>
          <cell r="F56" t="str">
            <v>服装-外套-防晒服</v>
          </cell>
          <cell r="G56" t="str">
            <v>一品一商</v>
          </cell>
          <cell r="H56" t="str">
            <v>品牌直发</v>
          </cell>
          <cell r="I56">
            <v>800</v>
          </cell>
        </row>
        <row r="57">
          <cell r="D57">
            <v>11321207</v>
          </cell>
          <cell r="E57" t="str">
            <v>伯希和/PELLIOT</v>
          </cell>
          <cell r="F57" t="str">
            <v>服装-外套-防晒服</v>
          </cell>
          <cell r="G57" t="str">
            <v>一品多商</v>
          </cell>
          <cell r="H57" t="str">
            <v>品牌直发</v>
          </cell>
          <cell r="I57">
            <v>288</v>
          </cell>
        </row>
        <row r="58">
          <cell r="D58">
            <v>125110022</v>
          </cell>
          <cell r="E58" t="str">
            <v>伯希和/PELLIOT</v>
          </cell>
          <cell r="F58" t="str">
            <v>女装-户外运动服-抓绒衣</v>
          </cell>
          <cell r="G58" t="str">
            <v>一品多商</v>
          </cell>
          <cell r="H58" t="str">
            <v>品牌直发</v>
          </cell>
          <cell r="I58">
            <v>442</v>
          </cell>
        </row>
        <row r="59">
          <cell r="D59" t="str">
            <v>115301054-新加色</v>
          </cell>
          <cell r="E59" t="str">
            <v>伯希和/PELLIOT</v>
          </cell>
          <cell r="F59" t="str">
            <v>服装-外套-冲锋衣</v>
          </cell>
          <cell r="G59" t="str">
            <v>一品多商</v>
          </cell>
          <cell r="H59" t="str">
            <v>品牌直发</v>
          </cell>
          <cell r="I59">
            <v>1092</v>
          </cell>
        </row>
        <row r="60">
          <cell r="D60">
            <v>125215048</v>
          </cell>
          <cell r="E60" t="str">
            <v>伯希和/PELLIOT</v>
          </cell>
          <cell r="F60" t="str">
            <v>女装-户外运动服-速干T恤</v>
          </cell>
          <cell r="G60" t="str">
            <v>一品一商</v>
          </cell>
          <cell r="H60" t="str">
            <v>品牌直发</v>
          </cell>
          <cell r="I60">
            <v>188</v>
          </cell>
        </row>
        <row r="61">
          <cell r="D61">
            <v>115214005</v>
          </cell>
          <cell r="E61" t="str">
            <v>伯希和/PELLIOT</v>
          </cell>
          <cell r="F61" t="str">
            <v>服装-户外运动服-速干裤</v>
          </cell>
          <cell r="G61" t="str">
            <v>一品多商</v>
          </cell>
          <cell r="H61" t="str">
            <v>品牌直发</v>
          </cell>
          <cell r="I61">
            <v>458</v>
          </cell>
        </row>
        <row r="62">
          <cell r="D62">
            <v>115215001</v>
          </cell>
          <cell r="E62" t="str">
            <v>伯希和/PELLIOT</v>
          </cell>
          <cell r="F62" t="str">
            <v>服装-上衣-T恤</v>
          </cell>
          <cell r="G62" t="str">
            <v>一品多商</v>
          </cell>
          <cell r="H62" t="str">
            <v>品牌直发</v>
          </cell>
          <cell r="I62">
            <v>383</v>
          </cell>
        </row>
        <row r="63">
          <cell r="D63">
            <v>115119035</v>
          </cell>
          <cell r="E63" t="str">
            <v>伯希和/PELLIOT</v>
          </cell>
          <cell r="F63" t="str">
            <v>鞋-运动鞋-登山鞋/徒步鞋</v>
          </cell>
          <cell r="G63" t="str">
            <v>一品多商</v>
          </cell>
          <cell r="H63" t="str">
            <v>品牌直发</v>
          </cell>
          <cell r="I63">
            <v>899</v>
          </cell>
        </row>
        <row r="64">
          <cell r="D64">
            <v>115119025</v>
          </cell>
          <cell r="E64" t="str">
            <v>伯希和/PELLIOT</v>
          </cell>
          <cell r="F64" t="str">
            <v>鞋-运动鞋-越野跑鞋</v>
          </cell>
          <cell r="G64" t="str">
            <v>一品多商</v>
          </cell>
          <cell r="H64" t="str">
            <v>品牌直发</v>
          </cell>
          <cell r="I64">
            <v>683</v>
          </cell>
        </row>
        <row r="65">
          <cell r="D65">
            <v>114310191</v>
          </cell>
          <cell r="E65" t="str">
            <v>伯希和/PELLIOT</v>
          </cell>
          <cell r="F65" t="str">
            <v>服装-户外运动服-抓绒衣</v>
          </cell>
          <cell r="G65" t="str">
            <v>一品多商</v>
          </cell>
          <cell r="H65" t="str">
            <v>品牌直发</v>
          </cell>
          <cell r="I65">
            <v>691</v>
          </cell>
        </row>
        <row r="66">
          <cell r="D66" t="str">
            <v>PE124314376</v>
          </cell>
          <cell r="E66" t="str">
            <v>伯希和/PELLIOT</v>
          </cell>
          <cell r="F66" t="str">
            <v>服装-户外运动服-速干裤</v>
          </cell>
          <cell r="G66" t="str">
            <v>一品多商</v>
          </cell>
          <cell r="H66" t="str">
            <v>品牌直发</v>
          </cell>
          <cell r="I66">
            <v>698</v>
          </cell>
        </row>
        <row r="67">
          <cell r="D67" t="str">
            <v>PE12410202</v>
          </cell>
          <cell r="E67" t="str">
            <v>伯希和/PELLIOT</v>
          </cell>
          <cell r="F67" t="str">
            <v>女装-长裤-冲锋裤</v>
          </cell>
          <cell r="G67" t="str">
            <v>一品多商</v>
          </cell>
          <cell r="H67" t="str">
            <v>品牌直发</v>
          </cell>
          <cell r="I67">
            <v>940</v>
          </cell>
        </row>
        <row r="68">
          <cell r="D68">
            <v>114311231</v>
          </cell>
          <cell r="E68" t="str">
            <v>伯希和/PELLIOT</v>
          </cell>
          <cell r="F68" t="str">
            <v>服装-长裤-休闲裤</v>
          </cell>
          <cell r="G68" t="str">
            <v>一品一商</v>
          </cell>
          <cell r="H68" t="str">
            <v>品牌直发</v>
          </cell>
          <cell r="I68">
            <v>479</v>
          </cell>
        </row>
        <row r="69">
          <cell r="D69">
            <v>114301037</v>
          </cell>
          <cell r="E69" t="str">
            <v>伯希和/PELLIOT</v>
          </cell>
          <cell r="F69" t="str">
            <v>服装-外套-冲锋衣</v>
          </cell>
          <cell r="G69" t="str">
            <v>一品多商</v>
          </cell>
          <cell r="H69" t="str">
            <v>品牌直发</v>
          </cell>
          <cell r="I69">
            <v>1257</v>
          </cell>
        </row>
        <row r="70">
          <cell r="D70" t="str">
            <v>11340105-CF05</v>
          </cell>
          <cell r="E70" t="str">
            <v>伯希和/PELLIOT</v>
          </cell>
          <cell r="F70" t="str">
            <v>服装-外套-冲锋衣</v>
          </cell>
          <cell r="G70" t="str">
            <v>一品多商</v>
          </cell>
          <cell r="H70" t="str">
            <v>品牌直发</v>
          </cell>
          <cell r="I70">
            <v>955</v>
          </cell>
        </row>
        <row r="71">
          <cell r="D71">
            <v>12422002</v>
          </cell>
          <cell r="E71" t="str">
            <v>伯希和/PELLIOT</v>
          </cell>
          <cell r="F71" t="str">
            <v>鞋-运动鞋-户外功能鞋</v>
          </cell>
          <cell r="G71" t="str">
            <v>一品多商</v>
          </cell>
          <cell r="H71" t="str">
            <v>品牌直发</v>
          </cell>
          <cell r="I71">
            <v>540</v>
          </cell>
        </row>
        <row r="72">
          <cell r="D72">
            <v>16325602</v>
          </cell>
          <cell r="E72" t="str">
            <v>伯希和/PELLIOT</v>
          </cell>
          <cell r="F72" t="str">
            <v>流行饰品/眼镜/服配-配饰-口罩</v>
          </cell>
          <cell r="G72" t="str">
            <v>一品一商</v>
          </cell>
          <cell r="H72" t="str">
            <v>品牌直发</v>
          </cell>
          <cell r="I72">
            <v>12</v>
          </cell>
        </row>
        <row r="73">
          <cell r="D73">
            <v>11411405</v>
          </cell>
          <cell r="E73" t="str">
            <v>伯希和/PELLIOT</v>
          </cell>
          <cell r="F73" t="str">
            <v>服装-长裤-软壳裤</v>
          </cell>
          <cell r="G73" t="str">
            <v>一品一商</v>
          </cell>
          <cell r="H73" t="str">
            <v>品牌直发</v>
          </cell>
          <cell r="I73">
            <v>351</v>
          </cell>
        </row>
        <row r="74">
          <cell r="D74">
            <v>11421519</v>
          </cell>
          <cell r="E74" t="str">
            <v>伯希和/PELLIOT</v>
          </cell>
          <cell r="F74" t="str">
            <v>服装-上衣-Polo衫</v>
          </cell>
          <cell r="G74" t="str">
            <v>一品一商</v>
          </cell>
          <cell r="H74" t="str">
            <v>品牌直发</v>
          </cell>
          <cell r="I74">
            <v>281</v>
          </cell>
        </row>
        <row r="75">
          <cell r="D75">
            <v>12421226</v>
          </cell>
          <cell r="E75" t="str">
            <v>伯希和/PELLIOT</v>
          </cell>
          <cell r="F75" t="str">
            <v>女装-外套-防晒服</v>
          </cell>
          <cell r="G75" t="str">
            <v>一品一商</v>
          </cell>
          <cell r="H75" t="str">
            <v>品牌直发</v>
          </cell>
          <cell r="I75">
            <v>241</v>
          </cell>
        </row>
        <row r="76">
          <cell r="D76">
            <v>12421228</v>
          </cell>
          <cell r="E76" t="str">
            <v>伯希和/PELLIOT</v>
          </cell>
          <cell r="F76" t="str">
            <v>女装-外套-防晒服</v>
          </cell>
          <cell r="G76" t="str">
            <v>一品多商</v>
          </cell>
          <cell r="H76" t="str">
            <v>品牌直发</v>
          </cell>
          <cell r="I76">
            <v>164</v>
          </cell>
        </row>
        <row r="77">
          <cell r="D77">
            <v>116123408</v>
          </cell>
          <cell r="E77" t="str">
            <v>伯希和/PELLIOT</v>
          </cell>
          <cell r="F77" t="str">
            <v>流行饰品/眼镜/服配-防晒服配-防晒帽</v>
          </cell>
          <cell r="G77" t="str">
            <v>一品一商</v>
          </cell>
          <cell r="H77" t="str">
            <v>品牌直发</v>
          </cell>
          <cell r="I77">
            <v>108</v>
          </cell>
        </row>
        <row r="78">
          <cell r="D78" t="str">
            <v>12340164-新加色</v>
          </cell>
          <cell r="E78" t="str">
            <v>伯希和/PELLIOT</v>
          </cell>
          <cell r="F78" t="str">
            <v>服装-外套-冲锋衣</v>
          </cell>
          <cell r="G78" t="str">
            <v>一品多商</v>
          </cell>
          <cell r="H78" t="str">
            <v>品牌直发</v>
          </cell>
          <cell r="I78">
            <v>641</v>
          </cell>
        </row>
        <row r="79">
          <cell r="D79">
            <v>11331801</v>
          </cell>
          <cell r="E79" t="str">
            <v>伯希和/PELLIOT</v>
          </cell>
          <cell r="F79" t="str">
            <v>内衣-内衣裤-保暖套装</v>
          </cell>
          <cell r="G79" t="str">
            <v>一品多商</v>
          </cell>
          <cell r="H79" t="str">
            <v>品牌直发</v>
          </cell>
          <cell r="I79">
            <v>257</v>
          </cell>
        </row>
        <row r="80">
          <cell r="D80">
            <v>12340822</v>
          </cell>
          <cell r="E80" t="str">
            <v>伯希和/PELLIOT</v>
          </cell>
          <cell r="F80" t="str">
            <v>女装-外套-羽绒服</v>
          </cell>
          <cell r="G80" t="str">
            <v>一品多商</v>
          </cell>
          <cell r="H80" t="str">
            <v>品牌直发</v>
          </cell>
          <cell r="I80">
            <v>587</v>
          </cell>
        </row>
        <row r="81">
          <cell r="D81">
            <v>112230602</v>
          </cell>
          <cell r="E81" t="str">
            <v>伯希和/PELLIOT</v>
          </cell>
          <cell r="F81" t="str">
            <v>女装-外套-软壳衣</v>
          </cell>
          <cell r="G81" t="str">
            <v>一品一商</v>
          </cell>
          <cell r="H81" t="str">
            <v>品牌直发</v>
          </cell>
          <cell r="I81">
            <v>339</v>
          </cell>
        </row>
        <row r="82">
          <cell r="D82">
            <v>12230602</v>
          </cell>
          <cell r="E82" t="str">
            <v>伯希和/PELLIOT</v>
          </cell>
          <cell r="F82" t="str">
            <v>女装-外套-软壳衣</v>
          </cell>
          <cell r="G82" t="str">
            <v>一品多商</v>
          </cell>
          <cell r="H82" t="str">
            <v>品牌直发</v>
          </cell>
          <cell r="I82">
            <v>339</v>
          </cell>
        </row>
        <row r="83">
          <cell r="D83">
            <v>11230601</v>
          </cell>
          <cell r="E83" t="str">
            <v>伯希和/PELLIOT</v>
          </cell>
          <cell r="F83" t="str">
            <v>服装-外套-软壳衣</v>
          </cell>
          <cell r="G83" t="str">
            <v>一品多商</v>
          </cell>
          <cell r="H83" t="str">
            <v>品牌直发</v>
          </cell>
          <cell r="I83">
            <v>339</v>
          </cell>
        </row>
        <row r="84">
          <cell r="D84">
            <v>11121269</v>
          </cell>
          <cell r="E84" t="str">
            <v>伯希和/PELLIOT</v>
          </cell>
          <cell r="F84" t="str">
            <v>服装-外套-防晒服</v>
          </cell>
          <cell r="G84" t="str">
            <v>一品一商</v>
          </cell>
          <cell r="H84" t="str">
            <v>品牌直发</v>
          </cell>
          <cell r="I84">
            <v>201</v>
          </cell>
        </row>
        <row r="85">
          <cell r="D85">
            <v>12121262</v>
          </cell>
          <cell r="E85" t="str">
            <v>伯希和/PELLIOT</v>
          </cell>
          <cell r="F85" t="str">
            <v>女装-外套-防晒服</v>
          </cell>
          <cell r="G85" t="str">
            <v>一品多商</v>
          </cell>
          <cell r="H85" t="str">
            <v>品牌直发</v>
          </cell>
          <cell r="I85">
            <v>161</v>
          </cell>
        </row>
        <row r="86">
          <cell r="D86">
            <v>112121202</v>
          </cell>
          <cell r="E86" t="str">
            <v>伯希和/PELLIOT</v>
          </cell>
          <cell r="F86" t="str">
            <v>女装-外套-防晒服</v>
          </cell>
          <cell r="G86" t="str">
            <v>一品一商</v>
          </cell>
          <cell r="H86" t="str">
            <v>品牌直发</v>
          </cell>
          <cell r="I86">
            <v>127</v>
          </cell>
        </row>
        <row r="87">
          <cell r="D87" t="str">
            <v>16303650-2025</v>
          </cell>
          <cell r="E87" t="str">
            <v>伯希和/PELLIOT</v>
          </cell>
          <cell r="F87" t="str">
            <v>户外装备-徒步/攀登-登山杖/手杖</v>
          </cell>
          <cell r="G87" t="str">
            <v>一品一商</v>
          </cell>
          <cell r="H87" t="str">
            <v>普通现货</v>
          </cell>
          <cell r="I87">
            <v>61</v>
          </cell>
        </row>
        <row r="88">
          <cell r="D88" t="str">
            <v>16403602-2025</v>
          </cell>
          <cell r="E88" t="str">
            <v>伯希和/PELLIOT</v>
          </cell>
          <cell r="F88" t="str">
            <v>户外装备-徒步/攀登-登山杖/手杖</v>
          </cell>
          <cell r="G88" t="str">
            <v>一品一商</v>
          </cell>
          <cell r="H88" t="str">
            <v>品牌直发</v>
          </cell>
          <cell r="I88">
            <v>147</v>
          </cell>
        </row>
        <row r="89">
          <cell r="D89">
            <v>105301083</v>
          </cell>
          <cell r="E89" t="str">
            <v>伯希和/PELLIOT</v>
          </cell>
          <cell r="F89" t="str">
            <v>服装-外套-冲锋衣</v>
          </cell>
          <cell r="G89" t="str">
            <v>一品多商</v>
          </cell>
          <cell r="H89" t="str">
            <v>品牌直发</v>
          </cell>
          <cell r="I89">
            <v>583</v>
          </cell>
        </row>
        <row r="90">
          <cell r="D90">
            <v>115302003</v>
          </cell>
          <cell r="E90" t="str">
            <v>伯希和/PELLIOT</v>
          </cell>
          <cell r="F90" t="str">
            <v>服装-长裤-冲锋裤</v>
          </cell>
          <cell r="G90" t="str">
            <v>一品多商</v>
          </cell>
          <cell r="H90" t="str">
            <v>品牌直发</v>
          </cell>
          <cell r="I90">
            <v>637</v>
          </cell>
        </row>
        <row r="91">
          <cell r="D91">
            <v>105301059</v>
          </cell>
          <cell r="E91" t="str">
            <v>伯希和/PELLIOT</v>
          </cell>
          <cell r="F91" t="str">
            <v>服装-外套-冲锋衣</v>
          </cell>
          <cell r="G91" t="str">
            <v>一品多商</v>
          </cell>
          <cell r="H91" t="str">
            <v>品牌直发</v>
          </cell>
          <cell r="I91">
            <v>809</v>
          </cell>
        </row>
        <row r="92">
          <cell r="D92">
            <v>115316032</v>
          </cell>
          <cell r="E92" t="str">
            <v>伯希和/PELLIOT</v>
          </cell>
          <cell r="F92" t="str">
            <v>服装-上衣-T恤</v>
          </cell>
          <cell r="G92" t="str">
            <v>一品多商</v>
          </cell>
          <cell r="H92" t="str">
            <v>品牌直发</v>
          </cell>
          <cell r="I92">
            <v>281</v>
          </cell>
        </row>
        <row r="93">
          <cell r="D93" t="str">
            <v>11040105-新加色</v>
          </cell>
          <cell r="E93" t="str">
            <v>伯希和/PELLIOT</v>
          </cell>
          <cell r="F93" t="str">
            <v>服装-外套-冲锋衣</v>
          </cell>
          <cell r="G93" t="str">
            <v>一品一商</v>
          </cell>
          <cell r="H93" t="str">
            <v>品牌直发</v>
          </cell>
          <cell r="I93">
            <v>546</v>
          </cell>
        </row>
        <row r="94">
          <cell r="D94">
            <v>115151007</v>
          </cell>
          <cell r="E94" t="str">
            <v>伯希和/PELLIOT</v>
          </cell>
          <cell r="F94" t="str">
            <v>服装-外套-夹克</v>
          </cell>
          <cell r="G94" t="str">
            <v>一品多商</v>
          </cell>
          <cell r="H94" t="str">
            <v>品牌直发</v>
          </cell>
          <cell r="I94">
            <v>512</v>
          </cell>
        </row>
        <row r="95">
          <cell r="D95">
            <v>115215007</v>
          </cell>
          <cell r="E95" t="str">
            <v>伯希和/PELLIOT</v>
          </cell>
          <cell r="F95" t="str">
            <v>服装-上衣-Polo衫</v>
          </cell>
          <cell r="G95" t="str">
            <v>一品多商</v>
          </cell>
          <cell r="H95" t="str">
            <v>品牌直发</v>
          </cell>
          <cell r="I95">
            <v>312</v>
          </cell>
        </row>
        <row r="96">
          <cell r="D96">
            <v>135212023</v>
          </cell>
          <cell r="E96" t="str">
            <v>伯希和/PELLIOT</v>
          </cell>
          <cell r="F96" t="str">
            <v>童装-儿童上装-防晒衣</v>
          </cell>
          <cell r="G96" t="str">
            <v>一品多商</v>
          </cell>
          <cell r="H96" t="str">
            <v>品牌直发</v>
          </cell>
          <cell r="I96">
            <v>209</v>
          </cell>
        </row>
        <row r="97">
          <cell r="D97">
            <v>115215037</v>
          </cell>
          <cell r="E97" t="str">
            <v>伯希和/PELLIOT</v>
          </cell>
          <cell r="F97" t="str">
            <v>服装-上衣-Polo衫</v>
          </cell>
          <cell r="G97" t="str">
            <v>一品一商</v>
          </cell>
          <cell r="H97" t="str">
            <v>品牌直发</v>
          </cell>
          <cell r="I97">
            <v>402</v>
          </cell>
        </row>
        <row r="98">
          <cell r="D98">
            <v>115215030</v>
          </cell>
          <cell r="E98" t="str">
            <v>伯希和/PELLIOT</v>
          </cell>
          <cell r="F98" t="str">
            <v>服装-上衣-T恤</v>
          </cell>
          <cell r="G98" t="str">
            <v>一品一商</v>
          </cell>
          <cell r="H98" t="str">
            <v>品牌直发</v>
          </cell>
          <cell r="I98">
            <v>165</v>
          </cell>
        </row>
        <row r="99">
          <cell r="D99">
            <v>115215021</v>
          </cell>
          <cell r="E99" t="str">
            <v>伯希和/PELLIOT</v>
          </cell>
          <cell r="F99" t="str">
            <v>服装-上衣-T恤</v>
          </cell>
          <cell r="G99" t="str">
            <v>一品一商</v>
          </cell>
          <cell r="H99" t="str">
            <v>品牌直发</v>
          </cell>
          <cell r="I99">
            <v>192</v>
          </cell>
        </row>
        <row r="100">
          <cell r="D100">
            <v>115215039</v>
          </cell>
          <cell r="E100" t="str">
            <v>伯希和/PELLIOT</v>
          </cell>
          <cell r="F100" t="str">
            <v>服装-上衣-Polo衫</v>
          </cell>
          <cell r="G100" t="str">
            <v>一品多商</v>
          </cell>
          <cell r="H100" t="str">
            <v>品牌直发</v>
          </cell>
          <cell r="I100">
            <v>377</v>
          </cell>
        </row>
        <row r="101">
          <cell r="D101">
            <v>115106003</v>
          </cell>
          <cell r="E101" t="str">
            <v>伯希和/PELLIOT</v>
          </cell>
          <cell r="F101" t="str">
            <v>服装-外套-软壳衣</v>
          </cell>
          <cell r="G101" t="str">
            <v>一品多商</v>
          </cell>
          <cell r="H101" t="str">
            <v>品牌直发</v>
          </cell>
          <cell r="I101">
            <v>597</v>
          </cell>
        </row>
        <row r="102">
          <cell r="D102">
            <v>125119036</v>
          </cell>
          <cell r="E102" t="str">
            <v>伯希和/PELLIOT</v>
          </cell>
          <cell r="F102" t="str">
            <v>鞋-运动鞋-登山鞋/徒步鞋</v>
          </cell>
          <cell r="G102" t="str">
            <v>一品多商</v>
          </cell>
          <cell r="H102" t="str">
            <v>品牌直发</v>
          </cell>
          <cell r="I102">
            <v>499</v>
          </cell>
        </row>
        <row r="103">
          <cell r="D103">
            <v>135101017</v>
          </cell>
          <cell r="E103" t="str">
            <v>伯希和/PELLIOT</v>
          </cell>
          <cell r="F103" t="str">
            <v>童装-儿童上装-冲锋衣</v>
          </cell>
          <cell r="G103" t="str">
            <v>一品多商</v>
          </cell>
          <cell r="H103" t="str">
            <v>品牌直发</v>
          </cell>
          <cell r="I103">
            <v>532</v>
          </cell>
        </row>
        <row r="104">
          <cell r="D104">
            <v>105112021</v>
          </cell>
          <cell r="E104" t="str">
            <v>伯希和/PELLIOT</v>
          </cell>
          <cell r="F104" t="str">
            <v>服装-外套-防晒服</v>
          </cell>
          <cell r="G104" t="str">
            <v>一品多商</v>
          </cell>
          <cell r="H104" t="str">
            <v>品牌直发</v>
          </cell>
          <cell r="I104">
            <v>314</v>
          </cell>
        </row>
        <row r="105">
          <cell r="D105">
            <v>115102001</v>
          </cell>
          <cell r="E105" t="str">
            <v>伯希和/PELLIOT</v>
          </cell>
          <cell r="F105" t="str">
            <v>服装-长裤-冲锋裤</v>
          </cell>
          <cell r="G105" t="str">
            <v>一品多商</v>
          </cell>
          <cell r="H105" t="str">
            <v>品牌直发</v>
          </cell>
          <cell r="I105">
            <v>693</v>
          </cell>
        </row>
        <row r="106">
          <cell r="D106">
            <v>115301054</v>
          </cell>
          <cell r="E106" t="str">
            <v>伯希和/PELLIOT</v>
          </cell>
          <cell r="F106" t="str">
            <v>服装-外套-冲锋衣</v>
          </cell>
          <cell r="G106" t="str">
            <v>一品多商</v>
          </cell>
          <cell r="H106" t="str">
            <v>品牌直发</v>
          </cell>
          <cell r="I106">
            <v>549</v>
          </cell>
        </row>
        <row r="107">
          <cell r="D107" t="str">
            <v>12340164-2025</v>
          </cell>
          <cell r="E107" t="str">
            <v>伯希和/PELLIOT</v>
          </cell>
          <cell r="F107" t="str">
            <v>服装-外套-冲锋衣</v>
          </cell>
          <cell r="G107" t="str">
            <v>一品多商</v>
          </cell>
          <cell r="H107" t="str">
            <v>品牌直发</v>
          </cell>
          <cell r="I107">
            <v>681</v>
          </cell>
        </row>
        <row r="108">
          <cell r="D108">
            <v>114301079</v>
          </cell>
          <cell r="E108" t="str">
            <v>伯希和/PELLIOT</v>
          </cell>
          <cell r="F108" t="str">
            <v>服装-外套-冲锋衣</v>
          </cell>
          <cell r="G108" t="str">
            <v>一品多商</v>
          </cell>
          <cell r="H108" t="str">
            <v>品牌直发</v>
          </cell>
          <cell r="I108">
            <v>972</v>
          </cell>
        </row>
        <row r="109">
          <cell r="D109" t="str">
            <v>124319016曜石黑</v>
          </cell>
          <cell r="E109" t="str">
            <v>伯希和/PELLIOT</v>
          </cell>
          <cell r="F109" t="str">
            <v>鞋-运动鞋-登山鞋/徒步鞋</v>
          </cell>
          <cell r="G109" t="str">
            <v>一品一商</v>
          </cell>
          <cell r="H109" t="str">
            <v>品牌直发</v>
          </cell>
          <cell r="I109">
            <v>790</v>
          </cell>
        </row>
        <row r="110">
          <cell r="D110" t="str">
            <v>11421551-SG51</v>
          </cell>
          <cell r="E110" t="str">
            <v>伯希和/PELLIOT</v>
          </cell>
          <cell r="F110" t="str">
            <v>服装-上衣-Polo衫</v>
          </cell>
          <cell r="G110" t="str">
            <v>一品一商</v>
          </cell>
          <cell r="H110" t="str">
            <v>品牌直发</v>
          </cell>
          <cell r="I110">
            <v>177</v>
          </cell>
        </row>
        <row r="111">
          <cell r="D111">
            <v>124401010</v>
          </cell>
          <cell r="E111" t="str">
            <v>伯希和/PELLIOT</v>
          </cell>
          <cell r="F111" t="str">
            <v>女装-外套-冲锋衣</v>
          </cell>
          <cell r="G111" t="str">
            <v>一品一商</v>
          </cell>
          <cell r="H111" t="str">
            <v>品牌直发</v>
          </cell>
          <cell r="I111">
            <v>1253</v>
          </cell>
        </row>
        <row r="112">
          <cell r="D112">
            <v>124419008</v>
          </cell>
          <cell r="E112" t="str">
            <v>伯希和/PELLIOT</v>
          </cell>
          <cell r="F112" t="str">
            <v>鞋-运动鞋-登山鞋/徒步鞋</v>
          </cell>
          <cell r="G112" t="str">
            <v>一品一商</v>
          </cell>
          <cell r="H112" t="str">
            <v>品牌直发</v>
          </cell>
          <cell r="I112">
            <v>437</v>
          </cell>
        </row>
        <row r="113">
          <cell r="D113">
            <v>116202507</v>
          </cell>
          <cell r="E113" t="str">
            <v>伯希和/PELLIOT</v>
          </cell>
          <cell r="F113" t="str">
            <v>箱包-包袋-户外包</v>
          </cell>
          <cell r="G113" t="str">
            <v>一品多商</v>
          </cell>
          <cell r="H113" t="str">
            <v>品牌直发</v>
          </cell>
          <cell r="I113">
            <v>320</v>
          </cell>
        </row>
        <row r="114">
          <cell r="D114">
            <v>114307161</v>
          </cell>
          <cell r="E114" t="str">
            <v>伯希和/PELLIOT</v>
          </cell>
          <cell r="F114" t="str">
            <v>服装-长裤-软壳裤</v>
          </cell>
          <cell r="G114" t="str">
            <v>一品一商</v>
          </cell>
          <cell r="H114" t="str">
            <v>品牌直发</v>
          </cell>
          <cell r="I114">
            <v>342</v>
          </cell>
        </row>
        <row r="115">
          <cell r="D115">
            <v>124306148</v>
          </cell>
          <cell r="E115" t="str">
            <v>伯希和/PELLIOT</v>
          </cell>
          <cell r="F115" t="str">
            <v>女装-外套-软壳衣</v>
          </cell>
          <cell r="G115" t="str">
            <v>一品多商</v>
          </cell>
          <cell r="H115" t="str">
            <v>品牌直发</v>
          </cell>
          <cell r="I115">
            <v>472</v>
          </cell>
        </row>
        <row r="116">
          <cell r="D116">
            <v>124301034</v>
          </cell>
          <cell r="E116" t="str">
            <v>伯希和/PELLIOT</v>
          </cell>
          <cell r="F116" t="str">
            <v>女装-外套-冲锋衣</v>
          </cell>
          <cell r="G116" t="str">
            <v>一品一商</v>
          </cell>
          <cell r="H116" t="str">
            <v>品牌直发</v>
          </cell>
          <cell r="I116">
            <v>590</v>
          </cell>
        </row>
        <row r="117">
          <cell r="D117">
            <v>114301033</v>
          </cell>
          <cell r="E117" t="str">
            <v>伯希和/PELLIOT</v>
          </cell>
          <cell r="F117" t="str">
            <v>服装-外套-冲锋衣</v>
          </cell>
          <cell r="G117" t="str">
            <v>一品多商</v>
          </cell>
          <cell r="H117" t="str">
            <v>品牌直发</v>
          </cell>
          <cell r="I117">
            <v>537</v>
          </cell>
        </row>
        <row r="118">
          <cell r="D118">
            <v>124301006</v>
          </cell>
          <cell r="E118" t="str">
            <v>伯希和/PELLIOT</v>
          </cell>
          <cell r="F118" t="str">
            <v>服装-外套-冲锋衣</v>
          </cell>
          <cell r="G118" t="str">
            <v>一品多商</v>
          </cell>
          <cell r="H118" t="str">
            <v>品牌直发</v>
          </cell>
          <cell r="I118">
            <v>743</v>
          </cell>
        </row>
        <row r="119">
          <cell r="D119">
            <v>114301001</v>
          </cell>
          <cell r="E119" t="str">
            <v>伯希和/PELLIOT</v>
          </cell>
          <cell r="F119" t="str">
            <v>服装-外套-冲锋衣</v>
          </cell>
          <cell r="G119" t="str">
            <v>一品多商</v>
          </cell>
          <cell r="H119" t="str">
            <v>品牌直发</v>
          </cell>
          <cell r="I119">
            <v>489</v>
          </cell>
        </row>
        <row r="120">
          <cell r="D120">
            <v>114301023</v>
          </cell>
          <cell r="E120" t="str">
            <v>伯希和/PELLIOT</v>
          </cell>
          <cell r="F120" t="str">
            <v>服装-外套-冲锋衣</v>
          </cell>
          <cell r="G120" t="str">
            <v>一品多商</v>
          </cell>
          <cell r="H120" t="str">
            <v>品牌直发</v>
          </cell>
          <cell r="I120">
            <v>759</v>
          </cell>
        </row>
        <row r="121">
          <cell r="D121" t="str">
            <v>PE1124101048</v>
          </cell>
          <cell r="E121" t="str">
            <v>伯希和/PELLIOT</v>
          </cell>
          <cell r="F121" t="str">
            <v>服装-外套-冲锋衣</v>
          </cell>
          <cell r="G121" t="str">
            <v>一品多商</v>
          </cell>
          <cell r="H121" t="str">
            <v>品牌直发</v>
          </cell>
          <cell r="I121">
            <v>669</v>
          </cell>
        </row>
        <row r="122">
          <cell r="D122">
            <v>16402501</v>
          </cell>
          <cell r="E122" t="str">
            <v>伯希和/PELLIOT</v>
          </cell>
          <cell r="F122" t="str">
            <v>箱包-包袋-户外包</v>
          </cell>
          <cell r="G122" t="str">
            <v>一品一商</v>
          </cell>
          <cell r="H122" t="str">
            <v>品牌直发</v>
          </cell>
          <cell r="I122">
            <v>129</v>
          </cell>
        </row>
        <row r="123">
          <cell r="D123">
            <v>11411907</v>
          </cell>
          <cell r="E123" t="str">
            <v>伯希和/PELLIOT</v>
          </cell>
          <cell r="F123" t="str">
            <v>鞋-运动鞋-登山鞋/徒步鞋</v>
          </cell>
          <cell r="G123" t="str">
            <v>一品一商</v>
          </cell>
          <cell r="H123" t="str">
            <v>品牌直发</v>
          </cell>
          <cell r="I123">
            <v>328</v>
          </cell>
        </row>
        <row r="124">
          <cell r="D124">
            <v>12421410</v>
          </cell>
          <cell r="E124" t="str">
            <v>伯希和/PELLIOT</v>
          </cell>
          <cell r="F124" t="str">
            <v>女装-户外运动服-速干裤</v>
          </cell>
          <cell r="G124" t="str">
            <v>一品一商</v>
          </cell>
          <cell r="H124" t="str">
            <v>品牌直发</v>
          </cell>
          <cell r="I124">
            <v>201</v>
          </cell>
        </row>
        <row r="125">
          <cell r="D125">
            <v>11411401</v>
          </cell>
          <cell r="E125" t="str">
            <v>伯希和/PELLIOT</v>
          </cell>
          <cell r="F125" t="str">
            <v>服装-长裤-软壳裤</v>
          </cell>
          <cell r="G125" t="str">
            <v>一品多商</v>
          </cell>
          <cell r="H125" t="str">
            <v>品牌直发</v>
          </cell>
          <cell r="I125">
            <v>0</v>
          </cell>
        </row>
        <row r="126">
          <cell r="D126">
            <v>12421230</v>
          </cell>
          <cell r="E126" t="str">
            <v>伯希和/PELLIOT</v>
          </cell>
          <cell r="F126" t="str">
            <v>女装-外套-防晒服</v>
          </cell>
          <cell r="G126" t="str">
            <v>一品多商</v>
          </cell>
          <cell r="H126" t="str">
            <v>品牌直发</v>
          </cell>
          <cell r="I126">
            <v>0</v>
          </cell>
        </row>
        <row r="127">
          <cell r="D127">
            <v>12421212</v>
          </cell>
          <cell r="E127" t="str">
            <v>伯希和/PELLIOT</v>
          </cell>
          <cell r="F127" t="str">
            <v>女装-外套-防晒服</v>
          </cell>
          <cell r="G127" t="str">
            <v>一品多商</v>
          </cell>
          <cell r="H127" t="str">
            <v>品牌直发</v>
          </cell>
          <cell r="I127">
            <v>0</v>
          </cell>
        </row>
        <row r="128">
          <cell r="D128">
            <v>11421411</v>
          </cell>
          <cell r="E128" t="str">
            <v>伯希和/PELLIOT</v>
          </cell>
          <cell r="F128" t="str">
            <v>服装-户外运动服-速干裤</v>
          </cell>
          <cell r="G128" t="str">
            <v>一品多商</v>
          </cell>
          <cell r="H128" t="str">
            <v>品牌直发</v>
          </cell>
          <cell r="I128">
            <v>0</v>
          </cell>
        </row>
        <row r="129">
          <cell r="D129">
            <v>11421409</v>
          </cell>
          <cell r="E129" t="str">
            <v>伯希和/PELLIOT</v>
          </cell>
          <cell r="F129" t="str">
            <v>服装-户外运动服-速干裤</v>
          </cell>
          <cell r="G129" t="str">
            <v>一品多商</v>
          </cell>
          <cell r="H129" t="str">
            <v>品牌直发</v>
          </cell>
          <cell r="I129">
            <v>0</v>
          </cell>
        </row>
        <row r="130">
          <cell r="D130">
            <v>11421211</v>
          </cell>
          <cell r="E130" t="str">
            <v>伯希和/PELLIOT</v>
          </cell>
          <cell r="F130" t="str">
            <v>服装-外套-防晒服</v>
          </cell>
          <cell r="G130" t="str">
            <v>一品多商</v>
          </cell>
          <cell r="H130" t="str">
            <v>品牌直发</v>
          </cell>
          <cell r="I130">
            <v>0</v>
          </cell>
        </row>
        <row r="131">
          <cell r="D131">
            <v>12421538</v>
          </cell>
          <cell r="E131" t="str">
            <v>伯希和/PELLIOT</v>
          </cell>
          <cell r="F131" t="str">
            <v>女装-户外运动服-跑步T恤</v>
          </cell>
          <cell r="G131" t="str">
            <v>一品一商</v>
          </cell>
          <cell r="H131" t="str">
            <v>品牌直发</v>
          </cell>
          <cell r="I131">
            <v>0</v>
          </cell>
        </row>
        <row r="132">
          <cell r="D132" t="str">
            <v>112340164-271037</v>
          </cell>
          <cell r="E132" t="str">
            <v>伯希和/PELLIOT</v>
          </cell>
          <cell r="F132" t="str">
            <v>服装-外套-冲锋衣</v>
          </cell>
          <cell r="G132" t="str">
            <v>一品多商</v>
          </cell>
          <cell r="H132" t="str">
            <v>品牌直发</v>
          </cell>
          <cell r="I132">
            <v>0</v>
          </cell>
        </row>
        <row r="133">
          <cell r="D133">
            <v>16423433</v>
          </cell>
          <cell r="E133" t="str">
            <v>伯希和/PELLIOT</v>
          </cell>
          <cell r="F133" t="str">
            <v>流行饰品/眼镜/服配-防晒服配-防晒帽</v>
          </cell>
          <cell r="G133" t="str">
            <v>一品一商</v>
          </cell>
          <cell r="H133" t="str">
            <v>品牌直发</v>
          </cell>
          <cell r="I133">
            <v>0</v>
          </cell>
        </row>
        <row r="134">
          <cell r="D134">
            <v>11421503</v>
          </cell>
          <cell r="E134" t="str">
            <v>伯希和/PELLIOT</v>
          </cell>
          <cell r="F134" t="str">
            <v>服装-上衣-Polo衫</v>
          </cell>
          <cell r="G134" t="str">
            <v>一品多商</v>
          </cell>
          <cell r="H134" t="str">
            <v>品牌直发</v>
          </cell>
          <cell r="I134">
            <v>0</v>
          </cell>
        </row>
        <row r="135">
          <cell r="D135">
            <v>11421215</v>
          </cell>
          <cell r="E135" t="str">
            <v>伯希和/PELLIOT</v>
          </cell>
          <cell r="F135" t="str">
            <v>服装-外套-防晒服</v>
          </cell>
          <cell r="G135" t="str">
            <v>一品多商</v>
          </cell>
          <cell r="H135" t="str">
            <v>品牌直发</v>
          </cell>
          <cell r="I135">
            <v>0</v>
          </cell>
        </row>
        <row r="136">
          <cell r="D136">
            <v>12410306</v>
          </cell>
          <cell r="E136" t="str">
            <v>伯希和/PELLIOT</v>
          </cell>
          <cell r="F136" t="str">
            <v>女装-户外运动服-滑雪衣</v>
          </cell>
          <cell r="G136" t="str">
            <v>一品多商</v>
          </cell>
          <cell r="H136" t="str">
            <v>品牌直发</v>
          </cell>
          <cell r="I136">
            <v>0</v>
          </cell>
        </row>
        <row r="137">
          <cell r="D137">
            <v>11340157</v>
          </cell>
          <cell r="E137" t="str">
            <v>伯希和/PELLIOT</v>
          </cell>
          <cell r="F137" t="str">
            <v>服装-外套-冲锋衣</v>
          </cell>
          <cell r="G137" t="str">
            <v>一品一商</v>
          </cell>
          <cell r="H137" t="str">
            <v>品牌直发</v>
          </cell>
          <cell r="I137">
            <v>0</v>
          </cell>
        </row>
        <row r="138">
          <cell r="D138">
            <v>12421502</v>
          </cell>
          <cell r="E138" t="str">
            <v>伯希和/PELLIOT</v>
          </cell>
          <cell r="F138" t="str">
            <v>女装-户外运动服-速干衣</v>
          </cell>
          <cell r="G138" t="str">
            <v>一品多商</v>
          </cell>
          <cell r="H138" t="str">
            <v>品牌直发</v>
          </cell>
          <cell r="I138">
            <v>0</v>
          </cell>
        </row>
        <row r="139">
          <cell r="D139">
            <v>11421501</v>
          </cell>
          <cell r="E139" t="str">
            <v>伯希和/PELLIOT</v>
          </cell>
          <cell r="F139" t="str">
            <v>服装-上衣-T恤</v>
          </cell>
          <cell r="G139" t="str">
            <v>一品多商</v>
          </cell>
          <cell r="H139" t="str">
            <v>品牌直发</v>
          </cell>
          <cell r="I139">
            <v>0</v>
          </cell>
        </row>
        <row r="140">
          <cell r="D140">
            <v>16423408</v>
          </cell>
          <cell r="E140" t="str">
            <v>伯希和/PELLIOT</v>
          </cell>
          <cell r="F140" t="str">
            <v>流行饰品/眼镜/服配-防晒服配-防晒帽</v>
          </cell>
          <cell r="G140" t="str">
            <v>一品一商</v>
          </cell>
          <cell r="H140" t="str">
            <v>品牌直发</v>
          </cell>
          <cell r="I140">
            <v>0</v>
          </cell>
        </row>
        <row r="141">
          <cell r="D141">
            <v>116423401</v>
          </cell>
          <cell r="E141" t="str">
            <v>伯希和/PELLIOT</v>
          </cell>
          <cell r="F141" t="str">
            <v>流行饰品/眼镜/服配-帽子-渔夫帽</v>
          </cell>
          <cell r="G141" t="str">
            <v>一品一商</v>
          </cell>
          <cell r="H141" t="str">
            <v>品牌直发</v>
          </cell>
          <cell r="I141">
            <v>0</v>
          </cell>
        </row>
        <row r="142">
          <cell r="D142">
            <v>16423407</v>
          </cell>
          <cell r="E142" t="str">
            <v>伯希和/PELLIOT</v>
          </cell>
          <cell r="F142" t="str">
            <v>流行饰品/眼镜/服配-防晒服配-防晒帽</v>
          </cell>
          <cell r="G142" t="str">
            <v>一品一商</v>
          </cell>
          <cell r="H142" t="str">
            <v>品牌直发</v>
          </cell>
          <cell r="I142">
            <v>0</v>
          </cell>
        </row>
        <row r="143">
          <cell r="D143">
            <v>164332401</v>
          </cell>
          <cell r="E143" t="str">
            <v>伯希和/PELLIOT</v>
          </cell>
          <cell r="F143" t="str">
            <v>流行饰品/眼镜/服配-围巾-绒线围巾</v>
          </cell>
          <cell r="G143" t="str">
            <v>一品一商</v>
          </cell>
          <cell r="H143" t="str">
            <v>品牌直发</v>
          </cell>
          <cell r="I143">
            <v>0</v>
          </cell>
        </row>
        <row r="144">
          <cell r="D144">
            <v>16424601</v>
          </cell>
          <cell r="E144" t="str">
            <v>伯希和/PELLIOT</v>
          </cell>
          <cell r="F144" t="str">
            <v>流行饰品/眼镜/服配-防晒服配-防晒袖</v>
          </cell>
          <cell r="G144" t="str">
            <v>一品一商</v>
          </cell>
          <cell r="H144" t="str">
            <v>品牌直发</v>
          </cell>
          <cell r="I144">
            <v>0</v>
          </cell>
        </row>
        <row r="145">
          <cell r="D145">
            <v>11410305</v>
          </cell>
          <cell r="E145" t="str">
            <v>伯希和/PELLIOT</v>
          </cell>
          <cell r="F145" t="str">
            <v>服装-户外运动服-滑雪衣</v>
          </cell>
          <cell r="G145" t="str">
            <v>一品多商</v>
          </cell>
          <cell r="H145" t="str">
            <v>品牌直发</v>
          </cell>
          <cell r="I145">
            <v>0</v>
          </cell>
        </row>
        <row r="146">
          <cell r="D146">
            <v>11410303</v>
          </cell>
          <cell r="E146" t="str">
            <v>伯希和/PELLIOT</v>
          </cell>
          <cell r="F146" t="str">
            <v>服装-外套-棉服</v>
          </cell>
          <cell r="G146" t="str">
            <v>一品多商</v>
          </cell>
          <cell r="H146" t="str">
            <v>品牌直发</v>
          </cell>
          <cell r="I146">
            <v>0</v>
          </cell>
        </row>
        <row r="147">
          <cell r="D147">
            <v>16223401</v>
          </cell>
          <cell r="E147" t="str">
            <v>伯希和/PELLIOT</v>
          </cell>
          <cell r="F147" t="str">
            <v>流行饰品/眼镜/服配-防晒服配-防晒帽</v>
          </cell>
          <cell r="G147" t="str">
            <v>一品一商</v>
          </cell>
          <cell r="H147" t="str">
            <v>品牌直发</v>
          </cell>
          <cell r="I147">
            <v>0</v>
          </cell>
        </row>
        <row r="148">
          <cell r="D148">
            <v>116223402</v>
          </cell>
          <cell r="E148" t="str">
            <v>伯希和/PELLIOT</v>
          </cell>
          <cell r="F148" t="str">
            <v>流行饰品/眼镜/服配-防晒服配-防晒帽</v>
          </cell>
          <cell r="G148" t="str">
            <v>一品一商</v>
          </cell>
          <cell r="H148" t="str">
            <v>品牌直发</v>
          </cell>
          <cell r="I148">
            <v>0</v>
          </cell>
        </row>
        <row r="149">
          <cell r="D149">
            <v>16225604</v>
          </cell>
          <cell r="E149" t="str">
            <v>伯希和/PELLIOT</v>
          </cell>
          <cell r="F149" t="str">
            <v>流行饰品/眼镜/服配-防晒服配-防晒面罩</v>
          </cell>
          <cell r="G149" t="str">
            <v>一品一商</v>
          </cell>
          <cell r="H149" t="str">
            <v>品牌直发</v>
          </cell>
          <cell r="I149">
            <v>0</v>
          </cell>
        </row>
        <row r="150">
          <cell r="D150">
            <v>16423401</v>
          </cell>
          <cell r="E150" t="str">
            <v>伯希和/PELLIOT</v>
          </cell>
          <cell r="F150" t="str">
            <v>流行饰品/眼镜/服配-帽子-渔夫帽</v>
          </cell>
          <cell r="G150" t="str">
            <v>一品一商</v>
          </cell>
          <cell r="H150" t="str">
            <v>品牌直发</v>
          </cell>
          <cell r="I150">
            <v>0</v>
          </cell>
        </row>
        <row r="151">
          <cell r="D151">
            <v>16423406</v>
          </cell>
          <cell r="E151" t="str">
            <v>伯希和/PELLIOT</v>
          </cell>
          <cell r="F151" t="str">
            <v>流行饰品/眼镜/服配-防晒服配-防晒帽</v>
          </cell>
          <cell r="G151" t="str">
            <v>一品一商</v>
          </cell>
          <cell r="H151" t="str">
            <v>品牌直发</v>
          </cell>
          <cell r="I151">
            <v>0</v>
          </cell>
        </row>
        <row r="152">
          <cell r="D152">
            <v>16425601</v>
          </cell>
          <cell r="E152" t="str">
            <v>伯希和/PELLIOT</v>
          </cell>
          <cell r="F152" t="str">
            <v>流行饰品/眼镜/服配-防晒服配-防晒面罩</v>
          </cell>
          <cell r="G152" t="str">
            <v>一品一商</v>
          </cell>
          <cell r="H152" t="str">
            <v>品牌直发</v>
          </cell>
          <cell r="I152">
            <v>0</v>
          </cell>
        </row>
        <row r="153">
          <cell r="D153">
            <v>12421214</v>
          </cell>
          <cell r="E153" t="str">
            <v>伯希和/PELLIOT</v>
          </cell>
          <cell r="F153" t="str">
            <v>女装-外套-防晒服</v>
          </cell>
          <cell r="G153" t="str">
            <v>一品一商</v>
          </cell>
          <cell r="H153" t="str">
            <v>品牌直发</v>
          </cell>
          <cell r="I153">
            <v>0</v>
          </cell>
        </row>
        <row r="154">
          <cell r="D154">
            <v>16023203</v>
          </cell>
          <cell r="E154" t="str">
            <v>伯希和/PELLIOT</v>
          </cell>
          <cell r="F154" t="str">
            <v>流行饰品/眼镜/服配-防晒服配-防晒脖套</v>
          </cell>
          <cell r="G154" t="str">
            <v>一品一商</v>
          </cell>
          <cell r="H154" t="str">
            <v>品牌直发</v>
          </cell>
          <cell r="I154">
            <v>0</v>
          </cell>
        </row>
        <row r="155">
          <cell r="D155">
            <v>16943407</v>
          </cell>
          <cell r="E155" t="str">
            <v>伯希和/PELLIOT</v>
          </cell>
          <cell r="F155" t="str">
            <v>流行饰品/眼镜/服配-帽子-绒线帽</v>
          </cell>
          <cell r="G155" t="str">
            <v>一品一商</v>
          </cell>
          <cell r="H155" t="str">
            <v>品牌直发</v>
          </cell>
          <cell r="I155">
            <v>0</v>
          </cell>
        </row>
        <row r="156">
          <cell r="D156">
            <v>11421425</v>
          </cell>
          <cell r="E156" t="str">
            <v>伯希和/PELLIOT</v>
          </cell>
          <cell r="F156" t="str">
            <v>服装-长裤-针织运动裤</v>
          </cell>
          <cell r="G156" t="str">
            <v>一品多商</v>
          </cell>
          <cell r="H156" t="str">
            <v>品牌直发</v>
          </cell>
          <cell r="I156">
            <v>0</v>
          </cell>
        </row>
        <row r="157">
          <cell r="D157">
            <v>16903501</v>
          </cell>
          <cell r="E157" t="str">
            <v>伯希和/PELLIOT</v>
          </cell>
          <cell r="F157" t="str">
            <v>内衣-袜子-短袜</v>
          </cell>
          <cell r="G157" t="str">
            <v>一品一商</v>
          </cell>
          <cell r="H157" t="str">
            <v>品牌直发</v>
          </cell>
          <cell r="I157">
            <v>0</v>
          </cell>
        </row>
        <row r="158">
          <cell r="D158">
            <v>12421426</v>
          </cell>
          <cell r="E158" t="str">
            <v>伯希和/PELLIOT</v>
          </cell>
          <cell r="F158" t="str">
            <v>女装-户外运动服-速干裤</v>
          </cell>
          <cell r="G158" t="str">
            <v>一品多商</v>
          </cell>
          <cell r="H158" t="str">
            <v>品牌直发</v>
          </cell>
          <cell r="I158">
            <v>0</v>
          </cell>
        </row>
        <row r="159">
          <cell r="D159">
            <v>16023101</v>
          </cell>
          <cell r="E159" t="str">
            <v>伯希和/PELLIOT</v>
          </cell>
          <cell r="F159" t="str">
            <v>流行饰品/眼镜/服配-防晒服配-防晒手套</v>
          </cell>
          <cell r="G159" t="str">
            <v>一品一商</v>
          </cell>
          <cell r="H159" t="str">
            <v>品牌直发</v>
          </cell>
          <cell r="I159">
            <v>0</v>
          </cell>
        </row>
        <row r="160">
          <cell r="D160">
            <v>12421412</v>
          </cell>
          <cell r="E160" t="str">
            <v>伯希和/PELLIOT</v>
          </cell>
          <cell r="F160" t="str">
            <v>女装-户外运动服-速干裤</v>
          </cell>
          <cell r="G160" t="str">
            <v>一品多商</v>
          </cell>
          <cell r="H160" t="str">
            <v>品牌直发</v>
          </cell>
          <cell r="I160">
            <v>0</v>
          </cell>
        </row>
        <row r="161">
          <cell r="D161">
            <v>6902507</v>
          </cell>
          <cell r="E161" t="str">
            <v>伯希和/PELLIOT</v>
          </cell>
          <cell r="F161" t="str">
            <v>箱包-包袋-户外包</v>
          </cell>
          <cell r="G161" t="str">
            <v>一品一商</v>
          </cell>
          <cell r="H161" t="str">
            <v>品牌直发</v>
          </cell>
          <cell r="I161">
            <v>0</v>
          </cell>
        </row>
        <row r="162">
          <cell r="D162">
            <v>11331905</v>
          </cell>
          <cell r="E162" t="str">
            <v>伯希和/PELLIOT</v>
          </cell>
          <cell r="F162" t="str">
            <v>鞋-运动鞋-跑步鞋</v>
          </cell>
          <cell r="G162" t="str">
            <v>一品一商</v>
          </cell>
          <cell r="H162" t="str">
            <v>品牌直发</v>
          </cell>
          <cell r="I162">
            <v>0</v>
          </cell>
        </row>
        <row r="163">
          <cell r="D163">
            <v>16043429</v>
          </cell>
          <cell r="E163" t="str">
            <v>伯希和/PELLIOT</v>
          </cell>
          <cell r="F163" t="str">
            <v>流行饰品/眼镜/服配-帽子-绒线帽</v>
          </cell>
          <cell r="G163" t="str">
            <v>一品一商</v>
          </cell>
          <cell r="H163" t="str">
            <v>品牌直发</v>
          </cell>
          <cell r="I163">
            <v>0</v>
          </cell>
        </row>
        <row r="164">
          <cell r="D164">
            <v>16302836</v>
          </cell>
          <cell r="E164" t="str">
            <v>伯希和/PELLIOT</v>
          </cell>
          <cell r="F164" t="str">
            <v>户外装备-露营/野炊装备-户外充气床</v>
          </cell>
          <cell r="G164" t="str">
            <v>一品一商</v>
          </cell>
          <cell r="H164" t="str">
            <v>普通现货</v>
          </cell>
          <cell r="I164">
            <v>0</v>
          </cell>
        </row>
        <row r="165">
          <cell r="D165" t="str">
            <v>12331902-黑灰色</v>
          </cell>
          <cell r="E165" t="str">
            <v>伯希和/PELLIOT</v>
          </cell>
          <cell r="F165" t="str">
            <v>鞋-运动鞋-跑步鞋</v>
          </cell>
          <cell r="G165" t="str">
            <v>一品一商</v>
          </cell>
          <cell r="H165" t="str">
            <v>品牌直发</v>
          </cell>
          <cell r="I165">
            <v>0</v>
          </cell>
        </row>
        <row r="166">
          <cell r="D166" t="str">
            <v>12331902-浅卡其</v>
          </cell>
          <cell r="E166" t="str">
            <v>伯希和/PELLIOT</v>
          </cell>
          <cell r="F166" t="str">
            <v>鞋-运动鞋-跑步鞋</v>
          </cell>
          <cell r="G166" t="str">
            <v>一品多商</v>
          </cell>
          <cell r="H166" t="str">
            <v>品牌直发</v>
          </cell>
          <cell r="I166">
            <v>0</v>
          </cell>
        </row>
        <row r="167">
          <cell r="D167" t="str">
            <v>12331902-活力红</v>
          </cell>
          <cell r="E167" t="str">
            <v>伯希和/PELLIOT</v>
          </cell>
          <cell r="F167" t="str">
            <v>鞋-运动鞋-跑步鞋</v>
          </cell>
          <cell r="G167" t="str">
            <v>一品一商</v>
          </cell>
          <cell r="H167" t="str">
            <v>品牌直发</v>
          </cell>
          <cell r="I167">
            <v>0</v>
          </cell>
        </row>
        <row r="168">
          <cell r="D168">
            <v>12340820</v>
          </cell>
          <cell r="E168" t="str">
            <v>伯希和/PELLIOT</v>
          </cell>
          <cell r="F168" t="str">
            <v>服装-外套-羽绒服</v>
          </cell>
          <cell r="G168" t="str">
            <v>一品一商</v>
          </cell>
          <cell r="H168" t="str">
            <v>品牌直发</v>
          </cell>
          <cell r="I168">
            <v>0</v>
          </cell>
        </row>
        <row r="169">
          <cell r="D169">
            <v>12331028</v>
          </cell>
          <cell r="E169" t="str">
            <v>伯希和/PELLIOT</v>
          </cell>
          <cell r="F169" t="str">
            <v>服装-户外运动服-抓绒衣</v>
          </cell>
          <cell r="G169" t="str">
            <v>一品一商</v>
          </cell>
          <cell r="H169" t="str">
            <v>品牌直发</v>
          </cell>
          <cell r="I169">
            <v>0</v>
          </cell>
        </row>
        <row r="170">
          <cell r="D170">
            <v>12331032</v>
          </cell>
          <cell r="E170" t="str">
            <v>伯希和/PELLIOT</v>
          </cell>
          <cell r="F170" t="str">
            <v>服装-户外运动服-抓绒衣</v>
          </cell>
          <cell r="G170" t="str">
            <v>一品一商</v>
          </cell>
          <cell r="H170" t="str">
            <v>品牌直发</v>
          </cell>
          <cell r="I170">
            <v>0</v>
          </cell>
        </row>
        <row r="171">
          <cell r="D171">
            <v>12340806</v>
          </cell>
          <cell r="E171" t="str">
            <v>伯希和/PELLIOT</v>
          </cell>
          <cell r="F171" t="str">
            <v>女装-外套-羽绒服</v>
          </cell>
          <cell r="G171" t="str">
            <v>一品多商</v>
          </cell>
          <cell r="H171" t="str">
            <v>品牌直发</v>
          </cell>
          <cell r="I171">
            <v>0</v>
          </cell>
        </row>
        <row r="172">
          <cell r="D172">
            <v>12331030</v>
          </cell>
          <cell r="E172" t="str">
            <v>伯希和/PELLIOT</v>
          </cell>
          <cell r="F172" t="str">
            <v>服装-户外运动服-抓绒衣</v>
          </cell>
          <cell r="G172" t="str">
            <v>一品一商</v>
          </cell>
          <cell r="H172" t="str">
            <v>品牌直发</v>
          </cell>
          <cell r="I172">
            <v>0</v>
          </cell>
        </row>
        <row r="173">
          <cell r="D173">
            <v>11340805</v>
          </cell>
          <cell r="E173" t="str">
            <v>伯希和/PELLIOT</v>
          </cell>
          <cell r="F173" t="str">
            <v>服装-外套-羽绒服</v>
          </cell>
          <cell r="G173" t="str">
            <v>一品多商</v>
          </cell>
          <cell r="H173" t="str">
            <v>品牌直发</v>
          </cell>
          <cell r="I173">
            <v>0</v>
          </cell>
        </row>
        <row r="174">
          <cell r="D174">
            <v>11331021</v>
          </cell>
          <cell r="E174" t="str">
            <v>伯希和/PELLIOT</v>
          </cell>
          <cell r="F174" t="str">
            <v>服装-户外运动服-抓绒衣</v>
          </cell>
          <cell r="G174" t="str">
            <v>一品一商</v>
          </cell>
          <cell r="H174" t="str">
            <v>品牌直发</v>
          </cell>
          <cell r="I174">
            <v>0</v>
          </cell>
        </row>
        <row r="175">
          <cell r="D175">
            <v>11331057</v>
          </cell>
          <cell r="E175" t="str">
            <v>伯希和/PELLIOT</v>
          </cell>
          <cell r="F175" t="str">
            <v>服装-户外运动服-抓绒衣</v>
          </cell>
          <cell r="G175" t="str">
            <v>一品一商</v>
          </cell>
          <cell r="H175" t="str">
            <v>品牌直发</v>
          </cell>
          <cell r="I175">
            <v>0</v>
          </cell>
        </row>
        <row r="176">
          <cell r="D176">
            <v>12340836</v>
          </cell>
          <cell r="E176" t="str">
            <v>伯希和/PELLIOT</v>
          </cell>
          <cell r="F176" t="str">
            <v>服装-外套-羽绒服</v>
          </cell>
          <cell r="G176" t="str">
            <v>一品多商</v>
          </cell>
          <cell r="H176" t="str">
            <v>品牌直发</v>
          </cell>
          <cell r="I176">
            <v>0</v>
          </cell>
        </row>
        <row r="177">
          <cell r="D177">
            <v>12331058</v>
          </cell>
          <cell r="E177" t="str">
            <v>伯希和/PELLIOT</v>
          </cell>
          <cell r="F177" t="str">
            <v>女装-户外运动服-抓绒衣</v>
          </cell>
          <cell r="G177" t="str">
            <v>一品一商</v>
          </cell>
          <cell r="H177" t="str">
            <v>品牌直发</v>
          </cell>
          <cell r="I177">
            <v>0</v>
          </cell>
        </row>
        <row r="178">
          <cell r="D178">
            <v>12340828</v>
          </cell>
          <cell r="E178" t="str">
            <v>伯希和/PELLIOT</v>
          </cell>
          <cell r="F178" t="str">
            <v>服装-外套-羽绒服</v>
          </cell>
          <cell r="G178" t="str">
            <v>一品多商</v>
          </cell>
          <cell r="H178" t="str">
            <v>品牌直发</v>
          </cell>
          <cell r="I178">
            <v>0</v>
          </cell>
        </row>
        <row r="179">
          <cell r="D179">
            <v>12340812</v>
          </cell>
          <cell r="E179" t="str">
            <v>伯希和/PELLIOT</v>
          </cell>
          <cell r="F179" t="str">
            <v>服装-外套-羽绒服</v>
          </cell>
          <cell r="G179" t="str">
            <v>一品多商</v>
          </cell>
          <cell r="H179" t="str">
            <v>品牌直发</v>
          </cell>
          <cell r="I179">
            <v>0</v>
          </cell>
        </row>
        <row r="180">
          <cell r="D180">
            <v>12340134</v>
          </cell>
          <cell r="E180" t="str">
            <v>伯希和/PELLIOT</v>
          </cell>
          <cell r="F180" t="str">
            <v>服装-外套-冲锋衣</v>
          </cell>
          <cell r="G180" t="str">
            <v>一品一商</v>
          </cell>
          <cell r="H180" t="str">
            <v>品牌直发</v>
          </cell>
          <cell r="I180">
            <v>0</v>
          </cell>
        </row>
        <row r="181">
          <cell r="D181">
            <v>114408281</v>
          </cell>
          <cell r="E181" t="str">
            <v>伯希和/PELLIOT</v>
          </cell>
          <cell r="F181" t="str">
            <v>服装-外套-羽绒服</v>
          </cell>
          <cell r="G181" t="str">
            <v>一品多商</v>
          </cell>
          <cell r="H181" t="str">
            <v>品牌直发</v>
          </cell>
          <cell r="I181">
            <v>0</v>
          </cell>
        </row>
        <row r="182">
          <cell r="D182">
            <v>12340804</v>
          </cell>
          <cell r="E182" t="str">
            <v>伯希和/PELLIOT</v>
          </cell>
          <cell r="F182" t="str">
            <v>女装-外套-羽绒服</v>
          </cell>
          <cell r="G182" t="str">
            <v>一品多商</v>
          </cell>
          <cell r="H182" t="str">
            <v>品牌直发</v>
          </cell>
          <cell r="I182">
            <v>0</v>
          </cell>
        </row>
        <row r="183">
          <cell r="D183">
            <v>12340814</v>
          </cell>
          <cell r="E183" t="str">
            <v>伯希和/PELLIOT</v>
          </cell>
          <cell r="F183" t="str">
            <v>服装-外套-羽绒服</v>
          </cell>
          <cell r="G183" t="str">
            <v>一品多商</v>
          </cell>
          <cell r="H183" t="str">
            <v>品牌直发</v>
          </cell>
          <cell r="I183">
            <v>0</v>
          </cell>
        </row>
        <row r="184">
          <cell r="D184">
            <v>11340139</v>
          </cell>
          <cell r="E184" t="str">
            <v>伯希和/PELLIOT</v>
          </cell>
          <cell r="F184" t="str">
            <v>服装-外套-冲锋衣</v>
          </cell>
          <cell r="G184" t="str">
            <v>一品多商</v>
          </cell>
          <cell r="H184" t="str">
            <v>品牌直发</v>
          </cell>
          <cell r="I184">
            <v>0</v>
          </cell>
        </row>
        <row r="185">
          <cell r="D185">
            <v>12331018</v>
          </cell>
          <cell r="E185" t="str">
            <v>伯希和/PELLIOT</v>
          </cell>
          <cell r="F185" t="str">
            <v>服装-户外运动服-抓绒衣</v>
          </cell>
          <cell r="G185" t="str">
            <v>一品一商</v>
          </cell>
          <cell r="H185" t="str">
            <v>品牌直发</v>
          </cell>
          <cell r="I185">
            <v>0</v>
          </cell>
        </row>
        <row r="186">
          <cell r="D186">
            <v>12331026</v>
          </cell>
          <cell r="E186" t="str">
            <v>伯希和/PELLIOT</v>
          </cell>
          <cell r="F186" t="str">
            <v>女装-户外运动服-抓绒衣</v>
          </cell>
          <cell r="G186" t="str">
            <v>一品多商</v>
          </cell>
          <cell r="H186" t="str">
            <v>品牌直发</v>
          </cell>
          <cell r="I186">
            <v>0</v>
          </cell>
        </row>
        <row r="187">
          <cell r="D187">
            <v>11331027</v>
          </cell>
          <cell r="E187" t="str">
            <v>伯希和/PELLIOT</v>
          </cell>
          <cell r="F187" t="str">
            <v>服装-户外运动服-抓绒衣</v>
          </cell>
          <cell r="G187" t="str">
            <v>一品一商</v>
          </cell>
          <cell r="H187" t="str">
            <v>品牌直发</v>
          </cell>
          <cell r="I187">
            <v>0</v>
          </cell>
        </row>
        <row r="188">
          <cell r="D188">
            <v>12331008</v>
          </cell>
          <cell r="E188" t="str">
            <v>伯希和/PELLIOT</v>
          </cell>
          <cell r="F188" t="str">
            <v>女装-户外运动服-抓绒衣</v>
          </cell>
          <cell r="G188" t="str">
            <v>一品一商</v>
          </cell>
          <cell r="H188" t="str">
            <v>品牌直发</v>
          </cell>
          <cell r="I188">
            <v>0</v>
          </cell>
        </row>
        <row r="189">
          <cell r="D189">
            <v>12331004</v>
          </cell>
          <cell r="E189" t="str">
            <v>伯希和/PELLIOT</v>
          </cell>
          <cell r="F189" t="str">
            <v>女装-户外运动服-抓绒衣</v>
          </cell>
          <cell r="G189" t="str">
            <v>一品一商</v>
          </cell>
          <cell r="H189" t="str">
            <v>品牌直发</v>
          </cell>
          <cell r="I189">
            <v>0</v>
          </cell>
        </row>
        <row r="190">
          <cell r="D190">
            <v>11331011</v>
          </cell>
          <cell r="E190" t="str">
            <v>伯希和/PELLIOT</v>
          </cell>
          <cell r="F190" t="str">
            <v>服装-户外运动服-抓绒衣</v>
          </cell>
          <cell r="G190" t="str">
            <v>一品多商</v>
          </cell>
          <cell r="H190" t="str">
            <v>品牌直发</v>
          </cell>
          <cell r="I190">
            <v>0</v>
          </cell>
        </row>
        <row r="191">
          <cell r="D191">
            <v>12331012</v>
          </cell>
          <cell r="E191" t="str">
            <v>伯希和/PELLIOT</v>
          </cell>
          <cell r="F191" t="str">
            <v>女装-户外运动服-抓绒衣</v>
          </cell>
          <cell r="G191" t="str">
            <v>一品多商</v>
          </cell>
          <cell r="H191" t="str">
            <v>品牌直发</v>
          </cell>
          <cell r="I191">
            <v>0</v>
          </cell>
        </row>
        <row r="192">
          <cell r="D192">
            <v>11331003</v>
          </cell>
          <cell r="E192" t="str">
            <v>伯希和/PELLIOT</v>
          </cell>
          <cell r="F192" t="str">
            <v>服装-户外运动服-抓绒衣</v>
          </cell>
          <cell r="G192" t="str">
            <v>一品一商</v>
          </cell>
          <cell r="H192" t="str">
            <v>品牌直发</v>
          </cell>
          <cell r="I192">
            <v>0</v>
          </cell>
        </row>
        <row r="193">
          <cell r="D193">
            <v>11330601</v>
          </cell>
          <cell r="E193" t="str">
            <v>伯希和/PELLIOT</v>
          </cell>
          <cell r="F193" t="str">
            <v>服装-外套-软壳衣</v>
          </cell>
          <cell r="G193" t="str">
            <v>一品一商</v>
          </cell>
          <cell r="H193" t="str">
            <v>品牌直发</v>
          </cell>
          <cell r="I193">
            <v>0</v>
          </cell>
        </row>
        <row r="194">
          <cell r="D194">
            <v>12330706</v>
          </cell>
          <cell r="E194" t="str">
            <v>伯希和/PELLIOT</v>
          </cell>
          <cell r="F194" t="str">
            <v>女装-长裤-软壳裤</v>
          </cell>
          <cell r="G194" t="str">
            <v>一品一商</v>
          </cell>
          <cell r="H194" t="str">
            <v>品牌直发</v>
          </cell>
          <cell r="I194">
            <v>0</v>
          </cell>
        </row>
        <row r="195">
          <cell r="D195" t="str">
            <v>12815108-yc</v>
          </cell>
          <cell r="E195" t="str">
            <v>伯希和/PELLIOT</v>
          </cell>
          <cell r="F195" t="str">
            <v>服装-外套-防晒服</v>
          </cell>
          <cell r="G195" t="str">
            <v>一品一商</v>
          </cell>
          <cell r="H195" t="str">
            <v>品牌直发</v>
          </cell>
          <cell r="I195">
            <v>0</v>
          </cell>
        </row>
        <row r="196">
          <cell r="D196">
            <v>12933728</v>
          </cell>
          <cell r="E196" t="str">
            <v>伯希和/PELLIOT</v>
          </cell>
          <cell r="F196" t="str">
            <v>女装-上衣-卫衣</v>
          </cell>
          <cell r="G196" t="str">
            <v>一品一商</v>
          </cell>
          <cell r="H196" t="str">
            <v>品牌直发</v>
          </cell>
          <cell r="I196">
            <v>0</v>
          </cell>
        </row>
        <row r="197">
          <cell r="D197">
            <v>114301085</v>
          </cell>
          <cell r="E197" t="str">
            <v>伯希和/PELLIOT</v>
          </cell>
          <cell r="F197" t="str">
            <v>服装-外套-冲锋衣</v>
          </cell>
          <cell r="G197" t="str">
            <v>一品多商</v>
          </cell>
          <cell r="H197" t="str">
            <v>品牌直发</v>
          </cell>
          <cell r="I197">
            <v>0</v>
          </cell>
        </row>
        <row r="198">
          <cell r="D198">
            <v>11235109</v>
          </cell>
          <cell r="E198" t="str">
            <v>伯希和/PELLIOT</v>
          </cell>
          <cell r="F198" t="str">
            <v>服装-外套-夹克</v>
          </cell>
          <cell r="G198" t="str">
            <v>一品一商</v>
          </cell>
          <cell r="H198" t="str">
            <v>品牌直发</v>
          </cell>
          <cell r="I198">
            <v>0</v>
          </cell>
        </row>
        <row r="199">
          <cell r="D199">
            <v>11140127</v>
          </cell>
          <cell r="E199" t="str">
            <v>伯希和/PELLIOT</v>
          </cell>
          <cell r="F199" t="str">
            <v>服装-外套-冲锋衣</v>
          </cell>
          <cell r="G199" t="str">
            <v>一品一商</v>
          </cell>
          <cell r="H199" t="str">
            <v>品牌直发</v>
          </cell>
          <cell r="I199">
            <v>0</v>
          </cell>
        </row>
        <row r="200">
          <cell r="D200">
            <v>12131002</v>
          </cell>
          <cell r="E200" t="str">
            <v>伯希和/PELLIOT</v>
          </cell>
          <cell r="F200" t="str">
            <v>女装-户外运动服-抓绒衣</v>
          </cell>
          <cell r="G200" t="str">
            <v>一品一商</v>
          </cell>
          <cell r="H200" t="str">
            <v>品牌直发</v>
          </cell>
          <cell r="I200">
            <v>0</v>
          </cell>
        </row>
        <row r="201">
          <cell r="D201">
            <v>12330602</v>
          </cell>
          <cell r="E201" t="str">
            <v>伯希和/PELLIOT</v>
          </cell>
          <cell r="F201" t="str">
            <v>女装-外套-软壳衣</v>
          </cell>
          <cell r="G201" t="str">
            <v>一品多商</v>
          </cell>
          <cell r="H201" t="str">
            <v>品牌直发</v>
          </cell>
          <cell r="I201">
            <v>0</v>
          </cell>
        </row>
        <row r="202">
          <cell r="D202">
            <v>12221258</v>
          </cell>
          <cell r="E202" t="str">
            <v>伯希和/PELLIOT</v>
          </cell>
          <cell r="F202" t="str">
            <v>女装-外套-防晒服</v>
          </cell>
          <cell r="G202" t="str">
            <v>一品一商</v>
          </cell>
          <cell r="H202" t="str">
            <v>普通现货</v>
          </cell>
          <cell r="I202">
            <v>0</v>
          </cell>
        </row>
        <row r="203">
          <cell r="D203">
            <v>112221210</v>
          </cell>
          <cell r="E203" t="str">
            <v>伯希和/PELLIOT</v>
          </cell>
          <cell r="F203" t="str">
            <v>女装-外套-防晒服</v>
          </cell>
          <cell r="G203" t="str">
            <v>一品一商</v>
          </cell>
          <cell r="H203" t="str">
            <v>品牌直发</v>
          </cell>
          <cell r="I203">
            <v>0</v>
          </cell>
        </row>
        <row r="204">
          <cell r="D204">
            <v>12133802</v>
          </cell>
          <cell r="E204" t="str">
            <v>伯希和/PELLIOT</v>
          </cell>
          <cell r="F204" t="str">
            <v>女装-长裤-针织运动裤</v>
          </cell>
          <cell r="G204" t="str">
            <v>一品一商</v>
          </cell>
          <cell r="H204" t="str">
            <v>品牌直发</v>
          </cell>
          <cell r="I204">
            <v>0</v>
          </cell>
        </row>
        <row r="205">
          <cell r="D205">
            <v>12340164</v>
          </cell>
          <cell r="E205" t="str">
            <v>伯希和/PELLIOT</v>
          </cell>
          <cell r="F205" t="str">
            <v>服装-外套-冲锋衣</v>
          </cell>
          <cell r="G205" t="str">
            <v>一品多商</v>
          </cell>
          <cell r="H205" t="str">
            <v>品牌直发</v>
          </cell>
          <cell r="I205">
            <v>0</v>
          </cell>
        </row>
        <row r="206">
          <cell r="D206">
            <v>112325110</v>
          </cell>
          <cell r="E206" t="str">
            <v>伯希和/PELLIOT</v>
          </cell>
          <cell r="F206" t="str">
            <v>女装-外套-夹克</v>
          </cell>
          <cell r="G206" t="str">
            <v>一品一商</v>
          </cell>
          <cell r="H206" t="str">
            <v>普通现货</v>
          </cell>
          <cell r="I206">
            <v>0</v>
          </cell>
        </row>
        <row r="207">
          <cell r="D207">
            <v>12340132</v>
          </cell>
          <cell r="E207" t="str">
            <v>伯希和/PELLIOT</v>
          </cell>
          <cell r="F207" t="str">
            <v>服装-外套-冲锋衣</v>
          </cell>
          <cell r="G207" t="str">
            <v>一品一商</v>
          </cell>
          <cell r="H207" t="str">
            <v>品牌直发</v>
          </cell>
          <cell r="I207">
            <v>0</v>
          </cell>
        </row>
        <row r="208">
          <cell r="D208">
            <v>16202509</v>
          </cell>
          <cell r="E208" t="str">
            <v>伯希和/PELLIOT</v>
          </cell>
          <cell r="F208" t="str">
            <v>箱包-包袋-户外包</v>
          </cell>
          <cell r="G208" t="str">
            <v>一品一商</v>
          </cell>
          <cell r="H208" t="str">
            <v>品牌直发</v>
          </cell>
          <cell r="I208">
            <v>0</v>
          </cell>
        </row>
        <row r="209">
          <cell r="D209">
            <v>12340104</v>
          </cell>
          <cell r="E209" t="str">
            <v>伯希和/PELLIOT</v>
          </cell>
          <cell r="F209" t="str">
            <v>女装-外套-冲锋衣</v>
          </cell>
          <cell r="G209" t="str">
            <v>一品多商</v>
          </cell>
          <cell r="H209" t="str">
            <v>品牌直发</v>
          </cell>
          <cell r="I209">
            <v>0</v>
          </cell>
        </row>
        <row r="210">
          <cell r="D210">
            <v>12340130</v>
          </cell>
          <cell r="E210" t="str">
            <v>伯希和/PELLIOT</v>
          </cell>
          <cell r="F210" t="str">
            <v>服装-外套-冲锋衣</v>
          </cell>
          <cell r="G210" t="str">
            <v>一品多商</v>
          </cell>
          <cell r="H210" t="str">
            <v>品牌直发</v>
          </cell>
          <cell r="I210">
            <v>0</v>
          </cell>
        </row>
        <row r="211">
          <cell r="D211" t="str">
            <v>12011902-樱花粉</v>
          </cell>
          <cell r="E211" t="str">
            <v>伯希和/PELLIOT</v>
          </cell>
          <cell r="F211" t="str">
            <v>鞋-运动鞋-跑步鞋</v>
          </cell>
          <cell r="G211" t="str">
            <v>一品一商</v>
          </cell>
          <cell r="H211" t="str">
            <v>品牌直发</v>
          </cell>
          <cell r="I211">
            <v>0</v>
          </cell>
        </row>
        <row r="212">
          <cell r="D212" t="str">
            <v>12211904-经典黑</v>
          </cell>
          <cell r="E212" t="str">
            <v>伯希和/PELLIOT</v>
          </cell>
          <cell r="F212" t="str">
            <v>鞋-运动鞋-跑步鞋</v>
          </cell>
          <cell r="G212" t="str">
            <v>一品一商</v>
          </cell>
          <cell r="H212" t="str">
            <v>品牌直发</v>
          </cell>
          <cell r="I212">
            <v>0</v>
          </cell>
        </row>
        <row r="213">
          <cell r="D213">
            <v>12231034</v>
          </cell>
          <cell r="E213" t="str">
            <v>伯希和/PELLIOT</v>
          </cell>
          <cell r="F213" t="str">
            <v>女装-户外运动服-抓绒衣</v>
          </cell>
          <cell r="G213" t="str">
            <v>一品一商</v>
          </cell>
          <cell r="H213" t="str">
            <v>品牌直发</v>
          </cell>
          <cell r="I213">
            <v>0</v>
          </cell>
        </row>
        <row r="214">
          <cell r="D214">
            <v>12231026</v>
          </cell>
          <cell r="E214" t="str">
            <v>伯希和/PELLIOT</v>
          </cell>
          <cell r="F214" t="str">
            <v>女装-户外运动服-抓绒衣</v>
          </cell>
          <cell r="G214" t="str">
            <v>一品一商</v>
          </cell>
          <cell r="H214" t="str">
            <v>品牌直发</v>
          </cell>
          <cell r="I214">
            <v>0</v>
          </cell>
        </row>
        <row r="215">
          <cell r="D215">
            <v>11813705</v>
          </cell>
          <cell r="E215" t="str">
            <v>伯希和/PELLIOT</v>
          </cell>
          <cell r="F215" t="str">
            <v>服装-上衣-卫衣</v>
          </cell>
          <cell r="G215" t="str">
            <v>一品一商</v>
          </cell>
          <cell r="H215" t="str">
            <v>品牌直发</v>
          </cell>
          <cell r="I215">
            <v>0</v>
          </cell>
        </row>
        <row r="216">
          <cell r="D216">
            <v>11133803</v>
          </cell>
          <cell r="E216" t="str">
            <v>伯希和/PELLIOT</v>
          </cell>
          <cell r="F216" t="str">
            <v>服装-长裤-针织运动裤</v>
          </cell>
          <cell r="G216" t="str">
            <v>一品一商</v>
          </cell>
          <cell r="H216" t="str">
            <v>品牌直发</v>
          </cell>
          <cell r="I216">
            <v>0</v>
          </cell>
        </row>
        <row r="217">
          <cell r="D217">
            <v>13321435</v>
          </cell>
          <cell r="E217" t="str">
            <v>伯希和/PELLIOT</v>
          </cell>
          <cell r="F217" t="str">
            <v>童装-儿童下装-针织运动裤</v>
          </cell>
          <cell r="G217" t="str">
            <v>一品一商</v>
          </cell>
          <cell r="H217" t="str">
            <v>品牌直发</v>
          </cell>
          <cell r="I217">
            <v>0</v>
          </cell>
        </row>
        <row r="218">
          <cell r="D218">
            <v>23930709</v>
          </cell>
          <cell r="E218" t="str">
            <v>伯希和/PELLIOT</v>
          </cell>
          <cell r="F218" t="str">
            <v>童装-儿童下装-儿童软壳裤</v>
          </cell>
          <cell r="G218" t="str">
            <v>一品一商</v>
          </cell>
          <cell r="H218" t="str">
            <v>品牌直发</v>
          </cell>
          <cell r="I218">
            <v>0</v>
          </cell>
        </row>
        <row r="219">
          <cell r="D219">
            <v>12121216</v>
          </cell>
          <cell r="E219" t="str">
            <v>伯希和/PELLIOT</v>
          </cell>
          <cell r="F219" t="str">
            <v>女装-外套-防晒服</v>
          </cell>
          <cell r="G219" t="str">
            <v>一品多商</v>
          </cell>
          <cell r="H219" t="str">
            <v>品牌直发</v>
          </cell>
          <cell r="I219">
            <v>0</v>
          </cell>
        </row>
        <row r="220">
          <cell r="D220">
            <v>13131023</v>
          </cell>
          <cell r="E220" t="str">
            <v>伯希和/PELLIOT</v>
          </cell>
          <cell r="F220" t="str">
            <v>童装-儿童上装-夹克</v>
          </cell>
          <cell r="G220" t="str">
            <v>一品一商</v>
          </cell>
          <cell r="H220" t="str">
            <v>品牌直发</v>
          </cell>
          <cell r="I220">
            <v>0</v>
          </cell>
        </row>
        <row r="221">
          <cell r="D221">
            <v>13231017</v>
          </cell>
          <cell r="E221" t="str">
            <v>伯希和/PELLIOT</v>
          </cell>
          <cell r="F221" t="str">
            <v>童装-儿童上装-其他上装</v>
          </cell>
          <cell r="G221" t="str">
            <v>一品一商</v>
          </cell>
          <cell r="H221" t="str">
            <v>品牌直发</v>
          </cell>
          <cell r="I221">
            <v>0</v>
          </cell>
        </row>
        <row r="222">
          <cell r="D222">
            <v>12131004</v>
          </cell>
          <cell r="E222" t="str">
            <v>伯希和/PELLIOT</v>
          </cell>
          <cell r="F222" t="str">
            <v>女装-户外运动服-抓绒衣</v>
          </cell>
          <cell r="G222" t="str">
            <v>一品一商</v>
          </cell>
          <cell r="H222" t="str">
            <v>品牌直发</v>
          </cell>
          <cell r="I222">
            <v>0</v>
          </cell>
        </row>
        <row r="223">
          <cell r="D223">
            <v>13131026</v>
          </cell>
          <cell r="E223" t="str">
            <v>伯希和/PELLIOT</v>
          </cell>
          <cell r="F223" t="str">
            <v>童装-儿童上装-马甲</v>
          </cell>
          <cell r="G223" t="str">
            <v>一品一商</v>
          </cell>
          <cell r="H223" t="str">
            <v>品牌直发</v>
          </cell>
          <cell r="I223">
            <v>0</v>
          </cell>
        </row>
        <row r="224">
          <cell r="D224">
            <v>13131501</v>
          </cell>
          <cell r="E224" t="str">
            <v>伯希和/PELLIOT</v>
          </cell>
          <cell r="F224" t="str">
            <v>童装-儿童上装-T恤</v>
          </cell>
          <cell r="G224" t="str">
            <v>一品一商</v>
          </cell>
          <cell r="H224" t="str">
            <v>品牌直发</v>
          </cell>
          <cell r="I224">
            <v>0</v>
          </cell>
        </row>
        <row r="225">
          <cell r="D225">
            <v>13221533</v>
          </cell>
          <cell r="E225" t="str">
            <v>伯希和/PELLIOT</v>
          </cell>
          <cell r="F225" t="str">
            <v>童装-儿童上装-T恤</v>
          </cell>
          <cell r="G225" t="str">
            <v>一品一商</v>
          </cell>
          <cell r="H225" t="str">
            <v>品牌直发</v>
          </cell>
          <cell r="I225">
            <v>0</v>
          </cell>
        </row>
        <row r="226">
          <cell r="D226">
            <v>12123812</v>
          </cell>
          <cell r="E226" t="str">
            <v>伯希和/PELLIOT</v>
          </cell>
          <cell r="F226" t="str">
            <v>女装-短裤-休闲短裤</v>
          </cell>
          <cell r="G226" t="str">
            <v>一品一商</v>
          </cell>
          <cell r="H226" t="str">
            <v>品牌直发</v>
          </cell>
          <cell r="I226">
            <v>0</v>
          </cell>
        </row>
        <row r="227">
          <cell r="D227">
            <v>13113706</v>
          </cell>
          <cell r="E227" t="str">
            <v>伯希和/PELLIOT</v>
          </cell>
          <cell r="F227" t="str">
            <v>童装-儿童上装-卫衣</v>
          </cell>
          <cell r="G227" t="str">
            <v>一品一商</v>
          </cell>
          <cell r="H227" t="str">
            <v>品牌直发</v>
          </cell>
          <cell r="I227">
            <v>0</v>
          </cell>
        </row>
        <row r="228">
          <cell r="D228">
            <v>13221525</v>
          </cell>
          <cell r="E228" t="str">
            <v>伯希和/PELLIOT</v>
          </cell>
          <cell r="F228" t="str">
            <v>童装-儿童上装-T恤</v>
          </cell>
          <cell r="G228" t="str">
            <v>一品一商</v>
          </cell>
          <cell r="H228" t="str">
            <v>品牌直发</v>
          </cell>
          <cell r="I228">
            <v>0</v>
          </cell>
        </row>
        <row r="229">
          <cell r="D229">
            <v>113221526</v>
          </cell>
          <cell r="E229" t="str">
            <v>伯希和/PELLIOT</v>
          </cell>
          <cell r="F229" t="str">
            <v>童装-儿童上装-T恤</v>
          </cell>
          <cell r="G229" t="str">
            <v>一品一商</v>
          </cell>
          <cell r="H229" t="str">
            <v>品牌直发</v>
          </cell>
          <cell r="I229">
            <v>0</v>
          </cell>
        </row>
        <row r="230">
          <cell r="D230">
            <v>12133704</v>
          </cell>
          <cell r="E230" t="str">
            <v>伯希和/PELLIOT</v>
          </cell>
          <cell r="F230" t="str">
            <v>女装-上衣-卫衣</v>
          </cell>
          <cell r="G230" t="str">
            <v>一品一商</v>
          </cell>
          <cell r="H230" t="str">
            <v>品牌直发</v>
          </cell>
          <cell r="I230">
            <v>0</v>
          </cell>
        </row>
        <row r="231">
          <cell r="D231">
            <v>11133707</v>
          </cell>
          <cell r="E231" t="str">
            <v>伯希和/PELLIOT</v>
          </cell>
          <cell r="F231" t="str">
            <v>服装-上衣-卫衣</v>
          </cell>
          <cell r="G231" t="str">
            <v>一品一商</v>
          </cell>
          <cell r="H231" t="str">
            <v>品牌直发</v>
          </cell>
          <cell r="I231">
            <v>0</v>
          </cell>
        </row>
        <row r="232">
          <cell r="D232">
            <v>11133805</v>
          </cell>
          <cell r="E232" t="str">
            <v>伯希和/PELLIOT</v>
          </cell>
          <cell r="F232" t="str">
            <v>服装-长裤-针织运动裤</v>
          </cell>
          <cell r="G232" t="str">
            <v>一品一商</v>
          </cell>
          <cell r="H232" t="str">
            <v>品牌直发</v>
          </cell>
          <cell r="I232">
            <v>0</v>
          </cell>
        </row>
        <row r="233">
          <cell r="D233">
            <v>11131105</v>
          </cell>
          <cell r="E233" t="str">
            <v>伯希和/PELLIOT</v>
          </cell>
          <cell r="F233" t="str">
            <v>服装-户外运动服-抓绒裤</v>
          </cell>
          <cell r="G233" t="str">
            <v>一品一商</v>
          </cell>
          <cell r="H233" t="str">
            <v>品牌直发</v>
          </cell>
          <cell r="I233">
            <v>0</v>
          </cell>
        </row>
        <row r="234">
          <cell r="D234">
            <v>112221508</v>
          </cell>
          <cell r="E234" t="str">
            <v>伯希和/PELLIOT</v>
          </cell>
          <cell r="F234" t="str">
            <v>女装-上衣-T恤</v>
          </cell>
          <cell r="G234" t="str">
            <v>一品一商</v>
          </cell>
          <cell r="H234" t="str">
            <v>品牌直发</v>
          </cell>
          <cell r="I234">
            <v>0</v>
          </cell>
        </row>
        <row r="235">
          <cell r="D235">
            <v>13213709</v>
          </cell>
          <cell r="E235" t="str">
            <v>伯希和/PELLIOT</v>
          </cell>
          <cell r="F235" t="str">
            <v>童装-儿童上装-夹克</v>
          </cell>
          <cell r="G235" t="str">
            <v>一品一商</v>
          </cell>
          <cell r="H235" t="str">
            <v>品牌直发</v>
          </cell>
          <cell r="I235">
            <v>0</v>
          </cell>
        </row>
        <row r="236">
          <cell r="D236">
            <v>13121426</v>
          </cell>
          <cell r="E236" t="str">
            <v>伯希和/PELLIOT</v>
          </cell>
          <cell r="F236" t="str">
            <v>童装-儿童下装-针织运动裤</v>
          </cell>
          <cell r="G236" t="str">
            <v>一品一商</v>
          </cell>
          <cell r="H236" t="str">
            <v>品牌直发</v>
          </cell>
          <cell r="I236">
            <v>0</v>
          </cell>
        </row>
        <row r="237">
          <cell r="D237">
            <v>111121427</v>
          </cell>
          <cell r="E237" t="str">
            <v>伯希和/PELLIOT</v>
          </cell>
          <cell r="F237" t="str">
            <v>服装-户外运动服-速干裤</v>
          </cell>
          <cell r="G237" t="str">
            <v>一品一商</v>
          </cell>
          <cell r="H237" t="str">
            <v>品牌直发</v>
          </cell>
          <cell r="I237">
            <v>0</v>
          </cell>
        </row>
        <row r="238">
          <cell r="D238">
            <v>13231018</v>
          </cell>
          <cell r="E238" t="str">
            <v>伯希和/PELLIOT</v>
          </cell>
          <cell r="F238" t="str">
            <v>童装-儿童上装-卫衣</v>
          </cell>
          <cell r="G238" t="str">
            <v>一品一商</v>
          </cell>
          <cell r="H238" t="str">
            <v>品牌直发</v>
          </cell>
          <cell r="I238">
            <v>0</v>
          </cell>
        </row>
        <row r="239">
          <cell r="D239">
            <v>112221424</v>
          </cell>
          <cell r="E239" t="str">
            <v>伯希和/PELLIOT</v>
          </cell>
          <cell r="F239" t="str">
            <v>女装-健身服-运动短裤</v>
          </cell>
          <cell r="G239" t="str">
            <v>一品一商</v>
          </cell>
          <cell r="H239" t="str">
            <v>品牌直发</v>
          </cell>
          <cell r="I239">
            <v>0</v>
          </cell>
        </row>
        <row r="240">
          <cell r="D240">
            <v>13213805</v>
          </cell>
          <cell r="E240" t="str">
            <v>伯希和/PELLIOT</v>
          </cell>
          <cell r="F240" t="str">
            <v>童装-儿童下装-针织运动裤</v>
          </cell>
          <cell r="G240" t="str">
            <v>一品一商</v>
          </cell>
          <cell r="H240" t="str">
            <v>品牌直发</v>
          </cell>
          <cell r="I240">
            <v>0</v>
          </cell>
        </row>
        <row r="241">
          <cell r="D241">
            <v>13121220</v>
          </cell>
          <cell r="E241" t="str">
            <v>伯希和/PELLIOT</v>
          </cell>
          <cell r="F241" t="str">
            <v>童装-儿童上装-防晒衣</v>
          </cell>
          <cell r="G241" t="str">
            <v>一品一商</v>
          </cell>
          <cell r="H241" t="str">
            <v>品牌直发</v>
          </cell>
          <cell r="I241">
            <v>0</v>
          </cell>
        </row>
        <row r="242">
          <cell r="D242">
            <v>112121402</v>
          </cell>
          <cell r="E242" t="str">
            <v>伯希和/PELLIOT</v>
          </cell>
          <cell r="F242" t="str">
            <v>女装-健身服-运动短裤</v>
          </cell>
          <cell r="G242" t="str">
            <v>一品一商</v>
          </cell>
          <cell r="H242" t="str">
            <v>品牌直发</v>
          </cell>
          <cell r="I242">
            <v>0</v>
          </cell>
        </row>
        <row r="243">
          <cell r="D243">
            <v>113021234</v>
          </cell>
          <cell r="E243" t="str">
            <v>伯希和/PELLIOT</v>
          </cell>
          <cell r="F243" t="str">
            <v>童装-儿童上装-防晒衣</v>
          </cell>
          <cell r="G243" t="str">
            <v>一品一商</v>
          </cell>
          <cell r="H243" t="str">
            <v>普通现货</v>
          </cell>
          <cell r="I243">
            <v>0</v>
          </cell>
        </row>
        <row r="244">
          <cell r="D244">
            <v>113121276</v>
          </cell>
          <cell r="E244" t="str">
            <v>伯希和/PELLIOT</v>
          </cell>
          <cell r="F244" t="str">
            <v>童装-儿童上装-防晒衣</v>
          </cell>
          <cell r="G244" t="str">
            <v>一品一商</v>
          </cell>
          <cell r="H244" t="str">
            <v>品牌直发</v>
          </cell>
          <cell r="I244">
            <v>0</v>
          </cell>
        </row>
        <row r="245">
          <cell r="D245">
            <v>13113805</v>
          </cell>
          <cell r="E245" t="str">
            <v>伯希和/PELLIOT</v>
          </cell>
          <cell r="F245" t="str">
            <v>童装-儿童下装-针织运动裤</v>
          </cell>
          <cell r="G245" t="str">
            <v>一品一商</v>
          </cell>
          <cell r="H245" t="str">
            <v>品牌直发</v>
          </cell>
          <cell r="I245">
            <v>0</v>
          </cell>
        </row>
        <row r="246">
          <cell r="D246">
            <v>113231543</v>
          </cell>
          <cell r="E246" t="str">
            <v>伯希和/PELLIOT</v>
          </cell>
          <cell r="F246" t="str">
            <v>童装-儿童上装-T恤</v>
          </cell>
          <cell r="G246" t="str">
            <v>一品一商</v>
          </cell>
          <cell r="H246" t="str">
            <v>品牌直发</v>
          </cell>
          <cell r="I246">
            <v>0</v>
          </cell>
        </row>
        <row r="247">
          <cell r="D247">
            <v>11021525</v>
          </cell>
          <cell r="E247" t="str">
            <v>伯希和/PELLIOT</v>
          </cell>
          <cell r="F247" t="str">
            <v>服装-上衣-T恤</v>
          </cell>
          <cell r="G247" t="str">
            <v>一品一商</v>
          </cell>
          <cell r="H247" t="str">
            <v>品牌直发</v>
          </cell>
          <cell r="I247">
            <v>0</v>
          </cell>
        </row>
        <row r="248">
          <cell r="D248">
            <v>13221427</v>
          </cell>
          <cell r="E248" t="str">
            <v>伯希和/PELLIOT</v>
          </cell>
          <cell r="F248" t="str">
            <v>童装-儿童下装-针织运动裤</v>
          </cell>
          <cell r="G248" t="str">
            <v>一品一商</v>
          </cell>
          <cell r="H248" t="str">
            <v>品牌直发</v>
          </cell>
          <cell r="I248">
            <v>0</v>
          </cell>
        </row>
        <row r="249">
          <cell r="D249">
            <v>13245112</v>
          </cell>
          <cell r="E249" t="str">
            <v>伯希和/PELLIOT</v>
          </cell>
          <cell r="F249" t="str">
            <v>童装-儿童上装-冲锋衣</v>
          </cell>
          <cell r="G249" t="str">
            <v>一品多商</v>
          </cell>
          <cell r="H249" t="str">
            <v>品牌直发</v>
          </cell>
          <cell r="I249">
            <v>0</v>
          </cell>
        </row>
        <row r="250">
          <cell r="D250">
            <v>113115106</v>
          </cell>
          <cell r="E250" t="str">
            <v>伯希和/PELLIOT</v>
          </cell>
          <cell r="F250" t="str">
            <v>童装-儿童上装-冲锋衣</v>
          </cell>
          <cell r="G250" t="str">
            <v>一品一商</v>
          </cell>
          <cell r="H250" t="str">
            <v>品牌直发</v>
          </cell>
          <cell r="I250">
            <v>0</v>
          </cell>
        </row>
        <row r="251">
          <cell r="D251">
            <v>13040127</v>
          </cell>
          <cell r="E251" t="str">
            <v>伯希和/PELLIOT</v>
          </cell>
          <cell r="F251" t="str">
            <v>童装-儿童上装-冲锋衣</v>
          </cell>
          <cell r="G251" t="str">
            <v>一品一商</v>
          </cell>
          <cell r="H251" t="str">
            <v>品牌直发</v>
          </cell>
          <cell r="I251">
            <v>0</v>
          </cell>
        </row>
        <row r="252">
          <cell r="D252">
            <v>13921412</v>
          </cell>
          <cell r="E252" t="str">
            <v>伯希和/PELLIOT</v>
          </cell>
          <cell r="F252" t="str">
            <v>童装-儿童下装-针织运动裤</v>
          </cell>
          <cell r="G252" t="str">
            <v>一品一商</v>
          </cell>
          <cell r="H252" t="str">
            <v>品牌直发</v>
          </cell>
          <cell r="I252">
            <v>0</v>
          </cell>
        </row>
        <row r="253">
          <cell r="D253">
            <v>11115101</v>
          </cell>
          <cell r="E253" t="str">
            <v>伯希和/PELLIOT</v>
          </cell>
          <cell r="F253" t="str">
            <v>服装-外套-夹克</v>
          </cell>
          <cell r="G253" t="str">
            <v>一品一商</v>
          </cell>
          <cell r="H253" t="str">
            <v>品牌直发</v>
          </cell>
          <cell r="I253">
            <v>0</v>
          </cell>
        </row>
        <row r="254">
          <cell r="D254">
            <v>13930611</v>
          </cell>
          <cell r="E254" t="str">
            <v>伯希和/PELLIOT</v>
          </cell>
          <cell r="F254" t="str">
            <v>童装-儿童上装-冲锋衣</v>
          </cell>
          <cell r="G254" t="str">
            <v>一品多商</v>
          </cell>
          <cell r="H254" t="str">
            <v>品牌直发</v>
          </cell>
          <cell r="I254">
            <v>0</v>
          </cell>
        </row>
        <row r="255">
          <cell r="D255">
            <v>113321236</v>
          </cell>
          <cell r="E255" t="str">
            <v>伯希和/PELLIOT</v>
          </cell>
          <cell r="F255" t="str">
            <v>童装-儿童上装-防晒衣</v>
          </cell>
          <cell r="G255" t="str">
            <v>一品一商</v>
          </cell>
          <cell r="H255" t="str">
            <v>品牌直发</v>
          </cell>
          <cell r="I255">
            <v>0</v>
          </cell>
        </row>
        <row r="256">
          <cell r="D256">
            <v>13221249</v>
          </cell>
          <cell r="E256" t="str">
            <v>伯希和/PELLIOT</v>
          </cell>
          <cell r="F256" t="str">
            <v>童装-儿童上装-防晒衣</v>
          </cell>
          <cell r="G256" t="str">
            <v>一品一商</v>
          </cell>
          <cell r="H256" t="str">
            <v>品牌直发</v>
          </cell>
          <cell r="I256">
            <v>0</v>
          </cell>
        </row>
        <row r="257">
          <cell r="D257">
            <v>13031019</v>
          </cell>
          <cell r="E257" t="str">
            <v>伯希和/PELLIOT</v>
          </cell>
          <cell r="F257" t="str">
            <v>童装-儿童上装-马甲</v>
          </cell>
          <cell r="G257" t="str">
            <v>一品一商</v>
          </cell>
          <cell r="H257" t="str">
            <v>品牌直发</v>
          </cell>
          <cell r="I257">
            <v>0</v>
          </cell>
        </row>
        <row r="258">
          <cell r="D258">
            <v>13121530</v>
          </cell>
          <cell r="E258" t="str">
            <v>伯希和/PELLIOT</v>
          </cell>
          <cell r="F258" t="str">
            <v>童装-儿童上装-T恤</v>
          </cell>
          <cell r="G258" t="str">
            <v>一品一商</v>
          </cell>
          <cell r="H258" t="str">
            <v>品牌直发</v>
          </cell>
          <cell r="I258">
            <v>0</v>
          </cell>
        </row>
        <row r="259">
          <cell r="D259">
            <v>13133807</v>
          </cell>
          <cell r="E259" t="str">
            <v>伯希和/PELLIOT</v>
          </cell>
          <cell r="F259" t="str">
            <v>童装-儿童下装-针织运动裤</v>
          </cell>
          <cell r="G259" t="str">
            <v>一品一商</v>
          </cell>
          <cell r="H259" t="str">
            <v>品牌直发</v>
          </cell>
          <cell r="I259">
            <v>0</v>
          </cell>
        </row>
        <row r="260">
          <cell r="D260">
            <v>13121274</v>
          </cell>
          <cell r="E260" t="str">
            <v>伯希和/PELLIOT</v>
          </cell>
          <cell r="F260" t="str">
            <v>童装-儿童上装-防晒衣</v>
          </cell>
          <cell r="G260" t="str">
            <v>一品一商</v>
          </cell>
          <cell r="H260" t="str">
            <v>品牌直发</v>
          </cell>
          <cell r="I260">
            <v>0</v>
          </cell>
        </row>
        <row r="261">
          <cell r="D261">
            <v>13321235</v>
          </cell>
          <cell r="E261" t="str">
            <v>伯希和/PELLIOT</v>
          </cell>
          <cell r="F261" t="str">
            <v>童装-儿童上装-防晒衣</v>
          </cell>
          <cell r="G261" t="str">
            <v>一品一商</v>
          </cell>
          <cell r="H261" t="str">
            <v>品牌直发</v>
          </cell>
          <cell r="I261">
            <v>0</v>
          </cell>
        </row>
        <row r="262">
          <cell r="D262">
            <v>13221245</v>
          </cell>
          <cell r="E262" t="str">
            <v>伯希和/PELLIOT</v>
          </cell>
          <cell r="F262" t="str">
            <v>童装-儿童上装-防晒衣</v>
          </cell>
          <cell r="G262" t="str">
            <v>一品一商</v>
          </cell>
          <cell r="H262" t="str">
            <v>品牌直发</v>
          </cell>
          <cell r="I262">
            <v>0</v>
          </cell>
        </row>
        <row r="263">
          <cell r="D263">
            <v>13031113</v>
          </cell>
          <cell r="E263" t="str">
            <v>伯希和/PELLIOT</v>
          </cell>
          <cell r="F263" t="str">
            <v>童装-儿童下装-针织运动裤</v>
          </cell>
          <cell r="G263" t="str">
            <v>一品一商</v>
          </cell>
          <cell r="H263" t="str">
            <v>品牌直发</v>
          </cell>
          <cell r="I263">
            <v>0</v>
          </cell>
        </row>
        <row r="264">
          <cell r="D264">
            <v>13121436</v>
          </cell>
          <cell r="E264" t="str">
            <v>伯希和/PELLIOT</v>
          </cell>
          <cell r="F264" t="str">
            <v>童装-儿童下装-针织运动裤</v>
          </cell>
          <cell r="G264" t="str">
            <v>一品多商</v>
          </cell>
          <cell r="H264" t="str">
            <v>品牌直发</v>
          </cell>
          <cell r="I264">
            <v>0</v>
          </cell>
        </row>
        <row r="265">
          <cell r="D265">
            <v>112031026</v>
          </cell>
          <cell r="E265" t="str">
            <v>伯希和/PELLIOT</v>
          </cell>
          <cell r="F265" t="str">
            <v>女装-户外运动服-抓绒衣</v>
          </cell>
          <cell r="G265" t="str">
            <v>一品一商</v>
          </cell>
          <cell r="H265" t="str">
            <v>品牌直发</v>
          </cell>
          <cell r="I265">
            <v>0</v>
          </cell>
        </row>
        <row r="266">
          <cell r="D266">
            <v>12140128</v>
          </cell>
          <cell r="E266" t="str">
            <v>伯希和/PELLIOT</v>
          </cell>
          <cell r="F266" t="str">
            <v>女装-外套-冲锋衣</v>
          </cell>
          <cell r="G266" t="str">
            <v>一品一商</v>
          </cell>
          <cell r="H266" t="str">
            <v>品牌直发</v>
          </cell>
          <cell r="I266">
            <v>0</v>
          </cell>
        </row>
        <row r="267">
          <cell r="D267">
            <v>12121418</v>
          </cell>
          <cell r="E267" t="str">
            <v>伯希和/PELLIOT</v>
          </cell>
          <cell r="F267" t="str">
            <v>女装-长裤-针织运动裤</v>
          </cell>
          <cell r="G267" t="str">
            <v>一品一商</v>
          </cell>
          <cell r="H267" t="str">
            <v>品牌直发</v>
          </cell>
          <cell r="I267">
            <v>0</v>
          </cell>
        </row>
        <row r="268">
          <cell r="D268">
            <v>12221402</v>
          </cell>
          <cell r="E268" t="str">
            <v>伯希和/PELLIOT</v>
          </cell>
          <cell r="F268" t="str">
            <v>女装-户外运动服-速干裤</v>
          </cell>
          <cell r="G268" t="str">
            <v>一品一商</v>
          </cell>
          <cell r="H268" t="str">
            <v>品牌直发</v>
          </cell>
          <cell r="I268">
            <v>0</v>
          </cell>
        </row>
        <row r="269">
          <cell r="D269">
            <v>112321408</v>
          </cell>
          <cell r="E269" t="str">
            <v>伯希和/PELLIOT</v>
          </cell>
          <cell r="F269" t="str">
            <v>女装-户外运动服-速干裤</v>
          </cell>
          <cell r="G269" t="str">
            <v>一品多商</v>
          </cell>
          <cell r="H269" t="str">
            <v>品牌直发</v>
          </cell>
          <cell r="I269">
            <v>0</v>
          </cell>
        </row>
        <row r="270">
          <cell r="D270">
            <v>124408280</v>
          </cell>
          <cell r="E270" t="str">
            <v>伯希和/PELLIOT</v>
          </cell>
          <cell r="F270" t="str">
            <v>女装-外套-羽绒服</v>
          </cell>
          <cell r="G270" t="str">
            <v>一品多商</v>
          </cell>
          <cell r="H270" t="str">
            <v>品牌直发</v>
          </cell>
          <cell r="I270">
            <v>0</v>
          </cell>
        </row>
        <row r="271">
          <cell r="D271">
            <v>111021401</v>
          </cell>
          <cell r="E271" t="str">
            <v>伯希和/PELLIOT</v>
          </cell>
          <cell r="F271" t="str">
            <v>服装-短裤-休闲短裤</v>
          </cell>
          <cell r="G271" t="str">
            <v>一品多商</v>
          </cell>
          <cell r="H271" t="str">
            <v>品牌直发</v>
          </cell>
          <cell r="I271">
            <v>0</v>
          </cell>
        </row>
        <row r="272">
          <cell r="D272">
            <v>12940130</v>
          </cell>
          <cell r="E272" t="str">
            <v>伯希和/PELLIOT</v>
          </cell>
          <cell r="F272" t="str">
            <v>女装-外套-冲锋衣</v>
          </cell>
          <cell r="G272" t="str">
            <v>一品一商</v>
          </cell>
          <cell r="H272" t="str">
            <v>品牌直发</v>
          </cell>
          <cell r="I272">
            <v>0</v>
          </cell>
        </row>
        <row r="273">
          <cell r="D273">
            <v>112321426</v>
          </cell>
          <cell r="E273" t="str">
            <v>伯希和/PELLIOT</v>
          </cell>
          <cell r="F273" t="str">
            <v>女装-长裙-休闲长裙</v>
          </cell>
          <cell r="G273" t="str">
            <v>一品一商</v>
          </cell>
          <cell r="H273" t="str">
            <v>品牌直发</v>
          </cell>
          <cell r="I273">
            <v>0</v>
          </cell>
        </row>
        <row r="274">
          <cell r="D274">
            <v>12321502</v>
          </cell>
          <cell r="E274" t="str">
            <v>伯希和/PELLIOT</v>
          </cell>
          <cell r="F274" t="str">
            <v>女装-上衣-Polo衫</v>
          </cell>
          <cell r="G274" t="str">
            <v>一品一商</v>
          </cell>
          <cell r="H274" t="str">
            <v>品牌直发</v>
          </cell>
          <cell r="I274">
            <v>0</v>
          </cell>
        </row>
        <row r="275">
          <cell r="D275">
            <v>12130710</v>
          </cell>
          <cell r="E275" t="str">
            <v>伯希和/PELLIOT</v>
          </cell>
          <cell r="F275" t="str">
            <v>女装-长裤-软壳裤</v>
          </cell>
          <cell r="G275" t="str">
            <v>一品一商</v>
          </cell>
          <cell r="H275" t="str">
            <v>品牌直发</v>
          </cell>
          <cell r="I275">
            <v>0</v>
          </cell>
        </row>
        <row r="276">
          <cell r="D276">
            <v>11130701</v>
          </cell>
          <cell r="E276" t="str">
            <v>伯希和/PELLIOT</v>
          </cell>
          <cell r="F276" t="str">
            <v>服装-长裤-软壳裤</v>
          </cell>
          <cell r="G276" t="str">
            <v>一品多商</v>
          </cell>
          <cell r="H276" t="str">
            <v>品牌直发</v>
          </cell>
          <cell r="I276">
            <v>0</v>
          </cell>
        </row>
        <row r="277">
          <cell r="D277">
            <v>11231103</v>
          </cell>
          <cell r="E277" t="str">
            <v>伯希和/PELLIOT</v>
          </cell>
          <cell r="F277" t="str">
            <v>服装-户外运动服-抓绒裤</v>
          </cell>
          <cell r="G277" t="str">
            <v>一品一商</v>
          </cell>
          <cell r="H277" t="str">
            <v>品牌直发</v>
          </cell>
          <cell r="I277">
            <v>0</v>
          </cell>
        </row>
        <row r="278">
          <cell r="D278">
            <v>12830708</v>
          </cell>
          <cell r="E278" t="str">
            <v>伯希和/PELLIOT</v>
          </cell>
          <cell r="F278" t="str">
            <v>女装-长裤-软壳裤</v>
          </cell>
          <cell r="G278" t="str">
            <v>一品多商</v>
          </cell>
          <cell r="H278" t="str">
            <v>品牌直发</v>
          </cell>
          <cell r="I278">
            <v>0</v>
          </cell>
        </row>
        <row r="279">
          <cell r="D279">
            <v>12321402</v>
          </cell>
          <cell r="E279" t="str">
            <v>伯希和/PELLIOT</v>
          </cell>
          <cell r="F279" t="str">
            <v>女装-户外运动服-速干裤</v>
          </cell>
          <cell r="G279" t="str">
            <v>一品一商</v>
          </cell>
          <cell r="H279" t="str">
            <v>品牌直发</v>
          </cell>
          <cell r="I279">
            <v>0</v>
          </cell>
        </row>
        <row r="280">
          <cell r="D280">
            <v>12221514</v>
          </cell>
          <cell r="E280" t="str">
            <v>伯希和/PELLIOT</v>
          </cell>
          <cell r="F280" t="str">
            <v>女装-上衣-Polo衫</v>
          </cell>
          <cell r="G280" t="str">
            <v>一品一商</v>
          </cell>
          <cell r="H280" t="str">
            <v>品牌直发</v>
          </cell>
          <cell r="I280">
            <v>0</v>
          </cell>
        </row>
        <row r="281">
          <cell r="D281">
            <v>12231104</v>
          </cell>
          <cell r="E281" t="str">
            <v>伯希和/PELLIOT</v>
          </cell>
          <cell r="F281" t="str">
            <v>女装-户外运动服-抓绒裤</v>
          </cell>
          <cell r="G281" t="str">
            <v>一品一商</v>
          </cell>
          <cell r="H281" t="str">
            <v>品牌直发</v>
          </cell>
          <cell r="I281">
            <v>0</v>
          </cell>
        </row>
        <row r="282">
          <cell r="D282">
            <v>12131106</v>
          </cell>
          <cell r="E282" t="str">
            <v>伯希和/PELLIOT</v>
          </cell>
          <cell r="F282" t="str">
            <v>女装-户外运动服-抓绒裤</v>
          </cell>
          <cell r="G282" t="str">
            <v>一品一商</v>
          </cell>
          <cell r="H282" t="str">
            <v>品牌直发</v>
          </cell>
          <cell r="I282">
            <v>0</v>
          </cell>
        </row>
        <row r="283">
          <cell r="D283">
            <v>11321401</v>
          </cell>
          <cell r="E283" t="str">
            <v>伯希和/PELLIOT</v>
          </cell>
          <cell r="F283" t="str">
            <v>服装-户外运动服-速干裤</v>
          </cell>
          <cell r="G283" t="str">
            <v>一品一商</v>
          </cell>
          <cell r="H283" t="str">
            <v>品牌直发</v>
          </cell>
          <cell r="I283">
            <v>0</v>
          </cell>
        </row>
        <row r="284">
          <cell r="D284">
            <v>11830603</v>
          </cell>
          <cell r="E284" t="str">
            <v>伯希和/PELLIOT</v>
          </cell>
          <cell r="F284" t="str">
            <v>服装-外套-软壳衣</v>
          </cell>
          <cell r="G284" t="str">
            <v>一品多商</v>
          </cell>
          <cell r="H284" t="str">
            <v>品牌直发</v>
          </cell>
          <cell r="I284">
            <v>0</v>
          </cell>
        </row>
        <row r="285">
          <cell r="D285">
            <v>12830604</v>
          </cell>
          <cell r="E285" t="str">
            <v>伯希和/PELLIOT</v>
          </cell>
          <cell r="F285" t="str">
            <v>女装-外套-软壳衣</v>
          </cell>
          <cell r="G285" t="str">
            <v>一品多商</v>
          </cell>
          <cell r="H285" t="str">
            <v>品牌直发</v>
          </cell>
          <cell r="I285">
            <v>0</v>
          </cell>
        </row>
        <row r="286">
          <cell r="D286">
            <v>12321406</v>
          </cell>
          <cell r="E286" t="str">
            <v>伯希和/PELLIOT</v>
          </cell>
          <cell r="F286" t="str">
            <v>女装-户外运动服-速干裤</v>
          </cell>
          <cell r="G286" t="str">
            <v>一品一商</v>
          </cell>
          <cell r="H286" t="str">
            <v>品牌直发</v>
          </cell>
          <cell r="I286">
            <v>0</v>
          </cell>
        </row>
        <row r="287">
          <cell r="D287">
            <v>11021509</v>
          </cell>
          <cell r="E287" t="str">
            <v>伯希和/PELLIOT</v>
          </cell>
          <cell r="F287" t="str">
            <v>服装-上衣-T恤</v>
          </cell>
          <cell r="G287" t="str">
            <v>一品一商</v>
          </cell>
          <cell r="H287" t="str">
            <v>品牌直发</v>
          </cell>
          <cell r="I287">
            <v>0</v>
          </cell>
        </row>
        <row r="288">
          <cell r="D288">
            <v>12213804</v>
          </cell>
          <cell r="E288" t="str">
            <v>伯希和/PELLIOT</v>
          </cell>
          <cell r="F288" t="str">
            <v>女装-长裤-休闲裤</v>
          </cell>
          <cell r="G288" t="str">
            <v>一品一商</v>
          </cell>
          <cell r="H288" t="str">
            <v>品牌直发</v>
          </cell>
          <cell r="I288">
            <v>0</v>
          </cell>
        </row>
        <row r="289">
          <cell r="D289">
            <v>12230702</v>
          </cell>
          <cell r="E289" t="str">
            <v>伯希和/PELLIOT</v>
          </cell>
          <cell r="F289" t="str">
            <v>女装-长裤-软壳裤</v>
          </cell>
          <cell r="G289" t="str">
            <v>一品多商</v>
          </cell>
          <cell r="H289" t="str">
            <v>品牌直发</v>
          </cell>
          <cell r="I289">
            <v>0</v>
          </cell>
        </row>
        <row r="290">
          <cell r="D290">
            <v>12033806</v>
          </cell>
          <cell r="E290" t="str">
            <v>伯希和/PELLIOT</v>
          </cell>
          <cell r="F290" t="str">
            <v>女装-长裤-休闲裤</v>
          </cell>
          <cell r="G290" t="str">
            <v>一品一商</v>
          </cell>
          <cell r="H290" t="str">
            <v>品牌直发</v>
          </cell>
          <cell r="I290">
            <v>0</v>
          </cell>
        </row>
        <row r="291">
          <cell r="D291" t="str">
            <v>125116022-服</v>
          </cell>
          <cell r="E291" t="str">
            <v>伯希和/PELLIOT</v>
          </cell>
          <cell r="F291" t="str">
            <v>女装-户外运动服-跑步T恤</v>
          </cell>
          <cell r="G291" t="str">
            <v>一品多商</v>
          </cell>
          <cell r="H291" t="str">
            <v>品牌直发</v>
          </cell>
          <cell r="I291">
            <v>0</v>
          </cell>
        </row>
        <row r="292">
          <cell r="D292">
            <v>12321414</v>
          </cell>
          <cell r="E292" t="str">
            <v>伯希和/PELLIOT</v>
          </cell>
          <cell r="F292" t="str">
            <v>女装-户外运动服-速干裤</v>
          </cell>
          <cell r="G292" t="str">
            <v>一品一商</v>
          </cell>
          <cell r="H292" t="str">
            <v>品牌直发</v>
          </cell>
          <cell r="I292">
            <v>0</v>
          </cell>
        </row>
        <row r="293">
          <cell r="D293">
            <v>112040112</v>
          </cell>
          <cell r="E293" t="str">
            <v>伯希和/PELLIOT</v>
          </cell>
          <cell r="F293" t="str">
            <v>女装-外套-冲锋衣</v>
          </cell>
          <cell r="G293" t="str">
            <v>一品一商</v>
          </cell>
          <cell r="H293" t="str">
            <v>品牌直发</v>
          </cell>
          <cell r="I293">
            <v>0</v>
          </cell>
        </row>
        <row r="294">
          <cell r="D294">
            <v>11230701</v>
          </cell>
          <cell r="E294" t="str">
            <v>伯希和/PELLIOT</v>
          </cell>
          <cell r="F294" t="str">
            <v>服装-长裤-软壳裤</v>
          </cell>
          <cell r="G294" t="str">
            <v>一品多商</v>
          </cell>
          <cell r="H294" t="str">
            <v>品牌直发</v>
          </cell>
          <cell r="I294">
            <v>0</v>
          </cell>
        </row>
        <row r="295">
          <cell r="D295">
            <v>11231443</v>
          </cell>
          <cell r="E295" t="str">
            <v>伯希和/PELLIOT</v>
          </cell>
          <cell r="F295" t="str">
            <v>服装-户外运动服-速干裤</v>
          </cell>
          <cell r="G295" t="str">
            <v>一品一商</v>
          </cell>
          <cell r="H295" t="str">
            <v>品牌直发</v>
          </cell>
          <cell r="I295">
            <v>0</v>
          </cell>
        </row>
        <row r="296">
          <cell r="D296">
            <v>12215104</v>
          </cell>
          <cell r="E296" t="str">
            <v>伯希和/PELLIOT</v>
          </cell>
          <cell r="F296" t="str">
            <v>女装-外套-夹克</v>
          </cell>
          <cell r="G296" t="str">
            <v>一品一商</v>
          </cell>
          <cell r="H296" t="str">
            <v>品牌直发</v>
          </cell>
          <cell r="I296">
            <v>0</v>
          </cell>
        </row>
        <row r="297">
          <cell r="D297">
            <v>112213710</v>
          </cell>
          <cell r="E297" t="str">
            <v>伯希和/PELLIOT</v>
          </cell>
          <cell r="F297" t="str">
            <v>服装-上衣-卫衣</v>
          </cell>
          <cell r="G297" t="str">
            <v>一品一商</v>
          </cell>
          <cell r="H297" t="str">
            <v>品牌直发</v>
          </cell>
          <cell r="I297">
            <v>0</v>
          </cell>
        </row>
        <row r="298">
          <cell r="D298">
            <v>111240115</v>
          </cell>
          <cell r="E298" t="str">
            <v>伯希和/PELLIOT</v>
          </cell>
          <cell r="F298" t="str">
            <v>服装-外套-冲锋衣</v>
          </cell>
          <cell r="G298" t="str">
            <v>一品一商</v>
          </cell>
          <cell r="H298" t="str">
            <v>品牌直发</v>
          </cell>
          <cell r="I298">
            <v>0</v>
          </cell>
        </row>
        <row r="299">
          <cell r="D299">
            <v>12321204</v>
          </cell>
          <cell r="E299" t="str">
            <v>伯希和/PELLIOT</v>
          </cell>
          <cell r="F299" t="str">
            <v>女装-外套-防晒服</v>
          </cell>
          <cell r="G299" t="str">
            <v>一品一商</v>
          </cell>
          <cell r="H299" t="str">
            <v>品牌直发</v>
          </cell>
          <cell r="I299">
            <v>0</v>
          </cell>
        </row>
        <row r="300">
          <cell r="D300">
            <v>11240203</v>
          </cell>
          <cell r="E300" t="str">
            <v>伯希和/PELLIOT</v>
          </cell>
          <cell r="F300" t="str">
            <v>服装-长裤-冲锋裤</v>
          </cell>
          <cell r="G300" t="str">
            <v>一品多商</v>
          </cell>
          <cell r="H300" t="str">
            <v>品牌直发</v>
          </cell>
          <cell r="I300">
            <v>0</v>
          </cell>
        </row>
        <row r="301">
          <cell r="D301">
            <v>11040107</v>
          </cell>
          <cell r="E301" t="str">
            <v>伯希和/PELLIOT</v>
          </cell>
          <cell r="F301" t="str">
            <v>服装-外套-冲锋衣</v>
          </cell>
          <cell r="G301" t="str">
            <v>一品多商</v>
          </cell>
          <cell r="H301" t="str">
            <v>品牌直发</v>
          </cell>
          <cell r="I301">
            <v>0</v>
          </cell>
        </row>
        <row r="302">
          <cell r="D302">
            <v>12221522</v>
          </cell>
          <cell r="E302" t="str">
            <v>伯希和/PELLIOT</v>
          </cell>
          <cell r="F302" t="str">
            <v>女装-户外运动服-跑步T恤</v>
          </cell>
          <cell r="G302" t="str">
            <v>一品一商</v>
          </cell>
          <cell r="H302" t="str">
            <v>品牌直发</v>
          </cell>
          <cell r="I302">
            <v>0</v>
          </cell>
        </row>
        <row r="303">
          <cell r="D303">
            <v>12230618</v>
          </cell>
          <cell r="E303" t="str">
            <v>伯希和/PELLIOT</v>
          </cell>
          <cell r="F303" t="str">
            <v>女装-外套-软壳衣</v>
          </cell>
          <cell r="G303" t="str">
            <v>一品一商</v>
          </cell>
          <cell r="H303" t="str">
            <v>品牌直发</v>
          </cell>
          <cell r="I303">
            <v>0</v>
          </cell>
        </row>
        <row r="304">
          <cell r="D304">
            <v>12130608</v>
          </cell>
          <cell r="E304" t="str">
            <v>伯希和/PELLIOT</v>
          </cell>
          <cell r="F304" t="str">
            <v>女装-外套-软壳衣</v>
          </cell>
          <cell r="G304" t="str">
            <v>一品多商</v>
          </cell>
          <cell r="H304" t="str">
            <v>品牌直发</v>
          </cell>
          <cell r="I304">
            <v>0</v>
          </cell>
        </row>
        <row r="305">
          <cell r="D305">
            <v>12313706</v>
          </cell>
          <cell r="E305" t="str">
            <v>伯希和/PELLIOT</v>
          </cell>
          <cell r="F305" t="str">
            <v>女装-上衣-卫衣</v>
          </cell>
          <cell r="G305" t="str">
            <v>一品一商</v>
          </cell>
          <cell r="H305" t="str">
            <v>品牌直发</v>
          </cell>
          <cell r="I305">
            <v>0</v>
          </cell>
        </row>
        <row r="306">
          <cell r="D306">
            <v>11213803</v>
          </cell>
          <cell r="E306" t="str">
            <v>伯希和/PELLIOT</v>
          </cell>
          <cell r="F306" t="str">
            <v>服装-长裤-针织运动裤</v>
          </cell>
          <cell r="G306" t="str">
            <v>一品一商</v>
          </cell>
          <cell r="H306" t="str">
            <v>品牌直发</v>
          </cell>
          <cell r="I306">
            <v>0</v>
          </cell>
        </row>
        <row r="307">
          <cell r="D307">
            <v>12221504</v>
          </cell>
          <cell r="E307" t="str">
            <v>伯希和/PELLIOT</v>
          </cell>
          <cell r="F307" t="str">
            <v>女装-上衣-T恤</v>
          </cell>
          <cell r="G307" t="str">
            <v>一品一商</v>
          </cell>
          <cell r="H307" t="str">
            <v>品牌直发</v>
          </cell>
          <cell r="I307">
            <v>0</v>
          </cell>
        </row>
        <row r="308">
          <cell r="D308">
            <v>12031016</v>
          </cell>
          <cell r="E308" t="str">
            <v>伯希和/PELLIOT</v>
          </cell>
          <cell r="F308" t="str">
            <v>女装-户外运动服-抓绒衣</v>
          </cell>
          <cell r="G308" t="str">
            <v>一品一商</v>
          </cell>
          <cell r="H308" t="str">
            <v>品牌直发</v>
          </cell>
          <cell r="I308">
            <v>0</v>
          </cell>
        </row>
        <row r="309">
          <cell r="D309">
            <v>12131022</v>
          </cell>
          <cell r="E309" t="str">
            <v>伯希和/PELLIOT</v>
          </cell>
          <cell r="F309" t="str">
            <v>女装-户外运动服-抓绒衣</v>
          </cell>
          <cell r="G309" t="str">
            <v>一品一商</v>
          </cell>
          <cell r="H309" t="str">
            <v>品牌直发</v>
          </cell>
          <cell r="I309">
            <v>0</v>
          </cell>
        </row>
        <row r="310">
          <cell r="D310">
            <v>112140110</v>
          </cell>
          <cell r="E310" t="str">
            <v>伯希和/PELLIOT</v>
          </cell>
          <cell r="F310" t="str">
            <v>女装-外套-冲锋衣</v>
          </cell>
          <cell r="G310" t="str">
            <v>一品一商</v>
          </cell>
          <cell r="H310" t="str">
            <v>品牌直发</v>
          </cell>
          <cell r="I310">
            <v>0</v>
          </cell>
        </row>
        <row r="311">
          <cell r="D311">
            <v>12121218</v>
          </cell>
          <cell r="E311" t="str">
            <v>伯希和/PELLIOT</v>
          </cell>
          <cell r="F311" t="str">
            <v>女装-外套-防晒服</v>
          </cell>
          <cell r="G311" t="str">
            <v>一品一商</v>
          </cell>
          <cell r="H311" t="str">
            <v>品牌直发</v>
          </cell>
          <cell r="I311">
            <v>0</v>
          </cell>
        </row>
        <row r="312">
          <cell r="D312">
            <v>16804501</v>
          </cell>
          <cell r="E312" t="str">
            <v>伯希和/PELLIOT</v>
          </cell>
          <cell r="F312" t="str">
            <v>户外装备-露营/野炊装备-秋千</v>
          </cell>
          <cell r="G312" t="str">
            <v>一品多商</v>
          </cell>
          <cell r="H312" t="str">
            <v>普通现货</v>
          </cell>
          <cell r="I312">
            <v>0</v>
          </cell>
        </row>
        <row r="313">
          <cell r="D313">
            <v>11221203</v>
          </cell>
          <cell r="E313" t="str">
            <v>伯希和/PELLIOT</v>
          </cell>
          <cell r="F313" t="str">
            <v>服装-外套-防晒服</v>
          </cell>
          <cell r="G313" t="str">
            <v>一品一商</v>
          </cell>
          <cell r="H313" t="str">
            <v>品牌直发</v>
          </cell>
          <cell r="I313">
            <v>0</v>
          </cell>
        </row>
        <row r="314">
          <cell r="D314">
            <v>12221202</v>
          </cell>
          <cell r="E314" t="str">
            <v>伯希和/PELLIOT</v>
          </cell>
          <cell r="F314" t="str">
            <v>女装-外套-防晒服</v>
          </cell>
          <cell r="G314" t="str">
            <v>一品多商</v>
          </cell>
          <cell r="H314" t="str">
            <v>品牌直发</v>
          </cell>
          <cell r="I314">
            <v>0</v>
          </cell>
        </row>
        <row r="315">
          <cell r="D315">
            <v>12215102</v>
          </cell>
          <cell r="E315" t="str">
            <v>伯希和/PELLIOT</v>
          </cell>
          <cell r="F315" t="str">
            <v>女装-外套-夹克</v>
          </cell>
          <cell r="G315" t="str">
            <v>一品一商</v>
          </cell>
          <cell r="H315" t="str">
            <v>品牌直发</v>
          </cell>
          <cell r="I315">
            <v>0</v>
          </cell>
        </row>
        <row r="316">
          <cell r="D316">
            <v>12121412</v>
          </cell>
          <cell r="E316" t="str">
            <v>伯希和/PELLIOT</v>
          </cell>
          <cell r="F316" t="str">
            <v>女装-户外运动服-速干裤</v>
          </cell>
          <cell r="G316" t="str">
            <v>一品多商</v>
          </cell>
          <cell r="H316" t="str">
            <v>品牌直发</v>
          </cell>
          <cell r="I316">
            <v>0</v>
          </cell>
        </row>
        <row r="317">
          <cell r="D317">
            <v>12231006</v>
          </cell>
          <cell r="E317" t="str">
            <v>伯希和/PELLIOT</v>
          </cell>
          <cell r="F317" t="str">
            <v>女装-户外运动服-抓绒衣</v>
          </cell>
          <cell r="G317" t="str">
            <v>一品一商</v>
          </cell>
          <cell r="H317" t="str">
            <v>品牌直发</v>
          </cell>
          <cell r="I317">
            <v>0</v>
          </cell>
        </row>
        <row r="318">
          <cell r="D318">
            <v>12231004</v>
          </cell>
          <cell r="E318" t="str">
            <v>伯希和/PELLIOT</v>
          </cell>
          <cell r="F318" t="str">
            <v>女装-户外运动服-抓绒衣</v>
          </cell>
          <cell r="G318" t="str">
            <v>一品一商</v>
          </cell>
          <cell r="H318" t="str">
            <v>品牌直发</v>
          </cell>
          <cell r="I318">
            <v>0</v>
          </cell>
        </row>
        <row r="319">
          <cell r="D319">
            <v>12130702</v>
          </cell>
          <cell r="E319" t="str">
            <v>伯希和/PELLIOT</v>
          </cell>
          <cell r="F319" t="str">
            <v>女装-长裤-软壳裤</v>
          </cell>
          <cell r="G319" t="str">
            <v>一品多商</v>
          </cell>
          <cell r="H319" t="str">
            <v>品牌直发</v>
          </cell>
          <cell r="I319">
            <v>0</v>
          </cell>
        </row>
        <row r="320">
          <cell r="D320">
            <v>12321222</v>
          </cell>
          <cell r="E320" t="str">
            <v>伯希和/PELLIOT</v>
          </cell>
          <cell r="F320" t="str">
            <v>女装-外套-防晒服</v>
          </cell>
          <cell r="G320" t="str">
            <v>一品多商</v>
          </cell>
          <cell r="H320" t="str">
            <v>品牌直发</v>
          </cell>
          <cell r="I320">
            <v>0</v>
          </cell>
        </row>
        <row r="321">
          <cell r="D321">
            <v>12131006</v>
          </cell>
          <cell r="E321" t="str">
            <v>伯希和/PELLIOT</v>
          </cell>
          <cell r="F321" t="str">
            <v>女装-户外运动服-抓绒衣</v>
          </cell>
          <cell r="G321" t="str">
            <v>一品一商</v>
          </cell>
          <cell r="H321" t="str">
            <v>普通现货</v>
          </cell>
          <cell r="I321">
            <v>0</v>
          </cell>
        </row>
        <row r="322">
          <cell r="D322">
            <v>12230706</v>
          </cell>
          <cell r="E322" t="str">
            <v>伯希和/PELLIOT</v>
          </cell>
          <cell r="F322" t="str">
            <v>女装-长裤-软壳裤</v>
          </cell>
          <cell r="G322" t="str">
            <v>一品多商</v>
          </cell>
          <cell r="H322" t="str">
            <v>品牌直发</v>
          </cell>
          <cell r="I322">
            <v>0</v>
          </cell>
        </row>
        <row r="323">
          <cell r="D323">
            <v>11240121</v>
          </cell>
          <cell r="E323" t="str">
            <v>伯希和/PELLIOT</v>
          </cell>
          <cell r="F323" t="str">
            <v>服装-外套-冲锋衣</v>
          </cell>
          <cell r="G323" t="str">
            <v>一品一商</v>
          </cell>
          <cell r="H323" t="str">
            <v>品牌直发</v>
          </cell>
          <cell r="I323">
            <v>0</v>
          </cell>
        </row>
        <row r="324">
          <cell r="D324">
            <v>12231016</v>
          </cell>
          <cell r="E324" t="str">
            <v>伯希和/PELLIOT</v>
          </cell>
          <cell r="F324" t="str">
            <v>女装-户外运动服-抓绒衣</v>
          </cell>
          <cell r="G324" t="str">
            <v>一品一商</v>
          </cell>
          <cell r="H324" t="str">
            <v>品牌直发</v>
          </cell>
          <cell r="I324">
            <v>0</v>
          </cell>
        </row>
        <row r="325">
          <cell r="D325">
            <v>12231032</v>
          </cell>
          <cell r="E325" t="str">
            <v>伯希和/PELLIOT</v>
          </cell>
          <cell r="F325" t="str">
            <v>女装-户外运动服-抓绒衣</v>
          </cell>
          <cell r="G325" t="str">
            <v>一品一商</v>
          </cell>
          <cell r="H325" t="str">
            <v>品牌直发</v>
          </cell>
          <cell r="I325">
            <v>0</v>
          </cell>
        </row>
        <row r="326">
          <cell r="D326">
            <v>12231802</v>
          </cell>
          <cell r="E326" t="str">
            <v>伯希和/PELLIOT</v>
          </cell>
          <cell r="F326" t="str">
            <v>内衣-内衣裤-保暖套装</v>
          </cell>
          <cell r="G326" t="str">
            <v>一品一商</v>
          </cell>
          <cell r="H326" t="str">
            <v>品牌直发</v>
          </cell>
          <cell r="I326">
            <v>0</v>
          </cell>
        </row>
        <row r="327">
          <cell r="D327">
            <v>12240834</v>
          </cell>
          <cell r="E327" t="str">
            <v>伯希和/PELLIOT</v>
          </cell>
          <cell r="F327" t="str">
            <v>女装-外套-羽绒服</v>
          </cell>
          <cell r="G327" t="str">
            <v>一品多商</v>
          </cell>
          <cell r="H327" t="str">
            <v>品牌直发</v>
          </cell>
          <cell r="I327">
            <v>0</v>
          </cell>
        </row>
        <row r="328">
          <cell r="D328">
            <v>11140809</v>
          </cell>
          <cell r="E328" t="str">
            <v>伯希和/PELLIOT</v>
          </cell>
          <cell r="F328" t="str">
            <v>服装-外套-羽绒服</v>
          </cell>
          <cell r="G328" t="str">
            <v>一品多商</v>
          </cell>
          <cell r="H328" t="str">
            <v>品牌直发</v>
          </cell>
          <cell r="I328">
            <v>0</v>
          </cell>
        </row>
        <row r="329">
          <cell r="D329">
            <v>12140810</v>
          </cell>
          <cell r="E329" t="str">
            <v>伯希和/PELLIOT</v>
          </cell>
          <cell r="F329" t="str">
            <v>女装-外套-羽绒服</v>
          </cell>
          <cell r="G329" t="str">
            <v>一品多商</v>
          </cell>
          <cell r="H329" t="str">
            <v>品牌直发</v>
          </cell>
          <cell r="I329">
            <v>0</v>
          </cell>
        </row>
        <row r="330">
          <cell r="D330">
            <v>12740808</v>
          </cell>
          <cell r="E330" t="str">
            <v>伯希和/PELLIOT</v>
          </cell>
          <cell r="F330" t="str">
            <v>服装-外套-羽绒服</v>
          </cell>
          <cell r="G330" t="str">
            <v>一品一商</v>
          </cell>
          <cell r="H330" t="str">
            <v>品牌直发</v>
          </cell>
          <cell r="I330">
            <v>0</v>
          </cell>
        </row>
        <row r="331">
          <cell r="D331">
            <v>11140813</v>
          </cell>
          <cell r="E331" t="str">
            <v>伯希和/PELLIOT</v>
          </cell>
          <cell r="F331" t="str">
            <v>服装-外套-羽绒服</v>
          </cell>
          <cell r="G331" t="str">
            <v>一品多商</v>
          </cell>
          <cell r="H331" t="str">
            <v>品牌直发</v>
          </cell>
          <cell r="I331">
            <v>0</v>
          </cell>
        </row>
        <row r="332">
          <cell r="D332">
            <v>11240301</v>
          </cell>
          <cell r="E332" t="str">
            <v>伯希和/PELLIOT</v>
          </cell>
          <cell r="F332" t="str">
            <v>服装-外套-棉服</v>
          </cell>
          <cell r="G332" t="str">
            <v>一品多商</v>
          </cell>
          <cell r="H332" t="str">
            <v>品牌直发</v>
          </cell>
          <cell r="I332">
            <v>0</v>
          </cell>
        </row>
        <row r="333">
          <cell r="D333">
            <v>12140814</v>
          </cell>
          <cell r="E333" t="str">
            <v>伯希和/PELLIOT</v>
          </cell>
          <cell r="F333" t="str">
            <v>女装-外套-羽绒服</v>
          </cell>
          <cell r="G333" t="str">
            <v>一品多商</v>
          </cell>
          <cell r="H333" t="str">
            <v>品牌直发</v>
          </cell>
          <cell r="I333">
            <v>0</v>
          </cell>
        </row>
        <row r="334">
          <cell r="D334">
            <v>12140804</v>
          </cell>
          <cell r="E334" t="str">
            <v>伯希和/PELLIOT</v>
          </cell>
          <cell r="F334" t="str">
            <v>女装-外套-羽绒服</v>
          </cell>
          <cell r="G334" t="str">
            <v>一品一商</v>
          </cell>
          <cell r="H334" t="str">
            <v>品牌直发</v>
          </cell>
          <cell r="I334">
            <v>0</v>
          </cell>
        </row>
        <row r="335">
          <cell r="D335">
            <v>12131802</v>
          </cell>
          <cell r="E335" t="str">
            <v>伯希和/PELLIOT</v>
          </cell>
          <cell r="F335" t="str">
            <v>内衣-内衣裤-保暖套装</v>
          </cell>
          <cell r="G335" t="str">
            <v>一品一商</v>
          </cell>
          <cell r="H335" t="str">
            <v>品牌直发</v>
          </cell>
          <cell r="I335">
            <v>0</v>
          </cell>
        </row>
        <row r="336">
          <cell r="D336">
            <v>11240823</v>
          </cell>
          <cell r="E336" t="str">
            <v>伯希和/PELLIOT</v>
          </cell>
          <cell r="F336" t="str">
            <v>服装-外套-羽绒服</v>
          </cell>
          <cell r="G336" t="str">
            <v>一品多商</v>
          </cell>
          <cell r="H336" t="str">
            <v>品牌直发</v>
          </cell>
          <cell r="I336">
            <v>0</v>
          </cell>
        </row>
        <row r="337">
          <cell r="D337">
            <v>11140101</v>
          </cell>
          <cell r="E337" t="str">
            <v>伯希和/PELLIOT</v>
          </cell>
          <cell r="F337" t="str">
            <v>服装-外套-冲锋衣</v>
          </cell>
          <cell r="G337" t="str">
            <v>一品多商</v>
          </cell>
          <cell r="H337" t="str">
            <v>品牌直发</v>
          </cell>
          <cell r="I337">
            <v>0</v>
          </cell>
        </row>
        <row r="338">
          <cell r="D338">
            <v>12140102</v>
          </cell>
          <cell r="E338" t="str">
            <v>伯希和/PELLIOT</v>
          </cell>
          <cell r="F338" t="str">
            <v>女装-外套-冲锋衣</v>
          </cell>
          <cell r="G338" t="str">
            <v>一品多商</v>
          </cell>
          <cell r="H338" t="str">
            <v>品牌直发</v>
          </cell>
          <cell r="I338">
            <v>0</v>
          </cell>
        </row>
        <row r="339">
          <cell r="D339">
            <v>11140121</v>
          </cell>
          <cell r="E339" t="str">
            <v>伯希和/PELLIOT</v>
          </cell>
          <cell r="F339" t="str">
            <v>服装-外套-冲锋衣</v>
          </cell>
          <cell r="G339" t="str">
            <v>一品一商</v>
          </cell>
          <cell r="H339" t="str">
            <v>品牌直发</v>
          </cell>
          <cell r="I339">
            <v>0</v>
          </cell>
        </row>
        <row r="340">
          <cell r="D340">
            <v>115110021</v>
          </cell>
          <cell r="E340" t="str">
            <v>伯希和/PELLIOT</v>
          </cell>
          <cell r="F340" t="str">
            <v>服装-户外运动服-抓绒衣</v>
          </cell>
          <cell r="G340" t="str">
            <v>一品多商</v>
          </cell>
          <cell r="H340" t="str">
            <v>品牌直发</v>
          </cell>
          <cell r="I340">
            <v>0</v>
          </cell>
        </row>
        <row r="341">
          <cell r="D341">
            <v>11240828</v>
          </cell>
          <cell r="E341" t="str">
            <v>伯希和/PELLIOT</v>
          </cell>
          <cell r="F341" t="str">
            <v>女装-外套-羽绒服</v>
          </cell>
          <cell r="G341" t="str">
            <v>一品一商</v>
          </cell>
          <cell r="H341" t="str">
            <v>品牌直发</v>
          </cell>
          <cell r="I341">
            <v>0</v>
          </cell>
        </row>
        <row r="342">
          <cell r="D342">
            <v>114408279</v>
          </cell>
          <cell r="E342" t="str">
            <v>伯希和/PELLIOT</v>
          </cell>
          <cell r="F342" t="str">
            <v>服装-外套-羽绒服</v>
          </cell>
          <cell r="G342" t="str">
            <v>一品多商</v>
          </cell>
          <cell r="H342" t="str">
            <v>品牌直发</v>
          </cell>
          <cell r="I342">
            <v>0</v>
          </cell>
        </row>
        <row r="343">
          <cell r="D343">
            <v>12240822</v>
          </cell>
          <cell r="E343" t="str">
            <v>伯希和/PELLIOT</v>
          </cell>
          <cell r="F343" t="str">
            <v>女装-外套-羽绒服</v>
          </cell>
          <cell r="G343" t="str">
            <v>一品多商</v>
          </cell>
          <cell r="H343" t="str">
            <v>品牌直发</v>
          </cell>
          <cell r="I343">
            <v>0</v>
          </cell>
        </row>
        <row r="344">
          <cell r="D344">
            <v>12231022</v>
          </cell>
          <cell r="E344" t="str">
            <v>伯希和/PELLIOT</v>
          </cell>
          <cell r="F344" t="str">
            <v>服装-户外运动服-抓绒衣</v>
          </cell>
          <cell r="G344" t="str">
            <v>一品一商</v>
          </cell>
          <cell r="H344" t="str">
            <v>品牌直发</v>
          </cell>
          <cell r="I344">
            <v>0</v>
          </cell>
        </row>
        <row r="345">
          <cell r="D345">
            <v>12231024</v>
          </cell>
          <cell r="E345" t="str">
            <v>伯希和/PELLIOT</v>
          </cell>
          <cell r="F345" t="str">
            <v>服装-户外运动服-抓绒衣</v>
          </cell>
          <cell r="G345" t="str">
            <v>一品一商</v>
          </cell>
          <cell r="H345" t="str">
            <v>品牌直发</v>
          </cell>
          <cell r="I345">
            <v>0</v>
          </cell>
        </row>
        <row r="346">
          <cell r="D346">
            <v>11240821</v>
          </cell>
          <cell r="E346" t="str">
            <v>伯希和/PELLIOT</v>
          </cell>
          <cell r="F346" t="str">
            <v>服装-外套-羽绒服</v>
          </cell>
          <cell r="G346" t="str">
            <v>一品多商</v>
          </cell>
          <cell r="H346" t="str">
            <v>品牌直发</v>
          </cell>
          <cell r="I346">
            <v>0</v>
          </cell>
        </row>
        <row r="347">
          <cell r="D347">
            <v>12240112</v>
          </cell>
          <cell r="E347" t="str">
            <v>伯希和/PELLIOT</v>
          </cell>
          <cell r="F347" t="str">
            <v>女装-外套-冲锋衣</v>
          </cell>
          <cell r="G347" t="str">
            <v>一品多商</v>
          </cell>
          <cell r="H347" t="str">
            <v>品牌直发</v>
          </cell>
          <cell r="I347">
            <v>0</v>
          </cell>
        </row>
        <row r="348">
          <cell r="D348">
            <v>11240129</v>
          </cell>
          <cell r="E348" t="str">
            <v>伯希和/PELLIOT</v>
          </cell>
          <cell r="F348" t="str">
            <v>服装-外套-冲锋衣</v>
          </cell>
          <cell r="G348" t="str">
            <v>一品多商</v>
          </cell>
          <cell r="H348" t="str">
            <v>品牌直发</v>
          </cell>
          <cell r="I348">
            <v>0</v>
          </cell>
        </row>
        <row r="349">
          <cell r="D349">
            <v>11040139</v>
          </cell>
          <cell r="E349" t="str">
            <v>伯希和/PELLIOT</v>
          </cell>
          <cell r="F349" t="str">
            <v>服装-外套-冲锋衣</v>
          </cell>
          <cell r="G349" t="str">
            <v>一品一商</v>
          </cell>
          <cell r="H349" t="str">
            <v>品牌直发</v>
          </cell>
          <cell r="I349">
            <v>0</v>
          </cell>
        </row>
        <row r="350">
          <cell r="D350">
            <v>11231031</v>
          </cell>
          <cell r="E350" t="str">
            <v>伯希和/PELLIOT</v>
          </cell>
          <cell r="F350" t="str">
            <v>服装-户外运动服-抓绒衣</v>
          </cell>
          <cell r="G350" t="str">
            <v>一品一商</v>
          </cell>
          <cell r="H350" t="str">
            <v>品牌直发</v>
          </cell>
          <cell r="I350">
            <v>0</v>
          </cell>
        </row>
        <row r="351">
          <cell r="D351">
            <v>112240824</v>
          </cell>
          <cell r="E351" t="str">
            <v>伯希和/PELLIOT</v>
          </cell>
          <cell r="F351" t="str">
            <v>服装-外套-羽绒马甲</v>
          </cell>
          <cell r="G351" t="str">
            <v>一品一商</v>
          </cell>
          <cell r="H351" t="str">
            <v>品牌直发</v>
          </cell>
          <cell r="I351">
            <v>0</v>
          </cell>
        </row>
        <row r="352">
          <cell r="D352">
            <v>112240128</v>
          </cell>
          <cell r="E352" t="str">
            <v>伯希和/PELLIOT</v>
          </cell>
          <cell r="F352" t="str">
            <v>服装-外套-冲锋衣</v>
          </cell>
          <cell r="G352" t="str">
            <v>一品多商</v>
          </cell>
          <cell r="H352" t="str">
            <v>品牌直发</v>
          </cell>
          <cell r="I352">
            <v>0</v>
          </cell>
        </row>
        <row r="353">
          <cell r="D353">
            <v>111230705</v>
          </cell>
          <cell r="E353" t="str">
            <v>伯希和/PELLIOT</v>
          </cell>
          <cell r="F353" t="str">
            <v>服装-长裤-冲锋裤</v>
          </cell>
          <cell r="G353" t="str">
            <v>一品多商</v>
          </cell>
          <cell r="H353" t="str">
            <v>品牌直发</v>
          </cell>
          <cell r="I353">
            <v>0</v>
          </cell>
        </row>
        <row r="354">
          <cell r="D354">
            <v>11040105</v>
          </cell>
          <cell r="E354" t="str">
            <v>伯希和/PELLIOT</v>
          </cell>
          <cell r="F354" t="str">
            <v>服装-外套-冲锋衣</v>
          </cell>
          <cell r="G354" t="str">
            <v>一品多商</v>
          </cell>
          <cell r="H354" t="str">
            <v>品牌直发</v>
          </cell>
          <cell r="I354">
            <v>0</v>
          </cell>
        </row>
        <row r="355">
          <cell r="D355">
            <v>12040106</v>
          </cell>
          <cell r="E355" t="str">
            <v>伯希和/PELLIOT</v>
          </cell>
          <cell r="F355" t="str">
            <v>女装-外套-冲锋衣</v>
          </cell>
          <cell r="G355" t="str">
            <v>一品多商</v>
          </cell>
          <cell r="H355" t="str">
            <v>品牌直发</v>
          </cell>
          <cell r="I355">
            <v>0</v>
          </cell>
        </row>
        <row r="356">
          <cell r="D356">
            <v>12040134</v>
          </cell>
          <cell r="E356" t="str">
            <v>伯希和/PELLIOT</v>
          </cell>
          <cell r="F356" t="str">
            <v>女装-外套-冲锋衣</v>
          </cell>
          <cell r="G356" t="str">
            <v>一品一商</v>
          </cell>
          <cell r="H356" t="str">
            <v>品牌直发</v>
          </cell>
          <cell r="I356">
            <v>0</v>
          </cell>
        </row>
        <row r="357">
          <cell r="D357">
            <v>11133703</v>
          </cell>
          <cell r="E357" t="str">
            <v>伯希和/PELLIOT</v>
          </cell>
          <cell r="F357" t="str">
            <v>服装-上衣-卫衣</v>
          </cell>
          <cell r="G357" t="str">
            <v>一品一商</v>
          </cell>
          <cell r="H357" t="str">
            <v>品牌直发</v>
          </cell>
          <cell r="I357">
            <v>0</v>
          </cell>
        </row>
        <row r="358">
          <cell r="D358">
            <v>12221528</v>
          </cell>
          <cell r="E358" t="str">
            <v>伯希和/PELLIOT</v>
          </cell>
          <cell r="F358" t="str">
            <v>女装-上衣-T恤</v>
          </cell>
          <cell r="G358" t="str">
            <v>一品一商</v>
          </cell>
          <cell r="H358" t="str">
            <v>品牌直发</v>
          </cell>
          <cell r="I358">
            <v>0</v>
          </cell>
        </row>
        <row r="359">
          <cell r="D359">
            <v>12140112</v>
          </cell>
          <cell r="E359" t="str">
            <v>伯希和/PELLIOT</v>
          </cell>
          <cell r="F359" t="str">
            <v>女装-外套-冲锋衣</v>
          </cell>
          <cell r="G359" t="str">
            <v>一品多商</v>
          </cell>
          <cell r="H359" t="str">
            <v>品牌直发</v>
          </cell>
          <cell r="I359">
            <v>0</v>
          </cell>
        </row>
        <row r="360">
          <cell r="D360">
            <v>11130709</v>
          </cell>
          <cell r="E360" t="str">
            <v>伯希和/PELLIOT</v>
          </cell>
          <cell r="F360" t="str">
            <v>服装-长裤-软壳裤</v>
          </cell>
          <cell r="G360" t="str">
            <v>一品一商</v>
          </cell>
          <cell r="H360" t="str">
            <v>品牌直发</v>
          </cell>
          <cell r="I360">
            <v>0</v>
          </cell>
        </row>
        <row r="361">
          <cell r="D361">
            <v>11221219</v>
          </cell>
          <cell r="E361" t="str">
            <v>伯希和/PELLIOT</v>
          </cell>
          <cell r="F361" t="str">
            <v>服装-外套-防晒服</v>
          </cell>
          <cell r="G361" t="str">
            <v>一品多商</v>
          </cell>
          <cell r="H361" t="str">
            <v>品牌直发</v>
          </cell>
          <cell r="I361">
            <v>0</v>
          </cell>
        </row>
        <row r="362">
          <cell r="D362">
            <v>12321248</v>
          </cell>
          <cell r="E362" t="str">
            <v>伯希和/PELLIOT</v>
          </cell>
          <cell r="F362" t="str">
            <v>女装-外套-防晒服</v>
          </cell>
          <cell r="G362" t="str">
            <v>一品多商</v>
          </cell>
          <cell r="H362" t="str">
            <v>品牌直发</v>
          </cell>
          <cell r="I362">
            <v>0</v>
          </cell>
        </row>
        <row r="363">
          <cell r="D363">
            <v>12221440</v>
          </cell>
          <cell r="E363" t="str">
            <v>伯希和/PELLIOT</v>
          </cell>
          <cell r="F363" t="str">
            <v>女装-户外运动服-速干裤</v>
          </cell>
          <cell r="G363" t="str">
            <v>一品一商</v>
          </cell>
          <cell r="H363" t="str">
            <v>品牌直发</v>
          </cell>
          <cell r="I363">
            <v>0</v>
          </cell>
        </row>
        <row r="364">
          <cell r="D364">
            <v>112221430</v>
          </cell>
          <cell r="E364" t="str">
            <v>伯希和/PELLIOT</v>
          </cell>
          <cell r="F364" t="str">
            <v>服装-户外运动服-速干裤</v>
          </cell>
          <cell r="G364" t="str">
            <v>一品一商</v>
          </cell>
          <cell r="H364" t="str">
            <v>品牌直发</v>
          </cell>
          <cell r="I364">
            <v>0</v>
          </cell>
        </row>
        <row r="365">
          <cell r="D365">
            <v>112221530</v>
          </cell>
          <cell r="E365" t="str">
            <v>伯希和/PELLIOT</v>
          </cell>
          <cell r="F365" t="str">
            <v>服装-上衣-T恤</v>
          </cell>
          <cell r="G365" t="str">
            <v>一品多商</v>
          </cell>
          <cell r="H365" t="str">
            <v>品牌直发</v>
          </cell>
          <cell r="I365">
            <v>0</v>
          </cell>
        </row>
        <row r="366">
          <cell r="D366" t="str">
            <v>16403641-2025</v>
          </cell>
          <cell r="E366" t="str">
            <v>伯希和/PELLIOT</v>
          </cell>
          <cell r="F366" t="str">
            <v>户外装备-徒步/攀登-登山杖/手杖</v>
          </cell>
          <cell r="G366" t="str">
            <v>一品一商</v>
          </cell>
          <cell r="H366" t="str">
            <v>品牌直发</v>
          </cell>
          <cell r="I366">
            <v>0</v>
          </cell>
        </row>
        <row r="367">
          <cell r="D367" t="str">
            <v>16003601-2025</v>
          </cell>
          <cell r="E367" t="str">
            <v>伯希和/PELLIOT</v>
          </cell>
          <cell r="F367" t="str">
            <v>户外装备-徒步/攀登-登山杖/手杖</v>
          </cell>
          <cell r="G367" t="str">
            <v>一品一商</v>
          </cell>
          <cell r="H367" t="str">
            <v>品牌直发</v>
          </cell>
          <cell r="I367">
            <v>0</v>
          </cell>
        </row>
        <row r="368">
          <cell r="D368">
            <v>115376009</v>
          </cell>
          <cell r="E368" t="str">
            <v>伯希和/PELLIOT</v>
          </cell>
          <cell r="F368" t="str">
            <v>服装-外套-棉服</v>
          </cell>
          <cell r="G368" t="str">
            <v>一品多商</v>
          </cell>
          <cell r="H368" t="str">
            <v>普通现货</v>
          </cell>
          <cell r="I368">
            <v>0</v>
          </cell>
        </row>
        <row r="369">
          <cell r="D369" t="str">
            <v>16403644-2025</v>
          </cell>
          <cell r="E369" t="str">
            <v>伯希和/PELLIOT</v>
          </cell>
          <cell r="F369" t="str">
            <v>户外装备-徒步/攀登-登山杖/手杖</v>
          </cell>
          <cell r="G369" t="str">
            <v>一品一商</v>
          </cell>
          <cell r="H369" t="str">
            <v>品牌直发</v>
          </cell>
          <cell r="I369">
            <v>0</v>
          </cell>
        </row>
        <row r="370">
          <cell r="D370" t="str">
            <v>16105717-2025</v>
          </cell>
          <cell r="E370" t="str">
            <v>伯希和/PELLIOT</v>
          </cell>
          <cell r="F370" t="str">
            <v>户外装备-露营/野炊装备-户外折叠椅/凳</v>
          </cell>
          <cell r="G370" t="str">
            <v>一品一商</v>
          </cell>
          <cell r="H370" t="str">
            <v>品牌直发</v>
          </cell>
          <cell r="I370">
            <v>0</v>
          </cell>
        </row>
        <row r="371">
          <cell r="D371">
            <v>105025023</v>
          </cell>
          <cell r="E371" t="str">
            <v>伯希和/PELLIOT</v>
          </cell>
          <cell r="F371" t="str">
            <v>箱包-包袋-双肩包</v>
          </cell>
          <cell r="G371" t="str">
            <v>一品一商</v>
          </cell>
          <cell r="H371" t="str">
            <v>品牌直发</v>
          </cell>
          <cell r="I371">
            <v>0</v>
          </cell>
        </row>
        <row r="372">
          <cell r="D372">
            <v>165025027</v>
          </cell>
          <cell r="E372" t="str">
            <v>伯希和/PELLIOT</v>
          </cell>
          <cell r="F372" t="str">
            <v>箱包-包袋-户外包</v>
          </cell>
          <cell r="G372" t="str">
            <v>一品一商</v>
          </cell>
          <cell r="H372" t="str">
            <v>品牌直发</v>
          </cell>
          <cell r="I372">
            <v>0</v>
          </cell>
        </row>
        <row r="373">
          <cell r="D373" t="str">
            <v>16302602-2025</v>
          </cell>
          <cell r="E373" t="str">
            <v>伯希和/PELLIOT</v>
          </cell>
          <cell r="F373" t="str">
            <v>箱包-包袋-手机包</v>
          </cell>
          <cell r="G373" t="str">
            <v>一品一商</v>
          </cell>
          <cell r="H373" t="str">
            <v>品牌直发</v>
          </cell>
          <cell r="I373">
            <v>0</v>
          </cell>
        </row>
        <row r="374">
          <cell r="D374" t="str">
            <v>125307006-2025</v>
          </cell>
          <cell r="E374" t="str">
            <v>伯希和/PELLIOT</v>
          </cell>
          <cell r="F374" t="str">
            <v>女装-长裤-软壳裤</v>
          </cell>
          <cell r="G374" t="str">
            <v>一品多商</v>
          </cell>
          <cell r="H374" t="str">
            <v>普通现货</v>
          </cell>
          <cell r="I374">
            <v>0</v>
          </cell>
        </row>
        <row r="375">
          <cell r="D375">
            <v>125316033</v>
          </cell>
          <cell r="E375" t="str">
            <v>伯希和/PELLIOT</v>
          </cell>
          <cell r="F375" t="str">
            <v>女装-上衣-T恤</v>
          </cell>
          <cell r="G375" t="str">
            <v>一品多商</v>
          </cell>
          <cell r="H375" t="str">
            <v>品牌直发</v>
          </cell>
          <cell r="I375">
            <v>0</v>
          </cell>
        </row>
        <row r="376">
          <cell r="D376" t="str">
            <v>105301056-2025</v>
          </cell>
          <cell r="E376" t="str">
            <v>伯希和/PELLIOT</v>
          </cell>
          <cell r="F376" t="str">
            <v>女装-外套-冲锋衣</v>
          </cell>
          <cell r="G376" t="str">
            <v>一品多商</v>
          </cell>
          <cell r="H376" t="str">
            <v>品牌直发</v>
          </cell>
          <cell r="I376">
            <v>0</v>
          </cell>
        </row>
        <row r="377">
          <cell r="D377" t="str">
            <v>124301006-2025</v>
          </cell>
          <cell r="E377" t="str">
            <v>伯希和/PELLIOT</v>
          </cell>
          <cell r="F377" t="str">
            <v>女装-外套-冲锋衣</v>
          </cell>
          <cell r="G377" t="str">
            <v>一品一商</v>
          </cell>
          <cell r="H377" t="str">
            <v>品牌直发</v>
          </cell>
          <cell r="I377">
            <v>0</v>
          </cell>
        </row>
        <row r="378">
          <cell r="D378" t="str">
            <v>124101048-2025</v>
          </cell>
          <cell r="E378" t="str">
            <v>伯希和/PELLIOT</v>
          </cell>
          <cell r="F378" t="str">
            <v>女装-外套-冲锋衣</v>
          </cell>
          <cell r="G378" t="str">
            <v>一品多商</v>
          </cell>
          <cell r="H378" t="str">
            <v>品牌直发</v>
          </cell>
          <cell r="I378">
            <v>0</v>
          </cell>
        </row>
        <row r="379">
          <cell r="D379" t="str">
            <v>124301070-2025</v>
          </cell>
          <cell r="E379" t="str">
            <v>伯希和/PELLIOT</v>
          </cell>
          <cell r="F379" t="str">
            <v>女装-外套-冲锋衣</v>
          </cell>
          <cell r="G379" t="str">
            <v>一品多商</v>
          </cell>
          <cell r="H379" t="str">
            <v>品牌直发</v>
          </cell>
          <cell r="I379">
            <v>0</v>
          </cell>
        </row>
        <row r="380">
          <cell r="D380" t="str">
            <v>PE12340164</v>
          </cell>
          <cell r="E380" t="str">
            <v>伯希和/PELLIOT</v>
          </cell>
          <cell r="F380" t="str">
            <v>女装-外套-冲锋衣</v>
          </cell>
          <cell r="G380" t="str">
            <v>一品多商</v>
          </cell>
          <cell r="H380" t="str">
            <v>品牌直发</v>
          </cell>
          <cell r="I380">
            <v>0</v>
          </cell>
        </row>
        <row r="381">
          <cell r="D381">
            <v>115306017</v>
          </cell>
          <cell r="E381" t="str">
            <v>伯希和/PELLIOT</v>
          </cell>
          <cell r="F381" t="str">
            <v>服装-外套-软壳衣</v>
          </cell>
          <cell r="G381" t="str">
            <v>一品多商</v>
          </cell>
          <cell r="H381" t="str">
            <v>品牌直发</v>
          </cell>
          <cell r="I381">
            <v>0</v>
          </cell>
        </row>
        <row r="382">
          <cell r="D382">
            <v>125306018</v>
          </cell>
          <cell r="E382" t="str">
            <v>伯希和/PELLIOT</v>
          </cell>
          <cell r="F382" t="str">
            <v>女装-外套-软壳衣</v>
          </cell>
          <cell r="G382" t="str">
            <v>一品多商</v>
          </cell>
          <cell r="H382" t="str">
            <v>品牌直发</v>
          </cell>
          <cell r="I382">
            <v>0</v>
          </cell>
        </row>
        <row r="383">
          <cell r="D383">
            <v>105101023</v>
          </cell>
          <cell r="E383" t="str">
            <v>伯希和/PELLIOT</v>
          </cell>
          <cell r="F383" t="str">
            <v>服装-外套-冲锋衣</v>
          </cell>
          <cell r="G383" t="str">
            <v>一品多商</v>
          </cell>
          <cell r="H383" t="str">
            <v>品牌直发</v>
          </cell>
          <cell r="I383">
            <v>0</v>
          </cell>
        </row>
        <row r="384">
          <cell r="D384">
            <v>105301051</v>
          </cell>
          <cell r="E384" t="str">
            <v>伯希和/PELLIOT</v>
          </cell>
          <cell r="F384" t="str">
            <v>服装-外套-冲锋衣</v>
          </cell>
          <cell r="G384" t="str">
            <v>一品多商</v>
          </cell>
          <cell r="H384" t="str">
            <v>普通现货</v>
          </cell>
          <cell r="I384">
            <v>0</v>
          </cell>
        </row>
        <row r="385">
          <cell r="D385">
            <v>125302004</v>
          </cell>
          <cell r="E385" t="str">
            <v>伯希和/PELLIOT</v>
          </cell>
          <cell r="F385" t="str">
            <v>女装-长裤-冲锋裤</v>
          </cell>
          <cell r="G385" t="str">
            <v>一品多商</v>
          </cell>
          <cell r="H385" t="str">
            <v>品牌直发</v>
          </cell>
          <cell r="I385">
            <v>0</v>
          </cell>
        </row>
        <row r="386">
          <cell r="D386" t="str">
            <v>125301055-新加色</v>
          </cell>
          <cell r="E386" t="str">
            <v>伯希和/PELLIOT</v>
          </cell>
          <cell r="F386" t="str">
            <v>女装-外套-冲锋衣</v>
          </cell>
          <cell r="G386" t="str">
            <v>一品多商</v>
          </cell>
          <cell r="H386" t="str">
            <v>品牌直发</v>
          </cell>
          <cell r="I386">
            <v>0</v>
          </cell>
        </row>
        <row r="387">
          <cell r="D387" t="str">
            <v>12040106-新加色</v>
          </cell>
          <cell r="E387" t="str">
            <v>伯希和/PELLIOT</v>
          </cell>
          <cell r="F387" t="str">
            <v>女装-外套-冲锋衣</v>
          </cell>
          <cell r="G387" t="str">
            <v>一品一商</v>
          </cell>
          <cell r="H387" t="str">
            <v>品牌直发</v>
          </cell>
          <cell r="I387">
            <v>0</v>
          </cell>
        </row>
        <row r="388">
          <cell r="D388">
            <v>125220002</v>
          </cell>
          <cell r="E388" t="str">
            <v>伯希和/PELLIOT</v>
          </cell>
          <cell r="F388" t="str">
            <v>鞋-凉鞋/拖鞋-溯溪鞋</v>
          </cell>
          <cell r="G388" t="str">
            <v>一品一商</v>
          </cell>
          <cell r="H388" t="str">
            <v>品牌直发</v>
          </cell>
          <cell r="I388">
            <v>0</v>
          </cell>
        </row>
        <row r="389">
          <cell r="D389">
            <v>115220001</v>
          </cell>
          <cell r="E389" t="str">
            <v>伯希和/PELLIOT</v>
          </cell>
          <cell r="F389" t="str">
            <v>鞋-凉鞋/拖鞋-溯溪鞋</v>
          </cell>
          <cell r="G389" t="str">
            <v>一品多商</v>
          </cell>
          <cell r="H389" t="str">
            <v>品牌直发</v>
          </cell>
          <cell r="I389">
            <v>0</v>
          </cell>
        </row>
        <row r="390">
          <cell r="D390">
            <v>115106014</v>
          </cell>
          <cell r="E390" t="str">
            <v>伯希和/PELLIOT</v>
          </cell>
          <cell r="F390" t="str">
            <v>服装-外套-软壳衣</v>
          </cell>
          <cell r="G390" t="str">
            <v>一品多商</v>
          </cell>
          <cell r="H390" t="str">
            <v>品牌直发</v>
          </cell>
          <cell r="I390">
            <v>0</v>
          </cell>
        </row>
        <row r="391">
          <cell r="D391">
            <v>135101016</v>
          </cell>
          <cell r="E391" t="str">
            <v>伯希和/PELLIOT</v>
          </cell>
          <cell r="F391" t="str">
            <v>童装-儿童上装-冲锋衣</v>
          </cell>
          <cell r="G391" t="str">
            <v>一品一商</v>
          </cell>
          <cell r="H391" t="str">
            <v>品牌直发</v>
          </cell>
          <cell r="I391">
            <v>0</v>
          </cell>
        </row>
        <row r="392">
          <cell r="D392">
            <v>125251019</v>
          </cell>
          <cell r="E392" t="str">
            <v>伯希和/PELLIOT</v>
          </cell>
          <cell r="F392" t="str">
            <v>女装-外套-夹克</v>
          </cell>
          <cell r="G392" t="str">
            <v>一品多商</v>
          </cell>
          <cell r="H392" t="str">
            <v>品牌直发</v>
          </cell>
          <cell r="I392">
            <v>0</v>
          </cell>
        </row>
        <row r="393">
          <cell r="D393">
            <v>115251018</v>
          </cell>
          <cell r="E393" t="str">
            <v>伯希和/PELLIOT</v>
          </cell>
          <cell r="F393" t="str">
            <v>服装-外套-夹克</v>
          </cell>
          <cell r="G393" t="str">
            <v>一品多商</v>
          </cell>
          <cell r="H393" t="str">
            <v>品牌直发</v>
          </cell>
          <cell r="I393">
            <v>0</v>
          </cell>
        </row>
        <row r="394">
          <cell r="D394">
            <v>105101076</v>
          </cell>
          <cell r="E394" t="str">
            <v>伯希和/PELLIOT</v>
          </cell>
          <cell r="F394" t="str">
            <v>服装-外套-冲锋衣</v>
          </cell>
          <cell r="G394" t="str">
            <v>一品多商</v>
          </cell>
          <cell r="H394" t="str">
            <v>品牌直发</v>
          </cell>
          <cell r="I394">
            <v>0</v>
          </cell>
        </row>
        <row r="395">
          <cell r="D395" t="str">
            <v>11340105-2025</v>
          </cell>
          <cell r="E395" t="str">
            <v>伯希和/PELLIOT</v>
          </cell>
          <cell r="F395" t="str">
            <v>服装-外套-冲锋衣</v>
          </cell>
          <cell r="G395" t="str">
            <v>一品多商</v>
          </cell>
          <cell r="H395" t="str">
            <v>品牌直发</v>
          </cell>
          <cell r="I395">
            <v>0</v>
          </cell>
        </row>
        <row r="396">
          <cell r="D396">
            <v>135178022</v>
          </cell>
          <cell r="E396" t="str">
            <v>伯希和/PELLIOT</v>
          </cell>
          <cell r="F396" t="str">
            <v>童装-儿童下装-儿童运动裤</v>
          </cell>
          <cell r="G396" t="str">
            <v>一品一商</v>
          </cell>
          <cell r="H396" t="str">
            <v>品牌直发</v>
          </cell>
          <cell r="I396">
            <v>0</v>
          </cell>
        </row>
        <row r="397">
          <cell r="D397">
            <v>115119029</v>
          </cell>
          <cell r="E397" t="str">
            <v>伯希和/PELLIOT</v>
          </cell>
          <cell r="F397" t="str">
            <v>鞋-运动鞋-越野跑鞋</v>
          </cell>
          <cell r="G397" t="str">
            <v>一品多商</v>
          </cell>
          <cell r="H397" t="str">
            <v>品牌直发</v>
          </cell>
          <cell r="I397">
            <v>0</v>
          </cell>
        </row>
        <row r="398">
          <cell r="D398">
            <v>125119030</v>
          </cell>
          <cell r="E398" t="str">
            <v>伯希和/PELLIOT</v>
          </cell>
          <cell r="F398" t="str">
            <v>鞋-运动鞋-越野跑鞋</v>
          </cell>
          <cell r="G398" t="str">
            <v>一品多商</v>
          </cell>
          <cell r="H398" t="str">
            <v>品牌直发</v>
          </cell>
          <cell r="I398">
            <v>0</v>
          </cell>
        </row>
        <row r="399">
          <cell r="D399">
            <v>1124301070</v>
          </cell>
          <cell r="E399" t="str">
            <v>伯希和/PELLIOT</v>
          </cell>
          <cell r="F399" t="str">
            <v>服装-外套-冲锋衣</v>
          </cell>
          <cell r="G399" t="str">
            <v>一品多商</v>
          </cell>
          <cell r="H399" t="str">
            <v>品牌直发</v>
          </cell>
          <cell r="I399">
            <v>0</v>
          </cell>
        </row>
        <row r="400">
          <cell r="D400">
            <v>115214007</v>
          </cell>
          <cell r="E400" t="str">
            <v>伯希和/PELLIOT</v>
          </cell>
          <cell r="F400" t="str">
            <v>服装-短裤-休闲短裤</v>
          </cell>
          <cell r="G400" t="str">
            <v>一品一商</v>
          </cell>
          <cell r="H400" t="str">
            <v>品牌直发</v>
          </cell>
          <cell r="I400">
            <v>0</v>
          </cell>
        </row>
        <row r="401">
          <cell r="D401">
            <v>125181002</v>
          </cell>
          <cell r="E401" t="str">
            <v>伯希和/PELLIOT</v>
          </cell>
          <cell r="F401" t="str">
            <v>鞋-运动鞋-登山鞋/徒步鞋</v>
          </cell>
          <cell r="G401" t="str">
            <v>一品多商</v>
          </cell>
          <cell r="H401" t="str">
            <v>品牌直发</v>
          </cell>
          <cell r="I401">
            <v>0</v>
          </cell>
        </row>
        <row r="402">
          <cell r="D402">
            <v>115215009</v>
          </cell>
          <cell r="E402" t="str">
            <v>伯希和/PELLIOT</v>
          </cell>
          <cell r="F402" t="str">
            <v>服装-上衣-Polo衫</v>
          </cell>
          <cell r="G402" t="str">
            <v>一品一商</v>
          </cell>
          <cell r="H402" t="str">
            <v>品牌直发</v>
          </cell>
          <cell r="I402">
            <v>0</v>
          </cell>
        </row>
        <row r="403">
          <cell r="D403">
            <v>115122023</v>
          </cell>
          <cell r="E403" t="str">
            <v>伯希和/PELLIOT</v>
          </cell>
          <cell r="F403" t="str">
            <v>鞋-运动鞋-登山鞋/徒步鞋</v>
          </cell>
          <cell r="G403" t="str">
            <v>一品一商</v>
          </cell>
          <cell r="H403" t="str">
            <v>品牌直发</v>
          </cell>
          <cell r="I403">
            <v>0</v>
          </cell>
        </row>
        <row r="404">
          <cell r="D404">
            <v>125122024</v>
          </cell>
          <cell r="E404" t="str">
            <v>伯希和/PELLIOT</v>
          </cell>
          <cell r="F404" t="str">
            <v>鞋-运动鞋-登山鞋/徒步鞋</v>
          </cell>
          <cell r="G404" t="str">
            <v>一品一商</v>
          </cell>
          <cell r="H404" t="str">
            <v>品牌直发</v>
          </cell>
          <cell r="I404">
            <v>0</v>
          </cell>
        </row>
        <row r="405">
          <cell r="D405">
            <v>115214015</v>
          </cell>
          <cell r="E405" t="str">
            <v>伯希和/PELLIOT</v>
          </cell>
          <cell r="F405" t="str">
            <v>服装-户外运动服-速干裤</v>
          </cell>
          <cell r="G405" t="str">
            <v>一品一商</v>
          </cell>
          <cell r="H405" t="str">
            <v>品牌直发</v>
          </cell>
          <cell r="I405">
            <v>0</v>
          </cell>
        </row>
        <row r="406">
          <cell r="D406">
            <v>125214016</v>
          </cell>
          <cell r="E406" t="str">
            <v>伯希和/PELLIOT</v>
          </cell>
          <cell r="F406" t="str">
            <v>女装-短裙-休闲短裙</v>
          </cell>
          <cell r="G406" t="str">
            <v>一品一商</v>
          </cell>
          <cell r="H406" t="str">
            <v>品牌直发</v>
          </cell>
          <cell r="I406">
            <v>0</v>
          </cell>
        </row>
        <row r="407">
          <cell r="D407">
            <v>135212024</v>
          </cell>
          <cell r="E407" t="str">
            <v>伯希和/PELLIOT</v>
          </cell>
          <cell r="F407" t="str">
            <v>童装-儿童上装-防晒衣</v>
          </cell>
          <cell r="G407" t="str">
            <v>一品多商</v>
          </cell>
          <cell r="H407" t="str">
            <v>品牌直发</v>
          </cell>
          <cell r="I407">
            <v>0</v>
          </cell>
        </row>
        <row r="408">
          <cell r="D408">
            <v>135215035</v>
          </cell>
          <cell r="E408" t="str">
            <v>伯希和/PELLIOT</v>
          </cell>
          <cell r="F408" t="str">
            <v>童装-儿童上装-T恤</v>
          </cell>
          <cell r="G408" t="str">
            <v>一品一商</v>
          </cell>
          <cell r="H408" t="str">
            <v>品牌直发</v>
          </cell>
          <cell r="I408">
            <v>0</v>
          </cell>
        </row>
        <row r="409">
          <cell r="D409">
            <v>125214019</v>
          </cell>
          <cell r="E409" t="str">
            <v>伯希和/PELLIOT</v>
          </cell>
          <cell r="F409" t="str">
            <v>女装-长裙-休闲长裙</v>
          </cell>
          <cell r="G409" t="str">
            <v>一品多商</v>
          </cell>
          <cell r="H409" t="str">
            <v>品牌直发</v>
          </cell>
          <cell r="I409">
            <v>0</v>
          </cell>
        </row>
        <row r="410">
          <cell r="D410">
            <v>135215036</v>
          </cell>
          <cell r="E410" t="str">
            <v>伯希和/PELLIOT</v>
          </cell>
          <cell r="F410" t="str">
            <v>童装-儿童上装-T恤</v>
          </cell>
          <cell r="G410" t="str">
            <v>一品一商</v>
          </cell>
          <cell r="H410" t="str">
            <v>品牌直发</v>
          </cell>
          <cell r="I410">
            <v>0</v>
          </cell>
        </row>
        <row r="411">
          <cell r="D411">
            <v>135214018</v>
          </cell>
          <cell r="E411" t="str">
            <v>伯希和/PELLIOT</v>
          </cell>
          <cell r="F411" t="str">
            <v>童装-儿童下装-儿童速干裤</v>
          </cell>
          <cell r="G411" t="str">
            <v>一品多商</v>
          </cell>
          <cell r="H411" t="str">
            <v>品牌直发</v>
          </cell>
          <cell r="I411">
            <v>0</v>
          </cell>
        </row>
        <row r="412">
          <cell r="D412">
            <v>115215005</v>
          </cell>
          <cell r="E412" t="str">
            <v>伯希和/PELLIOT</v>
          </cell>
          <cell r="F412" t="str">
            <v>服装-户外运动服-速干T恤</v>
          </cell>
          <cell r="G412" t="str">
            <v>一品多商</v>
          </cell>
          <cell r="H412" t="str">
            <v>品牌直发</v>
          </cell>
          <cell r="I412">
            <v>0</v>
          </cell>
        </row>
        <row r="413">
          <cell r="D413">
            <v>125119028</v>
          </cell>
          <cell r="E413" t="str">
            <v>伯希和/PELLIOT</v>
          </cell>
          <cell r="F413" t="str">
            <v>鞋-运动鞋-登山鞋/徒步鞋</v>
          </cell>
          <cell r="G413" t="str">
            <v>一品一商</v>
          </cell>
          <cell r="H413" t="str">
            <v>品牌直发</v>
          </cell>
          <cell r="I413">
            <v>0</v>
          </cell>
        </row>
        <row r="414">
          <cell r="D414">
            <v>125215046</v>
          </cell>
          <cell r="E414" t="str">
            <v>伯希和/PELLIOT</v>
          </cell>
          <cell r="F414" t="str">
            <v>女装-上衣-T恤</v>
          </cell>
          <cell r="G414" t="str">
            <v>一品一商</v>
          </cell>
          <cell r="H414" t="str">
            <v>品牌直发</v>
          </cell>
          <cell r="I414">
            <v>0</v>
          </cell>
        </row>
        <row r="415">
          <cell r="D415">
            <v>115119027</v>
          </cell>
          <cell r="E415" t="str">
            <v>伯希和/PELLIOT</v>
          </cell>
          <cell r="F415" t="str">
            <v>鞋-运动鞋-越野跑鞋</v>
          </cell>
          <cell r="G415" t="str">
            <v>一品多商</v>
          </cell>
          <cell r="H415" t="str">
            <v>品牌直发</v>
          </cell>
          <cell r="I415">
            <v>0</v>
          </cell>
        </row>
        <row r="416">
          <cell r="D416">
            <v>105101011</v>
          </cell>
          <cell r="E416" t="str">
            <v>伯希和/PELLIOT</v>
          </cell>
          <cell r="F416" t="str">
            <v>服装-外套-冲锋衣</v>
          </cell>
          <cell r="G416" t="str">
            <v>一品多商</v>
          </cell>
          <cell r="H416" t="str">
            <v>品牌直发</v>
          </cell>
          <cell r="I416">
            <v>0</v>
          </cell>
        </row>
        <row r="417">
          <cell r="D417">
            <v>125215038</v>
          </cell>
          <cell r="E417" t="str">
            <v>伯希和/PELLIOT</v>
          </cell>
          <cell r="F417" t="str">
            <v>女装-上衣-Polo衫</v>
          </cell>
          <cell r="G417" t="str">
            <v>一品一商</v>
          </cell>
          <cell r="H417" t="str">
            <v>品牌直发</v>
          </cell>
          <cell r="I417">
            <v>0</v>
          </cell>
        </row>
        <row r="418">
          <cell r="D418">
            <v>125215022</v>
          </cell>
          <cell r="E418" t="str">
            <v>伯希和/PELLIOT</v>
          </cell>
          <cell r="F418" t="str">
            <v>女装-户外运动服-跑步T恤</v>
          </cell>
          <cell r="G418" t="str">
            <v>一品一商</v>
          </cell>
          <cell r="H418" t="str">
            <v>品牌直发</v>
          </cell>
          <cell r="I418">
            <v>0</v>
          </cell>
        </row>
        <row r="419">
          <cell r="D419">
            <v>115212003</v>
          </cell>
          <cell r="E419" t="str">
            <v>伯希和/PELLIOT</v>
          </cell>
          <cell r="F419" t="str">
            <v>服装-外套-防晒服</v>
          </cell>
          <cell r="G419" t="str">
            <v>一品多商</v>
          </cell>
          <cell r="H419" t="str">
            <v>品牌直发</v>
          </cell>
          <cell r="I419">
            <v>0</v>
          </cell>
        </row>
        <row r="420">
          <cell r="D420">
            <v>105025008</v>
          </cell>
          <cell r="E420" t="str">
            <v>伯希和/PELLIOT</v>
          </cell>
          <cell r="F420" t="str">
            <v>箱包-包袋-户外包</v>
          </cell>
          <cell r="G420" t="str">
            <v>一品多商</v>
          </cell>
          <cell r="H420" t="str">
            <v>品牌直发</v>
          </cell>
          <cell r="I420">
            <v>0</v>
          </cell>
        </row>
        <row r="421">
          <cell r="D421">
            <v>125220022</v>
          </cell>
          <cell r="E421" t="str">
            <v>伯希和/PELLIOT</v>
          </cell>
          <cell r="F421" t="str">
            <v>鞋-凉鞋/拖鞋-溯溪鞋</v>
          </cell>
          <cell r="G421" t="str">
            <v>一品多商</v>
          </cell>
          <cell r="H421" t="str">
            <v>品牌直发</v>
          </cell>
          <cell r="I421">
            <v>0</v>
          </cell>
        </row>
        <row r="422">
          <cell r="D422">
            <v>125215024</v>
          </cell>
          <cell r="E422" t="str">
            <v>伯希和/PELLIOT</v>
          </cell>
          <cell r="F422" t="str">
            <v>女装-户外运动服-速干T恤</v>
          </cell>
          <cell r="G422" t="str">
            <v>一品多商</v>
          </cell>
          <cell r="H422" t="str">
            <v>品牌直发</v>
          </cell>
          <cell r="I422">
            <v>0</v>
          </cell>
        </row>
        <row r="423">
          <cell r="D423">
            <v>125215018</v>
          </cell>
          <cell r="E423" t="str">
            <v>伯希和/PELLIOT</v>
          </cell>
          <cell r="F423" t="str">
            <v>女装-户外运动服-速干T恤</v>
          </cell>
          <cell r="G423" t="str">
            <v>一品一商</v>
          </cell>
          <cell r="H423" t="str">
            <v>品牌直发</v>
          </cell>
          <cell r="I423">
            <v>0</v>
          </cell>
        </row>
        <row r="424">
          <cell r="D424">
            <v>125215008</v>
          </cell>
          <cell r="E424" t="str">
            <v>伯希和/PELLIOT</v>
          </cell>
          <cell r="F424" t="str">
            <v>女装-上衣-Polo衫</v>
          </cell>
          <cell r="G424" t="str">
            <v>一品一商</v>
          </cell>
          <cell r="H424" t="str">
            <v>品牌直发</v>
          </cell>
          <cell r="I424">
            <v>0</v>
          </cell>
        </row>
        <row r="425">
          <cell r="D425">
            <v>115215023</v>
          </cell>
          <cell r="E425" t="str">
            <v>伯希和/PELLIOT</v>
          </cell>
          <cell r="F425" t="str">
            <v>服装-上衣-T恤</v>
          </cell>
          <cell r="G425" t="str">
            <v>一品多商</v>
          </cell>
          <cell r="H425" t="str">
            <v>品牌直发</v>
          </cell>
          <cell r="I425">
            <v>0</v>
          </cell>
        </row>
        <row r="426">
          <cell r="D426">
            <v>115215017</v>
          </cell>
          <cell r="E426" t="str">
            <v>伯希和/PELLIOT</v>
          </cell>
          <cell r="F426" t="str">
            <v>服装-上衣-T恤</v>
          </cell>
          <cell r="G426" t="str">
            <v>一品一商</v>
          </cell>
          <cell r="H426" t="str">
            <v>品牌直发</v>
          </cell>
          <cell r="I426">
            <v>0</v>
          </cell>
        </row>
        <row r="427">
          <cell r="D427">
            <v>115278007</v>
          </cell>
          <cell r="E427" t="str">
            <v>伯希和/PELLIOT</v>
          </cell>
          <cell r="F427" t="str">
            <v>服装-长裤-休闲裤</v>
          </cell>
          <cell r="G427" t="str">
            <v>一品一商</v>
          </cell>
          <cell r="H427" t="str">
            <v>品牌直发</v>
          </cell>
          <cell r="I427">
            <v>0</v>
          </cell>
        </row>
        <row r="428">
          <cell r="D428">
            <v>115212005</v>
          </cell>
          <cell r="E428" t="str">
            <v>伯希和/PELLIOT</v>
          </cell>
          <cell r="F428" t="str">
            <v>服装-外套-防晒服</v>
          </cell>
          <cell r="G428" t="str">
            <v>一品多商</v>
          </cell>
          <cell r="H428" t="str">
            <v>品牌直发</v>
          </cell>
          <cell r="I428">
            <v>0</v>
          </cell>
        </row>
        <row r="429">
          <cell r="D429" t="str">
            <v>PE125215026</v>
          </cell>
          <cell r="E429" t="str">
            <v>伯希和/PELLIOT</v>
          </cell>
          <cell r="F429" t="str">
            <v>女装-户外运动服-速干T恤</v>
          </cell>
          <cell r="G429" t="str">
            <v>一品一商</v>
          </cell>
          <cell r="H429" t="str">
            <v>品牌直发</v>
          </cell>
          <cell r="I429">
            <v>0</v>
          </cell>
        </row>
        <row r="430">
          <cell r="D430">
            <v>115151005</v>
          </cell>
          <cell r="E430" t="str">
            <v>伯希和/PELLIOT</v>
          </cell>
          <cell r="F430" t="str">
            <v>服装-外套-夹克</v>
          </cell>
          <cell r="G430" t="str">
            <v>一品一商</v>
          </cell>
          <cell r="H430" t="str">
            <v>品牌直发</v>
          </cell>
          <cell r="I430">
            <v>0</v>
          </cell>
        </row>
        <row r="431">
          <cell r="D431">
            <v>115114001</v>
          </cell>
          <cell r="E431" t="str">
            <v>伯希和/PELLIOT</v>
          </cell>
          <cell r="F431" t="str">
            <v>服装-户外运动服-速干裤</v>
          </cell>
          <cell r="G431" t="str">
            <v>一品一商</v>
          </cell>
          <cell r="H431" t="str">
            <v>品牌直发</v>
          </cell>
          <cell r="I431">
            <v>0</v>
          </cell>
        </row>
        <row r="432">
          <cell r="D432">
            <v>125106002</v>
          </cell>
          <cell r="E432" t="str">
            <v>伯希和/PELLIOT</v>
          </cell>
          <cell r="F432" t="str">
            <v>女装-外套-软壳衣</v>
          </cell>
          <cell r="G432" t="str">
            <v>一品一商</v>
          </cell>
          <cell r="H432" t="str">
            <v>品牌直发</v>
          </cell>
          <cell r="I432">
            <v>0</v>
          </cell>
        </row>
        <row r="433">
          <cell r="D433" t="str">
            <v>PE125107004</v>
          </cell>
          <cell r="E433" t="str">
            <v>伯希和/PELLIOT</v>
          </cell>
          <cell r="F433" t="str">
            <v>女装-长裤-软壳裤</v>
          </cell>
          <cell r="G433" t="str">
            <v>一品多商</v>
          </cell>
          <cell r="H433" t="str">
            <v>品牌直发</v>
          </cell>
          <cell r="I433">
            <v>0</v>
          </cell>
        </row>
        <row r="434">
          <cell r="D434">
            <v>115107001</v>
          </cell>
          <cell r="E434" t="str">
            <v>伯希和/PELLIOT</v>
          </cell>
          <cell r="F434" t="str">
            <v>服装-长裤-软壳裤</v>
          </cell>
          <cell r="G434" t="str">
            <v>一品多商</v>
          </cell>
          <cell r="H434" t="str">
            <v>品牌直发</v>
          </cell>
          <cell r="I434">
            <v>0</v>
          </cell>
        </row>
        <row r="435">
          <cell r="D435" t="str">
            <v>PE125101014</v>
          </cell>
          <cell r="E435" t="str">
            <v>伯希和/PELLIOT</v>
          </cell>
          <cell r="F435" t="str">
            <v>女装-外套-冲锋衣</v>
          </cell>
          <cell r="G435" t="str">
            <v>一品多商</v>
          </cell>
          <cell r="H435" t="str">
            <v>品牌直发</v>
          </cell>
          <cell r="I435">
            <v>0</v>
          </cell>
        </row>
        <row r="436">
          <cell r="D436">
            <v>115101013</v>
          </cell>
          <cell r="E436" t="str">
            <v>伯希和/PELLIOT</v>
          </cell>
          <cell r="F436" t="str">
            <v>服装-外套-冲锋衣</v>
          </cell>
          <cell r="G436" t="str">
            <v>一品多商</v>
          </cell>
          <cell r="H436" t="str">
            <v>品牌直发</v>
          </cell>
          <cell r="I436">
            <v>0</v>
          </cell>
        </row>
        <row r="437">
          <cell r="D437">
            <v>115101001</v>
          </cell>
          <cell r="E437" t="str">
            <v>伯希和/PELLIOT</v>
          </cell>
          <cell r="F437" t="str">
            <v>服装-外套-冲锋衣</v>
          </cell>
          <cell r="G437" t="str">
            <v>一品多商</v>
          </cell>
          <cell r="H437" t="str">
            <v>品牌直发</v>
          </cell>
          <cell r="I437">
            <v>0</v>
          </cell>
        </row>
        <row r="438">
          <cell r="D438">
            <v>125212014</v>
          </cell>
          <cell r="E438" t="str">
            <v>伯希和/PELLIOT</v>
          </cell>
          <cell r="F438" t="str">
            <v>女装-外套-防晒服</v>
          </cell>
          <cell r="G438" t="str">
            <v>一品一商</v>
          </cell>
          <cell r="H438" t="str">
            <v>品牌直发</v>
          </cell>
          <cell r="I438">
            <v>0</v>
          </cell>
        </row>
        <row r="439">
          <cell r="D439" t="str">
            <v>125102002-新</v>
          </cell>
          <cell r="E439" t="str">
            <v>伯希和/PELLIOT</v>
          </cell>
          <cell r="F439" t="str">
            <v>女装-长裤-冲锋裤</v>
          </cell>
          <cell r="G439" t="str">
            <v>一品一商</v>
          </cell>
          <cell r="H439" t="str">
            <v>品牌直发</v>
          </cell>
          <cell r="I439">
            <v>0</v>
          </cell>
        </row>
        <row r="440">
          <cell r="D440">
            <v>115212013</v>
          </cell>
          <cell r="E440" t="str">
            <v>伯希和/PELLIOT</v>
          </cell>
          <cell r="F440" t="str">
            <v>服装-外套-防晒服</v>
          </cell>
          <cell r="G440" t="str">
            <v>一品一商</v>
          </cell>
          <cell r="H440" t="str">
            <v>品牌直发</v>
          </cell>
          <cell r="I440">
            <v>0</v>
          </cell>
        </row>
        <row r="441">
          <cell r="D441">
            <v>1105212020</v>
          </cell>
          <cell r="E441" t="str">
            <v>伯希和/PELLIOT</v>
          </cell>
          <cell r="F441" t="str">
            <v>服装-外套-防晒服</v>
          </cell>
          <cell r="G441" t="str">
            <v>一品一商</v>
          </cell>
          <cell r="H441" t="str">
            <v>品牌直发</v>
          </cell>
          <cell r="I441">
            <v>0</v>
          </cell>
        </row>
        <row r="442">
          <cell r="D442">
            <v>125212004</v>
          </cell>
          <cell r="E442" t="str">
            <v>伯希和/PELLIOT</v>
          </cell>
          <cell r="F442" t="str">
            <v>女装-外套-防晒服</v>
          </cell>
          <cell r="G442" t="str">
            <v>一品多商</v>
          </cell>
          <cell r="H442" t="str">
            <v>品牌直发</v>
          </cell>
          <cell r="I442">
            <v>0</v>
          </cell>
        </row>
        <row r="443">
          <cell r="D443">
            <v>125301055</v>
          </cell>
          <cell r="E443" t="str">
            <v>伯希和/PELLIOT</v>
          </cell>
          <cell r="F443" t="str">
            <v>女装-外套-冲锋衣</v>
          </cell>
          <cell r="G443" t="str">
            <v>一品多商</v>
          </cell>
          <cell r="H443" t="str">
            <v>品牌直发</v>
          </cell>
          <cell r="I443">
            <v>0</v>
          </cell>
        </row>
        <row r="444">
          <cell r="D444">
            <v>115101019</v>
          </cell>
          <cell r="E444" t="str">
            <v>伯希和/PELLIOT</v>
          </cell>
          <cell r="F444" t="str">
            <v>服装-外套-冲锋衣</v>
          </cell>
          <cell r="G444" t="str">
            <v>一品多商</v>
          </cell>
          <cell r="H444" t="str">
            <v>品牌直发</v>
          </cell>
          <cell r="I444">
            <v>0</v>
          </cell>
        </row>
        <row r="445">
          <cell r="D445">
            <v>135116010</v>
          </cell>
          <cell r="E445" t="str">
            <v>伯希和/PELLIOT</v>
          </cell>
          <cell r="F445" t="str">
            <v>童装-儿童上装-T恤</v>
          </cell>
          <cell r="G445" t="str">
            <v>一品多商</v>
          </cell>
          <cell r="H445" t="str">
            <v>品牌直发</v>
          </cell>
          <cell r="I445">
            <v>0</v>
          </cell>
        </row>
        <row r="446">
          <cell r="D446" t="str">
            <v>PE115106001</v>
          </cell>
          <cell r="E446" t="str">
            <v>伯希和/PELLIOT</v>
          </cell>
          <cell r="F446" t="str">
            <v>服装-外套-软壳衣</v>
          </cell>
          <cell r="G446" t="str">
            <v>一品多商</v>
          </cell>
          <cell r="H446" t="str">
            <v>品牌直发</v>
          </cell>
          <cell r="I446">
            <v>0</v>
          </cell>
        </row>
        <row r="447">
          <cell r="D447" t="str">
            <v>PE125119032</v>
          </cell>
          <cell r="E447" t="str">
            <v>伯希和/PELLIOT</v>
          </cell>
          <cell r="F447" t="str">
            <v>鞋-运动鞋-登山鞋/徒步鞋</v>
          </cell>
          <cell r="G447" t="str">
            <v>一品多商</v>
          </cell>
          <cell r="H447" t="str">
            <v>品牌直发</v>
          </cell>
          <cell r="I447">
            <v>0</v>
          </cell>
        </row>
        <row r="448">
          <cell r="D448" t="str">
            <v>PE125119026</v>
          </cell>
          <cell r="E448" t="str">
            <v>伯希和/PELLIOT</v>
          </cell>
          <cell r="F448" t="str">
            <v>鞋-运动鞋-跑步鞋</v>
          </cell>
          <cell r="G448" t="str">
            <v>一品多商</v>
          </cell>
          <cell r="H448" t="str">
            <v>品牌直发</v>
          </cell>
          <cell r="I448">
            <v>0</v>
          </cell>
        </row>
        <row r="449">
          <cell r="D449">
            <v>115119031</v>
          </cell>
          <cell r="E449" t="str">
            <v>伯希和/PELLIOT</v>
          </cell>
          <cell r="F449" t="str">
            <v>鞋-运动鞋-登山鞋/徒步鞋</v>
          </cell>
          <cell r="G449" t="str">
            <v>一品多商</v>
          </cell>
          <cell r="H449" t="str">
            <v>品牌直发</v>
          </cell>
          <cell r="I449">
            <v>0</v>
          </cell>
        </row>
        <row r="450">
          <cell r="D450">
            <v>115101007</v>
          </cell>
          <cell r="E450" t="str">
            <v>伯希和/PELLIOT</v>
          </cell>
          <cell r="F450" t="str">
            <v>服装-外套-冲锋衣</v>
          </cell>
          <cell r="G450" t="str">
            <v>一品多商</v>
          </cell>
          <cell r="H450" t="str">
            <v>品牌直发</v>
          </cell>
          <cell r="I450">
            <v>0</v>
          </cell>
        </row>
        <row r="451">
          <cell r="D451">
            <v>1125107002</v>
          </cell>
          <cell r="E451" t="str">
            <v>伯希和/PELLIOT</v>
          </cell>
          <cell r="F451" t="str">
            <v>女装-长裤-软壳裤</v>
          </cell>
          <cell r="G451" t="str">
            <v>一品一商</v>
          </cell>
          <cell r="H451" t="str">
            <v>品牌直发</v>
          </cell>
          <cell r="I451">
            <v>0</v>
          </cell>
        </row>
        <row r="452">
          <cell r="D452">
            <v>1125116008</v>
          </cell>
          <cell r="E452" t="str">
            <v>伯希和/PELLIOT</v>
          </cell>
          <cell r="F452" t="str">
            <v>女装-户外运动服-跑步T恤</v>
          </cell>
          <cell r="G452" t="str">
            <v>一品一商</v>
          </cell>
          <cell r="H452" t="str">
            <v>品牌直发</v>
          </cell>
          <cell r="I452">
            <v>0</v>
          </cell>
        </row>
        <row r="453">
          <cell r="D453">
            <v>1115116007</v>
          </cell>
          <cell r="E453" t="str">
            <v>伯希和/PELLIOT</v>
          </cell>
          <cell r="F453" t="str">
            <v>服装-上衣-T恤</v>
          </cell>
          <cell r="G453" t="str">
            <v>一品多商</v>
          </cell>
          <cell r="H453" t="str">
            <v>品牌直发</v>
          </cell>
          <cell r="I453">
            <v>0</v>
          </cell>
        </row>
        <row r="454">
          <cell r="D454">
            <v>125151008</v>
          </cell>
          <cell r="E454" t="str">
            <v>伯希和/PELLIOT</v>
          </cell>
          <cell r="F454" t="str">
            <v>女装-外套-夹克</v>
          </cell>
          <cell r="G454" t="str">
            <v>一品一商</v>
          </cell>
          <cell r="H454" t="str">
            <v>品牌直发</v>
          </cell>
          <cell r="I454">
            <v>0</v>
          </cell>
        </row>
        <row r="455">
          <cell r="D455">
            <v>1125178002</v>
          </cell>
          <cell r="E455" t="str">
            <v>伯希和/PELLIOT</v>
          </cell>
          <cell r="F455" t="str">
            <v>女装-长裤-休闲裤</v>
          </cell>
          <cell r="G455" t="str">
            <v>一品一商</v>
          </cell>
          <cell r="H455" t="str">
            <v>品牌直发</v>
          </cell>
          <cell r="I455">
            <v>0</v>
          </cell>
        </row>
        <row r="456">
          <cell r="D456">
            <v>125151010</v>
          </cell>
          <cell r="E456" t="str">
            <v>伯希和/PELLIOT</v>
          </cell>
          <cell r="F456" t="str">
            <v>女装-外套-夹克</v>
          </cell>
          <cell r="G456" t="str">
            <v>一品一商</v>
          </cell>
          <cell r="H456" t="str">
            <v>品牌直发</v>
          </cell>
          <cell r="I456">
            <v>0</v>
          </cell>
        </row>
        <row r="457">
          <cell r="D457">
            <v>115151009</v>
          </cell>
          <cell r="E457" t="str">
            <v>伯希和/PELLIOT</v>
          </cell>
          <cell r="F457" t="str">
            <v>服装-外套-夹克</v>
          </cell>
          <cell r="G457" t="str">
            <v>一品一商</v>
          </cell>
          <cell r="H457" t="str">
            <v>品牌直发</v>
          </cell>
          <cell r="I457">
            <v>0</v>
          </cell>
        </row>
        <row r="458">
          <cell r="D458">
            <v>1125101020</v>
          </cell>
          <cell r="E458" t="str">
            <v>伯希和/PELLIOT</v>
          </cell>
          <cell r="F458" t="str">
            <v>女装-外套-冲锋衣</v>
          </cell>
          <cell r="G458" t="str">
            <v>一品多商</v>
          </cell>
          <cell r="H458" t="str">
            <v>品牌直发</v>
          </cell>
          <cell r="I458">
            <v>0</v>
          </cell>
        </row>
        <row r="459">
          <cell r="D459">
            <v>1125101008</v>
          </cell>
          <cell r="E459" t="str">
            <v>伯希和/PELLIOT</v>
          </cell>
          <cell r="F459" t="str">
            <v>女装-外套-冲锋衣</v>
          </cell>
          <cell r="G459" t="str">
            <v>一品多商</v>
          </cell>
          <cell r="H459" t="str">
            <v>品牌直发</v>
          </cell>
          <cell r="I459">
            <v>0</v>
          </cell>
        </row>
        <row r="460">
          <cell r="D460" t="str">
            <v>PE105151011</v>
          </cell>
          <cell r="E460" t="str">
            <v>伯希和/PELLIOT</v>
          </cell>
          <cell r="F460" t="str">
            <v>服装-外套-夹克</v>
          </cell>
          <cell r="G460" t="str">
            <v>一品一商</v>
          </cell>
          <cell r="H460" t="str">
            <v>品牌直发</v>
          </cell>
          <cell r="I460">
            <v>0</v>
          </cell>
        </row>
        <row r="461">
          <cell r="D461" t="str">
            <v>PE114310205</v>
          </cell>
          <cell r="E461" t="str">
            <v>伯希和/PELLIOT</v>
          </cell>
          <cell r="F461" t="str">
            <v>服装-户外运动服-抓绒衣</v>
          </cell>
          <cell r="G461" t="str">
            <v>一品一商</v>
          </cell>
          <cell r="H461" t="str">
            <v>品牌直发</v>
          </cell>
          <cell r="I461">
            <v>0</v>
          </cell>
        </row>
        <row r="462">
          <cell r="D462" t="str">
            <v>PE124310206</v>
          </cell>
          <cell r="E462" t="str">
            <v>伯希和/PELLIOT</v>
          </cell>
          <cell r="F462" t="str">
            <v>女装-上衣-T恤</v>
          </cell>
          <cell r="G462" t="str">
            <v>一品一商</v>
          </cell>
          <cell r="H462" t="str">
            <v>品牌直发</v>
          </cell>
          <cell r="I462">
            <v>0</v>
          </cell>
        </row>
        <row r="463">
          <cell r="D463">
            <v>1115214009</v>
          </cell>
          <cell r="E463" t="str">
            <v>伯希和/PELLIOT</v>
          </cell>
          <cell r="F463" t="str">
            <v>服装-户外运动服-速干裤</v>
          </cell>
          <cell r="G463" t="str">
            <v>一品多商</v>
          </cell>
          <cell r="H463" t="str">
            <v>品牌直发</v>
          </cell>
          <cell r="I463">
            <v>0</v>
          </cell>
        </row>
        <row r="464">
          <cell r="D464">
            <v>124310206</v>
          </cell>
          <cell r="E464" t="str">
            <v>伯希和/PELLIOT</v>
          </cell>
          <cell r="F464" t="str">
            <v>女装-户外运动服-抓绒衣</v>
          </cell>
          <cell r="G464" t="str">
            <v>一品一商</v>
          </cell>
          <cell r="H464" t="str">
            <v>品牌直发</v>
          </cell>
          <cell r="I464">
            <v>0</v>
          </cell>
        </row>
        <row r="465">
          <cell r="D465">
            <v>114310205</v>
          </cell>
          <cell r="E465" t="str">
            <v>伯希和/PELLIOT</v>
          </cell>
          <cell r="F465" t="str">
            <v>内衣-内衣裤-保暖上装</v>
          </cell>
          <cell r="G465" t="str">
            <v>一品多商</v>
          </cell>
          <cell r="H465" t="str">
            <v>品牌直发</v>
          </cell>
          <cell r="I465">
            <v>0</v>
          </cell>
        </row>
        <row r="466">
          <cell r="D466">
            <v>105025005</v>
          </cell>
          <cell r="E466" t="str">
            <v>伯希和/PELLIOT</v>
          </cell>
          <cell r="F466" t="str">
            <v>箱包-包袋-户外包</v>
          </cell>
          <cell r="G466" t="str">
            <v>一品一商</v>
          </cell>
          <cell r="H466" t="str">
            <v>普通现货</v>
          </cell>
          <cell r="I466">
            <v>0</v>
          </cell>
        </row>
        <row r="467">
          <cell r="D467">
            <v>11340303</v>
          </cell>
          <cell r="E467" t="str">
            <v>伯希和/PELLIOT</v>
          </cell>
          <cell r="F467" t="str">
            <v>服装-外套-棉服</v>
          </cell>
          <cell r="G467" t="str">
            <v>一品多商</v>
          </cell>
          <cell r="H467" t="str">
            <v>品牌直发</v>
          </cell>
          <cell r="I467">
            <v>0</v>
          </cell>
        </row>
        <row r="468">
          <cell r="D468">
            <v>105025003</v>
          </cell>
          <cell r="E468" t="str">
            <v>伯希和/PELLIOT</v>
          </cell>
          <cell r="F468" t="str">
            <v>箱包-包袋-户外包</v>
          </cell>
          <cell r="G468" t="str">
            <v>一品一商</v>
          </cell>
          <cell r="H468" t="str">
            <v>品牌直发</v>
          </cell>
          <cell r="I468">
            <v>0</v>
          </cell>
        </row>
        <row r="469">
          <cell r="D469">
            <v>16123410</v>
          </cell>
          <cell r="E469" t="str">
            <v>伯希和/PELLIOT</v>
          </cell>
          <cell r="F469" t="str">
            <v>流行饰品/眼镜/服配-防晒服配-防晒帽</v>
          </cell>
          <cell r="G469" t="str">
            <v>一品一商</v>
          </cell>
          <cell r="H469" t="str">
            <v>品牌直发</v>
          </cell>
          <cell r="I469">
            <v>0</v>
          </cell>
        </row>
        <row r="470">
          <cell r="D470">
            <v>16223409</v>
          </cell>
          <cell r="E470" t="str">
            <v>伯希和/PELLIOT</v>
          </cell>
          <cell r="F470" t="str">
            <v>流行饰品/眼镜/服配-防晒服配-防晒帽</v>
          </cell>
          <cell r="G470" t="str">
            <v>一品一商</v>
          </cell>
          <cell r="H470" t="str">
            <v>品牌直发</v>
          </cell>
          <cell r="I470">
            <v>0</v>
          </cell>
        </row>
        <row r="471">
          <cell r="D471">
            <v>16123407</v>
          </cell>
          <cell r="E471" t="str">
            <v>伯希和/PELLIOT</v>
          </cell>
          <cell r="F471" t="str">
            <v>流行饰品/眼镜/服配-防晒服配-防晒帽</v>
          </cell>
          <cell r="G471" t="str">
            <v>一品一商</v>
          </cell>
          <cell r="H471" t="str">
            <v>普通现货</v>
          </cell>
          <cell r="I471">
            <v>0</v>
          </cell>
        </row>
        <row r="472">
          <cell r="D472">
            <v>16423417</v>
          </cell>
          <cell r="E472" t="str">
            <v>伯希和/PELLIOT</v>
          </cell>
          <cell r="F472" t="str">
            <v>流行饰品/眼镜/服配-防晒服配-防晒帽</v>
          </cell>
          <cell r="G472" t="str">
            <v>一品一商</v>
          </cell>
          <cell r="H472" t="str">
            <v>品牌直发</v>
          </cell>
          <cell r="I472">
            <v>0</v>
          </cell>
        </row>
        <row r="473">
          <cell r="D473">
            <v>16123409</v>
          </cell>
          <cell r="E473" t="str">
            <v>伯希和/PELLIOT</v>
          </cell>
          <cell r="F473" t="str">
            <v>流行饰品/眼镜/服配-防晒服配-防晒帽</v>
          </cell>
          <cell r="G473" t="str">
            <v>一品一商</v>
          </cell>
          <cell r="H473" t="str">
            <v>品牌直发</v>
          </cell>
          <cell r="I473">
            <v>0</v>
          </cell>
        </row>
        <row r="474">
          <cell r="D474">
            <v>16123403</v>
          </cell>
          <cell r="E474" t="str">
            <v>伯希和/PELLIOT</v>
          </cell>
          <cell r="F474" t="str">
            <v>流行饰品/眼镜/服配-帽子-渔夫帽</v>
          </cell>
          <cell r="G474" t="str">
            <v>一品一商</v>
          </cell>
          <cell r="H474" t="str">
            <v>品牌直发</v>
          </cell>
          <cell r="I474">
            <v>0</v>
          </cell>
        </row>
        <row r="475">
          <cell r="D475">
            <v>16223101</v>
          </cell>
          <cell r="E475" t="str">
            <v>伯希和/PELLIOT</v>
          </cell>
          <cell r="F475" t="str">
            <v>流行饰品/眼镜/服配-防晒服配-防晒手套</v>
          </cell>
          <cell r="G475" t="str">
            <v>一品一商</v>
          </cell>
          <cell r="H475" t="str">
            <v>品牌直发</v>
          </cell>
          <cell r="I475">
            <v>0</v>
          </cell>
        </row>
        <row r="476">
          <cell r="D476">
            <v>16043428</v>
          </cell>
          <cell r="E476" t="str">
            <v>伯希和/PELLIOT</v>
          </cell>
          <cell r="F476" t="str">
            <v>流行饰品/眼镜/服配-帽子-渔夫帽</v>
          </cell>
          <cell r="G476" t="str">
            <v>一品一商</v>
          </cell>
          <cell r="H476" t="str">
            <v>品牌直发</v>
          </cell>
          <cell r="I476">
            <v>0</v>
          </cell>
        </row>
        <row r="477">
          <cell r="D477">
            <v>16423418</v>
          </cell>
          <cell r="E477" t="str">
            <v>伯希和/PELLIOT</v>
          </cell>
          <cell r="F477" t="str">
            <v>流行饰品/眼镜/服配-帽子-鸭舌帽</v>
          </cell>
          <cell r="G477" t="str">
            <v>一品一商</v>
          </cell>
          <cell r="H477" t="str">
            <v>品牌直发</v>
          </cell>
          <cell r="I477">
            <v>0</v>
          </cell>
        </row>
        <row r="478">
          <cell r="D478">
            <v>16143205</v>
          </cell>
          <cell r="E478" t="str">
            <v>伯希和/PELLIOT</v>
          </cell>
          <cell r="F478" t="str">
            <v>流行饰品/眼镜/服配-围巾-围脖</v>
          </cell>
          <cell r="G478" t="str">
            <v>一品一商</v>
          </cell>
          <cell r="H478" t="str">
            <v>品牌直发</v>
          </cell>
          <cell r="I478">
            <v>0</v>
          </cell>
        </row>
        <row r="479">
          <cell r="D479">
            <v>16323402</v>
          </cell>
          <cell r="E479" t="str">
            <v>伯希和/PELLIOT</v>
          </cell>
          <cell r="F479" t="str">
            <v>流行饰品/眼镜/服配-防晒服配-防晒帽</v>
          </cell>
          <cell r="G479" t="str">
            <v>一品一商</v>
          </cell>
          <cell r="H479" t="str">
            <v>品牌直发</v>
          </cell>
          <cell r="I479">
            <v>0</v>
          </cell>
        </row>
        <row r="480">
          <cell r="D480">
            <v>16243103</v>
          </cell>
          <cell r="E480" t="str">
            <v>伯希和/PELLIOT</v>
          </cell>
          <cell r="F480" t="str">
            <v>流行饰品/眼镜/服配-手套-其他手套</v>
          </cell>
          <cell r="G480" t="str">
            <v>一品一商</v>
          </cell>
          <cell r="H480" t="str">
            <v>品牌直发</v>
          </cell>
          <cell r="I480">
            <v>0</v>
          </cell>
        </row>
        <row r="481">
          <cell r="D481">
            <v>16343418</v>
          </cell>
          <cell r="E481" t="str">
            <v>伯希和/PELLIOT</v>
          </cell>
          <cell r="F481" t="str">
            <v>流行饰品/眼镜/服配-帽子-其他帽子</v>
          </cell>
          <cell r="G481" t="str">
            <v>一品一商</v>
          </cell>
          <cell r="H481" t="str">
            <v>品牌直发</v>
          </cell>
          <cell r="I481">
            <v>0</v>
          </cell>
        </row>
        <row r="482">
          <cell r="D482">
            <v>16323204</v>
          </cell>
          <cell r="E482" t="str">
            <v>伯希和/PELLIOT</v>
          </cell>
          <cell r="F482" t="str">
            <v>流行饰品/眼镜/服配-防晒服配-防晒脖套</v>
          </cell>
          <cell r="G482" t="str">
            <v>一品一商</v>
          </cell>
          <cell r="H482" t="str">
            <v>品牌直发</v>
          </cell>
          <cell r="I482">
            <v>0</v>
          </cell>
        </row>
        <row r="483">
          <cell r="D483">
            <v>1124310184</v>
          </cell>
          <cell r="E483" t="str">
            <v>伯希和/PELLIOT</v>
          </cell>
          <cell r="F483" t="str">
            <v>女装-户外运动服-抓绒衣</v>
          </cell>
          <cell r="G483" t="str">
            <v>一品一商</v>
          </cell>
          <cell r="H483" t="str">
            <v>品牌直发</v>
          </cell>
          <cell r="I483">
            <v>0</v>
          </cell>
        </row>
        <row r="484">
          <cell r="D484">
            <v>124401056</v>
          </cell>
          <cell r="E484" t="str">
            <v>伯希和/PELLIOT</v>
          </cell>
          <cell r="F484" t="str">
            <v>服装-外套-冲锋衣</v>
          </cell>
          <cell r="G484" t="str">
            <v>一品一商</v>
          </cell>
          <cell r="H484" t="str">
            <v>品牌直发</v>
          </cell>
          <cell r="I484">
            <v>0</v>
          </cell>
        </row>
        <row r="485">
          <cell r="D485">
            <v>124306142</v>
          </cell>
          <cell r="E485" t="str">
            <v>伯希和/PELLIOT</v>
          </cell>
          <cell r="F485" t="str">
            <v>女装-外套-软壳衣</v>
          </cell>
          <cell r="G485" t="str">
            <v>一品多商</v>
          </cell>
          <cell r="H485" t="str">
            <v>品牌直发</v>
          </cell>
          <cell r="I485">
            <v>0</v>
          </cell>
        </row>
        <row r="486">
          <cell r="D486">
            <v>114408263</v>
          </cell>
          <cell r="E486" t="str">
            <v>伯希和/PELLIOT</v>
          </cell>
          <cell r="F486" t="str">
            <v>服装-外套-羽绒服</v>
          </cell>
          <cell r="G486" t="str">
            <v>一品多商</v>
          </cell>
          <cell r="H486" t="str">
            <v>品牌直发</v>
          </cell>
          <cell r="I486">
            <v>0</v>
          </cell>
        </row>
        <row r="487">
          <cell r="D487">
            <v>114401077</v>
          </cell>
          <cell r="E487" t="str">
            <v>伯希和/PELLIOT</v>
          </cell>
          <cell r="F487" t="str">
            <v>服装-外套-冲锋衣</v>
          </cell>
          <cell r="G487" t="str">
            <v>一品多商</v>
          </cell>
          <cell r="H487" t="str">
            <v>品牌直发</v>
          </cell>
          <cell r="I487">
            <v>0</v>
          </cell>
        </row>
        <row r="488">
          <cell r="D488" t="str">
            <v>PE124423019</v>
          </cell>
          <cell r="E488" t="str">
            <v>伯希和/PELLIOT</v>
          </cell>
          <cell r="F488" t="str">
            <v>鞋-靴子-雪地靴</v>
          </cell>
          <cell r="G488" t="str">
            <v>一品一商</v>
          </cell>
          <cell r="H488" t="str">
            <v>品牌直发</v>
          </cell>
          <cell r="I488">
            <v>0</v>
          </cell>
        </row>
        <row r="489">
          <cell r="D489">
            <v>114315397</v>
          </cell>
          <cell r="E489" t="str">
            <v>伯希和/PELLIOT</v>
          </cell>
          <cell r="F489" t="str">
            <v>服装-上衣-T恤</v>
          </cell>
          <cell r="G489" t="str">
            <v>一品一商</v>
          </cell>
          <cell r="H489" t="str">
            <v>品牌直发</v>
          </cell>
          <cell r="I489">
            <v>0</v>
          </cell>
        </row>
        <row r="490">
          <cell r="D490">
            <v>124310204</v>
          </cell>
          <cell r="E490" t="str">
            <v>伯希和/PELLIOT</v>
          </cell>
          <cell r="F490" t="str">
            <v>女装-户外运动服-抓绒衣</v>
          </cell>
          <cell r="G490" t="str">
            <v>一品一商</v>
          </cell>
          <cell r="H490" t="str">
            <v>品牌直发</v>
          </cell>
          <cell r="I490">
            <v>0</v>
          </cell>
        </row>
        <row r="491">
          <cell r="D491" t="str">
            <v>PE114315381</v>
          </cell>
          <cell r="E491" t="str">
            <v>伯希和/PELLIOT</v>
          </cell>
          <cell r="F491" t="str">
            <v>服装-上衣-T恤</v>
          </cell>
          <cell r="G491" t="str">
            <v>一品一商</v>
          </cell>
          <cell r="H491" t="str">
            <v>品牌直发</v>
          </cell>
          <cell r="I491">
            <v>0</v>
          </cell>
        </row>
        <row r="492">
          <cell r="D492">
            <v>124409342</v>
          </cell>
          <cell r="E492" t="str">
            <v>伯希和/PELLIOT</v>
          </cell>
          <cell r="F492" t="str">
            <v>女装-长裤-羽绒裤</v>
          </cell>
          <cell r="G492" t="str">
            <v>一品多商</v>
          </cell>
          <cell r="H492" t="str">
            <v>品牌直发</v>
          </cell>
          <cell r="I492">
            <v>0</v>
          </cell>
        </row>
        <row r="493">
          <cell r="D493">
            <v>124306144</v>
          </cell>
          <cell r="E493" t="str">
            <v>伯希和/PELLIOT</v>
          </cell>
          <cell r="F493" t="str">
            <v>女装-外套-软壳衣</v>
          </cell>
          <cell r="G493" t="str">
            <v>一品多商</v>
          </cell>
          <cell r="H493" t="str">
            <v>品牌直发</v>
          </cell>
          <cell r="I493">
            <v>0</v>
          </cell>
        </row>
        <row r="494">
          <cell r="D494" t="str">
            <v>PE114377365</v>
          </cell>
          <cell r="E494" t="str">
            <v>伯希和/PELLIOT</v>
          </cell>
          <cell r="F494" t="str">
            <v>服装-健身服-运动长裤</v>
          </cell>
          <cell r="G494" t="str">
            <v>一品多商</v>
          </cell>
          <cell r="H494" t="str">
            <v>品牌直发</v>
          </cell>
          <cell r="I494">
            <v>0</v>
          </cell>
        </row>
        <row r="495">
          <cell r="D495">
            <v>114376411</v>
          </cell>
          <cell r="E495" t="str">
            <v>伯希和/PELLIOT</v>
          </cell>
          <cell r="F495" t="str">
            <v>服装-外套-棉服</v>
          </cell>
          <cell r="G495" t="str">
            <v>一品一商</v>
          </cell>
          <cell r="H495" t="str">
            <v>品牌直发</v>
          </cell>
          <cell r="I495">
            <v>0</v>
          </cell>
        </row>
        <row r="496">
          <cell r="D496" t="str">
            <v>PE124408264</v>
          </cell>
          <cell r="E496" t="str">
            <v>伯希和/PELLIOT</v>
          </cell>
          <cell r="F496" t="str">
            <v>服装-外套-羽绒服</v>
          </cell>
          <cell r="G496" t="str">
            <v>一品多商</v>
          </cell>
          <cell r="H496" t="str">
            <v>品牌直发</v>
          </cell>
          <cell r="I496">
            <v>0</v>
          </cell>
        </row>
        <row r="497">
          <cell r="D497">
            <v>114401061</v>
          </cell>
          <cell r="E497" t="str">
            <v>伯希和/PELLIOT</v>
          </cell>
          <cell r="F497" t="str">
            <v>服装-外套-冲锋衣</v>
          </cell>
          <cell r="G497" t="str">
            <v>一品一商</v>
          </cell>
          <cell r="H497" t="str">
            <v>品牌直发</v>
          </cell>
          <cell r="I497">
            <v>0</v>
          </cell>
        </row>
        <row r="498">
          <cell r="D498">
            <v>114408259</v>
          </cell>
          <cell r="E498" t="str">
            <v>伯希和/PELLIOT</v>
          </cell>
          <cell r="F498" t="str">
            <v>服装-外套-羽绒服</v>
          </cell>
          <cell r="G498" t="str">
            <v>一品多商</v>
          </cell>
          <cell r="H498" t="str">
            <v>品牌直发</v>
          </cell>
          <cell r="I498">
            <v>0</v>
          </cell>
        </row>
        <row r="499">
          <cell r="D499">
            <v>114408257</v>
          </cell>
          <cell r="E499" t="str">
            <v>伯希和/PELLIOT</v>
          </cell>
          <cell r="F499" t="str">
            <v>服装-外套-羽绒服</v>
          </cell>
          <cell r="G499" t="str">
            <v>一品多商</v>
          </cell>
          <cell r="H499" t="str">
            <v>品牌直发</v>
          </cell>
          <cell r="I499">
            <v>0</v>
          </cell>
        </row>
        <row r="500">
          <cell r="D500">
            <v>124301066</v>
          </cell>
          <cell r="E500" t="str">
            <v>伯希和/PELLIOT</v>
          </cell>
          <cell r="F500" t="str">
            <v>女装-外套-冲锋衣</v>
          </cell>
          <cell r="G500" t="str">
            <v>一品一商</v>
          </cell>
          <cell r="H500" t="str">
            <v>品牌直发</v>
          </cell>
          <cell r="I500">
            <v>0</v>
          </cell>
        </row>
        <row r="501">
          <cell r="D501">
            <v>124408254</v>
          </cell>
          <cell r="E501" t="str">
            <v>伯希和/PELLIOT</v>
          </cell>
          <cell r="F501" t="str">
            <v>服装-外套-羽绒服</v>
          </cell>
          <cell r="G501" t="str">
            <v>一品多商</v>
          </cell>
          <cell r="H501" t="str">
            <v>品牌直发</v>
          </cell>
          <cell r="I501">
            <v>0</v>
          </cell>
        </row>
        <row r="502">
          <cell r="D502">
            <v>124403128</v>
          </cell>
          <cell r="E502" t="str">
            <v>伯希和/PELLIOT</v>
          </cell>
          <cell r="F502" t="str">
            <v>服装-户外运动服-滑雪衣</v>
          </cell>
          <cell r="G502" t="str">
            <v>一品多商</v>
          </cell>
          <cell r="H502" t="str">
            <v>品牌直发</v>
          </cell>
          <cell r="I502">
            <v>0</v>
          </cell>
        </row>
        <row r="503">
          <cell r="D503">
            <v>114301071</v>
          </cell>
          <cell r="E503" t="str">
            <v>伯希和/PELLIOT</v>
          </cell>
          <cell r="F503" t="str">
            <v>服装-外套-冲锋衣</v>
          </cell>
          <cell r="G503" t="str">
            <v>一品多商</v>
          </cell>
          <cell r="H503" t="str">
            <v>品牌直发</v>
          </cell>
          <cell r="I503">
            <v>0</v>
          </cell>
        </row>
        <row r="504">
          <cell r="D504">
            <v>114408277</v>
          </cell>
          <cell r="E504" t="str">
            <v>伯希和/PELLIOT</v>
          </cell>
          <cell r="F504" t="str">
            <v>服装-外套-羽绒服</v>
          </cell>
          <cell r="G504" t="str">
            <v>一品多商</v>
          </cell>
          <cell r="H504" t="str">
            <v>品牌直发</v>
          </cell>
          <cell r="I504">
            <v>0</v>
          </cell>
        </row>
        <row r="505">
          <cell r="D505">
            <v>134401045</v>
          </cell>
          <cell r="E505" t="str">
            <v>伯希和/PELLIOT</v>
          </cell>
          <cell r="F505" t="str">
            <v>童装-儿童上装-冲锋衣</v>
          </cell>
          <cell r="G505" t="str">
            <v>一品一商</v>
          </cell>
          <cell r="H505" t="str">
            <v>品牌直发</v>
          </cell>
          <cell r="I505">
            <v>0</v>
          </cell>
        </row>
        <row r="506">
          <cell r="D506">
            <v>124403126</v>
          </cell>
          <cell r="E506" t="str">
            <v>伯希和/PELLIOT</v>
          </cell>
          <cell r="F506" t="str">
            <v>服装-户外运动服-滑雪衣</v>
          </cell>
          <cell r="G506" t="str">
            <v>一品一商</v>
          </cell>
          <cell r="H506" t="str">
            <v>品牌直发</v>
          </cell>
          <cell r="I506">
            <v>0</v>
          </cell>
        </row>
        <row r="507">
          <cell r="D507">
            <v>114408273</v>
          </cell>
          <cell r="E507" t="str">
            <v>伯希和/PELLIOT</v>
          </cell>
          <cell r="F507" t="str">
            <v>服装-外套-羽绒服</v>
          </cell>
          <cell r="G507" t="str">
            <v>一品多商</v>
          </cell>
          <cell r="H507" t="str">
            <v>品牌直发</v>
          </cell>
          <cell r="I507">
            <v>0</v>
          </cell>
        </row>
        <row r="508">
          <cell r="D508">
            <v>134408270</v>
          </cell>
          <cell r="E508" t="str">
            <v>伯希和/PELLIOT</v>
          </cell>
          <cell r="F508" t="str">
            <v>童装-儿童上装-羽绒服</v>
          </cell>
          <cell r="G508" t="str">
            <v>一品一商</v>
          </cell>
          <cell r="H508" t="str">
            <v>品牌直发</v>
          </cell>
          <cell r="I508">
            <v>0</v>
          </cell>
        </row>
        <row r="509">
          <cell r="D509" t="str">
            <v>PE124408260</v>
          </cell>
          <cell r="E509" t="str">
            <v>伯希和/PELLIOT</v>
          </cell>
          <cell r="F509" t="str">
            <v>女装-外套-羽绒服</v>
          </cell>
          <cell r="G509" t="str">
            <v>一品多商</v>
          </cell>
          <cell r="H509" t="str">
            <v>品牌直发</v>
          </cell>
          <cell r="I509">
            <v>0</v>
          </cell>
        </row>
        <row r="510">
          <cell r="D510">
            <v>124408240</v>
          </cell>
          <cell r="E510" t="str">
            <v>伯希和/PELLIOT</v>
          </cell>
          <cell r="F510" t="str">
            <v>服装-外套-羽绒服</v>
          </cell>
          <cell r="G510" t="str">
            <v>一品多商</v>
          </cell>
          <cell r="H510" t="str">
            <v>品牌直发</v>
          </cell>
          <cell r="I510">
            <v>0</v>
          </cell>
        </row>
        <row r="511">
          <cell r="D511" t="str">
            <v>PE114401055</v>
          </cell>
          <cell r="E511" t="str">
            <v>伯希和/PELLIOT</v>
          </cell>
          <cell r="F511" t="str">
            <v>服装-外套-冲锋衣</v>
          </cell>
          <cell r="G511" t="str">
            <v>一品一商</v>
          </cell>
          <cell r="H511" t="str">
            <v>品牌直发</v>
          </cell>
          <cell r="I511">
            <v>0</v>
          </cell>
        </row>
        <row r="512">
          <cell r="D512" t="str">
            <v>PE124408278</v>
          </cell>
          <cell r="E512" t="str">
            <v>伯希和/PELLIOT</v>
          </cell>
          <cell r="F512" t="str">
            <v>女装-外套-羽绒服</v>
          </cell>
          <cell r="G512" t="str">
            <v>一品多商</v>
          </cell>
          <cell r="H512" t="str">
            <v>品牌直发</v>
          </cell>
          <cell r="I512">
            <v>0</v>
          </cell>
        </row>
        <row r="513">
          <cell r="D513">
            <v>134301043</v>
          </cell>
          <cell r="E513" t="str">
            <v>伯希和/PELLIOT</v>
          </cell>
          <cell r="F513" t="str">
            <v>童装-儿童上装-冲锋衣</v>
          </cell>
          <cell r="G513" t="str">
            <v>一品一商</v>
          </cell>
          <cell r="H513" t="str">
            <v>品牌直发</v>
          </cell>
          <cell r="I513">
            <v>0</v>
          </cell>
        </row>
        <row r="514">
          <cell r="D514" t="str">
            <v>PE124315434</v>
          </cell>
          <cell r="E514" t="str">
            <v>伯希和/PELLIOT</v>
          </cell>
          <cell r="F514" t="str">
            <v>女装-上衣-T恤</v>
          </cell>
          <cell r="G514" t="str">
            <v>一品一商</v>
          </cell>
          <cell r="H514" t="str">
            <v>品牌直发</v>
          </cell>
          <cell r="I514">
            <v>0</v>
          </cell>
        </row>
        <row r="515">
          <cell r="D515" t="str">
            <v>PE114315433</v>
          </cell>
          <cell r="E515" t="str">
            <v>伯希和/PELLIOT</v>
          </cell>
          <cell r="F515" t="str">
            <v>服装-户外运动服-抓绒衣</v>
          </cell>
          <cell r="G515" t="str">
            <v>一品一商</v>
          </cell>
          <cell r="H515" t="str">
            <v>品牌直发</v>
          </cell>
          <cell r="I515">
            <v>0</v>
          </cell>
        </row>
        <row r="516">
          <cell r="D516" t="str">
            <v>PE124310192</v>
          </cell>
          <cell r="E516" t="str">
            <v>伯希和/PELLIOT</v>
          </cell>
          <cell r="F516" t="str">
            <v>女装-户外运动服-抓绒衣</v>
          </cell>
          <cell r="G516" t="str">
            <v>一品多商</v>
          </cell>
          <cell r="H516" t="str">
            <v>品牌直发</v>
          </cell>
          <cell r="I516">
            <v>0</v>
          </cell>
        </row>
        <row r="517">
          <cell r="D517">
            <v>134409343</v>
          </cell>
          <cell r="E517" t="str">
            <v>伯希和/PELLIOT</v>
          </cell>
          <cell r="F517" t="str">
            <v>童装-儿童下装-儿童运动裤</v>
          </cell>
          <cell r="G517" t="str">
            <v>一品一商</v>
          </cell>
          <cell r="H517" t="str">
            <v>品牌直发</v>
          </cell>
          <cell r="I517">
            <v>0</v>
          </cell>
        </row>
        <row r="518">
          <cell r="D518">
            <v>114311235</v>
          </cell>
          <cell r="E518" t="str">
            <v>伯希和/PELLIOT</v>
          </cell>
          <cell r="F518" t="str">
            <v>服装-长裤-休闲裤</v>
          </cell>
          <cell r="G518" t="str">
            <v>一品一商</v>
          </cell>
          <cell r="H518" t="str">
            <v>品牌直发</v>
          </cell>
          <cell r="I518">
            <v>0</v>
          </cell>
        </row>
        <row r="519">
          <cell r="D519">
            <v>134301049</v>
          </cell>
          <cell r="E519" t="str">
            <v>伯希和/PELLIOT</v>
          </cell>
          <cell r="F519" t="str">
            <v>童装-儿童上装-冲锋衣</v>
          </cell>
          <cell r="G519" t="str">
            <v>一品一商</v>
          </cell>
          <cell r="H519" t="str">
            <v>品牌直发</v>
          </cell>
          <cell r="I519">
            <v>0</v>
          </cell>
        </row>
        <row r="520">
          <cell r="D520">
            <v>134408267</v>
          </cell>
          <cell r="E520" t="str">
            <v>伯希和/PELLIOT</v>
          </cell>
          <cell r="F520" t="str">
            <v>童装-儿童上装-羽绒服</v>
          </cell>
          <cell r="G520" t="str">
            <v>一品一商</v>
          </cell>
          <cell r="H520" t="str">
            <v>品牌直发</v>
          </cell>
          <cell r="I520">
            <v>0</v>
          </cell>
        </row>
        <row r="521">
          <cell r="D521">
            <v>134306146</v>
          </cell>
          <cell r="E521" t="str">
            <v>伯希和/PELLIOT</v>
          </cell>
          <cell r="F521" t="str">
            <v>童装-儿童上装-夹克</v>
          </cell>
          <cell r="G521" t="str">
            <v>一品多商</v>
          </cell>
          <cell r="H521" t="str">
            <v>品牌直发</v>
          </cell>
          <cell r="I521">
            <v>0</v>
          </cell>
        </row>
        <row r="522">
          <cell r="D522">
            <v>114408265</v>
          </cell>
          <cell r="E522" t="str">
            <v>伯希和/PELLIOT</v>
          </cell>
          <cell r="F522" t="str">
            <v>服装-外套-羽绒服</v>
          </cell>
          <cell r="G522" t="str">
            <v>一品多商</v>
          </cell>
          <cell r="H522" t="str">
            <v>品牌直发</v>
          </cell>
          <cell r="I522">
            <v>0</v>
          </cell>
        </row>
        <row r="523">
          <cell r="D523">
            <v>114319017</v>
          </cell>
          <cell r="E523" t="str">
            <v>伯希和/PELLIOT</v>
          </cell>
          <cell r="F523" t="str">
            <v>鞋-运动鞋-登山鞋/徒步鞋</v>
          </cell>
          <cell r="G523" t="str">
            <v>一品一商</v>
          </cell>
          <cell r="H523" t="str">
            <v>品牌直发</v>
          </cell>
          <cell r="I523">
            <v>0</v>
          </cell>
        </row>
        <row r="524">
          <cell r="D524" t="str">
            <v>PE124408256</v>
          </cell>
          <cell r="E524" t="str">
            <v>伯希和/PELLIOT</v>
          </cell>
          <cell r="F524" t="str">
            <v>女装-外套-羽绒服</v>
          </cell>
          <cell r="G524" t="str">
            <v>一品多商</v>
          </cell>
          <cell r="H524" t="str">
            <v>品牌直发</v>
          </cell>
          <cell r="I524">
            <v>0</v>
          </cell>
        </row>
        <row r="525">
          <cell r="D525">
            <v>114408255</v>
          </cell>
          <cell r="E525" t="str">
            <v>伯希和/PELLIOT</v>
          </cell>
          <cell r="F525" t="str">
            <v>服装-外套-羽绒服</v>
          </cell>
          <cell r="G525" t="str">
            <v>一品多商</v>
          </cell>
          <cell r="H525" t="str">
            <v>品牌直发</v>
          </cell>
          <cell r="I525">
            <v>0</v>
          </cell>
        </row>
        <row r="526">
          <cell r="D526">
            <v>124408258</v>
          </cell>
          <cell r="E526" t="str">
            <v>伯希和/PELLIOT</v>
          </cell>
          <cell r="F526" t="str">
            <v>女装-外套-羽绒服</v>
          </cell>
          <cell r="G526" t="str">
            <v>一品多商</v>
          </cell>
          <cell r="H526" t="str">
            <v>品牌直发</v>
          </cell>
          <cell r="I526">
            <v>0</v>
          </cell>
        </row>
        <row r="527">
          <cell r="D527">
            <v>114401069</v>
          </cell>
          <cell r="E527" t="str">
            <v>伯希和/PELLIOT</v>
          </cell>
          <cell r="F527" t="str">
            <v>服装-外套-冲锋衣</v>
          </cell>
          <cell r="G527" t="str">
            <v>一品一商</v>
          </cell>
          <cell r="H527" t="str">
            <v>品牌直发</v>
          </cell>
          <cell r="I527">
            <v>0</v>
          </cell>
        </row>
        <row r="528">
          <cell r="D528">
            <v>114301015</v>
          </cell>
          <cell r="E528" t="str">
            <v>伯希和/PELLIOT</v>
          </cell>
          <cell r="F528" t="str">
            <v>服装-外套-冲锋衣</v>
          </cell>
          <cell r="G528" t="str">
            <v>一品多商</v>
          </cell>
          <cell r="H528" t="str">
            <v>品牌直发</v>
          </cell>
          <cell r="I528">
            <v>0</v>
          </cell>
        </row>
        <row r="529">
          <cell r="D529">
            <v>124311236</v>
          </cell>
          <cell r="E529" t="str">
            <v>伯希和/PELLIOT</v>
          </cell>
          <cell r="F529" t="str">
            <v>女装-户外运动服-抓绒裤</v>
          </cell>
          <cell r="G529" t="str">
            <v>一品一商</v>
          </cell>
          <cell r="H529" t="str">
            <v>品牌直发</v>
          </cell>
          <cell r="I529">
            <v>0</v>
          </cell>
        </row>
        <row r="530">
          <cell r="D530">
            <v>114408251</v>
          </cell>
          <cell r="E530" t="str">
            <v>伯希和/PELLIOT</v>
          </cell>
          <cell r="F530" t="str">
            <v>服装-外套-羽绒服</v>
          </cell>
          <cell r="G530" t="str">
            <v>一品一商</v>
          </cell>
          <cell r="H530" t="str">
            <v>品牌直发</v>
          </cell>
          <cell r="I530">
            <v>0</v>
          </cell>
        </row>
        <row r="531">
          <cell r="D531" t="str">
            <v>PE124408250</v>
          </cell>
          <cell r="E531" t="str">
            <v>伯希和/PELLIOT</v>
          </cell>
          <cell r="F531" t="str">
            <v>女装-外套-羽绒服</v>
          </cell>
          <cell r="G531" t="str">
            <v>一品一商</v>
          </cell>
          <cell r="H531" t="str">
            <v>品牌直发</v>
          </cell>
          <cell r="I531">
            <v>0</v>
          </cell>
        </row>
        <row r="532">
          <cell r="D532">
            <v>114409341</v>
          </cell>
          <cell r="E532" t="str">
            <v>伯希和/PELLIOT</v>
          </cell>
          <cell r="F532" t="str">
            <v>服装-长裤-羽绒裤</v>
          </cell>
          <cell r="G532" t="str">
            <v>一品多商</v>
          </cell>
          <cell r="H532" t="str">
            <v>品牌直发</v>
          </cell>
          <cell r="I532">
            <v>0</v>
          </cell>
        </row>
        <row r="533">
          <cell r="D533">
            <v>124304118</v>
          </cell>
          <cell r="E533" t="str">
            <v>伯希和/PELLIOT</v>
          </cell>
          <cell r="F533" t="str">
            <v>服装-户外运动服-滑雪裤</v>
          </cell>
          <cell r="G533" t="str">
            <v>一品多商</v>
          </cell>
          <cell r="H533" t="str">
            <v>品牌直发</v>
          </cell>
          <cell r="I533">
            <v>0</v>
          </cell>
        </row>
        <row r="534">
          <cell r="D534" t="str">
            <v>PE124404116</v>
          </cell>
          <cell r="E534" t="str">
            <v>伯希和/PELLIOT</v>
          </cell>
          <cell r="F534" t="str">
            <v>服装-户外运动服-滑雪裤</v>
          </cell>
          <cell r="G534" t="str">
            <v>一品多商</v>
          </cell>
          <cell r="H534" t="str">
            <v>品牌直发</v>
          </cell>
          <cell r="I534">
            <v>0</v>
          </cell>
        </row>
        <row r="535">
          <cell r="D535" t="str">
            <v>PE124310194</v>
          </cell>
          <cell r="E535" t="str">
            <v>伯希和/PELLIOT</v>
          </cell>
          <cell r="F535" t="str">
            <v>女装-户外运动服-抓绒衣</v>
          </cell>
          <cell r="G535" t="str">
            <v>一品一商</v>
          </cell>
          <cell r="H535" t="str">
            <v>品牌直发</v>
          </cell>
          <cell r="I535">
            <v>0</v>
          </cell>
        </row>
        <row r="536">
          <cell r="D536">
            <v>124408252</v>
          </cell>
          <cell r="E536" t="str">
            <v>伯希和/PELLIOT</v>
          </cell>
          <cell r="F536" t="str">
            <v>女装-外套-羽绒服</v>
          </cell>
          <cell r="G536" t="str">
            <v>一品多商</v>
          </cell>
          <cell r="H536" t="str">
            <v>品牌直发</v>
          </cell>
          <cell r="I536">
            <v>0</v>
          </cell>
        </row>
        <row r="537">
          <cell r="D537">
            <v>114351091</v>
          </cell>
          <cell r="E537" t="str">
            <v>伯希和/PELLIOT</v>
          </cell>
          <cell r="F537" t="str">
            <v>服装-外套-软壳衣</v>
          </cell>
          <cell r="G537" t="str">
            <v>一品多商</v>
          </cell>
          <cell r="H537" t="str">
            <v>品牌直发</v>
          </cell>
          <cell r="I537">
            <v>0</v>
          </cell>
        </row>
        <row r="538">
          <cell r="D538">
            <v>124310184</v>
          </cell>
          <cell r="E538" t="str">
            <v>伯希和/PELLIOT</v>
          </cell>
          <cell r="F538" t="str">
            <v>女装-上衣-卫衣</v>
          </cell>
          <cell r="G538" t="str">
            <v>一品一商</v>
          </cell>
          <cell r="H538" t="str">
            <v>品牌直发</v>
          </cell>
          <cell r="I538">
            <v>0</v>
          </cell>
        </row>
        <row r="539">
          <cell r="D539">
            <v>124377366</v>
          </cell>
          <cell r="E539" t="str">
            <v>伯希和/PELLIOT</v>
          </cell>
          <cell r="F539" t="str">
            <v>内衣-内衣裤-保暖裤</v>
          </cell>
          <cell r="G539" t="str">
            <v>一品一商</v>
          </cell>
          <cell r="H539" t="str">
            <v>品牌直发</v>
          </cell>
          <cell r="I539">
            <v>0</v>
          </cell>
        </row>
        <row r="540">
          <cell r="D540">
            <v>114315395</v>
          </cell>
          <cell r="E540" t="str">
            <v>伯希和/PELLIOT</v>
          </cell>
          <cell r="F540" t="str">
            <v>服装-户外运动服-速干衣</v>
          </cell>
          <cell r="G540" t="str">
            <v>一品一商</v>
          </cell>
          <cell r="H540" t="str">
            <v>品牌直发</v>
          </cell>
          <cell r="I540">
            <v>0</v>
          </cell>
        </row>
        <row r="541">
          <cell r="D541">
            <v>164334001</v>
          </cell>
          <cell r="E541" t="str">
            <v>伯希和/PELLIOT</v>
          </cell>
          <cell r="F541" t="str">
            <v>流行饰品/眼镜/服配-帽子-其他帽子</v>
          </cell>
          <cell r="G541" t="str">
            <v>一品一商</v>
          </cell>
          <cell r="H541" t="str">
            <v>品牌直发</v>
          </cell>
          <cell r="I541">
            <v>0</v>
          </cell>
        </row>
        <row r="542">
          <cell r="D542">
            <v>124315398</v>
          </cell>
          <cell r="E542" t="str">
            <v>伯希和/PELLIOT</v>
          </cell>
          <cell r="F542" t="str">
            <v>女装-上衣-T恤</v>
          </cell>
          <cell r="G542" t="str">
            <v>一品多商</v>
          </cell>
          <cell r="H542" t="str">
            <v>品牌直发</v>
          </cell>
          <cell r="I542">
            <v>0</v>
          </cell>
        </row>
        <row r="543">
          <cell r="D543">
            <v>124301080</v>
          </cell>
          <cell r="E543" t="str">
            <v>伯希和/PELLIOT</v>
          </cell>
          <cell r="F543" t="str">
            <v>女装-外套-冲锋衣</v>
          </cell>
          <cell r="G543" t="str">
            <v>一品多商</v>
          </cell>
          <cell r="H543" t="str">
            <v>品牌直发</v>
          </cell>
          <cell r="I543">
            <v>0</v>
          </cell>
        </row>
        <row r="544">
          <cell r="D544" t="str">
            <v>PE124306152</v>
          </cell>
          <cell r="E544" t="str">
            <v>伯希和/PELLIOT</v>
          </cell>
          <cell r="F544" t="str">
            <v>女装-外套-软壳衣</v>
          </cell>
          <cell r="G544" t="str">
            <v>一品多商</v>
          </cell>
          <cell r="H544" t="str">
            <v>品牌直发</v>
          </cell>
          <cell r="I544">
            <v>0</v>
          </cell>
        </row>
        <row r="545">
          <cell r="D545">
            <v>124311234</v>
          </cell>
          <cell r="E545" t="str">
            <v>伯希和/PELLIOT</v>
          </cell>
          <cell r="F545" t="str">
            <v>女装-户外运动服-抓绒裤</v>
          </cell>
          <cell r="G545" t="str">
            <v>一品多商</v>
          </cell>
          <cell r="H545" t="str">
            <v>品牌直发</v>
          </cell>
          <cell r="I545">
            <v>0</v>
          </cell>
        </row>
        <row r="546">
          <cell r="D546">
            <v>124408246</v>
          </cell>
          <cell r="E546" t="str">
            <v>伯希和/PELLIOT</v>
          </cell>
          <cell r="F546" t="str">
            <v>女装-外套-羽绒服</v>
          </cell>
          <cell r="G546" t="str">
            <v>一品多商</v>
          </cell>
          <cell r="H546" t="str">
            <v>品牌直发</v>
          </cell>
          <cell r="I546">
            <v>0</v>
          </cell>
        </row>
        <row r="547">
          <cell r="D547" t="str">
            <v>PE114401009</v>
          </cell>
          <cell r="E547" t="str">
            <v>伯希和/PELLIOT</v>
          </cell>
          <cell r="F547" t="str">
            <v>服装-外套-冲锋衣</v>
          </cell>
          <cell r="G547" t="str">
            <v>一品多商</v>
          </cell>
          <cell r="H547" t="str">
            <v>品牌直发</v>
          </cell>
          <cell r="I547">
            <v>0</v>
          </cell>
        </row>
        <row r="548">
          <cell r="D548">
            <v>114408249</v>
          </cell>
          <cell r="E548" t="str">
            <v>伯希和/PELLIOT</v>
          </cell>
          <cell r="F548" t="str">
            <v>服装-外套-羽绒服</v>
          </cell>
          <cell r="G548" t="str">
            <v>一品多商</v>
          </cell>
          <cell r="H548" t="str">
            <v>品牌直发</v>
          </cell>
          <cell r="I548">
            <v>0</v>
          </cell>
        </row>
        <row r="549">
          <cell r="D549" t="str">
            <v>124419010经典黑</v>
          </cell>
          <cell r="E549" t="str">
            <v>伯希和/PELLIOT</v>
          </cell>
          <cell r="F549" t="str">
            <v>鞋-运动鞋-登山鞋/徒步鞋</v>
          </cell>
          <cell r="G549" t="str">
            <v>一品一商</v>
          </cell>
          <cell r="H549" t="str">
            <v>品牌直发</v>
          </cell>
          <cell r="I549">
            <v>0</v>
          </cell>
        </row>
        <row r="550">
          <cell r="D550">
            <v>124318426</v>
          </cell>
          <cell r="E550" t="str">
            <v>伯希和/PELLIOT</v>
          </cell>
          <cell r="F550" t="str">
            <v>内衣-内衣裤-保暖套装</v>
          </cell>
          <cell r="G550" t="str">
            <v>一品一商</v>
          </cell>
          <cell r="H550" t="str">
            <v>普通现货</v>
          </cell>
          <cell r="I550">
            <v>0</v>
          </cell>
        </row>
        <row r="551">
          <cell r="D551">
            <v>124408244</v>
          </cell>
          <cell r="E551" t="str">
            <v>伯希和/PELLIOT</v>
          </cell>
          <cell r="F551" t="str">
            <v>服装-外套-羽绒服</v>
          </cell>
          <cell r="G551" t="str">
            <v>一品多商</v>
          </cell>
          <cell r="H551" t="str">
            <v>品牌直发</v>
          </cell>
          <cell r="I551">
            <v>0</v>
          </cell>
        </row>
        <row r="552">
          <cell r="D552">
            <v>114306151</v>
          </cell>
          <cell r="E552" t="str">
            <v>伯希和/PELLIOT</v>
          </cell>
          <cell r="F552" t="str">
            <v>服装-外套-软壳衣</v>
          </cell>
          <cell r="G552" t="str">
            <v>一品多商</v>
          </cell>
          <cell r="H552" t="str">
            <v>品牌直发</v>
          </cell>
          <cell r="I552">
            <v>0</v>
          </cell>
        </row>
        <row r="553">
          <cell r="D553">
            <v>124401042</v>
          </cell>
          <cell r="E553" t="str">
            <v>伯希和/PELLIOT</v>
          </cell>
          <cell r="F553" t="str">
            <v>女装-外套-冲锋衣</v>
          </cell>
          <cell r="G553" t="str">
            <v>一品多商</v>
          </cell>
          <cell r="H553" t="str">
            <v>品牌直发</v>
          </cell>
          <cell r="I553">
            <v>0</v>
          </cell>
        </row>
        <row r="554">
          <cell r="D554">
            <v>114401041</v>
          </cell>
          <cell r="E554" t="str">
            <v>伯希和/PELLIOT</v>
          </cell>
          <cell r="F554" t="str">
            <v>服装-外套-冲锋衣</v>
          </cell>
          <cell r="G554" t="str">
            <v>一品多商</v>
          </cell>
          <cell r="H554" t="str">
            <v>品牌直发</v>
          </cell>
          <cell r="I554">
            <v>0</v>
          </cell>
        </row>
        <row r="555">
          <cell r="D555">
            <v>124376410</v>
          </cell>
          <cell r="E555" t="str">
            <v>伯希和/PELLIOT</v>
          </cell>
          <cell r="F555" t="str">
            <v>服装-外套-棉服</v>
          </cell>
          <cell r="G555" t="str">
            <v>一品多商</v>
          </cell>
          <cell r="H555" t="str">
            <v>品牌直发</v>
          </cell>
          <cell r="I555">
            <v>0</v>
          </cell>
        </row>
        <row r="556">
          <cell r="D556">
            <v>124419012</v>
          </cell>
          <cell r="E556" t="str">
            <v>伯希和/PELLIOT</v>
          </cell>
          <cell r="F556" t="str">
            <v>鞋-运动鞋-登山鞋/徒步鞋</v>
          </cell>
          <cell r="G556" t="str">
            <v>一品一商</v>
          </cell>
          <cell r="H556" t="str">
            <v>品牌直发</v>
          </cell>
          <cell r="I556">
            <v>0</v>
          </cell>
        </row>
        <row r="557">
          <cell r="D557">
            <v>114419011</v>
          </cell>
          <cell r="E557" t="str">
            <v>伯希和/PELLIOT</v>
          </cell>
          <cell r="F557" t="str">
            <v>鞋-运动鞋-登山鞋/徒步鞋</v>
          </cell>
          <cell r="G557" t="str">
            <v>一品一商</v>
          </cell>
          <cell r="H557" t="str">
            <v>品牌直发</v>
          </cell>
          <cell r="I557">
            <v>0</v>
          </cell>
        </row>
        <row r="558">
          <cell r="D558">
            <v>114311233</v>
          </cell>
          <cell r="E558" t="str">
            <v>伯希和/PELLIOT</v>
          </cell>
          <cell r="F558" t="str">
            <v>服装-户外运动服-抓绒裤</v>
          </cell>
          <cell r="G558" t="str">
            <v>一品多商</v>
          </cell>
          <cell r="H558" t="str">
            <v>品牌直发</v>
          </cell>
          <cell r="I558">
            <v>0</v>
          </cell>
        </row>
        <row r="559">
          <cell r="D559">
            <v>114408241</v>
          </cell>
          <cell r="E559" t="str">
            <v>伯希和/PELLIOT</v>
          </cell>
          <cell r="F559" t="str">
            <v>服装-外套-羽绒马甲</v>
          </cell>
          <cell r="G559" t="str">
            <v>一品多商</v>
          </cell>
          <cell r="H559" t="str">
            <v>品牌直发</v>
          </cell>
          <cell r="I559">
            <v>0</v>
          </cell>
        </row>
        <row r="560">
          <cell r="D560">
            <v>134408269</v>
          </cell>
          <cell r="E560" t="str">
            <v>伯希和/PELLIOT</v>
          </cell>
          <cell r="F560" t="str">
            <v>童装-儿童上装-羽绒服</v>
          </cell>
          <cell r="G560" t="str">
            <v>一品一商</v>
          </cell>
          <cell r="H560" t="str">
            <v>品牌直发</v>
          </cell>
          <cell r="I560">
            <v>0</v>
          </cell>
        </row>
        <row r="561">
          <cell r="D561">
            <v>124408268</v>
          </cell>
          <cell r="E561" t="str">
            <v>伯希和/PELLIOT</v>
          </cell>
          <cell r="F561" t="str">
            <v>女装-外套-羽绒服</v>
          </cell>
          <cell r="G561" t="str">
            <v>一品多商</v>
          </cell>
          <cell r="H561" t="str">
            <v>品牌直发</v>
          </cell>
          <cell r="I561">
            <v>0</v>
          </cell>
        </row>
        <row r="562">
          <cell r="D562">
            <v>114408245</v>
          </cell>
          <cell r="E562" t="str">
            <v>伯希和/PELLIOT</v>
          </cell>
          <cell r="F562" t="str">
            <v>服装-外套-羽绒马甲</v>
          </cell>
          <cell r="G562" t="str">
            <v>一品多商</v>
          </cell>
          <cell r="H562" t="str">
            <v>品牌直发</v>
          </cell>
          <cell r="I562">
            <v>0</v>
          </cell>
        </row>
        <row r="563">
          <cell r="D563">
            <v>124376130</v>
          </cell>
          <cell r="E563" t="str">
            <v>伯希和/PELLIOT</v>
          </cell>
          <cell r="F563" t="str">
            <v>女装-外套-棉服</v>
          </cell>
          <cell r="G563" t="str">
            <v>一品多商</v>
          </cell>
          <cell r="H563" t="str">
            <v>品牌直发</v>
          </cell>
          <cell r="I563">
            <v>0</v>
          </cell>
        </row>
        <row r="564">
          <cell r="D564">
            <v>114310189</v>
          </cell>
          <cell r="E564" t="str">
            <v>伯希和/PELLIOT</v>
          </cell>
          <cell r="F564" t="str">
            <v>服装-户外运动服-抓绒衣</v>
          </cell>
          <cell r="G564" t="str">
            <v>一品一商</v>
          </cell>
          <cell r="H564" t="str">
            <v>品牌直发</v>
          </cell>
          <cell r="I564">
            <v>0</v>
          </cell>
        </row>
        <row r="565">
          <cell r="D565">
            <v>124420014</v>
          </cell>
          <cell r="E565" t="str">
            <v>伯希和/PELLIOT</v>
          </cell>
          <cell r="F565" t="str">
            <v>鞋-潮流休闲鞋-生活休闲鞋</v>
          </cell>
          <cell r="G565" t="str">
            <v>一品一商</v>
          </cell>
          <cell r="H565" t="str">
            <v>品牌直发</v>
          </cell>
          <cell r="I565">
            <v>0</v>
          </cell>
        </row>
        <row r="566">
          <cell r="D566">
            <v>124315394</v>
          </cell>
          <cell r="E566" t="str">
            <v>伯希和/PELLIOT</v>
          </cell>
          <cell r="F566" t="str">
            <v>女装-上衣-T恤</v>
          </cell>
          <cell r="G566" t="str">
            <v>一品一商</v>
          </cell>
          <cell r="H566" t="str">
            <v>品牌直发</v>
          </cell>
          <cell r="I566">
            <v>0</v>
          </cell>
        </row>
        <row r="567">
          <cell r="D567">
            <v>124307170</v>
          </cell>
          <cell r="E567" t="str">
            <v>伯希和/PELLIOT</v>
          </cell>
          <cell r="F567" t="str">
            <v>女装-长裤-软壳裤</v>
          </cell>
          <cell r="G567" t="str">
            <v>一品多商</v>
          </cell>
          <cell r="H567" t="str">
            <v>品牌直发</v>
          </cell>
          <cell r="I567">
            <v>0</v>
          </cell>
        </row>
        <row r="568">
          <cell r="D568">
            <v>114315393</v>
          </cell>
          <cell r="E568" t="str">
            <v>伯希和/PELLIOT</v>
          </cell>
          <cell r="F568" t="str">
            <v>服装-上衣-T恤</v>
          </cell>
          <cell r="G568" t="str">
            <v>一品多商</v>
          </cell>
          <cell r="H568" t="str">
            <v>品牌直发</v>
          </cell>
          <cell r="I568">
            <v>0</v>
          </cell>
        </row>
        <row r="569">
          <cell r="D569">
            <v>124318424</v>
          </cell>
          <cell r="E569" t="str">
            <v>伯希和/PELLIOT</v>
          </cell>
          <cell r="F569" t="str">
            <v>内衣-内衣裤-保暖套装</v>
          </cell>
          <cell r="G569" t="str">
            <v>一品一商</v>
          </cell>
          <cell r="H569" t="str">
            <v>品牌直发</v>
          </cell>
          <cell r="I569">
            <v>0</v>
          </cell>
        </row>
        <row r="570">
          <cell r="D570">
            <v>134307173</v>
          </cell>
          <cell r="E570" t="str">
            <v>伯希和/PELLIOT</v>
          </cell>
          <cell r="F570" t="str">
            <v>童装-儿童下装-儿童运动裤</v>
          </cell>
          <cell r="G570" t="str">
            <v>一品一商</v>
          </cell>
          <cell r="H570" t="str">
            <v>品牌直发</v>
          </cell>
          <cell r="I570">
            <v>0</v>
          </cell>
        </row>
        <row r="571">
          <cell r="D571">
            <v>134310199</v>
          </cell>
          <cell r="E571" t="str">
            <v>伯希和/PELLIOT</v>
          </cell>
          <cell r="F571" t="str">
            <v>童装-儿童上装-卫衣</v>
          </cell>
          <cell r="G571" t="str">
            <v>一品一商</v>
          </cell>
          <cell r="H571" t="str">
            <v>品牌直发</v>
          </cell>
          <cell r="I571">
            <v>0</v>
          </cell>
        </row>
        <row r="572">
          <cell r="D572">
            <v>124307162</v>
          </cell>
          <cell r="E572" t="str">
            <v>伯希和/PELLIOT</v>
          </cell>
          <cell r="F572" t="str">
            <v>女装-长裤-软壳裤</v>
          </cell>
          <cell r="G572" t="str">
            <v>一品多商</v>
          </cell>
          <cell r="H572" t="str">
            <v>品牌直发</v>
          </cell>
          <cell r="I572">
            <v>0</v>
          </cell>
        </row>
        <row r="573">
          <cell r="D573">
            <v>114376129</v>
          </cell>
          <cell r="E573" t="str">
            <v>伯希和/PELLIOT</v>
          </cell>
          <cell r="F573" t="str">
            <v>服装-外套-棉服</v>
          </cell>
          <cell r="G573" t="str">
            <v>一品多商</v>
          </cell>
          <cell r="H573" t="str">
            <v>品牌直发</v>
          </cell>
          <cell r="I573">
            <v>0</v>
          </cell>
        </row>
        <row r="574">
          <cell r="D574">
            <v>114301065</v>
          </cell>
          <cell r="E574" t="str">
            <v>伯希和/PELLIOT</v>
          </cell>
          <cell r="F574" t="str">
            <v>服装-外套-冲锋衣</v>
          </cell>
          <cell r="G574" t="str">
            <v>一品一商</v>
          </cell>
          <cell r="H574" t="str">
            <v>品牌直发</v>
          </cell>
          <cell r="I574">
            <v>0</v>
          </cell>
        </row>
        <row r="575">
          <cell r="D575">
            <v>134310200</v>
          </cell>
          <cell r="E575" t="str">
            <v>伯希和/PELLIOT</v>
          </cell>
          <cell r="F575" t="str">
            <v>童装-儿童上装-夹克</v>
          </cell>
          <cell r="G575" t="str">
            <v>一品一商</v>
          </cell>
          <cell r="H575" t="str">
            <v>品牌直发</v>
          </cell>
          <cell r="I575">
            <v>0</v>
          </cell>
        </row>
        <row r="576">
          <cell r="D576">
            <v>114307175</v>
          </cell>
          <cell r="E576" t="str">
            <v>伯希和/PELLIOT</v>
          </cell>
          <cell r="F576" t="str">
            <v>服装-长裤-软壳裤</v>
          </cell>
          <cell r="G576" t="str">
            <v>一品多商</v>
          </cell>
          <cell r="H576" t="str">
            <v>品牌直发</v>
          </cell>
          <cell r="I576">
            <v>0</v>
          </cell>
        </row>
        <row r="577">
          <cell r="D577">
            <v>114310201</v>
          </cell>
          <cell r="E577" t="str">
            <v>伯希和/PELLIOT</v>
          </cell>
          <cell r="F577" t="str">
            <v>服装-户外运动服-抓绒衣</v>
          </cell>
          <cell r="G577" t="str">
            <v>一品多商</v>
          </cell>
          <cell r="H577" t="str">
            <v>品牌直发</v>
          </cell>
          <cell r="I577">
            <v>0</v>
          </cell>
        </row>
        <row r="578">
          <cell r="D578">
            <v>11340305</v>
          </cell>
          <cell r="E578" t="str">
            <v>伯希和/PELLIOT</v>
          </cell>
          <cell r="F578" t="str">
            <v>服装-外套-棉服</v>
          </cell>
          <cell r="G578" t="str">
            <v>一品多商</v>
          </cell>
          <cell r="H578" t="str">
            <v>品牌直发</v>
          </cell>
          <cell r="I578">
            <v>0</v>
          </cell>
        </row>
        <row r="579">
          <cell r="D579">
            <v>114315385</v>
          </cell>
          <cell r="E579" t="str">
            <v>伯希和/PELLIOT</v>
          </cell>
          <cell r="F579" t="str">
            <v>服装-上衣-T恤</v>
          </cell>
          <cell r="G579" t="str">
            <v>一品多商</v>
          </cell>
          <cell r="H579" t="str">
            <v>品牌直发</v>
          </cell>
          <cell r="I579">
            <v>0</v>
          </cell>
        </row>
        <row r="580">
          <cell r="D580">
            <v>124315390</v>
          </cell>
          <cell r="E580" t="str">
            <v>伯希和/PELLIOT</v>
          </cell>
          <cell r="F580" t="str">
            <v>服装-户外运动服-速干衣</v>
          </cell>
          <cell r="G580" t="str">
            <v>一品一商</v>
          </cell>
          <cell r="H580" t="str">
            <v>品牌直发</v>
          </cell>
          <cell r="I580">
            <v>0</v>
          </cell>
        </row>
        <row r="581">
          <cell r="D581">
            <v>114314377</v>
          </cell>
          <cell r="E581" t="str">
            <v>伯希和/PELLIOT</v>
          </cell>
          <cell r="F581" t="str">
            <v>服装-长裤-软壳裤</v>
          </cell>
          <cell r="G581" t="str">
            <v>一品多商</v>
          </cell>
          <cell r="H581" t="str">
            <v>品牌直发</v>
          </cell>
          <cell r="I581">
            <v>0</v>
          </cell>
        </row>
        <row r="582">
          <cell r="D582">
            <v>124315386</v>
          </cell>
          <cell r="E582" t="str">
            <v>伯希和/PELLIOT</v>
          </cell>
          <cell r="F582" t="str">
            <v>女装-上衣-T恤</v>
          </cell>
          <cell r="G582" t="str">
            <v>一品一商</v>
          </cell>
          <cell r="H582" t="str">
            <v>品牌直发</v>
          </cell>
          <cell r="I582">
            <v>0</v>
          </cell>
        </row>
        <row r="583">
          <cell r="D583">
            <v>134301031</v>
          </cell>
          <cell r="E583" t="str">
            <v>伯希和/PELLIOT</v>
          </cell>
          <cell r="F583" t="str">
            <v>童装-儿童上装-冲锋衣</v>
          </cell>
          <cell r="G583" t="str">
            <v>一品一商</v>
          </cell>
          <cell r="H583" t="str">
            <v>品牌直发</v>
          </cell>
          <cell r="I583">
            <v>0</v>
          </cell>
        </row>
        <row r="584">
          <cell r="D584" t="str">
            <v>PE114307167</v>
          </cell>
          <cell r="E584" t="str">
            <v>伯希和/PELLIOT</v>
          </cell>
          <cell r="F584" t="str">
            <v>服装-长裤-软壳裤</v>
          </cell>
          <cell r="G584" t="str">
            <v>一品多商</v>
          </cell>
          <cell r="H584" t="str">
            <v>品牌直发</v>
          </cell>
          <cell r="I584">
            <v>0</v>
          </cell>
        </row>
        <row r="585">
          <cell r="D585">
            <v>114307169</v>
          </cell>
          <cell r="E585" t="str">
            <v>伯希和/PELLIOT</v>
          </cell>
          <cell r="F585" t="str">
            <v>服装-长裤-软壳裤</v>
          </cell>
          <cell r="G585" t="str">
            <v>一品多商</v>
          </cell>
          <cell r="H585" t="str">
            <v>品牌直发</v>
          </cell>
          <cell r="I585">
            <v>0</v>
          </cell>
        </row>
        <row r="586">
          <cell r="D586" t="str">
            <v>PE124306150</v>
          </cell>
          <cell r="E586" t="str">
            <v>伯希和/PELLIOT</v>
          </cell>
          <cell r="F586" t="str">
            <v>女装-外套-软壳衣</v>
          </cell>
          <cell r="G586" t="str">
            <v>一品一商</v>
          </cell>
          <cell r="H586" t="str">
            <v>品牌直发</v>
          </cell>
          <cell r="I586">
            <v>0</v>
          </cell>
        </row>
        <row r="587">
          <cell r="D587">
            <v>12421552</v>
          </cell>
          <cell r="E587" t="str">
            <v>伯希和/PELLIOT</v>
          </cell>
          <cell r="F587" t="str">
            <v>女装-上衣-Polo衫</v>
          </cell>
          <cell r="G587" t="str">
            <v>一品一商</v>
          </cell>
          <cell r="H587" t="str">
            <v>品牌直发</v>
          </cell>
          <cell r="I587">
            <v>0</v>
          </cell>
        </row>
        <row r="588">
          <cell r="D588">
            <v>114306149</v>
          </cell>
          <cell r="E588" t="str">
            <v>伯希和/PELLIOT</v>
          </cell>
          <cell r="F588" t="str">
            <v>服装-外套-软壳衣</v>
          </cell>
          <cell r="G588" t="str">
            <v>一品多商</v>
          </cell>
          <cell r="H588" t="str">
            <v>品牌直发</v>
          </cell>
          <cell r="I588">
            <v>0</v>
          </cell>
        </row>
        <row r="589">
          <cell r="D589">
            <v>164334406</v>
          </cell>
          <cell r="E589" t="str">
            <v>伯希和/PELLIOT</v>
          </cell>
          <cell r="F589" t="str">
            <v>流行饰品/眼镜/服配-帽子-其他帽子</v>
          </cell>
          <cell r="G589" t="str">
            <v>一品一商</v>
          </cell>
          <cell r="H589" t="str">
            <v>品牌直发</v>
          </cell>
          <cell r="I589">
            <v>0</v>
          </cell>
        </row>
        <row r="590">
          <cell r="D590" t="str">
            <v>PE124301004</v>
          </cell>
          <cell r="E590" t="str">
            <v>伯希和/PELLIOT</v>
          </cell>
          <cell r="F590" t="str">
            <v>服装-外套-冲锋衣</v>
          </cell>
          <cell r="G590" t="str">
            <v>一品多商</v>
          </cell>
          <cell r="H590" t="str">
            <v>品牌直发</v>
          </cell>
          <cell r="I590">
            <v>0</v>
          </cell>
        </row>
        <row r="591">
          <cell r="D591" t="str">
            <v>PE124302082</v>
          </cell>
          <cell r="E591" t="str">
            <v>伯希和/PELLIOT</v>
          </cell>
          <cell r="F591" t="str">
            <v>女装-长裤-冲锋裤</v>
          </cell>
          <cell r="G591" t="str">
            <v>一品多商</v>
          </cell>
          <cell r="H591" t="str">
            <v>品牌直发</v>
          </cell>
          <cell r="I591">
            <v>0</v>
          </cell>
        </row>
        <row r="592">
          <cell r="D592" t="str">
            <v>PE114376127</v>
          </cell>
          <cell r="E592" t="str">
            <v>伯希和/PELLIOT</v>
          </cell>
          <cell r="F592" t="str">
            <v>服装-外套-马甲</v>
          </cell>
          <cell r="G592" t="str">
            <v>一品多商</v>
          </cell>
          <cell r="H592" t="str">
            <v>品牌直发</v>
          </cell>
          <cell r="I592">
            <v>0</v>
          </cell>
        </row>
        <row r="593">
          <cell r="D593" t="str">
            <v>PE114310183</v>
          </cell>
          <cell r="E593" t="str">
            <v>伯希和/PELLIOT</v>
          </cell>
          <cell r="F593" t="str">
            <v>服装-户外运动服-抓绒衣</v>
          </cell>
          <cell r="G593" t="str">
            <v>一品一商</v>
          </cell>
          <cell r="H593" t="str">
            <v>品牌直发</v>
          </cell>
          <cell r="I593">
            <v>0</v>
          </cell>
        </row>
        <row r="594">
          <cell r="D594" t="str">
            <v>PE124315382</v>
          </cell>
          <cell r="E594" t="str">
            <v>伯希和/PELLIOT</v>
          </cell>
          <cell r="F594" t="str">
            <v>女装-上衣-T恤</v>
          </cell>
          <cell r="G594" t="str">
            <v>一品一商</v>
          </cell>
          <cell r="H594" t="str">
            <v>品牌直发</v>
          </cell>
          <cell r="I594">
            <v>0</v>
          </cell>
        </row>
        <row r="595">
          <cell r="D595" t="str">
            <v>PE114301013</v>
          </cell>
          <cell r="E595" t="str">
            <v>伯希和/PELLIOT</v>
          </cell>
          <cell r="F595" t="str">
            <v>服装-外套-冲锋衣</v>
          </cell>
          <cell r="G595" t="str">
            <v>一品多商</v>
          </cell>
          <cell r="H595" t="str">
            <v>品牌直发</v>
          </cell>
          <cell r="I595">
            <v>0</v>
          </cell>
        </row>
        <row r="596">
          <cell r="D596" t="str">
            <v>PE114301011</v>
          </cell>
          <cell r="E596" t="str">
            <v>伯希和/PELLIOT</v>
          </cell>
          <cell r="F596" t="str">
            <v>服装-外套-冲锋衣</v>
          </cell>
          <cell r="G596" t="str">
            <v>一品多商</v>
          </cell>
          <cell r="H596" t="str">
            <v>品牌直发</v>
          </cell>
          <cell r="I596">
            <v>0</v>
          </cell>
        </row>
        <row r="597">
          <cell r="D597" t="str">
            <v>PE114302081</v>
          </cell>
          <cell r="E597" t="str">
            <v>伯希和/PELLIOT</v>
          </cell>
          <cell r="F597" t="str">
            <v>服装-长裤-冲锋裤</v>
          </cell>
          <cell r="G597" t="str">
            <v>一品多商</v>
          </cell>
          <cell r="H597" t="str">
            <v>品牌直发</v>
          </cell>
          <cell r="I597">
            <v>0</v>
          </cell>
        </row>
        <row r="598">
          <cell r="D598" t="str">
            <v>PE114351093</v>
          </cell>
          <cell r="E598" t="str">
            <v>伯希和/PELLIOT</v>
          </cell>
          <cell r="F598" t="str">
            <v>服装-外套-夹克</v>
          </cell>
          <cell r="G598" t="str">
            <v>一品多商</v>
          </cell>
          <cell r="H598" t="str">
            <v>品牌直发</v>
          </cell>
          <cell r="I598">
            <v>0</v>
          </cell>
        </row>
        <row r="599">
          <cell r="D599" t="str">
            <v>PE124319002</v>
          </cell>
          <cell r="E599" t="str">
            <v>伯希和/PELLIOT</v>
          </cell>
          <cell r="F599" t="str">
            <v>鞋-运动鞋-越野跑鞋</v>
          </cell>
          <cell r="G599" t="str">
            <v>一品多商</v>
          </cell>
          <cell r="H599" t="str">
            <v>品牌直发</v>
          </cell>
          <cell r="I599">
            <v>0</v>
          </cell>
        </row>
        <row r="600">
          <cell r="D600" t="str">
            <v>PE114306141</v>
          </cell>
          <cell r="E600" t="str">
            <v>伯希和/PELLIOT</v>
          </cell>
          <cell r="F600" t="str">
            <v>服装-外套-软壳衣</v>
          </cell>
          <cell r="G600" t="str">
            <v>一品一商</v>
          </cell>
          <cell r="H600" t="str">
            <v>品牌直发</v>
          </cell>
          <cell r="I600">
            <v>0</v>
          </cell>
        </row>
        <row r="601">
          <cell r="D601">
            <v>16402502</v>
          </cell>
          <cell r="E601" t="str">
            <v>伯希和/PELLIOT</v>
          </cell>
          <cell r="F601" t="str">
            <v>箱包-包袋-户外包</v>
          </cell>
          <cell r="G601" t="str">
            <v>一品一商</v>
          </cell>
          <cell r="H601" t="str">
            <v>品牌直发</v>
          </cell>
          <cell r="I601">
            <v>0</v>
          </cell>
        </row>
        <row r="602">
          <cell r="D602" t="str">
            <v>114419005女款</v>
          </cell>
          <cell r="E602" t="str">
            <v>伯希和/PELLIOT</v>
          </cell>
          <cell r="F602" t="str">
            <v>鞋-运动鞋-登山鞋/徒步鞋</v>
          </cell>
          <cell r="G602" t="str">
            <v>一品一商</v>
          </cell>
          <cell r="H602" t="str">
            <v>品牌直发</v>
          </cell>
          <cell r="I602">
            <v>0</v>
          </cell>
        </row>
        <row r="603">
          <cell r="D603" t="str">
            <v>114419005男款</v>
          </cell>
          <cell r="E603" t="str">
            <v>伯希和/PELLIOT</v>
          </cell>
          <cell r="F603" t="str">
            <v>鞋-运动鞋-登山鞋/徒步鞋</v>
          </cell>
          <cell r="G603" t="str">
            <v>一品一商</v>
          </cell>
          <cell r="H603" t="str">
            <v>品牌直发</v>
          </cell>
          <cell r="I603">
            <v>0</v>
          </cell>
        </row>
        <row r="604">
          <cell r="D604">
            <v>164035001</v>
          </cell>
          <cell r="E604" t="str">
            <v>伯希和/PELLIOT</v>
          </cell>
          <cell r="F604" t="str">
            <v>内衣-袜子-高筒袜</v>
          </cell>
          <cell r="G604" t="str">
            <v>一品一商</v>
          </cell>
          <cell r="H604" t="str">
            <v>品牌直发</v>
          </cell>
          <cell r="I604">
            <v>0</v>
          </cell>
        </row>
        <row r="605">
          <cell r="D605" t="str">
            <v>PE124314372</v>
          </cell>
          <cell r="E605" t="str">
            <v>伯希和/PELLIOT</v>
          </cell>
          <cell r="F605" t="str">
            <v>女装-户外运动服-速干裤</v>
          </cell>
          <cell r="G605" t="str">
            <v>一品一商</v>
          </cell>
          <cell r="H605" t="str">
            <v>品牌直发</v>
          </cell>
          <cell r="I605">
            <v>0</v>
          </cell>
        </row>
        <row r="606">
          <cell r="D606">
            <v>124301070</v>
          </cell>
          <cell r="E606" t="str">
            <v>伯希和/PELLIOT</v>
          </cell>
          <cell r="F606" t="str">
            <v>服装-外套-冲锋衣</v>
          </cell>
          <cell r="G606" t="str">
            <v>一品多商</v>
          </cell>
          <cell r="H606" t="str">
            <v>品牌直发</v>
          </cell>
          <cell r="I606">
            <v>0</v>
          </cell>
        </row>
        <row r="607">
          <cell r="D607">
            <v>124351094</v>
          </cell>
          <cell r="E607" t="str">
            <v>伯希和/PELLIOT</v>
          </cell>
          <cell r="F607" t="str">
            <v>女装-外套-夹克</v>
          </cell>
          <cell r="G607" t="str">
            <v>一品一商</v>
          </cell>
          <cell r="H607" t="str">
            <v>品牌直发</v>
          </cell>
          <cell r="I607">
            <v>0</v>
          </cell>
        </row>
        <row r="608">
          <cell r="D608" t="str">
            <v>ys124101048</v>
          </cell>
          <cell r="E608" t="str">
            <v>伯希和/PELLIOT</v>
          </cell>
          <cell r="F608" t="str">
            <v>服装-外套-冲锋衣</v>
          </cell>
          <cell r="G608" t="str">
            <v>一品多商</v>
          </cell>
          <cell r="H608" t="str">
            <v>品牌直发</v>
          </cell>
          <cell r="I608">
            <v>0</v>
          </cell>
        </row>
        <row r="609">
          <cell r="D609">
            <v>114314375</v>
          </cell>
          <cell r="E609" t="str">
            <v>伯希和/PELLIOT</v>
          </cell>
          <cell r="F609" t="str">
            <v>服装-户外运动服-速干裤</v>
          </cell>
          <cell r="G609" t="str">
            <v>一品多商</v>
          </cell>
          <cell r="H609" t="str">
            <v>品牌直发</v>
          </cell>
          <cell r="I609">
            <v>0</v>
          </cell>
        </row>
        <row r="610">
          <cell r="D610">
            <v>164334405</v>
          </cell>
          <cell r="E610" t="str">
            <v>伯希和/PELLIOT</v>
          </cell>
          <cell r="F610" t="str">
            <v>流行饰品/眼镜/服配-帽子-绒线帽</v>
          </cell>
          <cell r="G610" t="str">
            <v>一品一商</v>
          </cell>
          <cell r="H610" t="str">
            <v>品牌直发</v>
          </cell>
          <cell r="I610">
            <v>0</v>
          </cell>
        </row>
        <row r="611">
          <cell r="D611">
            <v>124310190</v>
          </cell>
          <cell r="E611" t="str">
            <v>伯希和/PELLIOT</v>
          </cell>
          <cell r="F611" t="str">
            <v>女装-户外运动服-抓绒衣</v>
          </cell>
          <cell r="G611" t="str">
            <v>一品一商</v>
          </cell>
          <cell r="H611" t="str">
            <v>品牌直发</v>
          </cell>
          <cell r="I611">
            <v>0</v>
          </cell>
        </row>
        <row r="612">
          <cell r="D612">
            <v>124307168</v>
          </cell>
          <cell r="E612" t="str">
            <v>伯希和/PELLIOT</v>
          </cell>
          <cell r="F612" t="str">
            <v>女装-长裤-软壳裤</v>
          </cell>
          <cell r="G612" t="str">
            <v>一品一商</v>
          </cell>
          <cell r="H612" t="str">
            <v>品牌直发</v>
          </cell>
          <cell r="I612">
            <v>0</v>
          </cell>
        </row>
        <row r="613">
          <cell r="D613">
            <v>124351092</v>
          </cell>
          <cell r="E613" t="str">
            <v>伯希和/PELLIOT</v>
          </cell>
          <cell r="F613" t="str">
            <v>女装-外套-软壳衣</v>
          </cell>
          <cell r="G613" t="str">
            <v>一品多商</v>
          </cell>
          <cell r="H613" t="str">
            <v>品牌直发</v>
          </cell>
          <cell r="I613">
            <v>0</v>
          </cell>
        </row>
        <row r="614">
          <cell r="D614">
            <v>114301039</v>
          </cell>
          <cell r="E614" t="str">
            <v>伯希和/PELLIOT</v>
          </cell>
          <cell r="F614" t="str">
            <v>服装-外套-冲锋衣</v>
          </cell>
          <cell r="G614" t="str">
            <v>一品一商</v>
          </cell>
          <cell r="H614" t="str">
            <v>品牌直发</v>
          </cell>
          <cell r="I614">
            <v>0</v>
          </cell>
        </row>
        <row r="615">
          <cell r="D615">
            <v>114306147</v>
          </cell>
          <cell r="E615" t="str">
            <v>伯希和/PELLIOT</v>
          </cell>
          <cell r="F615" t="str">
            <v>服装-外套-软壳衣</v>
          </cell>
          <cell r="G615" t="str">
            <v>一品多商</v>
          </cell>
          <cell r="H615" t="str">
            <v>品牌直发</v>
          </cell>
          <cell r="I615">
            <v>0</v>
          </cell>
        </row>
        <row r="616">
          <cell r="D616">
            <v>124314374</v>
          </cell>
          <cell r="E616" t="str">
            <v>伯希和/PELLIOT</v>
          </cell>
          <cell r="F616" t="str">
            <v>女装-长裤-软壳裤</v>
          </cell>
          <cell r="G616" t="str">
            <v>一品一商</v>
          </cell>
          <cell r="H616" t="str">
            <v>品牌直发</v>
          </cell>
          <cell r="I616">
            <v>0</v>
          </cell>
        </row>
        <row r="617">
          <cell r="D617" t="str">
            <v>PE124301012</v>
          </cell>
          <cell r="E617" t="str">
            <v>伯希和/PELLIOT</v>
          </cell>
          <cell r="F617" t="str">
            <v>女装-外套-冲锋衣</v>
          </cell>
          <cell r="G617" t="str">
            <v>一品一商</v>
          </cell>
          <cell r="H617" t="str">
            <v>品牌直发</v>
          </cell>
          <cell r="I617">
            <v>0</v>
          </cell>
        </row>
        <row r="618">
          <cell r="D618" t="str">
            <v>PE124301014</v>
          </cell>
          <cell r="E618" t="str">
            <v>伯希和/PELLIOT</v>
          </cell>
          <cell r="F618" t="str">
            <v>女装-外套-冲锋衣</v>
          </cell>
          <cell r="G618" t="str">
            <v>一品多商</v>
          </cell>
          <cell r="H618" t="str">
            <v>品牌直发</v>
          </cell>
          <cell r="I618">
            <v>0</v>
          </cell>
        </row>
        <row r="619">
          <cell r="D619">
            <v>134334002</v>
          </cell>
          <cell r="E619" t="str">
            <v>伯希和/PELLIOT</v>
          </cell>
          <cell r="F619" t="str">
            <v>流行饰品/眼镜/服配-帽子-雷锋帽</v>
          </cell>
          <cell r="G619" t="str">
            <v>一品一商</v>
          </cell>
          <cell r="H619" t="str">
            <v>品牌直发</v>
          </cell>
          <cell r="I619">
            <v>0</v>
          </cell>
        </row>
        <row r="620">
          <cell r="D620">
            <v>116243501</v>
          </cell>
          <cell r="E620" t="str">
            <v>伯希和/PELLIOT</v>
          </cell>
          <cell r="F620" t="str">
            <v>内衣-袜子-中筒袜</v>
          </cell>
          <cell r="G620" t="str">
            <v>一品一商</v>
          </cell>
          <cell r="H620" t="str">
            <v>品牌直发</v>
          </cell>
          <cell r="I620">
            <v>0</v>
          </cell>
        </row>
        <row r="621">
          <cell r="D621">
            <v>164025003</v>
          </cell>
          <cell r="E621" t="str">
            <v>伯希和/PELLIOT</v>
          </cell>
          <cell r="F621" t="str">
            <v>箱包-包袋-户外包</v>
          </cell>
          <cell r="G621" t="str">
            <v>一品一商</v>
          </cell>
          <cell r="H621" t="str">
            <v>品牌直发</v>
          </cell>
          <cell r="I621">
            <v>0</v>
          </cell>
        </row>
        <row r="622">
          <cell r="D622">
            <v>164334402</v>
          </cell>
          <cell r="E622" t="str">
            <v>伯希和/PELLIOT</v>
          </cell>
          <cell r="F622" t="str">
            <v>流行饰品/眼镜/服配-帽子-绒线帽</v>
          </cell>
          <cell r="G622" t="str">
            <v>一品一商</v>
          </cell>
          <cell r="H622" t="str">
            <v>品牌直发</v>
          </cell>
          <cell r="I622">
            <v>0</v>
          </cell>
        </row>
        <row r="623">
          <cell r="D623">
            <v>114314371</v>
          </cell>
          <cell r="E623" t="str">
            <v>伯希和/PELLIOT</v>
          </cell>
          <cell r="F623" t="str">
            <v>服装-户外运动服-速干裤</v>
          </cell>
          <cell r="G623" t="str">
            <v>一品一商</v>
          </cell>
          <cell r="H623" t="str">
            <v>品牌直发</v>
          </cell>
          <cell r="I623">
            <v>0</v>
          </cell>
        </row>
        <row r="624">
          <cell r="D624">
            <v>114314373</v>
          </cell>
          <cell r="E624" t="str">
            <v>伯希和/PELLIOT</v>
          </cell>
          <cell r="F624" t="str">
            <v>服装-户外运动服-速干裤</v>
          </cell>
          <cell r="G624" t="str">
            <v>一品一商</v>
          </cell>
          <cell r="H624" t="str">
            <v>品牌直发</v>
          </cell>
          <cell r="I624">
            <v>0</v>
          </cell>
        </row>
        <row r="625">
          <cell r="D625">
            <v>124307166</v>
          </cell>
          <cell r="E625" t="str">
            <v>伯希和/PELLIOT</v>
          </cell>
          <cell r="F625" t="str">
            <v>女装-长裤-软壳裤</v>
          </cell>
          <cell r="G625" t="str">
            <v>一品多商</v>
          </cell>
          <cell r="H625" t="str">
            <v>品牌直发</v>
          </cell>
          <cell r="I625">
            <v>0</v>
          </cell>
        </row>
        <row r="626">
          <cell r="D626">
            <v>114310203</v>
          </cell>
          <cell r="E626" t="str">
            <v>伯希和/PELLIOT</v>
          </cell>
          <cell r="F626" t="str">
            <v>服装-户外运动服-抓绒衣</v>
          </cell>
          <cell r="G626" t="str">
            <v>一品多商</v>
          </cell>
          <cell r="H626" t="str">
            <v>品牌直发</v>
          </cell>
          <cell r="I626">
            <v>0</v>
          </cell>
        </row>
        <row r="627">
          <cell r="D627">
            <v>114306143</v>
          </cell>
          <cell r="E627" t="str">
            <v>伯希和/PELLIOT</v>
          </cell>
          <cell r="F627" t="str">
            <v>服装-外套-软壳衣</v>
          </cell>
          <cell r="G627" t="str">
            <v>一品一商</v>
          </cell>
          <cell r="H627" t="str">
            <v>品牌直发</v>
          </cell>
          <cell r="I627">
            <v>0</v>
          </cell>
        </row>
        <row r="628">
          <cell r="D628">
            <v>114302083</v>
          </cell>
          <cell r="E628" t="str">
            <v>伯希和/PELLIOT</v>
          </cell>
          <cell r="F628" t="str">
            <v>服装-长裤-冲锋裤</v>
          </cell>
          <cell r="G628" t="str">
            <v>一品多商</v>
          </cell>
          <cell r="H628" t="str">
            <v>品牌直发</v>
          </cell>
          <cell r="I628">
            <v>0</v>
          </cell>
        </row>
        <row r="629">
          <cell r="D629">
            <v>114307165</v>
          </cell>
          <cell r="E629" t="str">
            <v>伯希和/PELLIOT</v>
          </cell>
          <cell r="F629" t="str">
            <v>服装-长裤-软壳裤</v>
          </cell>
          <cell r="G629" t="str">
            <v>一品一商</v>
          </cell>
          <cell r="H629" t="str">
            <v>品牌直发</v>
          </cell>
          <cell r="I629">
            <v>0</v>
          </cell>
        </row>
        <row r="630">
          <cell r="D630">
            <v>114307163</v>
          </cell>
          <cell r="E630" t="str">
            <v>伯希和/PELLIOT</v>
          </cell>
          <cell r="F630" t="str">
            <v>服装-长裤-软壳裤</v>
          </cell>
          <cell r="G630" t="str">
            <v>一品多商</v>
          </cell>
          <cell r="H630" t="str">
            <v>品牌直发</v>
          </cell>
          <cell r="I630">
            <v>0</v>
          </cell>
        </row>
        <row r="631">
          <cell r="D631">
            <v>124307164</v>
          </cell>
          <cell r="E631" t="str">
            <v>伯希和/PELLIOT</v>
          </cell>
          <cell r="F631" t="str">
            <v>女装-长裤-软壳裤</v>
          </cell>
          <cell r="G631" t="str">
            <v>一品一商</v>
          </cell>
          <cell r="H631" t="str">
            <v>品牌直发</v>
          </cell>
          <cell r="I631">
            <v>0</v>
          </cell>
        </row>
        <row r="632">
          <cell r="D632">
            <v>124319004</v>
          </cell>
          <cell r="E632" t="str">
            <v>伯希和/PELLIOT</v>
          </cell>
          <cell r="F632" t="str">
            <v>鞋-运动鞋-登山鞋/徒步鞋</v>
          </cell>
          <cell r="G632" t="str">
            <v>一品一商</v>
          </cell>
          <cell r="H632" t="str">
            <v>品牌直发</v>
          </cell>
          <cell r="I632">
            <v>0</v>
          </cell>
        </row>
        <row r="633">
          <cell r="D633">
            <v>16843502</v>
          </cell>
          <cell r="E633" t="str">
            <v>伯希和/PELLIOT</v>
          </cell>
          <cell r="F633" t="str">
            <v>内衣-袜子-中筒袜</v>
          </cell>
          <cell r="G633" t="str">
            <v>一品一商</v>
          </cell>
          <cell r="H633" t="str">
            <v>品牌直发</v>
          </cell>
          <cell r="I633">
            <v>0</v>
          </cell>
        </row>
        <row r="634">
          <cell r="D634">
            <v>12421414</v>
          </cell>
          <cell r="E634" t="str">
            <v>伯希和/PELLIOT</v>
          </cell>
          <cell r="F634" t="str">
            <v>女装-户外运动服-速干裤</v>
          </cell>
          <cell r="G634" t="str">
            <v>一品多商</v>
          </cell>
          <cell r="H634" t="str">
            <v>品牌直发</v>
          </cell>
          <cell r="I634">
            <v>0</v>
          </cell>
        </row>
        <row r="635">
          <cell r="D635">
            <v>12421512</v>
          </cell>
          <cell r="E635" t="str">
            <v>伯希和/PELLIOT</v>
          </cell>
          <cell r="F635" t="str">
            <v>女装-户外运动服-速干T恤</v>
          </cell>
          <cell r="G635" t="str">
            <v>一品一商</v>
          </cell>
          <cell r="H635" t="str">
            <v>品牌直发</v>
          </cell>
          <cell r="I635">
            <v>0</v>
          </cell>
        </row>
        <row r="636">
          <cell r="D636">
            <v>12421510</v>
          </cell>
          <cell r="E636" t="str">
            <v>伯希和/PELLIOT</v>
          </cell>
          <cell r="F636" t="str">
            <v>女装-上衣-T恤</v>
          </cell>
          <cell r="G636" t="str">
            <v>一品一商</v>
          </cell>
          <cell r="H636" t="str">
            <v>品牌直发</v>
          </cell>
          <cell r="I636">
            <v>0</v>
          </cell>
        </row>
        <row r="637">
          <cell r="D637">
            <v>124311232</v>
          </cell>
          <cell r="E637" t="str">
            <v>伯希和/PELLIOT</v>
          </cell>
          <cell r="F637" t="str">
            <v>女装-户外运动服-抓绒裤</v>
          </cell>
          <cell r="G637" t="str">
            <v>一品一商</v>
          </cell>
          <cell r="H637" t="str">
            <v>品牌直发</v>
          </cell>
          <cell r="I637">
            <v>0</v>
          </cell>
        </row>
        <row r="638">
          <cell r="D638">
            <v>16402506</v>
          </cell>
          <cell r="E638" t="str">
            <v>伯希和/PELLIOT</v>
          </cell>
          <cell r="F638" t="str">
            <v>箱包-包袋-户外包</v>
          </cell>
          <cell r="G638" t="str">
            <v>一品多商</v>
          </cell>
          <cell r="H638" t="str">
            <v>品牌直发</v>
          </cell>
          <cell r="I638">
            <v>0</v>
          </cell>
        </row>
        <row r="639">
          <cell r="D639" t="str">
            <v>PE13415145</v>
          </cell>
          <cell r="E639" t="str">
            <v>伯希和/PELLIOT</v>
          </cell>
          <cell r="F639" t="str">
            <v>童装-儿童上装-其他上装</v>
          </cell>
          <cell r="G639" t="str">
            <v>一品一商</v>
          </cell>
          <cell r="H639" t="str">
            <v>品牌直发</v>
          </cell>
          <cell r="I639">
            <v>0</v>
          </cell>
        </row>
        <row r="640">
          <cell r="D640" t="str">
            <v>PE13421430</v>
          </cell>
          <cell r="E640" t="str">
            <v>伯希和/PELLIOT</v>
          </cell>
          <cell r="F640" t="str">
            <v>童装-儿童下装-卫裤</v>
          </cell>
          <cell r="G640" t="str">
            <v>一品一商</v>
          </cell>
          <cell r="H640" t="str">
            <v>品牌直发</v>
          </cell>
          <cell r="I640">
            <v>0</v>
          </cell>
        </row>
        <row r="641">
          <cell r="D641" t="str">
            <v>PE13421431</v>
          </cell>
          <cell r="E641" t="str">
            <v>伯希和/PELLIOT</v>
          </cell>
          <cell r="F641" t="str">
            <v>童装-儿童下装-短裤</v>
          </cell>
          <cell r="G641" t="str">
            <v>一品一商</v>
          </cell>
          <cell r="H641" t="str">
            <v>品牌直发</v>
          </cell>
          <cell r="I641">
            <v>0</v>
          </cell>
        </row>
        <row r="642">
          <cell r="D642">
            <v>13421235</v>
          </cell>
          <cell r="E642" t="str">
            <v>伯希和/PELLIOT</v>
          </cell>
          <cell r="F642" t="str">
            <v>童装-儿童上装-防晒衣</v>
          </cell>
          <cell r="G642" t="str">
            <v>一品一商</v>
          </cell>
          <cell r="H642" t="str">
            <v>品牌直发</v>
          </cell>
          <cell r="I642">
            <v>0</v>
          </cell>
        </row>
        <row r="643">
          <cell r="D643">
            <v>164026422</v>
          </cell>
          <cell r="E643" t="str">
            <v>伯希和/PELLIOT</v>
          </cell>
          <cell r="F643" t="str">
            <v>箱包-包袋-户外包</v>
          </cell>
          <cell r="G643" t="str">
            <v>一品一商</v>
          </cell>
          <cell r="H643" t="str">
            <v>品牌直发</v>
          </cell>
          <cell r="I643">
            <v>0</v>
          </cell>
        </row>
        <row r="644">
          <cell r="D644">
            <v>124222002</v>
          </cell>
          <cell r="E644" t="str">
            <v>伯希和/PELLIOT</v>
          </cell>
          <cell r="F644" t="str">
            <v>鞋-运动鞋-登山鞋/徒步鞋</v>
          </cell>
          <cell r="G644" t="str">
            <v>一品一商</v>
          </cell>
          <cell r="H644" t="str">
            <v>品牌直发</v>
          </cell>
          <cell r="I644">
            <v>0</v>
          </cell>
        </row>
        <row r="645">
          <cell r="D645">
            <v>13421546</v>
          </cell>
          <cell r="E645" t="str">
            <v>伯希和/PELLIOT</v>
          </cell>
          <cell r="F645" t="str">
            <v>童装-儿童上装-T恤</v>
          </cell>
          <cell r="G645" t="str">
            <v>一品一商</v>
          </cell>
          <cell r="H645" t="str">
            <v>品牌直发</v>
          </cell>
          <cell r="I645">
            <v>0</v>
          </cell>
        </row>
        <row r="646">
          <cell r="D646">
            <v>164026416</v>
          </cell>
          <cell r="E646" t="str">
            <v>伯希和/PELLIOT</v>
          </cell>
          <cell r="F646" t="str">
            <v>箱包-包袋-户外包</v>
          </cell>
          <cell r="G646" t="str">
            <v>一品一商</v>
          </cell>
          <cell r="H646" t="str">
            <v>品牌直发</v>
          </cell>
          <cell r="I646">
            <v>0</v>
          </cell>
        </row>
        <row r="647">
          <cell r="D647">
            <v>124301032</v>
          </cell>
          <cell r="E647" t="str">
            <v>伯希和/PELLIOT</v>
          </cell>
          <cell r="F647" t="str">
            <v>女装-外套-冲锋衣</v>
          </cell>
          <cell r="G647" t="str">
            <v>一品多商</v>
          </cell>
          <cell r="H647" t="str">
            <v>品牌直发</v>
          </cell>
          <cell r="I647">
            <v>0</v>
          </cell>
        </row>
        <row r="648">
          <cell r="D648">
            <v>124301030</v>
          </cell>
          <cell r="E648" t="str">
            <v>伯希和/PELLIOT</v>
          </cell>
          <cell r="F648" t="str">
            <v>女装-外套-冲锋衣</v>
          </cell>
          <cell r="G648" t="str">
            <v>一品多商</v>
          </cell>
          <cell r="H648" t="str">
            <v>品牌直发</v>
          </cell>
          <cell r="I648">
            <v>0</v>
          </cell>
        </row>
        <row r="649">
          <cell r="D649" t="str">
            <v>PE124101060</v>
          </cell>
          <cell r="E649" t="str">
            <v>伯希和/PELLIOT</v>
          </cell>
          <cell r="F649" t="str">
            <v>女装-外套-冲锋衣</v>
          </cell>
          <cell r="G649" t="str">
            <v>一品一商</v>
          </cell>
          <cell r="H649" t="str">
            <v>品牌直发</v>
          </cell>
          <cell r="I649">
            <v>0</v>
          </cell>
        </row>
        <row r="650">
          <cell r="D650">
            <v>114101059</v>
          </cell>
          <cell r="E650" t="str">
            <v>伯希和/PELLIOT</v>
          </cell>
          <cell r="F650" t="str">
            <v>服装-外套-冲锋衣</v>
          </cell>
          <cell r="G650" t="str">
            <v>一品一商</v>
          </cell>
          <cell r="H650" t="str">
            <v>品牌直发</v>
          </cell>
          <cell r="I650">
            <v>0</v>
          </cell>
        </row>
        <row r="651">
          <cell r="D651">
            <v>112321516</v>
          </cell>
          <cell r="E651" t="str">
            <v>伯希和/PELLIOT</v>
          </cell>
          <cell r="F651" t="str">
            <v>女装-上衣-Polo衫</v>
          </cell>
          <cell r="G651" t="str">
            <v>一品一商</v>
          </cell>
          <cell r="H651" t="str">
            <v>品牌直发</v>
          </cell>
          <cell r="I651">
            <v>0</v>
          </cell>
        </row>
        <row r="652">
          <cell r="D652">
            <v>113240815</v>
          </cell>
          <cell r="E652" t="str">
            <v>伯希和/PELLIOT</v>
          </cell>
          <cell r="F652" t="str">
            <v>童装-儿童上装-羽绒服</v>
          </cell>
          <cell r="G652" t="str">
            <v>一品一商</v>
          </cell>
          <cell r="H652" t="str">
            <v>品牌直发</v>
          </cell>
          <cell r="I652">
            <v>0</v>
          </cell>
        </row>
        <row r="653">
          <cell r="D653">
            <v>114301087</v>
          </cell>
          <cell r="E653" t="str">
            <v>伯希和/PELLIOT</v>
          </cell>
          <cell r="F653" t="str">
            <v>服装-外套-冲锋衣</v>
          </cell>
          <cell r="G653" t="str">
            <v>一品多商</v>
          </cell>
          <cell r="H653" t="str">
            <v>品牌直发</v>
          </cell>
          <cell r="I653">
            <v>0</v>
          </cell>
        </row>
        <row r="654">
          <cell r="D654">
            <v>124301038</v>
          </cell>
          <cell r="E654" t="str">
            <v>伯希和/PELLIOT</v>
          </cell>
          <cell r="F654" t="str">
            <v>女装-外套-冲锋衣</v>
          </cell>
          <cell r="G654" t="str">
            <v>一品多商</v>
          </cell>
          <cell r="H654" t="str">
            <v>品牌直发</v>
          </cell>
          <cell r="I654">
            <v>0</v>
          </cell>
        </row>
        <row r="655">
          <cell r="D655">
            <v>111040303</v>
          </cell>
          <cell r="E655" t="str">
            <v>伯希和/PELLIOT</v>
          </cell>
          <cell r="F655" t="str">
            <v>服装-户外运动服-登山服</v>
          </cell>
          <cell r="G655" t="str">
            <v>一品一商</v>
          </cell>
          <cell r="H655" t="str">
            <v>品牌直发</v>
          </cell>
          <cell r="I655">
            <v>0</v>
          </cell>
        </row>
        <row r="656">
          <cell r="D656">
            <v>112340158</v>
          </cell>
          <cell r="E656" t="str">
            <v>伯希和/PELLIOT</v>
          </cell>
          <cell r="F656" t="str">
            <v>女装-外套-冲锋衣</v>
          </cell>
          <cell r="G656" t="str">
            <v>一品一商</v>
          </cell>
          <cell r="H656" t="str">
            <v>品牌直发</v>
          </cell>
          <cell r="I656">
            <v>0</v>
          </cell>
        </row>
        <row r="657">
          <cell r="D657">
            <v>16702609</v>
          </cell>
          <cell r="E657" t="str">
            <v>伯希和/PELLIOT</v>
          </cell>
          <cell r="F657" t="str">
            <v>箱包-包袋-手机包</v>
          </cell>
          <cell r="G657" t="str">
            <v>一品一商</v>
          </cell>
          <cell r="H657" t="str">
            <v>品牌直发</v>
          </cell>
          <cell r="I657">
            <v>0</v>
          </cell>
        </row>
        <row r="658">
          <cell r="D658">
            <v>16702618</v>
          </cell>
          <cell r="E658" t="str">
            <v>伯希和/PELLIOT</v>
          </cell>
          <cell r="F658" t="str">
            <v>箱包-包袋-出行收纳包</v>
          </cell>
          <cell r="G658" t="str">
            <v>一品一商</v>
          </cell>
          <cell r="H658" t="str">
            <v>品牌直发</v>
          </cell>
          <cell r="I658">
            <v>0</v>
          </cell>
        </row>
        <row r="659">
          <cell r="D659">
            <v>113140132</v>
          </cell>
          <cell r="E659" t="str">
            <v>伯希和/PELLIOT</v>
          </cell>
          <cell r="F659" t="str">
            <v>童装-儿童上装-冲锋衣</v>
          </cell>
          <cell r="G659" t="str">
            <v>一品一商</v>
          </cell>
          <cell r="H659" t="str">
            <v>品牌直发</v>
          </cell>
          <cell r="I659">
            <v>0</v>
          </cell>
        </row>
        <row r="660">
          <cell r="D660">
            <v>114301029</v>
          </cell>
          <cell r="E660" t="str">
            <v>伯希和/PELLIOT</v>
          </cell>
          <cell r="F660" t="str">
            <v>服装-外套-冲锋衣</v>
          </cell>
          <cell r="G660" t="str">
            <v>一品多商</v>
          </cell>
          <cell r="H660" t="str">
            <v>品牌直发</v>
          </cell>
          <cell r="I660">
            <v>0</v>
          </cell>
        </row>
        <row r="661">
          <cell r="D661">
            <v>124301002</v>
          </cell>
          <cell r="E661" t="str">
            <v>伯希和/PELLIOT</v>
          </cell>
          <cell r="F661" t="str">
            <v>女装-外套-冲锋衣</v>
          </cell>
          <cell r="G661" t="str">
            <v>一品多商</v>
          </cell>
          <cell r="H661" t="str">
            <v>品牌直发</v>
          </cell>
          <cell r="I661">
            <v>0</v>
          </cell>
        </row>
        <row r="662">
          <cell r="D662">
            <v>124301024</v>
          </cell>
          <cell r="E662" t="str">
            <v>伯希和/PELLIOT</v>
          </cell>
          <cell r="F662" t="str">
            <v>女装-外套-冲锋衣</v>
          </cell>
          <cell r="G662" t="str">
            <v>一品多商</v>
          </cell>
          <cell r="H662" t="str">
            <v>品牌直发</v>
          </cell>
          <cell r="I662">
            <v>0</v>
          </cell>
        </row>
        <row r="663">
          <cell r="D663">
            <v>112331010</v>
          </cell>
          <cell r="E663" t="str">
            <v>伯希和/PELLIOT</v>
          </cell>
          <cell r="F663" t="str">
            <v>女装-户外运动服-抓绒衣</v>
          </cell>
          <cell r="G663" t="str">
            <v>一品一商</v>
          </cell>
          <cell r="H663" t="str">
            <v>品牌直发</v>
          </cell>
          <cell r="I663">
            <v>0</v>
          </cell>
        </row>
        <row r="664">
          <cell r="D664">
            <v>111331805</v>
          </cell>
          <cell r="E664" t="str">
            <v>伯希和/PELLIOT</v>
          </cell>
          <cell r="F664" t="str">
            <v>内衣-内衣裤-保暖套装</v>
          </cell>
          <cell r="G664" t="str">
            <v>一品一商</v>
          </cell>
          <cell r="H664" t="str">
            <v>品牌直发</v>
          </cell>
          <cell r="I664">
            <v>0</v>
          </cell>
        </row>
        <row r="665">
          <cell r="D665">
            <v>112331026</v>
          </cell>
          <cell r="E665" t="str">
            <v>伯希和/PELLIOT</v>
          </cell>
          <cell r="F665" t="str">
            <v>女装-户外运动服-抓绒衣</v>
          </cell>
          <cell r="G665" t="str">
            <v>一品一商</v>
          </cell>
          <cell r="H665" t="str">
            <v>品牌直发</v>
          </cell>
          <cell r="I665">
            <v>0</v>
          </cell>
        </row>
        <row r="666">
          <cell r="D666">
            <v>111421301</v>
          </cell>
          <cell r="E666" t="str">
            <v>伯希和/PELLIOT</v>
          </cell>
          <cell r="F666" t="str">
            <v>服装-上衣-衬衫</v>
          </cell>
          <cell r="G666" t="str">
            <v>一品一商</v>
          </cell>
          <cell r="H666" t="str">
            <v>品牌直发</v>
          </cell>
          <cell r="I666">
            <v>0</v>
          </cell>
        </row>
        <row r="667">
          <cell r="D667">
            <v>12415104</v>
          </cell>
          <cell r="E667" t="str">
            <v>伯希和/PELLIOT</v>
          </cell>
          <cell r="F667" t="str">
            <v>女装-外套-软壳衣</v>
          </cell>
          <cell r="G667" t="str">
            <v>一品一商</v>
          </cell>
          <cell r="H667" t="str">
            <v>品牌直发</v>
          </cell>
          <cell r="I667">
            <v>0</v>
          </cell>
        </row>
        <row r="668">
          <cell r="D668">
            <v>11415103</v>
          </cell>
          <cell r="E668" t="str">
            <v>伯希和/PELLIOT</v>
          </cell>
          <cell r="F668" t="str">
            <v>服装-户外运动服-风壳</v>
          </cell>
          <cell r="G668" t="str">
            <v>一品多商</v>
          </cell>
          <cell r="H668" t="str">
            <v>品牌直发</v>
          </cell>
          <cell r="I668">
            <v>0</v>
          </cell>
        </row>
        <row r="669">
          <cell r="D669">
            <v>11421429</v>
          </cell>
          <cell r="E669" t="str">
            <v>伯希和/PELLIOT</v>
          </cell>
          <cell r="F669" t="str">
            <v>服装-短裤-休闲短裤</v>
          </cell>
          <cell r="G669" t="str">
            <v>一品一商</v>
          </cell>
          <cell r="H669" t="str">
            <v>品牌直发</v>
          </cell>
          <cell r="I669">
            <v>0</v>
          </cell>
        </row>
        <row r="670">
          <cell r="D670">
            <v>12421216</v>
          </cell>
          <cell r="E670" t="str">
            <v>伯希和/PELLIOT</v>
          </cell>
          <cell r="F670" t="str">
            <v>女装-外套-防晒服</v>
          </cell>
          <cell r="G670" t="str">
            <v>一品多商</v>
          </cell>
          <cell r="H670" t="str">
            <v>品牌直发</v>
          </cell>
          <cell r="I670">
            <v>0</v>
          </cell>
        </row>
        <row r="671">
          <cell r="D671">
            <v>12421428</v>
          </cell>
          <cell r="E671" t="str">
            <v>伯希和/PELLIOT</v>
          </cell>
          <cell r="F671" t="str">
            <v>服装-长裤-工装裤</v>
          </cell>
          <cell r="G671" t="str">
            <v>一品一商</v>
          </cell>
          <cell r="H671" t="str">
            <v>品牌直发</v>
          </cell>
          <cell r="I671">
            <v>0</v>
          </cell>
        </row>
        <row r="672">
          <cell r="D672">
            <v>11421419</v>
          </cell>
          <cell r="E672" t="str">
            <v>伯希和/PELLIOT</v>
          </cell>
          <cell r="F672" t="str">
            <v>服装-健身服-运动短裤</v>
          </cell>
          <cell r="G672" t="str">
            <v>一品一商</v>
          </cell>
          <cell r="H672" t="str">
            <v>品牌直发</v>
          </cell>
          <cell r="I672">
            <v>0</v>
          </cell>
        </row>
        <row r="673">
          <cell r="D673">
            <v>11421301</v>
          </cell>
          <cell r="E673" t="str">
            <v>伯希和/PELLIOT</v>
          </cell>
          <cell r="F673" t="str">
            <v>服装-上衣-衬衫</v>
          </cell>
          <cell r="G673" t="str">
            <v>一品一商</v>
          </cell>
          <cell r="H673" t="str">
            <v>品牌直发</v>
          </cell>
          <cell r="I673">
            <v>0</v>
          </cell>
        </row>
        <row r="674">
          <cell r="D674">
            <v>165025069</v>
          </cell>
          <cell r="E674" t="str">
            <v>伯希和/PELLIOT</v>
          </cell>
          <cell r="F674" t="str">
            <v>箱包-包袋-户外包</v>
          </cell>
          <cell r="G674" t="str">
            <v>一品一商</v>
          </cell>
          <cell r="H674" t="str">
            <v>品牌直发</v>
          </cell>
          <cell r="I674">
            <v>0</v>
          </cell>
        </row>
        <row r="675">
          <cell r="D675">
            <v>16402504</v>
          </cell>
          <cell r="E675" t="str">
            <v>伯希和/PELLIOT</v>
          </cell>
          <cell r="F675" t="str">
            <v>箱包-包袋-户外包</v>
          </cell>
          <cell r="G675" t="str">
            <v>一品一商</v>
          </cell>
          <cell r="H675" t="str">
            <v>品牌直发</v>
          </cell>
          <cell r="I675">
            <v>0</v>
          </cell>
        </row>
        <row r="676">
          <cell r="D676">
            <v>16402608</v>
          </cell>
          <cell r="E676" t="str">
            <v>伯希和/PELLIOT</v>
          </cell>
          <cell r="F676" t="str">
            <v>箱包-包袋-手拿包</v>
          </cell>
          <cell r="G676" t="str">
            <v>一品一商</v>
          </cell>
          <cell r="H676" t="str">
            <v>品牌直发</v>
          </cell>
          <cell r="I676">
            <v>0</v>
          </cell>
        </row>
        <row r="677">
          <cell r="D677">
            <v>12111901</v>
          </cell>
          <cell r="E677" t="str">
            <v>伯希和/PELLIOT</v>
          </cell>
          <cell r="F677" t="str">
            <v>鞋-运动鞋-跑步鞋</v>
          </cell>
          <cell r="G677" t="str">
            <v>一品一商</v>
          </cell>
          <cell r="H677" t="str">
            <v>品牌直发</v>
          </cell>
          <cell r="I677">
            <v>0</v>
          </cell>
        </row>
        <row r="678">
          <cell r="D678">
            <v>12331902</v>
          </cell>
          <cell r="E678" t="str">
            <v>伯希和/PELLIOT</v>
          </cell>
          <cell r="F678" t="str">
            <v>鞋-运动鞋-登山鞋/徒步鞋</v>
          </cell>
          <cell r="G678" t="str">
            <v>一品一商</v>
          </cell>
          <cell r="H678" t="str">
            <v>品牌直发</v>
          </cell>
          <cell r="I678">
            <v>0</v>
          </cell>
        </row>
        <row r="679">
          <cell r="D679">
            <v>11411909</v>
          </cell>
          <cell r="E679" t="str">
            <v>伯希和/PELLIOT</v>
          </cell>
          <cell r="F679" t="str">
            <v>鞋-运动鞋-登山鞋/徒步鞋</v>
          </cell>
          <cell r="G679" t="str">
            <v>一品多商</v>
          </cell>
          <cell r="H679" t="str">
            <v>品牌直发</v>
          </cell>
          <cell r="I679">
            <v>0</v>
          </cell>
        </row>
        <row r="680">
          <cell r="D680">
            <v>11111905</v>
          </cell>
          <cell r="E680" t="str">
            <v>伯希和/PELLIOT</v>
          </cell>
          <cell r="F680" t="str">
            <v>鞋-运动鞋-跑步鞋</v>
          </cell>
          <cell r="G680" t="str">
            <v>一品一商</v>
          </cell>
          <cell r="H680" t="str">
            <v>品牌直发</v>
          </cell>
          <cell r="I680">
            <v>0</v>
          </cell>
        </row>
        <row r="681">
          <cell r="D681">
            <v>12422004</v>
          </cell>
          <cell r="E681" t="str">
            <v>伯希和/PELLIOT</v>
          </cell>
          <cell r="F681" t="str">
            <v>鞋-运动鞋-户外功能鞋</v>
          </cell>
          <cell r="G681" t="str">
            <v>一品一商</v>
          </cell>
          <cell r="H681" t="str">
            <v>品牌直发</v>
          </cell>
          <cell r="I681">
            <v>0</v>
          </cell>
        </row>
        <row r="682">
          <cell r="D682">
            <v>12421238</v>
          </cell>
          <cell r="E682" t="str">
            <v>伯希和/PELLIOT</v>
          </cell>
          <cell r="F682" t="str">
            <v>女装-外套-防晒服</v>
          </cell>
          <cell r="G682" t="str">
            <v>一品一商</v>
          </cell>
          <cell r="H682" t="str">
            <v>品牌直发</v>
          </cell>
          <cell r="I682">
            <v>0</v>
          </cell>
        </row>
        <row r="683">
          <cell r="D683">
            <v>11011901</v>
          </cell>
          <cell r="E683" t="str">
            <v>伯希和/PELLIOT</v>
          </cell>
          <cell r="F683" t="str">
            <v>鞋-运动鞋-跑步鞋</v>
          </cell>
          <cell r="G683" t="str">
            <v>一品一商</v>
          </cell>
          <cell r="H683" t="str">
            <v>品牌直发</v>
          </cell>
          <cell r="I683">
            <v>0</v>
          </cell>
        </row>
        <row r="684">
          <cell r="D684">
            <v>12022104</v>
          </cell>
          <cell r="E684" t="str">
            <v>伯希和/PELLIOT</v>
          </cell>
          <cell r="F684" t="str">
            <v>鞋-运动鞋-户外功能鞋</v>
          </cell>
          <cell r="G684" t="str">
            <v>一品一商</v>
          </cell>
          <cell r="H684" t="str">
            <v>品牌直发</v>
          </cell>
          <cell r="I684">
            <v>0</v>
          </cell>
        </row>
        <row r="685">
          <cell r="D685">
            <v>16123406</v>
          </cell>
          <cell r="E685" t="str">
            <v>伯希和/PELLIOT</v>
          </cell>
          <cell r="F685" t="str">
            <v>流行饰品/眼镜/服配-帽子-鸭舌帽</v>
          </cell>
          <cell r="G685" t="str">
            <v>一品一商</v>
          </cell>
          <cell r="H685" t="str">
            <v>品牌直发</v>
          </cell>
          <cell r="I685">
            <v>0</v>
          </cell>
        </row>
        <row r="686">
          <cell r="D686">
            <v>1116023410</v>
          </cell>
          <cell r="E686" t="str">
            <v>伯希和/PELLIOT</v>
          </cell>
          <cell r="F686" t="str">
            <v>流行饰品/眼镜/服配-防晒服配-防晒帽</v>
          </cell>
          <cell r="G686" t="str">
            <v>一品一商</v>
          </cell>
          <cell r="H686" t="str">
            <v>品牌直发</v>
          </cell>
          <cell r="I686">
            <v>0</v>
          </cell>
        </row>
        <row r="687">
          <cell r="D687">
            <v>12411402</v>
          </cell>
          <cell r="E687" t="str">
            <v>伯希和/PELLIOT</v>
          </cell>
          <cell r="F687" t="str">
            <v>女装-长裤-软壳裤</v>
          </cell>
          <cell r="G687" t="str">
            <v>一品一商</v>
          </cell>
          <cell r="H687" t="str">
            <v>品牌直发</v>
          </cell>
          <cell r="I687">
            <v>0</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heet1"/>
    </sheetNames>
    <sheetDataSet>
      <sheetData sheetId="0">
        <row r="1">
          <cell r="D1" t="str">
            <v>商品货号</v>
          </cell>
          <cell r="E1" t="str">
            <v>品牌名称</v>
          </cell>
          <cell r="F1" t="str">
            <v>类目名称</v>
          </cell>
          <cell r="G1" t="str">
            <v>商品类型</v>
          </cell>
          <cell r="H1" t="str">
            <v>出价渠道</v>
          </cell>
          <cell r="I1" t="str">
            <v>支付金额</v>
          </cell>
        </row>
        <row r="2">
          <cell r="D2">
            <v>11421507</v>
          </cell>
          <cell r="E2" t="str">
            <v>伯希和/PELLIOT</v>
          </cell>
          <cell r="F2" t="str">
            <v>服装-上衣-Polo衫</v>
          </cell>
          <cell r="G2" t="str">
            <v>一品多商</v>
          </cell>
          <cell r="H2" t="str">
            <v>品牌直发</v>
          </cell>
          <cell r="I2">
            <v>10120</v>
          </cell>
        </row>
        <row r="3">
          <cell r="D3">
            <v>11421509</v>
          </cell>
          <cell r="E3" t="str">
            <v>伯希和/PELLIOT</v>
          </cell>
          <cell r="F3" t="str">
            <v>服装-上衣-T恤</v>
          </cell>
          <cell r="G3" t="str">
            <v>一品多商</v>
          </cell>
          <cell r="H3" t="str">
            <v>品牌直发</v>
          </cell>
          <cell r="I3">
            <v>3645</v>
          </cell>
        </row>
        <row r="4">
          <cell r="D4">
            <v>115215019</v>
          </cell>
          <cell r="E4" t="str">
            <v>伯希和/PELLIOT</v>
          </cell>
          <cell r="F4" t="str">
            <v>服装-上衣-Polo衫</v>
          </cell>
          <cell r="G4" t="str">
            <v>一品多商</v>
          </cell>
          <cell r="H4" t="str">
            <v>品牌直发</v>
          </cell>
          <cell r="I4">
            <v>4482</v>
          </cell>
        </row>
        <row r="5">
          <cell r="D5">
            <v>12421220</v>
          </cell>
          <cell r="E5" t="str">
            <v>伯希和/PELLIOT</v>
          </cell>
          <cell r="F5" t="str">
            <v>服装-外套-防晒服</v>
          </cell>
          <cell r="G5" t="str">
            <v>一品多商</v>
          </cell>
          <cell r="H5" t="str">
            <v>品牌直发</v>
          </cell>
          <cell r="I5">
            <v>6412</v>
          </cell>
        </row>
        <row r="6">
          <cell r="D6" t="str">
            <v>x1622</v>
          </cell>
          <cell r="E6" t="str">
            <v>伯希和/PELLIOT</v>
          </cell>
          <cell r="F6" t="str">
            <v>流行饰品/眼镜/服配-帽子-渔夫帽</v>
          </cell>
          <cell r="G6" t="str">
            <v>一品一商</v>
          </cell>
          <cell r="H6" t="str">
            <v>品牌直发</v>
          </cell>
          <cell r="I6">
            <v>1693</v>
          </cell>
        </row>
        <row r="7">
          <cell r="D7">
            <v>11421415</v>
          </cell>
          <cell r="E7" t="str">
            <v>伯希和/PELLIOT</v>
          </cell>
          <cell r="F7" t="str">
            <v>服装-户外运动服-速干裤</v>
          </cell>
          <cell r="G7" t="str">
            <v>一品多商</v>
          </cell>
          <cell r="H7" t="str">
            <v>品牌直发</v>
          </cell>
          <cell r="I7">
            <v>3295</v>
          </cell>
        </row>
        <row r="8">
          <cell r="D8">
            <v>115214021</v>
          </cell>
          <cell r="E8" t="str">
            <v>伯希和/PELLIOT</v>
          </cell>
          <cell r="F8" t="str">
            <v>服装-户外运动服-速干裤</v>
          </cell>
          <cell r="G8" t="str">
            <v>一品多商</v>
          </cell>
          <cell r="H8" t="str">
            <v>品牌直发</v>
          </cell>
          <cell r="I8">
            <v>3132</v>
          </cell>
        </row>
        <row r="9">
          <cell r="D9">
            <v>115181001</v>
          </cell>
          <cell r="E9" t="str">
            <v>伯希和/PELLIOT</v>
          </cell>
          <cell r="F9" t="str">
            <v>鞋-运动鞋-登山鞋/徒步鞋</v>
          </cell>
          <cell r="G9" t="str">
            <v>一品多商</v>
          </cell>
          <cell r="H9" t="str">
            <v>品牌直发</v>
          </cell>
          <cell r="I9">
            <v>6249</v>
          </cell>
        </row>
        <row r="10">
          <cell r="D10">
            <v>115215047</v>
          </cell>
          <cell r="E10" t="str">
            <v>伯希和/PELLIOT</v>
          </cell>
          <cell r="F10" t="str">
            <v>服装-上衣-T恤</v>
          </cell>
          <cell r="G10" t="str">
            <v>一品一商</v>
          </cell>
          <cell r="H10" t="str">
            <v>品牌直发</v>
          </cell>
          <cell r="I10">
            <v>1052</v>
          </cell>
        </row>
        <row r="11">
          <cell r="D11">
            <v>115215025</v>
          </cell>
          <cell r="E11" t="str">
            <v>伯希和/PELLIOT</v>
          </cell>
          <cell r="F11" t="str">
            <v>服装-户外运动服-速干T恤</v>
          </cell>
          <cell r="G11" t="str">
            <v>一品多商</v>
          </cell>
          <cell r="H11" t="str">
            <v>品牌直发</v>
          </cell>
          <cell r="I11">
            <v>2757.64</v>
          </cell>
        </row>
        <row r="12">
          <cell r="D12">
            <v>12421250</v>
          </cell>
          <cell r="E12" t="str">
            <v>伯希和/PELLIOT</v>
          </cell>
          <cell r="F12" t="str">
            <v>女装-外套-防晒服</v>
          </cell>
          <cell r="G12" t="str">
            <v>一品多商</v>
          </cell>
          <cell r="H12" t="str">
            <v>品牌直发</v>
          </cell>
          <cell r="I12">
            <v>2069.33</v>
          </cell>
        </row>
        <row r="13">
          <cell r="D13">
            <v>115214024</v>
          </cell>
          <cell r="E13" t="str">
            <v>伯希和/PELLIOT</v>
          </cell>
          <cell r="F13" t="str">
            <v>服装-户外运动服-速干裤</v>
          </cell>
          <cell r="G13" t="str">
            <v>一品多商</v>
          </cell>
          <cell r="H13" t="str">
            <v>品牌直发</v>
          </cell>
          <cell r="I13">
            <v>2069</v>
          </cell>
        </row>
        <row r="14">
          <cell r="D14">
            <v>125215020</v>
          </cell>
          <cell r="E14" t="str">
            <v>伯希和/PELLIOT</v>
          </cell>
          <cell r="F14" t="str">
            <v>女装-上衣-Polo衫</v>
          </cell>
          <cell r="G14" t="str">
            <v>一品多商</v>
          </cell>
          <cell r="H14" t="str">
            <v>品牌直发</v>
          </cell>
          <cell r="I14">
            <v>1740</v>
          </cell>
        </row>
        <row r="15">
          <cell r="D15">
            <v>115214005</v>
          </cell>
          <cell r="E15" t="str">
            <v>伯希和/PELLIOT</v>
          </cell>
          <cell r="F15" t="str">
            <v>服装-户外运动服-速干裤</v>
          </cell>
          <cell r="G15" t="str">
            <v>一品多商</v>
          </cell>
          <cell r="H15" t="str">
            <v>品牌直发</v>
          </cell>
          <cell r="I15">
            <v>2392</v>
          </cell>
        </row>
        <row r="16">
          <cell r="D16">
            <v>11421241</v>
          </cell>
          <cell r="E16" t="str">
            <v>伯希和/PELLIOT</v>
          </cell>
          <cell r="F16" t="str">
            <v>服装-外套-防晒服</v>
          </cell>
          <cell r="G16" t="str">
            <v>一品多商</v>
          </cell>
          <cell r="H16" t="str">
            <v>品牌直发</v>
          </cell>
          <cell r="I16">
            <v>975</v>
          </cell>
        </row>
        <row r="17">
          <cell r="D17">
            <v>12421440</v>
          </cell>
          <cell r="E17" t="str">
            <v>伯希和/PELLIOT</v>
          </cell>
          <cell r="F17" t="str">
            <v>服装-健身服-运动短裤</v>
          </cell>
          <cell r="G17" t="str">
            <v>一品多商</v>
          </cell>
          <cell r="H17" t="str">
            <v>品牌直发</v>
          </cell>
          <cell r="I17">
            <v>1242</v>
          </cell>
        </row>
        <row r="18">
          <cell r="D18">
            <v>16403404</v>
          </cell>
          <cell r="E18" t="str">
            <v>伯希和/PELLIOT</v>
          </cell>
          <cell r="F18" t="str">
            <v>流行饰品/眼镜/服配-帽子-鸭舌帽</v>
          </cell>
          <cell r="G18" t="str">
            <v>一品一商</v>
          </cell>
          <cell r="H18" t="str">
            <v>品牌直发</v>
          </cell>
          <cell r="I18">
            <v>342</v>
          </cell>
        </row>
        <row r="19">
          <cell r="D19">
            <v>12421534</v>
          </cell>
          <cell r="E19" t="str">
            <v>伯希和/PELLIOT</v>
          </cell>
          <cell r="F19" t="str">
            <v>女装-上衣-Polo衫</v>
          </cell>
          <cell r="G19" t="str">
            <v>一品多商</v>
          </cell>
          <cell r="H19" t="str">
            <v>品牌直发</v>
          </cell>
          <cell r="I19">
            <v>1175</v>
          </cell>
        </row>
        <row r="20">
          <cell r="D20">
            <v>11421533</v>
          </cell>
          <cell r="E20" t="str">
            <v>伯希和/PELLIOT</v>
          </cell>
          <cell r="F20" t="str">
            <v>服装-上衣-Polo衫</v>
          </cell>
          <cell r="G20" t="str">
            <v>一品多商</v>
          </cell>
          <cell r="H20" t="str">
            <v>品牌直发</v>
          </cell>
          <cell r="I20">
            <v>1265</v>
          </cell>
        </row>
        <row r="21">
          <cell r="D21">
            <v>115215045</v>
          </cell>
          <cell r="E21" t="str">
            <v>伯希和/PELLIOT</v>
          </cell>
          <cell r="F21" t="str">
            <v>服装-上衣-T恤</v>
          </cell>
          <cell r="G21" t="str">
            <v>一品一商</v>
          </cell>
          <cell r="H21" t="str">
            <v>品牌直发</v>
          </cell>
          <cell r="I21">
            <v>568.1</v>
          </cell>
        </row>
        <row r="22">
          <cell r="D22">
            <v>114319003</v>
          </cell>
          <cell r="E22" t="str">
            <v>伯希和/PELLIOT</v>
          </cell>
          <cell r="F22" t="str">
            <v>鞋-运动鞋-登山鞋/徒步鞋</v>
          </cell>
          <cell r="G22" t="str">
            <v>一品多商</v>
          </cell>
          <cell r="H22" t="str">
            <v>品牌直发</v>
          </cell>
          <cell r="I22">
            <v>1698</v>
          </cell>
        </row>
        <row r="23">
          <cell r="D23">
            <v>16402503</v>
          </cell>
          <cell r="E23" t="str">
            <v>伯希和/PELLIOT</v>
          </cell>
          <cell r="F23" t="str">
            <v>箱包-包袋-户外包</v>
          </cell>
          <cell r="G23" t="str">
            <v>一品多商</v>
          </cell>
          <cell r="H23" t="str">
            <v>品牌直发</v>
          </cell>
          <cell r="I23">
            <v>1457</v>
          </cell>
        </row>
        <row r="24">
          <cell r="D24">
            <v>115214025</v>
          </cell>
          <cell r="E24" t="str">
            <v>伯希和/PELLIOT</v>
          </cell>
          <cell r="F24" t="str">
            <v>服装-户外运动服-速干裤</v>
          </cell>
          <cell r="G24" t="str">
            <v>一品多商</v>
          </cell>
          <cell r="H24" t="str">
            <v>品牌直发</v>
          </cell>
          <cell r="I24">
            <v>970</v>
          </cell>
        </row>
        <row r="25">
          <cell r="D25">
            <v>115110021</v>
          </cell>
          <cell r="E25" t="str">
            <v>伯希和/PELLIOT</v>
          </cell>
          <cell r="F25" t="str">
            <v>服装-户外运动服-抓绒衣</v>
          </cell>
          <cell r="G25" t="str">
            <v>一品多商</v>
          </cell>
          <cell r="H25" t="str">
            <v>品牌直发</v>
          </cell>
          <cell r="I25">
            <v>816</v>
          </cell>
        </row>
        <row r="26">
          <cell r="D26">
            <v>115220001</v>
          </cell>
          <cell r="E26" t="str">
            <v>伯希和/PELLIOT</v>
          </cell>
          <cell r="F26" t="str">
            <v>鞋-凉鞋/拖鞋-溯溪鞋</v>
          </cell>
          <cell r="G26" t="str">
            <v>一品多商</v>
          </cell>
          <cell r="H26" t="str">
            <v>品牌直发</v>
          </cell>
          <cell r="I26">
            <v>1903</v>
          </cell>
        </row>
        <row r="27">
          <cell r="D27">
            <v>115215007</v>
          </cell>
          <cell r="E27" t="str">
            <v>伯希和/PELLIOT</v>
          </cell>
          <cell r="F27" t="str">
            <v>服装-上衣-Polo衫</v>
          </cell>
          <cell r="G27" t="str">
            <v>一品多商</v>
          </cell>
          <cell r="H27" t="str">
            <v>品牌直发</v>
          </cell>
          <cell r="I27">
            <v>1228</v>
          </cell>
        </row>
        <row r="28">
          <cell r="D28" t="str">
            <v>PE124314376</v>
          </cell>
          <cell r="E28" t="str">
            <v>伯希和/PELLIOT</v>
          </cell>
          <cell r="F28" t="str">
            <v>服装-户外运动服-速干裤</v>
          </cell>
          <cell r="G28" t="str">
            <v>一品多商</v>
          </cell>
          <cell r="H28" t="str">
            <v>品牌直发</v>
          </cell>
          <cell r="I28">
            <v>1338</v>
          </cell>
        </row>
        <row r="29">
          <cell r="D29">
            <v>12421508</v>
          </cell>
          <cell r="E29" t="str">
            <v>伯希和/PELLIOT</v>
          </cell>
          <cell r="F29" t="str">
            <v>女装-上衣-Polo衫</v>
          </cell>
          <cell r="G29" t="str">
            <v>一品多商</v>
          </cell>
          <cell r="H29" t="str">
            <v>品牌直发</v>
          </cell>
          <cell r="I29">
            <v>432</v>
          </cell>
        </row>
        <row r="30">
          <cell r="D30">
            <v>11340821</v>
          </cell>
          <cell r="E30" t="str">
            <v>伯希和/PELLIOT</v>
          </cell>
          <cell r="F30" t="str">
            <v>服装-外套-羽绒服</v>
          </cell>
          <cell r="G30" t="str">
            <v>一品多商</v>
          </cell>
          <cell r="H30" t="str">
            <v>品牌直发</v>
          </cell>
          <cell r="I30">
            <v>1893</v>
          </cell>
        </row>
        <row r="31">
          <cell r="D31">
            <v>11321405</v>
          </cell>
          <cell r="E31" t="str">
            <v>伯希和/PELLIOT</v>
          </cell>
          <cell r="F31" t="str">
            <v>服装-户外运动服-速干裤</v>
          </cell>
          <cell r="G31" t="str">
            <v>一品多商</v>
          </cell>
          <cell r="H31" t="str">
            <v>品牌直发</v>
          </cell>
          <cell r="I31">
            <v>735</v>
          </cell>
        </row>
        <row r="32">
          <cell r="D32">
            <v>112121202</v>
          </cell>
          <cell r="E32" t="str">
            <v>伯希和/PELLIOT</v>
          </cell>
          <cell r="F32" t="str">
            <v>女装-外套-防晒服</v>
          </cell>
          <cell r="G32" t="str">
            <v>一品一商</v>
          </cell>
          <cell r="H32" t="str">
            <v>品牌直发</v>
          </cell>
          <cell r="I32">
            <v>372</v>
          </cell>
        </row>
        <row r="33">
          <cell r="D33" t="str">
            <v>PE12340164</v>
          </cell>
          <cell r="E33" t="str">
            <v>伯希和/PELLIOT</v>
          </cell>
          <cell r="F33" t="str">
            <v>女装-外套-冲锋衣</v>
          </cell>
          <cell r="G33" t="str">
            <v>一品多商</v>
          </cell>
          <cell r="H33" t="str">
            <v>品牌直发</v>
          </cell>
          <cell r="I33">
            <v>1995</v>
          </cell>
        </row>
        <row r="34">
          <cell r="D34">
            <v>115302007</v>
          </cell>
          <cell r="E34" t="str">
            <v>伯希和/PELLIOT</v>
          </cell>
          <cell r="F34" t="str">
            <v>服装-长裤-冲锋裤</v>
          </cell>
          <cell r="G34" t="str">
            <v>一品多商</v>
          </cell>
          <cell r="H34" t="str">
            <v>品牌直发</v>
          </cell>
          <cell r="I34">
            <v>1716</v>
          </cell>
        </row>
        <row r="35">
          <cell r="D35">
            <v>165041001</v>
          </cell>
          <cell r="E35" t="str">
            <v>伯希和/PELLIOT</v>
          </cell>
          <cell r="F35" t="str">
            <v>流行饰品/眼镜/服配-防晒服配-防晒脖套</v>
          </cell>
          <cell r="G35" t="str">
            <v>一品一商</v>
          </cell>
          <cell r="H35" t="str">
            <v>品牌直发</v>
          </cell>
          <cell r="I35">
            <v>46</v>
          </cell>
        </row>
        <row r="36">
          <cell r="D36" t="str">
            <v>11340105-新加色</v>
          </cell>
          <cell r="E36" t="str">
            <v>伯希和/PELLIOT</v>
          </cell>
          <cell r="F36" t="str">
            <v>服装-外套-冲锋衣</v>
          </cell>
          <cell r="G36" t="str">
            <v>一品多商</v>
          </cell>
          <cell r="H36" t="str">
            <v>品牌直发</v>
          </cell>
          <cell r="I36">
            <v>1434</v>
          </cell>
        </row>
        <row r="37">
          <cell r="D37">
            <v>16202612</v>
          </cell>
          <cell r="E37" t="str">
            <v>伯希和/PELLIOT</v>
          </cell>
          <cell r="F37" t="str">
            <v>箱包-包袋-户外包</v>
          </cell>
          <cell r="G37" t="str">
            <v>一品一商</v>
          </cell>
          <cell r="H37" t="str">
            <v>品牌直发</v>
          </cell>
          <cell r="I37">
            <v>100</v>
          </cell>
        </row>
        <row r="38">
          <cell r="D38">
            <v>11421429</v>
          </cell>
          <cell r="E38" t="str">
            <v>伯希和/PELLIOT</v>
          </cell>
          <cell r="F38" t="str">
            <v>服装-短裤-休闲短裤</v>
          </cell>
          <cell r="G38" t="str">
            <v>一品一商</v>
          </cell>
          <cell r="H38" t="str">
            <v>品牌直发</v>
          </cell>
          <cell r="I38">
            <v>658</v>
          </cell>
        </row>
        <row r="39">
          <cell r="D39" t="str">
            <v>PE1124101048</v>
          </cell>
          <cell r="E39" t="str">
            <v>伯希和/PELLIOT</v>
          </cell>
          <cell r="F39" t="str">
            <v>服装-外套-冲锋衣</v>
          </cell>
          <cell r="G39" t="str">
            <v>一品多商</v>
          </cell>
          <cell r="H39" t="str">
            <v>品牌直发</v>
          </cell>
          <cell r="I39">
            <v>2018</v>
          </cell>
        </row>
        <row r="40">
          <cell r="D40">
            <v>12421252</v>
          </cell>
          <cell r="E40" t="str">
            <v>伯希和/PELLIOT</v>
          </cell>
          <cell r="F40" t="str">
            <v>女装-外套-防晒服</v>
          </cell>
          <cell r="G40" t="str">
            <v>一品多商</v>
          </cell>
          <cell r="H40" t="str">
            <v>品牌直发</v>
          </cell>
          <cell r="I40">
            <v>331</v>
          </cell>
        </row>
        <row r="41">
          <cell r="D41">
            <v>12425112</v>
          </cell>
          <cell r="E41" t="str">
            <v>伯希和/PELLIOT</v>
          </cell>
          <cell r="F41" t="str">
            <v>女装-外套-防晒服</v>
          </cell>
          <cell r="G41" t="str">
            <v>一品多商</v>
          </cell>
          <cell r="H41" t="str">
            <v>品牌直发</v>
          </cell>
          <cell r="I41">
            <v>442</v>
          </cell>
        </row>
        <row r="42">
          <cell r="D42">
            <v>6902507</v>
          </cell>
          <cell r="E42" t="str">
            <v>伯希和/PELLIOT</v>
          </cell>
          <cell r="F42" t="str">
            <v>箱包-包袋-户外包</v>
          </cell>
          <cell r="G42" t="str">
            <v>一品一商</v>
          </cell>
          <cell r="H42" t="str">
            <v>品牌直发</v>
          </cell>
          <cell r="I42">
            <v>556</v>
          </cell>
        </row>
        <row r="43">
          <cell r="D43">
            <v>12340164</v>
          </cell>
          <cell r="E43" t="str">
            <v>伯希和/PELLIOT</v>
          </cell>
          <cell r="F43" t="str">
            <v>服装-外套-冲锋衣</v>
          </cell>
          <cell r="G43" t="str">
            <v>一品多商</v>
          </cell>
          <cell r="H43" t="str">
            <v>品牌直发</v>
          </cell>
          <cell r="I43">
            <v>1347</v>
          </cell>
        </row>
        <row r="44">
          <cell r="D44">
            <v>12340106</v>
          </cell>
          <cell r="E44" t="str">
            <v>伯希和/PELLIOT</v>
          </cell>
          <cell r="F44" t="str">
            <v>女装-外套-冲锋衣</v>
          </cell>
          <cell r="G44" t="str">
            <v>一品多商</v>
          </cell>
          <cell r="H44" t="str">
            <v>品牌直发</v>
          </cell>
          <cell r="I44">
            <v>945</v>
          </cell>
        </row>
        <row r="45">
          <cell r="D45">
            <v>12321218</v>
          </cell>
          <cell r="E45" t="str">
            <v>伯希和/PELLIOT</v>
          </cell>
          <cell r="F45" t="str">
            <v>女装-外套-防晒服</v>
          </cell>
          <cell r="G45" t="str">
            <v>一品多商</v>
          </cell>
          <cell r="H45" t="str">
            <v>品牌直发</v>
          </cell>
          <cell r="I45">
            <v>248</v>
          </cell>
        </row>
        <row r="46">
          <cell r="D46">
            <v>11040105</v>
          </cell>
          <cell r="E46" t="str">
            <v>伯希和/PELLIOT</v>
          </cell>
          <cell r="F46" t="str">
            <v>服装-外套-冲锋衣</v>
          </cell>
          <cell r="G46" t="str">
            <v>一品多商</v>
          </cell>
          <cell r="H46" t="str">
            <v>品牌直发</v>
          </cell>
          <cell r="I46">
            <v>1151</v>
          </cell>
        </row>
        <row r="47">
          <cell r="D47">
            <v>12040106</v>
          </cell>
          <cell r="E47" t="str">
            <v>伯希和/PELLIOT</v>
          </cell>
          <cell r="F47" t="str">
            <v>女装-外套-冲锋衣</v>
          </cell>
          <cell r="G47" t="str">
            <v>一品多商</v>
          </cell>
          <cell r="H47" t="str">
            <v>品牌直发</v>
          </cell>
          <cell r="I47">
            <v>1110</v>
          </cell>
        </row>
        <row r="48">
          <cell r="D48">
            <v>115302003</v>
          </cell>
          <cell r="E48" t="str">
            <v>伯希和/PELLIOT</v>
          </cell>
          <cell r="F48" t="str">
            <v>服装-长裤-冲锋裤</v>
          </cell>
          <cell r="G48" t="str">
            <v>一品多商</v>
          </cell>
          <cell r="H48" t="str">
            <v>品牌直发</v>
          </cell>
          <cell r="I48">
            <v>1344</v>
          </cell>
        </row>
        <row r="49">
          <cell r="D49">
            <v>105301056</v>
          </cell>
          <cell r="E49" t="str">
            <v>伯希和/PELLIOT</v>
          </cell>
          <cell r="F49" t="str">
            <v>服装-外套-冲锋衣</v>
          </cell>
          <cell r="G49" t="str">
            <v>一品多商</v>
          </cell>
          <cell r="H49" t="str">
            <v>品牌直发</v>
          </cell>
          <cell r="I49">
            <v>1914</v>
          </cell>
        </row>
        <row r="50">
          <cell r="D50">
            <v>135212024</v>
          </cell>
          <cell r="E50" t="str">
            <v>伯希和/PELLIOT</v>
          </cell>
          <cell r="F50" t="str">
            <v>童装-儿童上装-防晒衣</v>
          </cell>
          <cell r="G50" t="str">
            <v>一品多商</v>
          </cell>
          <cell r="H50" t="str">
            <v>品牌直发</v>
          </cell>
          <cell r="I50">
            <v>363</v>
          </cell>
        </row>
        <row r="51">
          <cell r="D51">
            <v>135212023</v>
          </cell>
          <cell r="E51" t="str">
            <v>伯希和/PELLIOT</v>
          </cell>
          <cell r="F51" t="str">
            <v>童装-儿童上装-防晒衣</v>
          </cell>
          <cell r="G51" t="str">
            <v>一品多商</v>
          </cell>
          <cell r="H51" t="str">
            <v>品牌直发</v>
          </cell>
          <cell r="I51">
            <v>417</v>
          </cell>
        </row>
        <row r="52">
          <cell r="D52">
            <v>115215001</v>
          </cell>
          <cell r="E52" t="str">
            <v>伯希和/PELLIOT</v>
          </cell>
          <cell r="F52" t="str">
            <v>服装-上衣-T恤</v>
          </cell>
          <cell r="G52" t="str">
            <v>一品多商</v>
          </cell>
          <cell r="H52" t="str">
            <v>品牌直发</v>
          </cell>
          <cell r="I52">
            <v>395</v>
          </cell>
        </row>
        <row r="53">
          <cell r="D53">
            <v>115215039</v>
          </cell>
          <cell r="E53" t="str">
            <v>伯希和/PELLIOT</v>
          </cell>
          <cell r="F53" t="str">
            <v>服装-上衣-Polo衫</v>
          </cell>
          <cell r="G53" t="str">
            <v>一品多商</v>
          </cell>
          <cell r="H53" t="str">
            <v>品牌直发</v>
          </cell>
          <cell r="I53">
            <v>744</v>
          </cell>
        </row>
        <row r="54">
          <cell r="D54">
            <v>115107003</v>
          </cell>
          <cell r="E54" t="str">
            <v>伯希和/PELLIOT</v>
          </cell>
          <cell r="F54" t="str">
            <v>服装-长裤-软壳裤</v>
          </cell>
          <cell r="G54" t="str">
            <v>一品多商</v>
          </cell>
          <cell r="H54" t="str">
            <v>品牌直发</v>
          </cell>
          <cell r="I54">
            <v>1031</v>
          </cell>
        </row>
        <row r="55">
          <cell r="D55">
            <v>135101017</v>
          </cell>
          <cell r="E55" t="str">
            <v>伯希和/PELLIOT</v>
          </cell>
          <cell r="F55" t="str">
            <v>童装-儿童上装-冲锋衣</v>
          </cell>
          <cell r="G55" t="str">
            <v>一品多商</v>
          </cell>
          <cell r="H55" t="str">
            <v>品牌直发</v>
          </cell>
          <cell r="I55">
            <v>1064</v>
          </cell>
        </row>
        <row r="56">
          <cell r="D56">
            <v>115102001</v>
          </cell>
          <cell r="E56" t="str">
            <v>伯希和/PELLIOT</v>
          </cell>
          <cell r="F56" t="str">
            <v>服装-长裤-冲锋裤</v>
          </cell>
          <cell r="G56" t="str">
            <v>一品多商</v>
          </cell>
          <cell r="H56" t="str">
            <v>品牌直发</v>
          </cell>
          <cell r="I56">
            <v>1544</v>
          </cell>
        </row>
        <row r="57">
          <cell r="D57">
            <v>105212020</v>
          </cell>
          <cell r="E57" t="str">
            <v>伯希和/PELLIOT</v>
          </cell>
          <cell r="F57" t="str">
            <v>服装-外套-防晒服</v>
          </cell>
          <cell r="G57" t="str">
            <v>一品多商</v>
          </cell>
          <cell r="H57" t="str">
            <v>品牌直发</v>
          </cell>
          <cell r="I57">
            <v>580</v>
          </cell>
        </row>
        <row r="58">
          <cell r="D58">
            <v>124419008</v>
          </cell>
          <cell r="E58" t="str">
            <v>伯希和/PELLIOT</v>
          </cell>
          <cell r="F58" t="str">
            <v>鞋-运动鞋-登山鞋/徒步鞋</v>
          </cell>
          <cell r="G58" t="str">
            <v>一品一商</v>
          </cell>
          <cell r="H58" t="str">
            <v>品牌直发</v>
          </cell>
          <cell r="I58">
            <v>903</v>
          </cell>
        </row>
        <row r="59">
          <cell r="D59">
            <v>116202507</v>
          </cell>
          <cell r="E59" t="str">
            <v>伯希和/PELLIOT</v>
          </cell>
          <cell r="F59" t="str">
            <v>箱包-包袋-户外包</v>
          </cell>
          <cell r="G59" t="str">
            <v>一品多商</v>
          </cell>
          <cell r="H59" t="str">
            <v>品牌直发</v>
          </cell>
          <cell r="I59">
            <v>696</v>
          </cell>
        </row>
        <row r="60">
          <cell r="D60">
            <v>16402511</v>
          </cell>
          <cell r="E60" t="str">
            <v>伯希和/PELLIOT</v>
          </cell>
          <cell r="F60" t="str">
            <v>箱包-包袋-户外包</v>
          </cell>
          <cell r="G60" t="str">
            <v>一品多商</v>
          </cell>
          <cell r="H60" t="str">
            <v>品牌直发</v>
          </cell>
          <cell r="I60">
            <v>454</v>
          </cell>
        </row>
        <row r="61">
          <cell r="D61">
            <v>114301037</v>
          </cell>
          <cell r="E61" t="str">
            <v>伯希和/PELLIOT</v>
          </cell>
          <cell r="F61" t="str">
            <v>服装-外套-冲锋衣</v>
          </cell>
          <cell r="G61" t="str">
            <v>一品多商</v>
          </cell>
          <cell r="H61" t="str">
            <v>品牌直发</v>
          </cell>
          <cell r="I61">
            <v>1269</v>
          </cell>
        </row>
        <row r="62">
          <cell r="D62">
            <v>11411909</v>
          </cell>
          <cell r="E62" t="str">
            <v>伯希和/PELLIOT</v>
          </cell>
          <cell r="F62" t="str">
            <v>鞋-运动鞋-登山鞋/徒步鞋</v>
          </cell>
          <cell r="G62" t="str">
            <v>一品多商</v>
          </cell>
          <cell r="H62" t="str">
            <v>品牌直发</v>
          </cell>
          <cell r="I62">
            <v>698</v>
          </cell>
        </row>
        <row r="63">
          <cell r="D63">
            <v>11421519</v>
          </cell>
          <cell r="E63" t="str">
            <v>伯希和/PELLIOT</v>
          </cell>
          <cell r="F63" t="str">
            <v>服装-上衣-Polo衫</v>
          </cell>
          <cell r="G63" t="str">
            <v>一品一商</v>
          </cell>
          <cell r="H63" t="str">
            <v>品牌直发</v>
          </cell>
          <cell r="I63">
            <v>281</v>
          </cell>
        </row>
        <row r="64">
          <cell r="D64">
            <v>12421226</v>
          </cell>
          <cell r="E64" t="str">
            <v>伯希和/PELLIOT</v>
          </cell>
          <cell r="F64" t="str">
            <v>女装-外套-防晒服</v>
          </cell>
          <cell r="G64" t="str">
            <v>一品一商</v>
          </cell>
          <cell r="H64" t="str">
            <v>品牌直发</v>
          </cell>
          <cell r="I64">
            <v>241</v>
          </cell>
        </row>
        <row r="65">
          <cell r="D65">
            <v>11421201</v>
          </cell>
          <cell r="E65" t="str">
            <v>伯希和/PELLIOT</v>
          </cell>
          <cell r="F65" t="str">
            <v>服装-外套-防晒服</v>
          </cell>
          <cell r="G65" t="str">
            <v>一品多商</v>
          </cell>
          <cell r="H65" t="str">
            <v>品牌直发</v>
          </cell>
          <cell r="I65">
            <v>221</v>
          </cell>
        </row>
        <row r="66">
          <cell r="D66">
            <v>11421425</v>
          </cell>
          <cell r="E66" t="str">
            <v>伯希和/PELLIOT</v>
          </cell>
          <cell r="F66" t="str">
            <v>服装-长裤-针织运动裤</v>
          </cell>
          <cell r="G66" t="str">
            <v>一品多商</v>
          </cell>
          <cell r="H66" t="str">
            <v>品牌直发</v>
          </cell>
          <cell r="I66">
            <v>184</v>
          </cell>
        </row>
        <row r="67">
          <cell r="D67">
            <v>12421412</v>
          </cell>
          <cell r="E67" t="str">
            <v>伯希和/PELLIOT</v>
          </cell>
          <cell r="F67" t="str">
            <v>女装-户外运动服-速干裤</v>
          </cell>
          <cell r="G67" t="str">
            <v>一品多商</v>
          </cell>
          <cell r="H67" t="str">
            <v>品牌直发</v>
          </cell>
          <cell r="I67">
            <v>379</v>
          </cell>
        </row>
        <row r="68">
          <cell r="D68">
            <v>12421254</v>
          </cell>
          <cell r="E68" t="str">
            <v>伯希和/PELLIOT</v>
          </cell>
          <cell r="F68" t="str">
            <v>女装-外套-防晒服</v>
          </cell>
          <cell r="G68" t="str">
            <v>一品多商</v>
          </cell>
          <cell r="H68" t="str">
            <v>品牌直发</v>
          </cell>
          <cell r="I68">
            <v>217</v>
          </cell>
        </row>
        <row r="69">
          <cell r="D69">
            <v>11410201</v>
          </cell>
          <cell r="E69" t="str">
            <v>伯希和/PELLIOT</v>
          </cell>
          <cell r="F69" t="str">
            <v>服装-长裤-冲锋裤</v>
          </cell>
          <cell r="G69" t="str">
            <v>一品多商</v>
          </cell>
          <cell r="H69" t="str">
            <v>品牌直发</v>
          </cell>
          <cell r="I69">
            <v>479</v>
          </cell>
        </row>
        <row r="70">
          <cell r="D70">
            <v>12340806</v>
          </cell>
          <cell r="E70" t="str">
            <v>伯希和/PELLIOT</v>
          </cell>
          <cell r="F70" t="str">
            <v>女装-外套-羽绒服</v>
          </cell>
          <cell r="G70" t="str">
            <v>一品多商</v>
          </cell>
          <cell r="H70" t="str">
            <v>品牌直发</v>
          </cell>
          <cell r="I70">
            <v>1757</v>
          </cell>
        </row>
        <row r="71">
          <cell r="D71">
            <v>114408281</v>
          </cell>
          <cell r="E71" t="str">
            <v>伯希和/PELLIOT</v>
          </cell>
          <cell r="F71" t="str">
            <v>服装-外套-羽绒服</v>
          </cell>
          <cell r="G71" t="str">
            <v>一品多商</v>
          </cell>
          <cell r="H71" t="str">
            <v>品牌直发</v>
          </cell>
          <cell r="I71">
            <v>758</v>
          </cell>
        </row>
        <row r="72">
          <cell r="D72">
            <v>112230602</v>
          </cell>
          <cell r="E72" t="str">
            <v>伯希和/PELLIOT</v>
          </cell>
          <cell r="F72" t="str">
            <v>女装-外套-软壳衣</v>
          </cell>
          <cell r="G72" t="str">
            <v>一品一商</v>
          </cell>
          <cell r="H72" t="str">
            <v>品牌直发</v>
          </cell>
          <cell r="I72">
            <v>339</v>
          </cell>
        </row>
        <row r="73">
          <cell r="D73">
            <v>16202509</v>
          </cell>
          <cell r="E73" t="str">
            <v>伯希和/PELLIOT</v>
          </cell>
          <cell r="F73" t="str">
            <v>箱包-包袋-户外包</v>
          </cell>
          <cell r="G73" t="str">
            <v>一品一商</v>
          </cell>
          <cell r="H73" t="str">
            <v>品牌直发</v>
          </cell>
          <cell r="I73">
            <v>418</v>
          </cell>
        </row>
        <row r="74">
          <cell r="D74">
            <v>11340105</v>
          </cell>
          <cell r="E74" t="str">
            <v>伯希和/PELLIOT</v>
          </cell>
          <cell r="F74" t="str">
            <v>服装-外套-冲锋衣</v>
          </cell>
          <cell r="G74" t="str">
            <v>一品多商</v>
          </cell>
          <cell r="H74" t="str">
            <v>品牌直发</v>
          </cell>
          <cell r="I74">
            <v>499</v>
          </cell>
        </row>
        <row r="75">
          <cell r="D75">
            <v>111121427</v>
          </cell>
          <cell r="E75" t="str">
            <v>伯希和/PELLIOT</v>
          </cell>
          <cell r="F75" t="str">
            <v>服装-户外运动服-速干裤</v>
          </cell>
          <cell r="G75" t="str">
            <v>一品一商</v>
          </cell>
          <cell r="H75" t="str">
            <v>品牌直发</v>
          </cell>
          <cell r="I75">
            <v>162</v>
          </cell>
        </row>
        <row r="76">
          <cell r="D76">
            <v>12021510</v>
          </cell>
          <cell r="E76" t="str">
            <v>伯希和/PELLIOT</v>
          </cell>
          <cell r="F76" t="str">
            <v>女装-户外运动服-跑步T恤</v>
          </cell>
          <cell r="G76" t="str">
            <v>一品一商</v>
          </cell>
          <cell r="H76" t="str">
            <v>品牌直发</v>
          </cell>
          <cell r="I76">
            <v>87</v>
          </cell>
        </row>
        <row r="77">
          <cell r="D77">
            <v>115116021</v>
          </cell>
          <cell r="E77" t="str">
            <v>伯希和/PELLIOT</v>
          </cell>
          <cell r="F77" t="str">
            <v>服装-上衣-T恤</v>
          </cell>
          <cell r="G77" t="str">
            <v>一品多商</v>
          </cell>
          <cell r="H77" t="str">
            <v>品牌直发</v>
          </cell>
          <cell r="I77">
            <v>137</v>
          </cell>
        </row>
        <row r="78">
          <cell r="D78">
            <v>11321207</v>
          </cell>
          <cell r="E78" t="str">
            <v>伯希和/PELLIOT</v>
          </cell>
          <cell r="F78" t="str">
            <v>服装-外套-防晒服</v>
          </cell>
          <cell r="G78" t="str">
            <v>一品多商</v>
          </cell>
          <cell r="H78" t="str">
            <v>品牌直发</v>
          </cell>
          <cell r="I78">
            <v>151</v>
          </cell>
        </row>
        <row r="79">
          <cell r="D79">
            <v>125110022</v>
          </cell>
          <cell r="E79" t="str">
            <v>伯希和/PELLIOT</v>
          </cell>
          <cell r="F79" t="str">
            <v>女装-户外运动服-抓绒衣</v>
          </cell>
          <cell r="G79" t="str">
            <v>一品多商</v>
          </cell>
          <cell r="H79" t="str">
            <v>品牌直发</v>
          </cell>
          <cell r="I79">
            <v>221</v>
          </cell>
        </row>
        <row r="80">
          <cell r="D80" t="str">
            <v>16302602-2025</v>
          </cell>
          <cell r="E80" t="str">
            <v>伯希和/PELLIOT</v>
          </cell>
          <cell r="F80" t="str">
            <v>箱包-包袋-手机包</v>
          </cell>
          <cell r="G80" t="str">
            <v>一品一商</v>
          </cell>
          <cell r="H80" t="str">
            <v>品牌直发</v>
          </cell>
          <cell r="I80">
            <v>34</v>
          </cell>
        </row>
        <row r="81">
          <cell r="D81" t="str">
            <v>105301056-2025</v>
          </cell>
          <cell r="E81" t="str">
            <v>伯希和/PELLIOT</v>
          </cell>
          <cell r="F81" t="str">
            <v>女装-外套-冲锋衣</v>
          </cell>
          <cell r="G81" t="str">
            <v>一品多商</v>
          </cell>
          <cell r="H81" t="str">
            <v>品牌直发</v>
          </cell>
          <cell r="I81">
            <v>962</v>
          </cell>
        </row>
        <row r="82">
          <cell r="D82" t="str">
            <v>124101048-2025</v>
          </cell>
          <cell r="E82" t="str">
            <v>伯希和/PELLIOT</v>
          </cell>
          <cell r="F82" t="str">
            <v>女装-外套-冲锋衣</v>
          </cell>
          <cell r="G82" t="str">
            <v>一品多商</v>
          </cell>
          <cell r="H82" t="str">
            <v>品牌直发</v>
          </cell>
          <cell r="I82">
            <v>662</v>
          </cell>
        </row>
        <row r="83">
          <cell r="D83">
            <v>105301051</v>
          </cell>
          <cell r="E83" t="str">
            <v>伯希和/PELLIOT</v>
          </cell>
          <cell r="F83" t="str">
            <v>服装-外套-冲锋衣</v>
          </cell>
          <cell r="G83" t="str">
            <v>一品多商</v>
          </cell>
          <cell r="H83" t="str">
            <v>普通现货</v>
          </cell>
          <cell r="I83">
            <v>1272</v>
          </cell>
        </row>
        <row r="84">
          <cell r="D84">
            <v>115316032</v>
          </cell>
          <cell r="E84" t="str">
            <v>伯希和/PELLIOT</v>
          </cell>
          <cell r="F84" t="str">
            <v>服装-上衣-T恤</v>
          </cell>
          <cell r="G84" t="str">
            <v>一品多商</v>
          </cell>
          <cell r="H84" t="str">
            <v>品牌直发</v>
          </cell>
          <cell r="I84">
            <v>281</v>
          </cell>
        </row>
        <row r="85">
          <cell r="D85" t="str">
            <v>115301054-新加色</v>
          </cell>
          <cell r="E85" t="str">
            <v>伯希和/PELLIOT</v>
          </cell>
          <cell r="F85" t="str">
            <v>服装-外套-冲锋衣</v>
          </cell>
          <cell r="G85" t="str">
            <v>一品多商</v>
          </cell>
          <cell r="H85" t="str">
            <v>品牌直发</v>
          </cell>
          <cell r="I85">
            <v>546</v>
          </cell>
        </row>
        <row r="86">
          <cell r="D86" t="str">
            <v>11040105-新加色</v>
          </cell>
          <cell r="E86" t="str">
            <v>伯希和/PELLIOT</v>
          </cell>
          <cell r="F86" t="str">
            <v>服装-外套-冲锋衣</v>
          </cell>
          <cell r="G86" t="str">
            <v>一品一商</v>
          </cell>
          <cell r="H86" t="str">
            <v>品牌直发</v>
          </cell>
          <cell r="I86">
            <v>581</v>
          </cell>
        </row>
        <row r="87">
          <cell r="D87" t="str">
            <v>11340105-2025</v>
          </cell>
          <cell r="E87" t="str">
            <v>伯希和/PELLIOT</v>
          </cell>
          <cell r="F87" t="str">
            <v>服装-外套-冲锋衣</v>
          </cell>
          <cell r="G87" t="str">
            <v>一品多商</v>
          </cell>
          <cell r="H87" t="str">
            <v>品牌直发</v>
          </cell>
          <cell r="I87">
            <v>468</v>
          </cell>
        </row>
        <row r="88">
          <cell r="D88">
            <v>115214007</v>
          </cell>
          <cell r="E88" t="str">
            <v>伯希和/PELLIOT</v>
          </cell>
          <cell r="F88" t="str">
            <v>服装-短裤-休闲短裤</v>
          </cell>
          <cell r="G88" t="str">
            <v>一品一商</v>
          </cell>
          <cell r="H88" t="str">
            <v>品牌直发</v>
          </cell>
          <cell r="I88">
            <v>318.67</v>
          </cell>
        </row>
        <row r="89">
          <cell r="D89">
            <v>115215009</v>
          </cell>
          <cell r="E89" t="str">
            <v>伯希和/PELLIOT</v>
          </cell>
          <cell r="F89" t="str">
            <v>服装-上衣-Polo衫</v>
          </cell>
          <cell r="G89" t="str">
            <v>一品一商</v>
          </cell>
          <cell r="H89" t="str">
            <v>品牌直发</v>
          </cell>
          <cell r="I89">
            <v>432</v>
          </cell>
        </row>
        <row r="90">
          <cell r="D90">
            <v>125214016</v>
          </cell>
          <cell r="E90" t="str">
            <v>伯希和/PELLIOT</v>
          </cell>
          <cell r="F90" t="str">
            <v>女装-短裙-休闲短裙</v>
          </cell>
          <cell r="G90" t="str">
            <v>一品一商</v>
          </cell>
          <cell r="H90" t="str">
            <v>品牌直发</v>
          </cell>
          <cell r="I90">
            <v>242</v>
          </cell>
        </row>
        <row r="91">
          <cell r="D91">
            <v>115212003</v>
          </cell>
          <cell r="E91" t="str">
            <v>伯希和/PELLIOT</v>
          </cell>
          <cell r="F91" t="str">
            <v>服装-外套-防晒服</v>
          </cell>
          <cell r="G91" t="str">
            <v>一品多商</v>
          </cell>
          <cell r="H91" t="str">
            <v>品牌直发</v>
          </cell>
          <cell r="I91">
            <v>256</v>
          </cell>
        </row>
        <row r="92">
          <cell r="D92">
            <v>105025008</v>
          </cell>
          <cell r="E92" t="str">
            <v>伯希和/PELLIOT</v>
          </cell>
          <cell r="F92" t="str">
            <v>箱包-包袋-户外包</v>
          </cell>
          <cell r="G92" t="str">
            <v>一品多商</v>
          </cell>
          <cell r="H92" t="str">
            <v>品牌直发</v>
          </cell>
          <cell r="I92">
            <v>332</v>
          </cell>
        </row>
        <row r="93">
          <cell r="D93">
            <v>125214022</v>
          </cell>
          <cell r="E93" t="str">
            <v>伯希和/PELLIOT</v>
          </cell>
          <cell r="F93" t="str">
            <v>女装-户外运动服-速干裤</v>
          </cell>
          <cell r="G93" t="str">
            <v>一品一商</v>
          </cell>
          <cell r="H93" t="str">
            <v>品牌直发</v>
          </cell>
          <cell r="I93">
            <v>227</v>
          </cell>
        </row>
        <row r="94">
          <cell r="D94">
            <v>125215024</v>
          </cell>
          <cell r="E94" t="str">
            <v>伯希和/PELLIOT</v>
          </cell>
          <cell r="F94" t="str">
            <v>女装-户外运动服-速干T恤</v>
          </cell>
          <cell r="G94" t="str">
            <v>一品多商</v>
          </cell>
          <cell r="H94" t="str">
            <v>品牌直发</v>
          </cell>
          <cell r="I94">
            <v>201</v>
          </cell>
        </row>
        <row r="95">
          <cell r="D95" t="str">
            <v>PE125215026</v>
          </cell>
          <cell r="E95" t="str">
            <v>伯希和/PELLIOT</v>
          </cell>
          <cell r="F95" t="str">
            <v>女装-户外运动服-速干T恤</v>
          </cell>
          <cell r="G95" t="str">
            <v>一品一商</v>
          </cell>
          <cell r="H95" t="str">
            <v>品牌直发</v>
          </cell>
          <cell r="I95">
            <v>272</v>
          </cell>
        </row>
        <row r="96">
          <cell r="D96">
            <v>115119035</v>
          </cell>
          <cell r="E96" t="str">
            <v>伯希和/PELLIOT</v>
          </cell>
          <cell r="F96" t="str">
            <v>鞋-运动鞋-登山鞋/徒步鞋</v>
          </cell>
          <cell r="G96" t="str">
            <v>一品多商</v>
          </cell>
          <cell r="H96" t="str">
            <v>品牌直发</v>
          </cell>
          <cell r="I96">
            <v>464</v>
          </cell>
        </row>
        <row r="97">
          <cell r="D97">
            <v>115101001</v>
          </cell>
          <cell r="E97" t="str">
            <v>伯希和/PELLIOT</v>
          </cell>
          <cell r="F97" t="str">
            <v>服装-外套-冲锋衣</v>
          </cell>
          <cell r="G97" t="str">
            <v>一品多商</v>
          </cell>
          <cell r="H97" t="str">
            <v>品牌直发</v>
          </cell>
          <cell r="I97">
            <v>537</v>
          </cell>
        </row>
        <row r="98">
          <cell r="D98">
            <v>115301054</v>
          </cell>
          <cell r="E98" t="str">
            <v>伯希和/PELLIOT</v>
          </cell>
          <cell r="F98" t="str">
            <v>服装-外套-冲锋衣</v>
          </cell>
          <cell r="G98" t="str">
            <v>一品多商</v>
          </cell>
          <cell r="H98" t="str">
            <v>品牌直发</v>
          </cell>
          <cell r="I98">
            <v>550</v>
          </cell>
        </row>
        <row r="99">
          <cell r="D99" t="str">
            <v>PE125119032</v>
          </cell>
          <cell r="E99" t="str">
            <v>伯希和/PELLIOT</v>
          </cell>
          <cell r="F99" t="str">
            <v>鞋-运动鞋-登山鞋/徒步鞋</v>
          </cell>
          <cell r="G99" t="str">
            <v>一品多商</v>
          </cell>
          <cell r="H99" t="str">
            <v>品牌直发</v>
          </cell>
          <cell r="I99">
            <v>730</v>
          </cell>
        </row>
        <row r="100">
          <cell r="D100" t="str">
            <v>124101048-新加色</v>
          </cell>
          <cell r="E100" t="str">
            <v>伯希和/PELLIOT</v>
          </cell>
          <cell r="F100" t="str">
            <v>服装-外套-冲锋衣</v>
          </cell>
          <cell r="G100" t="str">
            <v>一品多商</v>
          </cell>
          <cell r="H100" t="str">
            <v>品牌直发</v>
          </cell>
          <cell r="I100">
            <v>690</v>
          </cell>
        </row>
        <row r="101">
          <cell r="D101" t="str">
            <v>12340164-2025</v>
          </cell>
          <cell r="E101" t="str">
            <v>伯希和/PELLIOT</v>
          </cell>
          <cell r="F101" t="str">
            <v>服装-外套-冲锋衣</v>
          </cell>
          <cell r="G101" t="str">
            <v>一品多商</v>
          </cell>
          <cell r="H101" t="str">
            <v>品牌直发</v>
          </cell>
          <cell r="I101">
            <v>681</v>
          </cell>
        </row>
        <row r="102">
          <cell r="D102">
            <v>1125101008</v>
          </cell>
          <cell r="E102" t="str">
            <v>伯希和/PELLIOT</v>
          </cell>
          <cell r="F102" t="str">
            <v>女装-外套-冲锋衣</v>
          </cell>
          <cell r="G102" t="str">
            <v>一品多商</v>
          </cell>
          <cell r="H102" t="str">
            <v>品牌直发</v>
          </cell>
          <cell r="I102">
            <v>432</v>
          </cell>
        </row>
        <row r="103">
          <cell r="D103">
            <v>114409341</v>
          </cell>
          <cell r="E103" t="str">
            <v>伯希和/PELLIOT</v>
          </cell>
          <cell r="F103" t="str">
            <v>服装-长裤-羽绒裤</v>
          </cell>
          <cell r="G103" t="str">
            <v>一品多商</v>
          </cell>
          <cell r="H103" t="str">
            <v>品牌直发</v>
          </cell>
          <cell r="I103">
            <v>432</v>
          </cell>
        </row>
        <row r="104">
          <cell r="D104">
            <v>114310191</v>
          </cell>
          <cell r="E104" t="str">
            <v>伯希和/PELLIOT</v>
          </cell>
          <cell r="F104" t="str">
            <v>服装-户外运动服-抓绒衣</v>
          </cell>
          <cell r="G104" t="str">
            <v>一品多商</v>
          </cell>
          <cell r="H104" t="str">
            <v>品牌直发</v>
          </cell>
          <cell r="I104">
            <v>345</v>
          </cell>
        </row>
        <row r="105">
          <cell r="D105">
            <v>124401042</v>
          </cell>
          <cell r="E105" t="str">
            <v>伯希和/PELLIOT</v>
          </cell>
          <cell r="F105" t="str">
            <v>女装-外套-冲锋衣</v>
          </cell>
          <cell r="G105" t="str">
            <v>一品多商</v>
          </cell>
          <cell r="H105" t="str">
            <v>品牌直发</v>
          </cell>
          <cell r="I105">
            <v>972</v>
          </cell>
        </row>
        <row r="106">
          <cell r="D106">
            <v>124301070</v>
          </cell>
          <cell r="E106" t="str">
            <v>伯希和/PELLIOT</v>
          </cell>
          <cell r="F106" t="str">
            <v>服装-外套-冲锋衣</v>
          </cell>
          <cell r="G106" t="str">
            <v>一品多商</v>
          </cell>
          <cell r="H106" t="str">
            <v>品牌直发</v>
          </cell>
          <cell r="I106">
            <v>672</v>
          </cell>
        </row>
        <row r="107">
          <cell r="D107">
            <v>164334405</v>
          </cell>
          <cell r="E107" t="str">
            <v>伯希和/PELLIOT</v>
          </cell>
          <cell r="F107" t="str">
            <v>流行饰品/眼镜/服配-帽子-绒线帽</v>
          </cell>
          <cell r="G107" t="str">
            <v>一品一商</v>
          </cell>
          <cell r="H107" t="str">
            <v>品牌直发</v>
          </cell>
          <cell r="I107">
            <v>84</v>
          </cell>
        </row>
        <row r="108">
          <cell r="D108">
            <v>114306147</v>
          </cell>
          <cell r="E108" t="str">
            <v>伯希和/PELLIOT</v>
          </cell>
          <cell r="F108" t="str">
            <v>服装-外套-软壳衣</v>
          </cell>
          <cell r="G108" t="str">
            <v>一品多商</v>
          </cell>
          <cell r="H108" t="str">
            <v>品牌直发</v>
          </cell>
          <cell r="I108">
            <v>472</v>
          </cell>
        </row>
        <row r="109">
          <cell r="D109">
            <v>124319004</v>
          </cell>
          <cell r="E109" t="str">
            <v>伯希和/PELLIOT</v>
          </cell>
          <cell r="F109" t="str">
            <v>鞋-运动鞋-登山鞋/徒步鞋</v>
          </cell>
          <cell r="G109" t="str">
            <v>一品一商</v>
          </cell>
          <cell r="H109" t="str">
            <v>品牌直发</v>
          </cell>
          <cell r="I109">
            <v>332</v>
          </cell>
        </row>
        <row r="110">
          <cell r="D110">
            <v>164026416</v>
          </cell>
          <cell r="E110" t="str">
            <v>伯希和/PELLIOT</v>
          </cell>
          <cell r="F110" t="str">
            <v>箱包-包袋-户外包</v>
          </cell>
          <cell r="G110" t="str">
            <v>一品一商</v>
          </cell>
          <cell r="H110" t="str">
            <v>品牌直发</v>
          </cell>
          <cell r="I110">
            <v>105</v>
          </cell>
        </row>
        <row r="111">
          <cell r="D111">
            <v>124301034</v>
          </cell>
          <cell r="E111" t="str">
            <v>伯希和/PELLIOT</v>
          </cell>
          <cell r="F111" t="str">
            <v>女装-外套-冲锋衣</v>
          </cell>
          <cell r="G111" t="str">
            <v>一品一商</v>
          </cell>
          <cell r="H111" t="str">
            <v>品牌直发</v>
          </cell>
          <cell r="I111">
            <v>562</v>
          </cell>
        </row>
        <row r="112">
          <cell r="D112">
            <v>124301038</v>
          </cell>
          <cell r="E112" t="str">
            <v>伯希和/PELLIOT</v>
          </cell>
          <cell r="F112" t="str">
            <v>女装-外套-冲锋衣</v>
          </cell>
          <cell r="G112" t="str">
            <v>一品多商</v>
          </cell>
          <cell r="H112" t="str">
            <v>品牌直发</v>
          </cell>
          <cell r="I112">
            <v>625</v>
          </cell>
        </row>
        <row r="113">
          <cell r="D113">
            <v>165025069</v>
          </cell>
          <cell r="E113" t="str">
            <v>伯希和/PELLIOT</v>
          </cell>
          <cell r="F113" t="str">
            <v>箱包-包袋-户外包</v>
          </cell>
          <cell r="G113" t="str">
            <v>一品一商</v>
          </cell>
          <cell r="H113" t="str">
            <v>品牌直发</v>
          </cell>
          <cell r="I113">
            <v>100</v>
          </cell>
        </row>
        <row r="114">
          <cell r="D114">
            <v>16402504</v>
          </cell>
          <cell r="E114" t="str">
            <v>伯希和/PELLIOT</v>
          </cell>
          <cell r="F114" t="str">
            <v>箱包-包袋-户外包</v>
          </cell>
          <cell r="G114" t="str">
            <v>一品一商</v>
          </cell>
          <cell r="H114" t="str">
            <v>品牌直发</v>
          </cell>
          <cell r="I114">
            <v>154</v>
          </cell>
        </row>
        <row r="115">
          <cell r="D115">
            <v>16402501</v>
          </cell>
          <cell r="E115" t="str">
            <v>伯希和/PELLIOT</v>
          </cell>
          <cell r="F115" t="str">
            <v>箱包-包袋-户外包</v>
          </cell>
          <cell r="G115" t="str">
            <v>一品一商</v>
          </cell>
          <cell r="H115" t="str">
            <v>品牌直发</v>
          </cell>
          <cell r="I115">
            <v>138</v>
          </cell>
        </row>
        <row r="116">
          <cell r="D116">
            <v>16325602</v>
          </cell>
          <cell r="E116" t="str">
            <v>伯希和/PELLIOT</v>
          </cell>
          <cell r="F116" t="str">
            <v>流行饰品/眼镜/服配-配饰-口罩</v>
          </cell>
          <cell r="G116" t="str">
            <v>一品一商</v>
          </cell>
          <cell r="H116" t="str">
            <v>品牌直发</v>
          </cell>
          <cell r="I116">
            <v>23</v>
          </cell>
        </row>
        <row r="117">
          <cell r="D117">
            <v>11411401</v>
          </cell>
          <cell r="E117" t="str">
            <v>伯希和/PELLIOT</v>
          </cell>
          <cell r="F117" t="str">
            <v>服装-长裤-软壳裤</v>
          </cell>
          <cell r="G117" t="str">
            <v>一品多商</v>
          </cell>
          <cell r="H117" t="str">
            <v>品牌直发</v>
          </cell>
          <cell r="I117">
            <v>0</v>
          </cell>
        </row>
        <row r="118">
          <cell r="D118">
            <v>12421230</v>
          </cell>
          <cell r="E118" t="str">
            <v>伯希和/PELLIOT</v>
          </cell>
          <cell r="F118" t="str">
            <v>女装-外套-防晒服</v>
          </cell>
          <cell r="G118" t="str">
            <v>一品多商</v>
          </cell>
          <cell r="H118" t="str">
            <v>品牌直发</v>
          </cell>
          <cell r="I118">
            <v>0</v>
          </cell>
        </row>
        <row r="119">
          <cell r="D119">
            <v>12421212</v>
          </cell>
          <cell r="E119" t="str">
            <v>伯希和/PELLIOT</v>
          </cell>
          <cell r="F119" t="str">
            <v>女装-外套-防晒服</v>
          </cell>
          <cell r="G119" t="str">
            <v>一品多商</v>
          </cell>
          <cell r="H119" t="str">
            <v>品牌直发</v>
          </cell>
          <cell r="I119">
            <v>0</v>
          </cell>
        </row>
        <row r="120">
          <cell r="D120">
            <v>11421411</v>
          </cell>
          <cell r="E120" t="str">
            <v>伯希和/PELLIOT</v>
          </cell>
          <cell r="F120" t="str">
            <v>服装-户外运动服-速干裤</v>
          </cell>
          <cell r="G120" t="str">
            <v>一品多商</v>
          </cell>
          <cell r="H120" t="str">
            <v>品牌直发</v>
          </cell>
          <cell r="I120">
            <v>0</v>
          </cell>
        </row>
        <row r="121">
          <cell r="D121">
            <v>11421409</v>
          </cell>
          <cell r="E121" t="str">
            <v>伯希和/PELLIOT</v>
          </cell>
          <cell r="F121" t="str">
            <v>服装-户外运动服-速干裤</v>
          </cell>
          <cell r="G121" t="str">
            <v>一品多商</v>
          </cell>
          <cell r="H121" t="str">
            <v>品牌直发</v>
          </cell>
          <cell r="I121">
            <v>0</v>
          </cell>
        </row>
        <row r="122">
          <cell r="D122">
            <v>11411405</v>
          </cell>
          <cell r="E122" t="str">
            <v>伯希和/PELLIOT</v>
          </cell>
          <cell r="F122" t="str">
            <v>服装-长裤-软壳裤</v>
          </cell>
          <cell r="G122" t="str">
            <v>一品一商</v>
          </cell>
          <cell r="H122" t="str">
            <v>品牌直发</v>
          </cell>
          <cell r="I122">
            <v>0</v>
          </cell>
        </row>
        <row r="123">
          <cell r="D123">
            <v>11421211</v>
          </cell>
          <cell r="E123" t="str">
            <v>伯希和/PELLIOT</v>
          </cell>
          <cell r="F123" t="str">
            <v>服装-外套-防晒服</v>
          </cell>
          <cell r="G123" t="str">
            <v>一品多商</v>
          </cell>
          <cell r="H123" t="str">
            <v>品牌直发</v>
          </cell>
          <cell r="I123">
            <v>0</v>
          </cell>
        </row>
        <row r="124">
          <cell r="D124">
            <v>12421538</v>
          </cell>
          <cell r="E124" t="str">
            <v>伯希和/PELLIOT</v>
          </cell>
          <cell r="F124" t="str">
            <v>女装-户外运动服-跑步T恤</v>
          </cell>
          <cell r="G124" t="str">
            <v>一品一商</v>
          </cell>
          <cell r="H124" t="str">
            <v>品牌直发</v>
          </cell>
          <cell r="I124">
            <v>0</v>
          </cell>
        </row>
        <row r="125">
          <cell r="D125" t="str">
            <v>112340164-271037</v>
          </cell>
          <cell r="E125" t="str">
            <v>伯希和/PELLIOT</v>
          </cell>
          <cell r="F125" t="str">
            <v>服装-外套-冲锋衣</v>
          </cell>
          <cell r="G125" t="str">
            <v>一品多商</v>
          </cell>
          <cell r="H125" t="str">
            <v>品牌直发</v>
          </cell>
          <cell r="I125">
            <v>0</v>
          </cell>
        </row>
        <row r="126">
          <cell r="D126">
            <v>16423433</v>
          </cell>
          <cell r="E126" t="str">
            <v>伯希和/PELLIOT</v>
          </cell>
          <cell r="F126" t="str">
            <v>流行饰品/眼镜/服配-防晒服配-防晒帽</v>
          </cell>
          <cell r="G126" t="str">
            <v>一品一商</v>
          </cell>
          <cell r="H126" t="str">
            <v>品牌直发</v>
          </cell>
          <cell r="I126">
            <v>0</v>
          </cell>
        </row>
        <row r="127">
          <cell r="D127">
            <v>11421503</v>
          </cell>
          <cell r="E127" t="str">
            <v>伯希和/PELLIOT</v>
          </cell>
          <cell r="F127" t="str">
            <v>服装-上衣-Polo衫</v>
          </cell>
          <cell r="G127" t="str">
            <v>一品多商</v>
          </cell>
          <cell r="H127" t="str">
            <v>品牌直发</v>
          </cell>
          <cell r="I127">
            <v>0</v>
          </cell>
        </row>
        <row r="128">
          <cell r="D128">
            <v>11421215</v>
          </cell>
          <cell r="E128" t="str">
            <v>伯希和/PELLIOT</v>
          </cell>
          <cell r="F128" t="str">
            <v>服装-外套-防晒服</v>
          </cell>
          <cell r="G128" t="str">
            <v>一品多商</v>
          </cell>
          <cell r="H128" t="str">
            <v>品牌直发</v>
          </cell>
          <cell r="I128">
            <v>0</v>
          </cell>
        </row>
        <row r="129">
          <cell r="D129">
            <v>12421228</v>
          </cell>
          <cell r="E129" t="str">
            <v>伯希和/PELLIOT</v>
          </cell>
          <cell r="F129" t="str">
            <v>女装-外套-防晒服</v>
          </cell>
          <cell r="G129" t="str">
            <v>一品多商</v>
          </cell>
          <cell r="H129" t="str">
            <v>品牌直发</v>
          </cell>
          <cell r="I129">
            <v>0</v>
          </cell>
        </row>
        <row r="130">
          <cell r="D130">
            <v>12410306</v>
          </cell>
          <cell r="E130" t="str">
            <v>伯希和/PELLIOT</v>
          </cell>
          <cell r="F130" t="str">
            <v>女装-户外运动服-滑雪衣</v>
          </cell>
          <cell r="G130" t="str">
            <v>一品多商</v>
          </cell>
          <cell r="H130" t="str">
            <v>品牌直发</v>
          </cell>
          <cell r="I130">
            <v>0</v>
          </cell>
        </row>
        <row r="131">
          <cell r="D131">
            <v>11340157</v>
          </cell>
          <cell r="E131" t="str">
            <v>伯希和/PELLIOT</v>
          </cell>
          <cell r="F131" t="str">
            <v>服装-外套-冲锋衣</v>
          </cell>
          <cell r="G131" t="str">
            <v>一品一商</v>
          </cell>
          <cell r="H131" t="str">
            <v>品牌直发</v>
          </cell>
          <cell r="I131">
            <v>0</v>
          </cell>
        </row>
        <row r="132">
          <cell r="D132">
            <v>12421502</v>
          </cell>
          <cell r="E132" t="str">
            <v>伯希和/PELLIOT</v>
          </cell>
          <cell r="F132" t="str">
            <v>女装-户外运动服-速干衣</v>
          </cell>
          <cell r="G132" t="str">
            <v>一品多商</v>
          </cell>
          <cell r="H132" t="str">
            <v>品牌直发</v>
          </cell>
          <cell r="I132">
            <v>0</v>
          </cell>
        </row>
        <row r="133">
          <cell r="D133">
            <v>11421501</v>
          </cell>
          <cell r="E133" t="str">
            <v>伯希和/PELLIOT</v>
          </cell>
          <cell r="F133" t="str">
            <v>服装-上衣-T恤</v>
          </cell>
          <cell r="G133" t="str">
            <v>一品多商</v>
          </cell>
          <cell r="H133" t="str">
            <v>品牌直发</v>
          </cell>
          <cell r="I133">
            <v>0</v>
          </cell>
        </row>
        <row r="134">
          <cell r="D134">
            <v>16423408</v>
          </cell>
          <cell r="E134" t="str">
            <v>伯希和/PELLIOT</v>
          </cell>
          <cell r="F134" t="str">
            <v>流行饰品/眼镜/服配-防晒服配-防晒帽</v>
          </cell>
          <cell r="G134" t="str">
            <v>一品一商</v>
          </cell>
          <cell r="H134" t="str">
            <v>品牌直发</v>
          </cell>
          <cell r="I134">
            <v>0</v>
          </cell>
        </row>
        <row r="135">
          <cell r="D135">
            <v>116423401</v>
          </cell>
          <cell r="E135" t="str">
            <v>伯希和/PELLIOT</v>
          </cell>
          <cell r="F135" t="str">
            <v>流行饰品/眼镜/服配-帽子-渔夫帽</v>
          </cell>
          <cell r="G135" t="str">
            <v>一品一商</v>
          </cell>
          <cell r="H135" t="str">
            <v>品牌直发</v>
          </cell>
          <cell r="I135">
            <v>0</v>
          </cell>
        </row>
        <row r="136">
          <cell r="D136">
            <v>16423407</v>
          </cell>
          <cell r="E136" t="str">
            <v>伯希和/PELLIOT</v>
          </cell>
          <cell r="F136" t="str">
            <v>流行饰品/眼镜/服配-防晒服配-防晒帽</v>
          </cell>
          <cell r="G136" t="str">
            <v>一品一商</v>
          </cell>
          <cell r="H136" t="str">
            <v>品牌直发</v>
          </cell>
          <cell r="I136">
            <v>0</v>
          </cell>
        </row>
        <row r="137">
          <cell r="D137">
            <v>164332401</v>
          </cell>
          <cell r="E137" t="str">
            <v>伯希和/PELLIOT</v>
          </cell>
          <cell r="F137" t="str">
            <v>流行饰品/眼镜/服配-围巾-绒线围巾</v>
          </cell>
          <cell r="G137" t="str">
            <v>一品一商</v>
          </cell>
          <cell r="H137" t="str">
            <v>品牌直发</v>
          </cell>
          <cell r="I137">
            <v>0</v>
          </cell>
        </row>
        <row r="138">
          <cell r="D138">
            <v>16424601</v>
          </cell>
          <cell r="E138" t="str">
            <v>伯希和/PELLIOT</v>
          </cell>
          <cell r="F138" t="str">
            <v>流行饰品/眼镜/服配-防晒服配-防晒袖</v>
          </cell>
          <cell r="G138" t="str">
            <v>一品一商</v>
          </cell>
          <cell r="H138" t="str">
            <v>品牌直发</v>
          </cell>
          <cell r="I138">
            <v>0</v>
          </cell>
        </row>
        <row r="139">
          <cell r="D139">
            <v>11410305</v>
          </cell>
          <cell r="E139" t="str">
            <v>伯希和/PELLIOT</v>
          </cell>
          <cell r="F139" t="str">
            <v>服装-户外运动服-滑雪衣</v>
          </cell>
          <cell r="G139" t="str">
            <v>一品多商</v>
          </cell>
          <cell r="H139" t="str">
            <v>品牌直发</v>
          </cell>
          <cell r="I139">
            <v>0</v>
          </cell>
        </row>
        <row r="140">
          <cell r="D140">
            <v>11410303</v>
          </cell>
          <cell r="E140" t="str">
            <v>伯希和/PELLIOT</v>
          </cell>
          <cell r="F140" t="str">
            <v>服装-外套-棉服</v>
          </cell>
          <cell r="G140" t="str">
            <v>一品多商</v>
          </cell>
          <cell r="H140" t="str">
            <v>品牌直发</v>
          </cell>
          <cell r="I140">
            <v>0</v>
          </cell>
        </row>
        <row r="141">
          <cell r="D141">
            <v>116123408</v>
          </cell>
          <cell r="E141" t="str">
            <v>伯希和/PELLIOT</v>
          </cell>
          <cell r="F141" t="str">
            <v>流行饰品/眼镜/服配-防晒服配-防晒帽</v>
          </cell>
          <cell r="G141" t="str">
            <v>一品一商</v>
          </cell>
          <cell r="H141" t="str">
            <v>品牌直发</v>
          </cell>
          <cell r="I141">
            <v>0</v>
          </cell>
        </row>
        <row r="142">
          <cell r="D142">
            <v>16223401</v>
          </cell>
          <cell r="E142" t="str">
            <v>伯希和/PELLIOT</v>
          </cell>
          <cell r="F142" t="str">
            <v>流行饰品/眼镜/服配-防晒服配-防晒帽</v>
          </cell>
          <cell r="G142" t="str">
            <v>一品一商</v>
          </cell>
          <cell r="H142" t="str">
            <v>品牌直发</v>
          </cell>
          <cell r="I142">
            <v>0</v>
          </cell>
        </row>
        <row r="143">
          <cell r="D143">
            <v>116223402</v>
          </cell>
          <cell r="E143" t="str">
            <v>伯希和/PELLIOT</v>
          </cell>
          <cell r="F143" t="str">
            <v>流行饰品/眼镜/服配-防晒服配-防晒帽</v>
          </cell>
          <cell r="G143" t="str">
            <v>一品一商</v>
          </cell>
          <cell r="H143" t="str">
            <v>品牌直发</v>
          </cell>
          <cell r="I143">
            <v>0</v>
          </cell>
        </row>
        <row r="144">
          <cell r="D144">
            <v>16225604</v>
          </cell>
          <cell r="E144" t="str">
            <v>伯希和/PELLIOT</v>
          </cell>
          <cell r="F144" t="str">
            <v>流行饰品/眼镜/服配-防晒服配-防晒面罩</v>
          </cell>
          <cell r="G144" t="str">
            <v>一品一商</v>
          </cell>
          <cell r="H144" t="str">
            <v>品牌直发</v>
          </cell>
          <cell r="I144">
            <v>0</v>
          </cell>
        </row>
        <row r="145">
          <cell r="D145">
            <v>16423401</v>
          </cell>
          <cell r="E145" t="str">
            <v>伯希和/PELLIOT</v>
          </cell>
          <cell r="F145" t="str">
            <v>流行饰品/眼镜/服配-帽子-渔夫帽</v>
          </cell>
          <cell r="G145" t="str">
            <v>一品一商</v>
          </cell>
          <cell r="H145" t="str">
            <v>品牌直发</v>
          </cell>
          <cell r="I145">
            <v>0</v>
          </cell>
        </row>
        <row r="146">
          <cell r="D146">
            <v>16423406</v>
          </cell>
          <cell r="E146" t="str">
            <v>伯希和/PELLIOT</v>
          </cell>
          <cell r="F146" t="str">
            <v>流行饰品/眼镜/服配-防晒服配-防晒帽</v>
          </cell>
          <cell r="G146" t="str">
            <v>一品一商</v>
          </cell>
          <cell r="H146" t="str">
            <v>品牌直发</v>
          </cell>
          <cell r="I146">
            <v>0</v>
          </cell>
        </row>
        <row r="147">
          <cell r="D147">
            <v>16425601</v>
          </cell>
          <cell r="E147" t="str">
            <v>伯希和/PELLIOT</v>
          </cell>
          <cell r="F147" t="str">
            <v>流行饰品/眼镜/服配-防晒服配-防晒面罩</v>
          </cell>
          <cell r="G147" t="str">
            <v>一品一商</v>
          </cell>
          <cell r="H147" t="str">
            <v>品牌直发</v>
          </cell>
          <cell r="I147">
            <v>0</v>
          </cell>
        </row>
        <row r="148">
          <cell r="D148">
            <v>12421214</v>
          </cell>
          <cell r="E148" t="str">
            <v>伯希和/PELLIOT</v>
          </cell>
          <cell r="F148" t="str">
            <v>女装-外套-防晒服</v>
          </cell>
          <cell r="G148" t="str">
            <v>一品一商</v>
          </cell>
          <cell r="H148" t="str">
            <v>品牌直发</v>
          </cell>
          <cell r="I148">
            <v>0</v>
          </cell>
        </row>
        <row r="149">
          <cell r="D149">
            <v>16023203</v>
          </cell>
          <cell r="E149" t="str">
            <v>伯希和/PELLIOT</v>
          </cell>
          <cell r="F149" t="str">
            <v>流行饰品/眼镜/服配-防晒服配-防晒脖套</v>
          </cell>
          <cell r="G149" t="str">
            <v>一品一商</v>
          </cell>
          <cell r="H149" t="str">
            <v>品牌直发</v>
          </cell>
          <cell r="I149">
            <v>0</v>
          </cell>
        </row>
        <row r="150">
          <cell r="D150">
            <v>16943407</v>
          </cell>
          <cell r="E150" t="str">
            <v>伯希和/PELLIOT</v>
          </cell>
          <cell r="F150" t="str">
            <v>流行饰品/眼镜/服配-帽子-绒线帽</v>
          </cell>
          <cell r="G150" t="str">
            <v>一品一商</v>
          </cell>
          <cell r="H150" t="str">
            <v>品牌直发</v>
          </cell>
          <cell r="I150">
            <v>0</v>
          </cell>
        </row>
        <row r="151">
          <cell r="D151">
            <v>16903501</v>
          </cell>
          <cell r="E151" t="str">
            <v>伯希和/PELLIOT</v>
          </cell>
          <cell r="F151" t="str">
            <v>内衣-袜子-短袜</v>
          </cell>
          <cell r="G151" t="str">
            <v>一品一商</v>
          </cell>
          <cell r="H151" t="str">
            <v>品牌直发</v>
          </cell>
          <cell r="I151">
            <v>0</v>
          </cell>
        </row>
        <row r="152">
          <cell r="D152">
            <v>12421426</v>
          </cell>
          <cell r="E152" t="str">
            <v>伯希和/PELLIOT</v>
          </cell>
          <cell r="F152" t="str">
            <v>女装-户外运动服-速干裤</v>
          </cell>
          <cell r="G152" t="str">
            <v>一品多商</v>
          </cell>
          <cell r="H152" t="str">
            <v>品牌直发</v>
          </cell>
          <cell r="I152">
            <v>0</v>
          </cell>
        </row>
        <row r="153">
          <cell r="D153">
            <v>16023101</v>
          </cell>
          <cell r="E153" t="str">
            <v>伯希和/PELLIOT</v>
          </cell>
          <cell r="F153" t="str">
            <v>流行饰品/眼镜/服配-防晒服配-防晒手套</v>
          </cell>
          <cell r="G153" t="str">
            <v>一品一商</v>
          </cell>
          <cell r="H153" t="str">
            <v>品牌直发</v>
          </cell>
          <cell r="I153">
            <v>0</v>
          </cell>
        </row>
        <row r="154">
          <cell r="D154">
            <v>11331905</v>
          </cell>
          <cell r="E154" t="str">
            <v>伯希和/PELLIOT</v>
          </cell>
          <cell r="F154" t="str">
            <v>鞋-运动鞋-跑步鞋</v>
          </cell>
          <cell r="G154" t="str">
            <v>一品一商</v>
          </cell>
          <cell r="H154" t="str">
            <v>品牌直发</v>
          </cell>
          <cell r="I154">
            <v>0</v>
          </cell>
        </row>
        <row r="155">
          <cell r="D155" t="str">
            <v>12340164-新加色</v>
          </cell>
          <cell r="E155" t="str">
            <v>伯希和/PELLIOT</v>
          </cell>
          <cell r="F155" t="str">
            <v>服装-外套-冲锋衣</v>
          </cell>
          <cell r="G155" t="str">
            <v>一品多商</v>
          </cell>
          <cell r="H155" t="str">
            <v>品牌直发</v>
          </cell>
          <cell r="I155">
            <v>0</v>
          </cell>
        </row>
        <row r="156">
          <cell r="D156">
            <v>16043429</v>
          </cell>
          <cell r="E156" t="str">
            <v>伯希和/PELLIOT</v>
          </cell>
          <cell r="F156" t="str">
            <v>流行饰品/眼镜/服配-帽子-绒线帽</v>
          </cell>
          <cell r="G156" t="str">
            <v>一品一商</v>
          </cell>
          <cell r="H156" t="str">
            <v>品牌直发</v>
          </cell>
          <cell r="I156">
            <v>0</v>
          </cell>
        </row>
        <row r="157">
          <cell r="D157">
            <v>16302836</v>
          </cell>
          <cell r="E157" t="str">
            <v>伯希和/PELLIOT</v>
          </cell>
          <cell r="F157" t="str">
            <v>户外装备-露营/野炊装备-户外充气床</v>
          </cell>
          <cell r="G157" t="str">
            <v>一品一商</v>
          </cell>
          <cell r="H157" t="str">
            <v>普通现货</v>
          </cell>
          <cell r="I157">
            <v>0</v>
          </cell>
        </row>
        <row r="158">
          <cell r="D158">
            <v>11325109</v>
          </cell>
          <cell r="E158" t="str">
            <v>伯希和/PELLIOT</v>
          </cell>
          <cell r="F158" t="str">
            <v>服装-外套-夹克</v>
          </cell>
          <cell r="G158" t="str">
            <v>一品一商</v>
          </cell>
          <cell r="H158" t="str">
            <v>品牌直发</v>
          </cell>
          <cell r="I158">
            <v>0</v>
          </cell>
        </row>
        <row r="159">
          <cell r="D159" t="str">
            <v>12331902-黑灰色</v>
          </cell>
          <cell r="E159" t="str">
            <v>伯希和/PELLIOT</v>
          </cell>
          <cell r="F159" t="str">
            <v>鞋-运动鞋-跑步鞋</v>
          </cell>
          <cell r="G159" t="str">
            <v>一品一商</v>
          </cell>
          <cell r="H159" t="str">
            <v>品牌直发</v>
          </cell>
          <cell r="I159">
            <v>0</v>
          </cell>
        </row>
        <row r="160">
          <cell r="D160" t="str">
            <v>12331902-浅卡其</v>
          </cell>
          <cell r="E160" t="str">
            <v>伯希和/PELLIOT</v>
          </cell>
          <cell r="F160" t="str">
            <v>鞋-运动鞋-跑步鞋</v>
          </cell>
          <cell r="G160" t="str">
            <v>一品多商</v>
          </cell>
          <cell r="H160" t="str">
            <v>品牌直发</v>
          </cell>
          <cell r="I160">
            <v>0</v>
          </cell>
        </row>
        <row r="161">
          <cell r="D161" t="str">
            <v>12331902-活力红</v>
          </cell>
          <cell r="E161" t="str">
            <v>伯希和/PELLIOT</v>
          </cell>
          <cell r="F161" t="str">
            <v>鞋-运动鞋-跑步鞋</v>
          </cell>
          <cell r="G161" t="str">
            <v>一品一商</v>
          </cell>
          <cell r="H161" t="str">
            <v>品牌直发</v>
          </cell>
          <cell r="I161">
            <v>0</v>
          </cell>
        </row>
        <row r="162">
          <cell r="D162">
            <v>11331801</v>
          </cell>
          <cell r="E162" t="str">
            <v>伯希和/PELLIOT</v>
          </cell>
          <cell r="F162" t="str">
            <v>内衣-内衣裤-保暖套装</v>
          </cell>
          <cell r="G162" t="str">
            <v>一品多商</v>
          </cell>
          <cell r="H162" t="str">
            <v>品牌直发</v>
          </cell>
          <cell r="I162">
            <v>0</v>
          </cell>
        </row>
        <row r="163">
          <cell r="D163">
            <v>12340820</v>
          </cell>
          <cell r="E163" t="str">
            <v>伯希和/PELLIOT</v>
          </cell>
          <cell r="F163" t="str">
            <v>服装-外套-羽绒服</v>
          </cell>
          <cell r="G163" t="str">
            <v>一品一商</v>
          </cell>
          <cell r="H163" t="str">
            <v>品牌直发</v>
          </cell>
          <cell r="I163">
            <v>0</v>
          </cell>
        </row>
        <row r="164">
          <cell r="D164">
            <v>12331028</v>
          </cell>
          <cell r="E164" t="str">
            <v>伯希和/PELLIOT</v>
          </cell>
          <cell r="F164" t="str">
            <v>服装-户外运动服-抓绒衣</v>
          </cell>
          <cell r="G164" t="str">
            <v>一品一商</v>
          </cell>
          <cell r="H164" t="str">
            <v>品牌直发</v>
          </cell>
          <cell r="I164">
            <v>0</v>
          </cell>
        </row>
        <row r="165">
          <cell r="D165">
            <v>12331032</v>
          </cell>
          <cell r="E165" t="str">
            <v>伯希和/PELLIOT</v>
          </cell>
          <cell r="F165" t="str">
            <v>服装-户外运动服-抓绒衣</v>
          </cell>
          <cell r="G165" t="str">
            <v>一品一商</v>
          </cell>
          <cell r="H165" t="str">
            <v>品牌直发</v>
          </cell>
          <cell r="I165">
            <v>0</v>
          </cell>
        </row>
        <row r="166">
          <cell r="D166">
            <v>12331030</v>
          </cell>
          <cell r="E166" t="str">
            <v>伯希和/PELLIOT</v>
          </cell>
          <cell r="F166" t="str">
            <v>服装-户外运动服-抓绒衣</v>
          </cell>
          <cell r="G166" t="str">
            <v>一品一商</v>
          </cell>
          <cell r="H166" t="str">
            <v>品牌直发</v>
          </cell>
          <cell r="I166">
            <v>0</v>
          </cell>
        </row>
        <row r="167">
          <cell r="D167">
            <v>11340805</v>
          </cell>
          <cell r="E167" t="str">
            <v>伯希和/PELLIOT</v>
          </cell>
          <cell r="F167" t="str">
            <v>服装-外套-羽绒服</v>
          </cell>
          <cell r="G167" t="str">
            <v>一品多商</v>
          </cell>
          <cell r="H167" t="str">
            <v>品牌直发</v>
          </cell>
          <cell r="I167">
            <v>0</v>
          </cell>
        </row>
        <row r="168">
          <cell r="D168">
            <v>11331021</v>
          </cell>
          <cell r="E168" t="str">
            <v>伯希和/PELLIOT</v>
          </cell>
          <cell r="F168" t="str">
            <v>服装-户外运动服-抓绒衣</v>
          </cell>
          <cell r="G168" t="str">
            <v>一品一商</v>
          </cell>
          <cell r="H168" t="str">
            <v>品牌直发</v>
          </cell>
          <cell r="I168">
            <v>0</v>
          </cell>
        </row>
        <row r="169">
          <cell r="D169">
            <v>11331057</v>
          </cell>
          <cell r="E169" t="str">
            <v>伯希和/PELLIOT</v>
          </cell>
          <cell r="F169" t="str">
            <v>服装-户外运动服-抓绒衣</v>
          </cell>
          <cell r="G169" t="str">
            <v>一品一商</v>
          </cell>
          <cell r="H169" t="str">
            <v>品牌直发</v>
          </cell>
          <cell r="I169">
            <v>0</v>
          </cell>
        </row>
        <row r="170">
          <cell r="D170">
            <v>12340836</v>
          </cell>
          <cell r="E170" t="str">
            <v>伯希和/PELLIOT</v>
          </cell>
          <cell r="F170" t="str">
            <v>服装-外套-羽绒服</v>
          </cell>
          <cell r="G170" t="str">
            <v>一品多商</v>
          </cell>
          <cell r="H170" t="str">
            <v>品牌直发</v>
          </cell>
          <cell r="I170">
            <v>0</v>
          </cell>
        </row>
        <row r="171">
          <cell r="D171">
            <v>12331058</v>
          </cell>
          <cell r="E171" t="str">
            <v>伯希和/PELLIOT</v>
          </cell>
          <cell r="F171" t="str">
            <v>女装-户外运动服-抓绒衣</v>
          </cell>
          <cell r="G171" t="str">
            <v>一品一商</v>
          </cell>
          <cell r="H171" t="str">
            <v>品牌直发</v>
          </cell>
          <cell r="I171">
            <v>0</v>
          </cell>
        </row>
        <row r="172">
          <cell r="D172">
            <v>12340828</v>
          </cell>
          <cell r="E172" t="str">
            <v>伯希和/PELLIOT</v>
          </cell>
          <cell r="F172" t="str">
            <v>服装-外套-羽绒服</v>
          </cell>
          <cell r="G172" t="str">
            <v>一品多商</v>
          </cell>
          <cell r="H172" t="str">
            <v>品牌直发</v>
          </cell>
          <cell r="I172">
            <v>0</v>
          </cell>
        </row>
        <row r="173">
          <cell r="D173">
            <v>12340812</v>
          </cell>
          <cell r="E173" t="str">
            <v>伯希和/PELLIOT</v>
          </cell>
          <cell r="F173" t="str">
            <v>服装-外套-羽绒服</v>
          </cell>
          <cell r="G173" t="str">
            <v>一品多商</v>
          </cell>
          <cell r="H173" t="str">
            <v>品牌直发</v>
          </cell>
          <cell r="I173">
            <v>0</v>
          </cell>
        </row>
        <row r="174">
          <cell r="D174">
            <v>12340134</v>
          </cell>
          <cell r="E174" t="str">
            <v>伯希和/PELLIOT</v>
          </cell>
          <cell r="F174" t="str">
            <v>服装-外套-冲锋衣</v>
          </cell>
          <cell r="G174" t="str">
            <v>一品一商</v>
          </cell>
          <cell r="H174" t="str">
            <v>品牌直发</v>
          </cell>
          <cell r="I174">
            <v>0</v>
          </cell>
        </row>
        <row r="175">
          <cell r="D175">
            <v>12340804</v>
          </cell>
          <cell r="E175" t="str">
            <v>伯希和/PELLIOT</v>
          </cell>
          <cell r="F175" t="str">
            <v>女装-外套-羽绒服</v>
          </cell>
          <cell r="G175" t="str">
            <v>一品多商</v>
          </cell>
          <cell r="H175" t="str">
            <v>品牌直发</v>
          </cell>
          <cell r="I175">
            <v>0</v>
          </cell>
        </row>
        <row r="176">
          <cell r="D176">
            <v>12340814</v>
          </cell>
          <cell r="E176" t="str">
            <v>伯希和/PELLIOT</v>
          </cell>
          <cell r="F176" t="str">
            <v>服装-外套-羽绒服</v>
          </cell>
          <cell r="G176" t="str">
            <v>一品多商</v>
          </cell>
          <cell r="H176" t="str">
            <v>品牌直发</v>
          </cell>
          <cell r="I176">
            <v>0</v>
          </cell>
        </row>
        <row r="177">
          <cell r="D177">
            <v>11340139</v>
          </cell>
          <cell r="E177" t="str">
            <v>伯希和/PELLIOT</v>
          </cell>
          <cell r="F177" t="str">
            <v>服装-外套-冲锋衣</v>
          </cell>
          <cell r="G177" t="str">
            <v>一品多商</v>
          </cell>
          <cell r="H177" t="str">
            <v>品牌直发</v>
          </cell>
          <cell r="I177">
            <v>0</v>
          </cell>
        </row>
        <row r="178">
          <cell r="D178">
            <v>12331018</v>
          </cell>
          <cell r="E178" t="str">
            <v>伯希和/PELLIOT</v>
          </cell>
          <cell r="F178" t="str">
            <v>服装-户外运动服-抓绒衣</v>
          </cell>
          <cell r="G178" t="str">
            <v>一品一商</v>
          </cell>
          <cell r="H178" t="str">
            <v>品牌直发</v>
          </cell>
          <cell r="I178">
            <v>0</v>
          </cell>
        </row>
        <row r="179">
          <cell r="D179">
            <v>12331026</v>
          </cell>
          <cell r="E179" t="str">
            <v>伯希和/PELLIOT</v>
          </cell>
          <cell r="F179" t="str">
            <v>女装-户外运动服-抓绒衣</v>
          </cell>
          <cell r="G179" t="str">
            <v>一品多商</v>
          </cell>
          <cell r="H179" t="str">
            <v>品牌直发</v>
          </cell>
          <cell r="I179">
            <v>0</v>
          </cell>
        </row>
        <row r="180">
          <cell r="D180">
            <v>11331027</v>
          </cell>
          <cell r="E180" t="str">
            <v>伯希和/PELLIOT</v>
          </cell>
          <cell r="F180" t="str">
            <v>服装-户外运动服-抓绒衣</v>
          </cell>
          <cell r="G180" t="str">
            <v>一品一商</v>
          </cell>
          <cell r="H180" t="str">
            <v>品牌直发</v>
          </cell>
          <cell r="I180">
            <v>0</v>
          </cell>
        </row>
        <row r="181">
          <cell r="D181">
            <v>12331008</v>
          </cell>
          <cell r="E181" t="str">
            <v>伯希和/PELLIOT</v>
          </cell>
          <cell r="F181" t="str">
            <v>女装-户外运动服-抓绒衣</v>
          </cell>
          <cell r="G181" t="str">
            <v>一品一商</v>
          </cell>
          <cell r="H181" t="str">
            <v>品牌直发</v>
          </cell>
          <cell r="I181">
            <v>0</v>
          </cell>
        </row>
        <row r="182">
          <cell r="D182">
            <v>12331004</v>
          </cell>
          <cell r="E182" t="str">
            <v>伯希和/PELLIOT</v>
          </cell>
          <cell r="F182" t="str">
            <v>女装-户外运动服-抓绒衣</v>
          </cell>
          <cell r="G182" t="str">
            <v>一品一商</v>
          </cell>
          <cell r="H182" t="str">
            <v>品牌直发</v>
          </cell>
          <cell r="I182">
            <v>0</v>
          </cell>
        </row>
        <row r="183">
          <cell r="D183">
            <v>11331011</v>
          </cell>
          <cell r="E183" t="str">
            <v>伯希和/PELLIOT</v>
          </cell>
          <cell r="F183" t="str">
            <v>服装-户外运动服-抓绒衣</v>
          </cell>
          <cell r="G183" t="str">
            <v>一品多商</v>
          </cell>
          <cell r="H183" t="str">
            <v>品牌直发</v>
          </cell>
          <cell r="I183">
            <v>0</v>
          </cell>
        </row>
        <row r="184">
          <cell r="D184">
            <v>12331012</v>
          </cell>
          <cell r="E184" t="str">
            <v>伯希和/PELLIOT</v>
          </cell>
          <cell r="F184" t="str">
            <v>女装-户外运动服-抓绒衣</v>
          </cell>
          <cell r="G184" t="str">
            <v>一品多商</v>
          </cell>
          <cell r="H184" t="str">
            <v>品牌直发</v>
          </cell>
          <cell r="I184">
            <v>0</v>
          </cell>
        </row>
        <row r="185">
          <cell r="D185">
            <v>11331003</v>
          </cell>
          <cell r="E185" t="str">
            <v>伯希和/PELLIOT</v>
          </cell>
          <cell r="F185" t="str">
            <v>服装-户外运动服-抓绒衣</v>
          </cell>
          <cell r="G185" t="str">
            <v>一品一商</v>
          </cell>
          <cell r="H185" t="str">
            <v>品牌直发</v>
          </cell>
          <cell r="I185">
            <v>0</v>
          </cell>
        </row>
        <row r="186">
          <cell r="D186">
            <v>12340822</v>
          </cell>
          <cell r="E186" t="str">
            <v>伯希和/PELLIOT</v>
          </cell>
          <cell r="F186" t="str">
            <v>女装-外套-羽绒服</v>
          </cell>
          <cell r="G186" t="str">
            <v>一品多商</v>
          </cell>
          <cell r="H186" t="str">
            <v>品牌直发</v>
          </cell>
          <cell r="I186">
            <v>0</v>
          </cell>
        </row>
        <row r="187">
          <cell r="D187">
            <v>11330601</v>
          </cell>
          <cell r="E187" t="str">
            <v>伯希和/PELLIOT</v>
          </cell>
          <cell r="F187" t="str">
            <v>服装-外套-软壳衣</v>
          </cell>
          <cell r="G187" t="str">
            <v>一品一商</v>
          </cell>
          <cell r="H187" t="str">
            <v>品牌直发</v>
          </cell>
          <cell r="I187">
            <v>0</v>
          </cell>
        </row>
        <row r="188">
          <cell r="D188">
            <v>12330706</v>
          </cell>
          <cell r="E188" t="str">
            <v>伯希和/PELLIOT</v>
          </cell>
          <cell r="F188" t="str">
            <v>女装-长裤-软壳裤</v>
          </cell>
          <cell r="G188" t="str">
            <v>一品一商</v>
          </cell>
          <cell r="H188" t="str">
            <v>品牌直发</v>
          </cell>
          <cell r="I188">
            <v>0</v>
          </cell>
        </row>
        <row r="189">
          <cell r="D189" t="str">
            <v>12815108-yc</v>
          </cell>
          <cell r="E189" t="str">
            <v>伯希和/PELLIOT</v>
          </cell>
          <cell r="F189" t="str">
            <v>服装-外套-防晒服</v>
          </cell>
          <cell r="G189" t="str">
            <v>一品一商</v>
          </cell>
          <cell r="H189" t="str">
            <v>品牌直发</v>
          </cell>
          <cell r="I189">
            <v>0</v>
          </cell>
        </row>
        <row r="190">
          <cell r="D190">
            <v>12933728</v>
          </cell>
          <cell r="E190" t="str">
            <v>伯希和/PELLIOT</v>
          </cell>
          <cell r="F190" t="str">
            <v>女装-上衣-卫衣</v>
          </cell>
          <cell r="G190" t="str">
            <v>一品一商</v>
          </cell>
          <cell r="H190" t="str">
            <v>品牌直发</v>
          </cell>
          <cell r="I190">
            <v>0</v>
          </cell>
        </row>
        <row r="191">
          <cell r="D191">
            <v>114301085</v>
          </cell>
          <cell r="E191" t="str">
            <v>伯希和/PELLIOT</v>
          </cell>
          <cell r="F191" t="str">
            <v>服装-外套-冲锋衣</v>
          </cell>
          <cell r="G191" t="str">
            <v>一品多商</v>
          </cell>
          <cell r="H191" t="str">
            <v>品牌直发</v>
          </cell>
          <cell r="I191">
            <v>0</v>
          </cell>
        </row>
        <row r="192">
          <cell r="D192">
            <v>11235109</v>
          </cell>
          <cell r="E192" t="str">
            <v>伯希和/PELLIOT</v>
          </cell>
          <cell r="F192" t="str">
            <v>服装-外套-夹克</v>
          </cell>
          <cell r="G192" t="str">
            <v>一品一商</v>
          </cell>
          <cell r="H192" t="str">
            <v>品牌直发</v>
          </cell>
          <cell r="I192">
            <v>0</v>
          </cell>
        </row>
        <row r="193">
          <cell r="D193">
            <v>11140127</v>
          </cell>
          <cell r="E193" t="str">
            <v>伯希和/PELLIOT</v>
          </cell>
          <cell r="F193" t="str">
            <v>服装-外套-冲锋衣</v>
          </cell>
          <cell r="G193" t="str">
            <v>一品一商</v>
          </cell>
          <cell r="H193" t="str">
            <v>品牌直发</v>
          </cell>
          <cell r="I193">
            <v>0</v>
          </cell>
        </row>
        <row r="194">
          <cell r="D194">
            <v>12131002</v>
          </cell>
          <cell r="E194" t="str">
            <v>伯希和/PELLIOT</v>
          </cell>
          <cell r="F194" t="str">
            <v>女装-户外运动服-抓绒衣</v>
          </cell>
          <cell r="G194" t="str">
            <v>一品一商</v>
          </cell>
          <cell r="H194" t="str">
            <v>品牌直发</v>
          </cell>
          <cell r="I194">
            <v>0</v>
          </cell>
        </row>
        <row r="195">
          <cell r="D195">
            <v>12330602</v>
          </cell>
          <cell r="E195" t="str">
            <v>伯希和/PELLIOT</v>
          </cell>
          <cell r="F195" t="str">
            <v>女装-外套-软壳衣</v>
          </cell>
          <cell r="G195" t="str">
            <v>一品多商</v>
          </cell>
          <cell r="H195" t="str">
            <v>品牌直发</v>
          </cell>
          <cell r="I195">
            <v>0</v>
          </cell>
        </row>
        <row r="196">
          <cell r="D196">
            <v>12221258</v>
          </cell>
          <cell r="E196" t="str">
            <v>伯希和/PELLIOT</v>
          </cell>
          <cell r="F196" t="str">
            <v>女装-外套-防晒服</v>
          </cell>
          <cell r="G196" t="str">
            <v>一品一商</v>
          </cell>
          <cell r="H196" t="str">
            <v>普通现货</v>
          </cell>
          <cell r="I196">
            <v>0</v>
          </cell>
        </row>
        <row r="197">
          <cell r="D197">
            <v>112221210</v>
          </cell>
          <cell r="E197" t="str">
            <v>伯希和/PELLIOT</v>
          </cell>
          <cell r="F197" t="str">
            <v>女装-外套-防晒服</v>
          </cell>
          <cell r="G197" t="str">
            <v>一品一商</v>
          </cell>
          <cell r="H197" t="str">
            <v>品牌直发</v>
          </cell>
          <cell r="I197">
            <v>0</v>
          </cell>
        </row>
        <row r="198">
          <cell r="D198">
            <v>12133802</v>
          </cell>
          <cell r="E198" t="str">
            <v>伯希和/PELLIOT</v>
          </cell>
          <cell r="F198" t="str">
            <v>女装-长裤-针织运动裤</v>
          </cell>
          <cell r="G198" t="str">
            <v>一品一商</v>
          </cell>
          <cell r="H198" t="str">
            <v>品牌直发</v>
          </cell>
          <cell r="I198">
            <v>0</v>
          </cell>
        </row>
        <row r="199">
          <cell r="D199">
            <v>112325110</v>
          </cell>
          <cell r="E199" t="str">
            <v>伯希和/PELLIOT</v>
          </cell>
          <cell r="F199" t="str">
            <v>女装-外套-夹克</v>
          </cell>
          <cell r="G199" t="str">
            <v>一品一商</v>
          </cell>
          <cell r="H199" t="str">
            <v>普通现货</v>
          </cell>
          <cell r="I199">
            <v>0</v>
          </cell>
        </row>
        <row r="200">
          <cell r="D200">
            <v>12340132</v>
          </cell>
          <cell r="E200" t="str">
            <v>伯希和/PELLIOT</v>
          </cell>
          <cell r="F200" t="str">
            <v>服装-外套-冲锋衣</v>
          </cell>
          <cell r="G200" t="str">
            <v>一品一商</v>
          </cell>
          <cell r="H200" t="str">
            <v>品牌直发</v>
          </cell>
          <cell r="I200">
            <v>0</v>
          </cell>
        </row>
        <row r="201">
          <cell r="D201">
            <v>12340104</v>
          </cell>
          <cell r="E201" t="str">
            <v>伯希和/PELLIOT</v>
          </cell>
          <cell r="F201" t="str">
            <v>女装-外套-冲锋衣</v>
          </cell>
          <cell r="G201" t="str">
            <v>一品多商</v>
          </cell>
          <cell r="H201" t="str">
            <v>品牌直发</v>
          </cell>
          <cell r="I201">
            <v>0</v>
          </cell>
        </row>
        <row r="202">
          <cell r="D202">
            <v>12340130</v>
          </cell>
          <cell r="E202" t="str">
            <v>伯希和/PELLIOT</v>
          </cell>
          <cell r="F202" t="str">
            <v>服装-外套-冲锋衣</v>
          </cell>
          <cell r="G202" t="str">
            <v>一品多商</v>
          </cell>
          <cell r="H202" t="str">
            <v>品牌直发</v>
          </cell>
          <cell r="I202">
            <v>0</v>
          </cell>
        </row>
        <row r="203">
          <cell r="D203" t="str">
            <v>12011902-樱花粉</v>
          </cell>
          <cell r="E203" t="str">
            <v>伯希和/PELLIOT</v>
          </cell>
          <cell r="F203" t="str">
            <v>鞋-运动鞋-跑步鞋</v>
          </cell>
          <cell r="G203" t="str">
            <v>一品一商</v>
          </cell>
          <cell r="H203" t="str">
            <v>品牌直发</v>
          </cell>
          <cell r="I203">
            <v>0</v>
          </cell>
        </row>
        <row r="204">
          <cell r="D204" t="str">
            <v>12211904-经典黑</v>
          </cell>
          <cell r="E204" t="str">
            <v>伯希和/PELLIOT</v>
          </cell>
          <cell r="F204" t="str">
            <v>鞋-运动鞋-跑步鞋</v>
          </cell>
          <cell r="G204" t="str">
            <v>一品一商</v>
          </cell>
          <cell r="H204" t="str">
            <v>品牌直发</v>
          </cell>
          <cell r="I204">
            <v>0</v>
          </cell>
        </row>
        <row r="205">
          <cell r="D205">
            <v>12231034</v>
          </cell>
          <cell r="E205" t="str">
            <v>伯希和/PELLIOT</v>
          </cell>
          <cell r="F205" t="str">
            <v>女装-户外运动服-抓绒衣</v>
          </cell>
          <cell r="G205" t="str">
            <v>一品一商</v>
          </cell>
          <cell r="H205" t="str">
            <v>品牌直发</v>
          </cell>
          <cell r="I205">
            <v>0</v>
          </cell>
        </row>
        <row r="206">
          <cell r="D206">
            <v>12231026</v>
          </cell>
          <cell r="E206" t="str">
            <v>伯希和/PELLIOT</v>
          </cell>
          <cell r="F206" t="str">
            <v>女装-户外运动服-抓绒衣</v>
          </cell>
          <cell r="G206" t="str">
            <v>一品一商</v>
          </cell>
          <cell r="H206" t="str">
            <v>品牌直发</v>
          </cell>
          <cell r="I206">
            <v>0</v>
          </cell>
        </row>
        <row r="207">
          <cell r="D207">
            <v>11813705</v>
          </cell>
          <cell r="E207" t="str">
            <v>伯希和/PELLIOT</v>
          </cell>
          <cell r="F207" t="str">
            <v>服装-上衣-卫衣</v>
          </cell>
          <cell r="G207" t="str">
            <v>一品一商</v>
          </cell>
          <cell r="H207" t="str">
            <v>品牌直发</v>
          </cell>
          <cell r="I207">
            <v>0</v>
          </cell>
        </row>
        <row r="208">
          <cell r="D208">
            <v>11133803</v>
          </cell>
          <cell r="E208" t="str">
            <v>伯希和/PELLIOT</v>
          </cell>
          <cell r="F208" t="str">
            <v>服装-长裤-针织运动裤</v>
          </cell>
          <cell r="G208" t="str">
            <v>一品一商</v>
          </cell>
          <cell r="H208" t="str">
            <v>品牌直发</v>
          </cell>
          <cell r="I208">
            <v>0</v>
          </cell>
        </row>
        <row r="209">
          <cell r="D209">
            <v>13321435</v>
          </cell>
          <cell r="E209" t="str">
            <v>伯希和/PELLIOT</v>
          </cell>
          <cell r="F209" t="str">
            <v>童装-儿童下装-针织运动裤</v>
          </cell>
          <cell r="G209" t="str">
            <v>一品一商</v>
          </cell>
          <cell r="H209" t="str">
            <v>品牌直发</v>
          </cell>
          <cell r="I209">
            <v>0</v>
          </cell>
        </row>
        <row r="210">
          <cell r="D210">
            <v>23930709</v>
          </cell>
          <cell r="E210" t="str">
            <v>伯希和/PELLIOT</v>
          </cell>
          <cell r="F210" t="str">
            <v>童装-儿童下装-儿童软壳裤</v>
          </cell>
          <cell r="G210" t="str">
            <v>一品一商</v>
          </cell>
          <cell r="H210" t="str">
            <v>品牌直发</v>
          </cell>
          <cell r="I210">
            <v>0</v>
          </cell>
        </row>
        <row r="211">
          <cell r="D211">
            <v>12121216</v>
          </cell>
          <cell r="E211" t="str">
            <v>伯希和/PELLIOT</v>
          </cell>
          <cell r="F211" t="str">
            <v>女装-外套-防晒服</v>
          </cell>
          <cell r="G211" t="str">
            <v>一品多商</v>
          </cell>
          <cell r="H211" t="str">
            <v>品牌直发</v>
          </cell>
          <cell r="I211">
            <v>0</v>
          </cell>
        </row>
        <row r="212">
          <cell r="D212">
            <v>13131023</v>
          </cell>
          <cell r="E212" t="str">
            <v>伯希和/PELLIOT</v>
          </cell>
          <cell r="F212" t="str">
            <v>童装-儿童上装-夹克</v>
          </cell>
          <cell r="G212" t="str">
            <v>一品一商</v>
          </cell>
          <cell r="H212" t="str">
            <v>品牌直发</v>
          </cell>
          <cell r="I212">
            <v>0</v>
          </cell>
        </row>
        <row r="213">
          <cell r="D213">
            <v>13231017</v>
          </cell>
          <cell r="E213" t="str">
            <v>伯希和/PELLIOT</v>
          </cell>
          <cell r="F213" t="str">
            <v>童装-儿童上装-其他上装</v>
          </cell>
          <cell r="G213" t="str">
            <v>一品一商</v>
          </cell>
          <cell r="H213" t="str">
            <v>品牌直发</v>
          </cell>
          <cell r="I213">
            <v>0</v>
          </cell>
        </row>
        <row r="214">
          <cell r="D214">
            <v>12131004</v>
          </cell>
          <cell r="E214" t="str">
            <v>伯希和/PELLIOT</v>
          </cell>
          <cell r="F214" t="str">
            <v>女装-户外运动服-抓绒衣</v>
          </cell>
          <cell r="G214" t="str">
            <v>一品一商</v>
          </cell>
          <cell r="H214" t="str">
            <v>品牌直发</v>
          </cell>
          <cell r="I214">
            <v>0</v>
          </cell>
        </row>
        <row r="215">
          <cell r="D215">
            <v>13131026</v>
          </cell>
          <cell r="E215" t="str">
            <v>伯希和/PELLIOT</v>
          </cell>
          <cell r="F215" t="str">
            <v>童装-儿童上装-马甲</v>
          </cell>
          <cell r="G215" t="str">
            <v>一品一商</v>
          </cell>
          <cell r="H215" t="str">
            <v>品牌直发</v>
          </cell>
          <cell r="I215">
            <v>0</v>
          </cell>
        </row>
        <row r="216">
          <cell r="D216">
            <v>13131501</v>
          </cell>
          <cell r="E216" t="str">
            <v>伯希和/PELLIOT</v>
          </cell>
          <cell r="F216" t="str">
            <v>童装-儿童上装-T恤</v>
          </cell>
          <cell r="G216" t="str">
            <v>一品一商</v>
          </cell>
          <cell r="H216" t="str">
            <v>品牌直发</v>
          </cell>
          <cell r="I216">
            <v>0</v>
          </cell>
        </row>
        <row r="217">
          <cell r="D217">
            <v>13221533</v>
          </cell>
          <cell r="E217" t="str">
            <v>伯希和/PELLIOT</v>
          </cell>
          <cell r="F217" t="str">
            <v>童装-儿童上装-T恤</v>
          </cell>
          <cell r="G217" t="str">
            <v>一品一商</v>
          </cell>
          <cell r="H217" t="str">
            <v>品牌直发</v>
          </cell>
          <cell r="I217">
            <v>0</v>
          </cell>
        </row>
        <row r="218">
          <cell r="D218">
            <v>12123812</v>
          </cell>
          <cell r="E218" t="str">
            <v>伯希和/PELLIOT</v>
          </cell>
          <cell r="F218" t="str">
            <v>女装-短裤-休闲短裤</v>
          </cell>
          <cell r="G218" t="str">
            <v>一品一商</v>
          </cell>
          <cell r="H218" t="str">
            <v>品牌直发</v>
          </cell>
          <cell r="I218">
            <v>0</v>
          </cell>
        </row>
        <row r="219">
          <cell r="D219">
            <v>13113706</v>
          </cell>
          <cell r="E219" t="str">
            <v>伯希和/PELLIOT</v>
          </cell>
          <cell r="F219" t="str">
            <v>童装-儿童上装-卫衣</v>
          </cell>
          <cell r="G219" t="str">
            <v>一品一商</v>
          </cell>
          <cell r="H219" t="str">
            <v>品牌直发</v>
          </cell>
          <cell r="I219">
            <v>0</v>
          </cell>
        </row>
        <row r="220">
          <cell r="D220">
            <v>13221525</v>
          </cell>
          <cell r="E220" t="str">
            <v>伯希和/PELLIOT</v>
          </cell>
          <cell r="F220" t="str">
            <v>童装-儿童上装-T恤</v>
          </cell>
          <cell r="G220" t="str">
            <v>一品一商</v>
          </cell>
          <cell r="H220" t="str">
            <v>品牌直发</v>
          </cell>
          <cell r="I220">
            <v>0</v>
          </cell>
        </row>
        <row r="221">
          <cell r="D221">
            <v>113221526</v>
          </cell>
          <cell r="E221" t="str">
            <v>伯希和/PELLIOT</v>
          </cell>
          <cell r="F221" t="str">
            <v>童装-儿童上装-T恤</v>
          </cell>
          <cell r="G221" t="str">
            <v>一品一商</v>
          </cell>
          <cell r="H221" t="str">
            <v>品牌直发</v>
          </cell>
          <cell r="I221">
            <v>0</v>
          </cell>
        </row>
        <row r="222">
          <cell r="D222">
            <v>12133704</v>
          </cell>
          <cell r="E222" t="str">
            <v>伯希和/PELLIOT</v>
          </cell>
          <cell r="F222" t="str">
            <v>女装-上衣-卫衣</v>
          </cell>
          <cell r="G222" t="str">
            <v>一品一商</v>
          </cell>
          <cell r="H222" t="str">
            <v>品牌直发</v>
          </cell>
          <cell r="I222">
            <v>0</v>
          </cell>
        </row>
        <row r="223">
          <cell r="D223">
            <v>11133707</v>
          </cell>
          <cell r="E223" t="str">
            <v>伯希和/PELLIOT</v>
          </cell>
          <cell r="F223" t="str">
            <v>服装-上衣-卫衣</v>
          </cell>
          <cell r="G223" t="str">
            <v>一品一商</v>
          </cell>
          <cell r="H223" t="str">
            <v>品牌直发</v>
          </cell>
          <cell r="I223">
            <v>0</v>
          </cell>
        </row>
        <row r="224">
          <cell r="D224">
            <v>11133805</v>
          </cell>
          <cell r="E224" t="str">
            <v>伯希和/PELLIOT</v>
          </cell>
          <cell r="F224" t="str">
            <v>服装-长裤-针织运动裤</v>
          </cell>
          <cell r="G224" t="str">
            <v>一品一商</v>
          </cell>
          <cell r="H224" t="str">
            <v>品牌直发</v>
          </cell>
          <cell r="I224">
            <v>0</v>
          </cell>
        </row>
        <row r="225">
          <cell r="D225">
            <v>11131105</v>
          </cell>
          <cell r="E225" t="str">
            <v>伯希和/PELLIOT</v>
          </cell>
          <cell r="F225" t="str">
            <v>服装-户外运动服-抓绒裤</v>
          </cell>
          <cell r="G225" t="str">
            <v>一品一商</v>
          </cell>
          <cell r="H225" t="str">
            <v>品牌直发</v>
          </cell>
          <cell r="I225">
            <v>0</v>
          </cell>
        </row>
        <row r="226">
          <cell r="D226">
            <v>112221508</v>
          </cell>
          <cell r="E226" t="str">
            <v>伯希和/PELLIOT</v>
          </cell>
          <cell r="F226" t="str">
            <v>女装-上衣-T恤</v>
          </cell>
          <cell r="G226" t="str">
            <v>一品一商</v>
          </cell>
          <cell r="H226" t="str">
            <v>品牌直发</v>
          </cell>
          <cell r="I226">
            <v>0</v>
          </cell>
        </row>
        <row r="227">
          <cell r="D227">
            <v>13213709</v>
          </cell>
          <cell r="E227" t="str">
            <v>伯希和/PELLIOT</v>
          </cell>
          <cell r="F227" t="str">
            <v>童装-儿童上装-夹克</v>
          </cell>
          <cell r="G227" t="str">
            <v>一品一商</v>
          </cell>
          <cell r="H227" t="str">
            <v>品牌直发</v>
          </cell>
          <cell r="I227">
            <v>0</v>
          </cell>
        </row>
        <row r="228">
          <cell r="D228">
            <v>13121426</v>
          </cell>
          <cell r="E228" t="str">
            <v>伯希和/PELLIOT</v>
          </cell>
          <cell r="F228" t="str">
            <v>童装-儿童下装-针织运动裤</v>
          </cell>
          <cell r="G228" t="str">
            <v>一品一商</v>
          </cell>
          <cell r="H228" t="str">
            <v>品牌直发</v>
          </cell>
          <cell r="I228">
            <v>0</v>
          </cell>
        </row>
        <row r="229">
          <cell r="D229">
            <v>13231018</v>
          </cell>
          <cell r="E229" t="str">
            <v>伯希和/PELLIOT</v>
          </cell>
          <cell r="F229" t="str">
            <v>童装-儿童上装-卫衣</v>
          </cell>
          <cell r="G229" t="str">
            <v>一品一商</v>
          </cell>
          <cell r="H229" t="str">
            <v>品牌直发</v>
          </cell>
          <cell r="I229">
            <v>0</v>
          </cell>
        </row>
        <row r="230">
          <cell r="D230">
            <v>112221424</v>
          </cell>
          <cell r="E230" t="str">
            <v>伯希和/PELLIOT</v>
          </cell>
          <cell r="F230" t="str">
            <v>女装-健身服-运动短裤</v>
          </cell>
          <cell r="G230" t="str">
            <v>一品一商</v>
          </cell>
          <cell r="H230" t="str">
            <v>品牌直发</v>
          </cell>
          <cell r="I230">
            <v>0</v>
          </cell>
        </row>
        <row r="231">
          <cell r="D231">
            <v>13213805</v>
          </cell>
          <cell r="E231" t="str">
            <v>伯希和/PELLIOT</v>
          </cell>
          <cell r="F231" t="str">
            <v>童装-儿童下装-针织运动裤</v>
          </cell>
          <cell r="G231" t="str">
            <v>一品一商</v>
          </cell>
          <cell r="H231" t="str">
            <v>品牌直发</v>
          </cell>
          <cell r="I231">
            <v>0</v>
          </cell>
        </row>
        <row r="232">
          <cell r="D232">
            <v>13121220</v>
          </cell>
          <cell r="E232" t="str">
            <v>伯希和/PELLIOT</v>
          </cell>
          <cell r="F232" t="str">
            <v>童装-儿童上装-防晒衣</v>
          </cell>
          <cell r="G232" t="str">
            <v>一品一商</v>
          </cell>
          <cell r="H232" t="str">
            <v>品牌直发</v>
          </cell>
          <cell r="I232">
            <v>0</v>
          </cell>
        </row>
        <row r="233">
          <cell r="D233">
            <v>112121402</v>
          </cell>
          <cell r="E233" t="str">
            <v>伯希和/PELLIOT</v>
          </cell>
          <cell r="F233" t="str">
            <v>女装-健身服-运动短裤</v>
          </cell>
          <cell r="G233" t="str">
            <v>一品一商</v>
          </cell>
          <cell r="H233" t="str">
            <v>品牌直发</v>
          </cell>
          <cell r="I233">
            <v>0</v>
          </cell>
        </row>
        <row r="234">
          <cell r="D234">
            <v>113021234</v>
          </cell>
          <cell r="E234" t="str">
            <v>伯希和/PELLIOT</v>
          </cell>
          <cell r="F234" t="str">
            <v>童装-儿童上装-防晒衣</v>
          </cell>
          <cell r="G234" t="str">
            <v>一品一商</v>
          </cell>
          <cell r="H234" t="str">
            <v>普通现货</v>
          </cell>
          <cell r="I234">
            <v>0</v>
          </cell>
        </row>
        <row r="235">
          <cell r="D235">
            <v>113121276</v>
          </cell>
          <cell r="E235" t="str">
            <v>伯希和/PELLIOT</v>
          </cell>
          <cell r="F235" t="str">
            <v>童装-儿童上装-防晒衣</v>
          </cell>
          <cell r="G235" t="str">
            <v>一品一商</v>
          </cell>
          <cell r="H235" t="str">
            <v>品牌直发</v>
          </cell>
          <cell r="I235">
            <v>0</v>
          </cell>
        </row>
        <row r="236">
          <cell r="D236">
            <v>13113805</v>
          </cell>
          <cell r="E236" t="str">
            <v>伯希和/PELLIOT</v>
          </cell>
          <cell r="F236" t="str">
            <v>童装-儿童下装-针织运动裤</v>
          </cell>
          <cell r="G236" t="str">
            <v>一品一商</v>
          </cell>
          <cell r="H236" t="str">
            <v>品牌直发</v>
          </cell>
          <cell r="I236">
            <v>0</v>
          </cell>
        </row>
        <row r="237">
          <cell r="D237">
            <v>113231543</v>
          </cell>
          <cell r="E237" t="str">
            <v>伯希和/PELLIOT</v>
          </cell>
          <cell r="F237" t="str">
            <v>童装-儿童上装-T恤</v>
          </cell>
          <cell r="G237" t="str">
            <v>一品一商</v>
          </cell>
          <cell r="H237" t="str">
            <v>品牌直发</v>
          </cell>
          <cell r="I237">
            <v>0</v>
          </cell>
        </row>
        <row r="238">
          <cell r="D238">
            <v>11021525</v>
          </cell>
          <cell r="E238" t="str">
            <v>伯希和/PELLIOT</v>
          </cell>
          <cell r="F238" t="str">
            <v>服装-上衣-T恤</v>
          </cell>
          <cell r="G238" t="str">
            <v>一品一商</v>
          </cell>
          <cell r="H238" t="str">
            <v>品牌直发</v>
          </cell>
          <cell r="I238">
            <v>0</v>
          </cell>
        </row>
        <row r="239">
          <cell r="D239">
            <v>13221427</v>
          </cell>
          <cell r="E239" t="str">
            <v>伯希和/PELLIOT</v>
          </cell>
          <cell r="F239" t="str">
            <v>童装-儿童下装-针织运动裤</v>
          </cell>
          <cell r="G239" t="str">
            <v>一品一商</v>
          </cell>
          <cell r="H239" t="str">
            <v>品牌直发</v>
          </cell>
          <cell r="I239">
            <v>0</v>
          </cell>
        </row>
        <row r="240">
          <cell r="D240">
            <v>13245112</v>
          </cell>
          <cell r="E240" t="str">
            <v>伯希和/PELLIOT</v>
          </cell>
          <cell r="F240" t="str">
            <v>童装-儿童上装-冲锋衣</v>
          </cell>
          <cell r="G240" t="str">
            <v>一品多商</v>
          </cell>
          <cell r="H240" t="str">
            <v>品牌直发</v>
          </cell>
          <cell r="I240">
            <v>0</v>
          </cell>
        </row>
        <row r="241">
          <cell r="D241">
            <v>113115106</v>
          </cell>
          <cell r="E241" t="str">
            <v>伯希和/PELLIOT</v>
          </cell>
          <cell r="F241" t="str">
            <v>童装-儿童上装-冲锋衣</v>
          </cell>
          <cell r="G241" t="str">
            <v>一品一商</v>
          </cell>
          <cell r="H241" t="str">
            <v>品牌直发</v>
          </cell>
          <cell r="I241">
            <v>0</v>
          </cell>
        </row>
        <row r="242">
          <cell r="D242">
            <v>13040127</v>
          </cell>
          <cell r="E242" t="str">
            <v>伯希和/PELLIOT</v>
          </cell>
          <cell r="F242" t="str">
            <v>童装-儿童上装-冲锋衣</v>
          </cell>
          <cell r="G242" t="str">
            <v>一品一商</v>
          </cell>
          <cell r="H242" t="str">
            <v>品牌直发</v>
          </cell>
          <cell r="I242">
            <v>0</v>
          </cell>
        </row>
        <row r="243">
          <cell r="D243">
            <v>13921412</v>
          </cell>
          <cell r="E243" t="str">
            <v>伯希和/PELLIOT</v>
          </cell>
          <cell r="F243" t="str">
            <v>童装-儿童下装-针织运动裤</v>
          </cell>
          <cell r="G243" t="str">
            <v>一品一商</v>
          </cell>
          <cell r="H243" t="str">
            <v>品牌直发</v>
          </cell>
          <cell r="I243">
            <v>0</v>
          </cell>
        </row>
        <row r="244">
          <cell r="D244">
            <v>11115101</v>
          </cell>
          <cell r="E244" t="str">
            <v>伯希和/PELLIOT</v>
          </cell>
          <cell r="F244" t="str">
            <v>服装-外套-夹克</v>
          </cell>
          <cell r="G244" t="str">
            <v>一品一商</v>
          </cell>
          <cell r="H244" t="str">
            <v>品牌直发</v>
          </cell>
          <cell r="I244">
            <v>0</v>
          </cell>
        </row>
        <row r="245">
          <cell r="D245">
            <v>13930611</v>
          </cell>
          <cell r="E245" t="str">
            <v>伯希和/PELLIOT</v>
          </cell>
          <cell r="F245" t="str">
            <v>童装-儿童上装-冲锋衣</v>
          </cell>
          <cell r="G245" t="str">
            <v>一品多商</v>
          </cell>
          <cell r="H245" t="str">
            <v>品牌直发</v>
          </cell>
          <cell r="I245">
            <v>0</v>
          </cell>
        </row>
        <row r="246">
          <cell r="D246">
            <v>113321236</v>
          </cell>
          <cell r="E246" t="str">
            <v>伯希和/PELLIOT</v>
          </cell>
          <cell r="F246" t="str">
            <v>童装-儿童上装-防晒衣</v>
          </cell>
          <cell r="G246" t="str">
            <v>一品一商</v>
          </cell>
          <cell r="H246" t="str">
            <v>品牌直发</v>
          </cell>
          <cell r="I246">
            <v>0</v>
          </cell>
        </row>
        <row r="247">
          <cell r="D247">
            <v>13221249</v>
          </cell>
          <cell r="E247" t="str">
            <v>伯希和/PELLIOT</v>
          </cell>
          <cell r="F247" t="str">
            <v>童装-儿童上装-防晒衣</v>
          </cell>
          <cell r="G247" t="str">
            <v>一品一商</v>
          </cell>
          <cell r="H247" t="str">
            <v>品牌直发</v>
          </cell>
          <cell r="I247">
            <v>0</v>
          </cell>
        </row>
        <row r="248">
          <cell r="D248">
            <v>13031019</v>
          </cell>
          <cell r="E248" t="str">
            <v>伯希和/PELLIOT</v>
          </cell>
          <cell r="F248" t="str">
            <v>童装-儿童上装-马甲</v>
          </cell>
          <cell r="G248" t="str">
            <v>一品一商</v>
          </cell>
          <cell r="H248" t="str">
            <v>品牌直发</v>
          </cell>
          <cell r="I248">
            <v>0</v>
          </cell>
        </row>
        <row r="249">
          <cell r="D249">
            <v>13121530</v>
          </cell>
          <cell r="E249" t="str">
            <v>伯希和/PELLIOT</v>
          </cell>
          <cell r="F249" t="str">
            <v>童装-儿童上装-T恤</v>
          </cell>
          <cell r="G249" t="str">
            <v>一品一商</v>
          </cell>
          <cell r="H249" t="str">
            <v>品牌直发</v>
          </cell>
          <cell r="I249">
            <v>0</v>
          </cell>
        </row>
        <row r="250">
          <cell r="D250">
            <v>13133807</v>
          </cell>
          <cell r="E250" t="str">
            <v>伯希和/PELLIOT</v>
          </cell>
          <cell r="F250" t="str">
            <v>童装-儿童下装-针织运动裤</v>
          </cell>
          <cell r="G250" t="str">
            <v>一品一商</v>
          </cell>
          <cell r="H250" t="str">
            <v>品牌直发</v>
          </cell>
          <cell r="I250">
            <v>0</v>
          </cell>
        </row>
        <row r="251">
          <cell r="D251">
            <v>13121274</v>
          </cell>
          <cell r="E251" t="str">
            <v>伯希和/PELLIOT</v>
          </cell>
          <cell r="F251" t="str">
            <v>童装-儿童上装-防晒衣</v>
          </cell>
          <cell r="G251" t="str">
            <v>一品一商</v>
          </cell>
          <cell r="H251" t="str">
            <v>品牌直发</v>
          </cell>
          <cell r="I251">
            <v>0</v>
          </cell>
        </row>
        <row r="252">
          <cell r="D252">
            <v>13321235</v>
          </cell>
          <cell r="E252" t="str">
            <v>伯希和/PELLIOT</v>
          </cell>
          <cell r="F252" t="str">
            <v>童装-儿童上装-防晒衣</v>
          </cell>
          <cell r="G252" t="str">
            <v>一品一商</v>
          </cell>
          <cell r="H252" t="str">
            <v>品牌直发</v>
          </cell>
          <cell r="I252">
            <v>0</v>
          </cell>
        </row>
        <row r="253">
          <cell r="D253">
            <v>13221245</v>
          </cell>
          <cell r="E253" t="str">
            <v>伯希和/PELLIOT</v>
          </cell>
          <cell r="F253" t="str">
            <v>童装-儿童上装-防晒衣</v>
          </cell>
          <cell r="G253" t="str">
            <v>一品一商</v>
          </cell>
          <cell r="H253" t="str">
            <v>品牌直发</v>
          </cell>
          <cell r="I253">
            <v>0</v>
          </cell>
        </row>
        <row r="254">
          <cell r="D254">
            <v>13031113</v>
          </cell>
          <cell r="E254" t="str">
            <v>伯希和/PELLIOT</v>
          </cell>
          <cell r="F254" t="str">
            <v>童装-儿童下装-针织运动裤</v>
          </cell>
          <cell r="G254" t="str">
            <v>一品一商</v>
          </cell>
          <cell r="H254" t="str">
            <v>品牌直发</v>
          </cell>
          <cell r="I254">
            <v>0</v>
          </cell>
        </row>
        <row r="255">
          <cell r="D255">
            <v>13121436</v>
          </cell>
          <cell r="E255" t="str">
            <v>伯希和/PELLIOT</v>
          </cell>
          <cell r="F255" t="str">
            <v>童装-儿童下装-针织运动裤</v>
          </cell>
          <cell r="G255" t="str">
            <v>一品多商</v>
          </cell>
          <cell r="H255" t="str">
            <v>品牌直发</v>
          </cell>
          <cell r="I255">
            <v>0</v>
          </cell>
        </row>
        <row r="256">
          <cell r="D256">
            <v>112031026</v>
          </cell>
          <cell r="E256" t="str">
            <v>伯希和/PELLIOT</v>
          </cell>
          <cell r="F256" t="str">
            <v>女装-户外运动服-抓绒衣</v>
          </cell>
          <cell r="G256" t="str">
            <v>一品一商</v>
          </cell>
          <cell r="H256" t="str">
            <v>品牌直发</v>
          </cell>
          <cell r="I256">
            <v>0</v>
          </cell>
        </row>
        <row r="257">
          <cell r="D257">
            <v>12140128</v>
          </cell>
          <cell r="E257" t="str">
            <v>伯希和/PELLIOT</v>
          </cell>
          <cell r="F257" t="str">
            <v>女装-外套-冲锋衣</v>
          </cell>
          <cell r="G257" t="str">
            <v>一品一商</v>
          </cell>
          <cell r="H257" t="str">
            <v>品牌直发</v>
          </cell>
          <cell r="I257">
            <v>0</v>
          </cell>
        </row>
        <row r="258">
          <cell r="D258">
            <v>12121418</v>
          </cell>
          <cell r="E258" t="str">
            <v>伯希和/PELLIOT</v>
          </cell>
          <cell r="F258" t="str">
            <v>女装-长裤-针织运动裤</v>
          </cell>
          <cell r="G258" t="str">
            <v>一品一商</v>
          </cell>
          <cell r="H258" t="str">
            <v>品牌直发</v>
          </cell>
          <cell r="I258">
            <v>0</v>
          </cell>
        </row>
        <row r="259">
          <cell r="D259">
            <v>12221402</v>
          </cell>
          <cell r="E259" t="str">
            <v>伯希和/PELLIOT</v>
          </cell>
          <cell r="F259" t="str">
            <v>女装-户外运动服-速干裤</v>
          </cell>
          <cell r="G259" t="str">
            <v>一品一商</v>
          </cell>
          <cell r="H259" t="str">
            <v>品牌直发</v>
          </cell>
          <cell r="I259">
            <v>0</v>
          </cell>
        </row>
        <row r="260">
          <cell r="D260">
            <v>112321408</v>
          </cell>
          <cell r="E260" t="str">
            <v>伯希和/PELLIOT</v>
          </cell>
          <cell r="F260" t="str">
            <v>女装-户外运动服-速干裤</v>
          </cell>
          <cell r="G260" t="str">
            <v>一品多商</v>
          </cell>
          <cell r="H260" t="str">
            <v>品牌直发</v>
          </cell>
          <cell r="I260">
            <v>0</v>
          </cell>
        </row>
        <row r="261">
          <cell r="D261">
            <v>124408280</v>
          </cell>
          <cell r="E261" t="str">
            <v>伯希和/PELLIOT</v>
          </cell>
          <cell r="F261" t="str">
            <v>女装-外套-羽绒服</v>
          </cell>
          <cell r="G261" t="str">
            <v>一品多商</v>
          </cell>
          <cell r="H261" t="str">
            <v>品牌直发</v>
          </cell>
          <cell r="I261">
            <v>0</v>
          </cell>
        </row>
        <row r="262">
          <cell r="D262">
            <v>111021401</v>
          </cell>
          <cell r="E262" t="str">
            <v>伯希和/PELLIOT</v>
          </cell>
          <cell r="F262" t="str">
            <v>服装-短裤-休闲短裤</v>
          </cell>
          <cell r="G262" t="str">
            <v>一品多商</v>
          </cell>
          <cell r="H262" t="str">
            <v>品牌直发</v>
          </cell>
          <cell r="I262">
            <v>0</v>
          </cell>
        </row>
        <row r="263">
          <cell r="D263">
            <v>12940130</v>
          </cell>
          <cell r="E263" t="str">
            <v>伯希和/PELLIOT</v>
          </cell>
          <cell r="F263" t="str">
            <v>女装-外套-冲锋衣</v>
          </cell>
          <cell r="G263" t="str">
            <v>一品一商</v>
          </cell>
          <cell r="H263" t="str">
            <v>品牌直发</v>
          </cell>
          <cell r="I263">
            <v>0</v>
          </cell>
        </row>
        <row r="264">
          <cell r="D264">
            <v>112321426</v>
          </cell>
          <cell r="E264" t="str">
            <v>伯希和/PELLIOT</v>
          </cell>
          <cell r="F264" t="str">
            <v>女装-长裙-休闲长裙</v>
          </cell>
          <cell r="G264" t="str">
            <v>一品一商</v>
          </cell>
          <cell r="H264" t="str">
            <v>品牌直发</v>
          </cell>
          <cell r="I264">
            <v>0</v>
          </cell>
        </row>
        <row r="265">
          <cell r="D265">
            <v>12321502</v>
          </cell>
          <cell r="E265" t="str">
            <v>伯希和/PELLIOT</v>
          </cell>
          <cell r="F265" t="str">
            <v>女装-上衣-Polo衫</v>
          </cell>
          <cell r="G265" t="str">
            <v>一品一商</v>
          </cell>
          <cell r="H265" t="str">
            <v>品牌直发</v>
          </cell>
          <cell r="I265">
            <v>0</v>
          </cell>
        </row>
        <row r="266">
          <cell r="D266">
            <v>12130710</v>
          </cell>
          <cell r="E266" t="str">
            <v>伯希和/PELLIOT</v>
          </cell>
          <cell r="F266" t="str">
            <v>女装-长裤-软壳裤</v>
          </cell>
          <cell r="G266" t="str">
            <v>一品一商</v>
          </cell>
          <cell r="H266" t="str">
            <v>品牌直发</v>
          </cell>
          <cell r="I266">
            <v>0</v>
          </cell>
        </row>
        <row r="267">
          <cell r="D267">
            <v>11130701</v>
          </cell>
          <cell r="E267" t="str">
            <v>伯希和/PELLIOT</v>
          </cell>
          <cell r="F267" t="str">
            <v>服装-长裤-软壳裤</v>
          </cell>
          <cell r="G267" t="str">
            <v>一品多商</v>
          </cell>
          <cell r="H267" t="str">
            <v>品牌直发</v>
          </cell>
          <cell r="I267">
            <v>0</v>
          </cell>
        </row>
        <row r="268">
          <cell r="D268">
            <v>11121411</v>
          </cell>
          <cell r="E268" t="str">
            <v>伯希和/PELLIOT</v>
          </cell>
          <cell r="F268" t="str">
            <v>服装-户外运动服-速干裤</v>
          </cell>
          <cell r="G268" t="str">
            <v>一品多商</v>
          </cell>
          <cell r="H268" t="str">
            <v>品牌直发</v>
          </cell>
          <cell r="I268">
            <v>0</v>
          </cell>
        </row>
        <row r="269">
          <cell r="D269">
            <v>11231103</v>
          </cell>
          <cell r="E269" t="str">
            <v>伯希和/PELLIOT</v>
          </cell>
          <cell r="F269" t="str">
            <v>服装-户外运动服-抓绒裤</v>
          </cell>
          <cell r="G269" t="str">
            <v>一品一商</v>
          </cell>
          <cell r="H269" t="str">
            <v>品牌直发</v>
          </cell>
          <cell r="I269">
            <v>0</v>
          </cell>
        </row>
        <row r="270">
          <cell r="D270">
            <v>12221536</v>
          </cell>
          <cell r="E270" t="str">
            <v>伯希和/PELLIOT</v>
          </cell>
          <cell r="F270" t="str">
            <v>女装-户外运动服-速干T恤</v>
          </cell>
          <cell r="G270" t="str">
            <v>一品一商</v>
          </cell>
          <cell r="H270" t="str">
            <v>品牌直发</v>
          </cell>
          <cell r="I270">
            <v>0</v>
          </cell>
        </row>
        <row r="271">
          <cell r="D271">
            <v>12830708</v>
          </cell>
          <cell r="E271" t="str">
            <v>伯希和/PELLIOT</v>
          </cell>
          <cell r="F271" t="str">
            <v>女装-长裤-软壳裤</v>
          </cell>
          <cell r="G271" t="str">
            <v>一品多商</v>
          </cell>
          <cell r="H271" t="str">
            <v>品牌直发</v>
          </cell>
          <cell r="I271">
            <v>0</v>
          </cell>
        </row>
        <row r="272">
          <cell r="D272">
            <v>12321402</v>
          </cell>
          <cell r="E272" t="str">
            <v>伯希和/PELLIOT</v>
          </cell>
          <cell r="F272" t="str">
            <v>女装-户外运动服-速干裤</v>
          </cell>
          <cell r="G272" t="str">
            <v>一品一商</v>
          </cell>
          <cell r="H272" t="str">
            <v>品牌直发</v>
          </cell>
          <cell r="I272">
            <v>0</v>
          </cell>
        </row>
        <row r="273">
          <cell r="D273">
            <v>12221514</v>
          </cell>
          <cell r="E273" t="str">
            <v>伯希和/PELLIOT</v>
          </cell>
          <cell r="F273" t="str">
            <v>女装-上衣-Polo衫</v>
          </cell>
          <cell r="G273" t="str">
            <v>一品一商</v>
          </cell>
          <cell r="H273" t="str">
            <v>品牌直发</v>
          </cell>
          <cell r="I273">
            <v>0</v>
          </cell>
        </row>
        <row r="274">
          <cell r="D274">
            <v>12231104</v>
          </cell>
          <cell r="E274" t="str">
            <v>伯希和/PELLIOT</v>
          </cell>
          <cell r="F274" t="str">
            <v>女装-户外运动服-抓绒裤</v>
          </cell>
          <cell r="G274" t="str">
            <v>一品一商</v>
          </cell>
          <cell r="H274" t="str">
            <v>品牌直发</v>
          </cell>
          <cell r="I274">
            <v>0</v>
          </cell>
        </row>
        <row r="275">
          <cell r="D275">
            <v>115107016</v>
          </cell>
          <cell r="E275" t="str">
            <v>伯希和/PELLIOT</v>
          </cell>
          <cell r="F275" t="str">
            <v>服装-长裤-软壳裤</v>
          </cell>
          <cell r="G275" t="str">
            <v>一品多商</v>
          </cell>
          <cell r="H275" t="str">
            <v>品牌直发</v>
          </cell>
          <cell r="I275">
            <v>0</v>
          </cell>
        </row>
        <row r="276">
          <cell r="D276">
            <v>12131106</v>
          </cell>
          <cell r="E276" t="str">
            <v>伯希和/PELLIOT</v>
          </cell>
          <cell r="F276" t="str">
            <v>女装-户外运动服-抓绒裤</v>
          </cell>
          <cell r="G276" t="str">
            <v>一品一商</v>
          </cell>
          <cell r="H276" t="str">
            <v>品牌直发</v>
          </cell>
          <cell r="I276">
            <v>0</v>
          </cell>
        </row>
        <row r="277">
          <cell r="D277">
            <v>11321401</v>
          </cell>
          <cell r="E277" t="str">
            <v>伯希和/PELLIOT</v>
          </cell>
          <cell r="F277" t="str">
            <v>服装-户外运动服-速干裤</v>
          </cell>
          <cell r="G277" t="str">
            <v>一品一商</v>
          </cell>
          <cell r="H277" t="str">
            <v>品牌直发</v>
          </cell>
          <cell r="I277">
            <v>0</v>
          </cell>
        </row>
        <row r="278">
          <cell r="D278">
            <v>11830603</v>
          </cell>
          <cell r="E278" t="str">
            <v>伯希和/PELLIOT</v>
          </cell>
          <cell r="F278" t="str">
            <v>服装-外套-软壳衣</v>
          </cell>
          <cell r="G278" t="str">
            <v>一品多商</v>
          </cell>
          <cell r="H278" t="str">
            <v>品牌直发</v>
          </cell>
          <cell r="I278">
            <v>0</v>
          </cell>
        </row>
        <row r="279">
          <cell r="D279">
            <v>12830604</v>
          </cell>
          <cell r="E279" t="str">
            <v>伯希和/PELLIOT</v>
          </cell>
          <cell r="F279" t="str">
            <v>女装-外套-软壳衣</v>
          </cell>
          <cell r="G279" t="str">
            <v>一品多商</v>
          </cell>
          <cell r="H279" t="str">
            <v>品牌直发</v>
          </cell>
          <cell r="I279">
            <v>0</v>
          </cell>
        </row>
        <row r="280">
          <cell r="D280">
            <v>12321406</v>
          </cell>
          <cell r="E280" t="str">
            <v>伯希和/PELLIOT</v>
          </cell>
          <cell r="F280" t="str">
            <v>女装-户外运动服-速干裤</v>
          </cell>
          <cell r="G280" t="str">
            <v>一品一商</v>
          </cell>
          <cell r="H280" t="str">
            <v>品牌直发</v>
          </cell>
          <cell r="I280">
            <v>0</v>
          </cell>
        </row>
        <row r="281">
          <cell r="D281">
            <v>11021509</v>
          </cell>
          <cell r="E281" t="str">
            <v>伯希和/PELLIOT</v>
          </cell>
          <cell r="F281" t="str">
            <v>服装-上衣-T恤</v>
          </cell>
          <cell r="G281" t="str">
            <v>一品一商</v>
          </cell>
          <cell r="H281" t="str">
            <v>品牌直发</v>
          </cell>
          <cell r="I281">
            <v>0</v>
          </cell>
        </row>
        <row r="282">
          <cell r="D282">
            <v>12213804</v>
          </cell>
          <cell r="E282" t="str">
            <v>伯希和/PELLIOT</v>
          </cell>
          <cell r="F282" t="str">
            <v>女装-长裤-休闲裤</v>
          </cell>
          <cell r="G282" t="str">
            <v>一品一商</v>
          </cell>
          <cell r="H282" t="str">
            <v>品牌直发</v>
          </cell>
          <cell r="I282">
            <v>0</v>
          </cell>
        </row>
        <row r="283">
          <cell r="D283">
            <v>12230702</v>
          </cell>
          <cell r="E283" t="str">
            <v>伯希和/PELLIOT</v>
          </cell>
          <cell r="F283" t="str">
            <v>女装-长裤-软壳裤</v>
          </cell>
          <cell r="G283" t="str">
            <v>一品多商</v>
          </cell>
          <cell r="H283" t="str">
            <v>品牌直发</v>
          </cell>
          <cell r="I283">
            <v>0</v>
          </cell>
        </row>
        <row r="284">
          <cell r="D284">
            <v>12033806</v>
          </cell>
          <cell r="E284" t="str">
            <v>伯希和/PELLIOT</v>
          </cell>
          <cell r="F284" t="str">
            <v>女装-长裤-休闲裤</v>
          </cell>
          <cell r="G284" t="str">
            <v>一品一商</v>
          </cell>
          <cell r="H284" t="str">
            <v>品牌直发</v>
          </cell>
          <cell r="I284">
            <v>0</v>
          </cell>
        </row>
        <row r="285">
          <cell r="D285" t="str">
            <v>125116022-服</v>
          </cell>
          <cell r="E285" t="str">
            <v>伯希和/PELLIOT</v>
          </cell>
          <cell r="F285" t="str">
            <v>女装-户外运动服-跑步T恤</v>
          </cell>
          <cell r="G285" t="str">
            <v>一品多商</v>
          </cell>
          <cell r="H285" t="str">
            <v>品牌直发</v>
          </cell>
          <cell r="I285">
            <v>0</v>
          </cell>
        </row>
        <row r="286">
          <cell r="D286">
            <v>12321414</v>
          </cell>
          <cell r="E286" t="str">
            <v>伯希和/PELLIOT</v>
          </cell>
          <cell r="F286" t="str">
            <v>女装-户外运动服-速干裤</v>
          </cell>
          <cell r="G286" t="str">
            <v>一品一商</v>
          </cell>
          <cell r="H286" t="str">
            <v>品牌直发</v>
          </cell>
          <cell r="I286">
            <v>0</v>
          </cell>
        </row>
        <row r="287">
          <cell r="D287">
            <v>112040112</v>
          </cell>
          <cell r="E287" t="str">
            <v>伯希和/PELLIOT</v>
          </cell>
          <cell r="F287" t="str">
            <v>女装-外套-冲锋衣</v>
          </cell>
          <cell r="G287" t="str">
            <v>一品一商</v>
          </cell>
          <cell r="H287" t="str">
            <v>品牌直发</v>
          </cell>
          <cell r="I287">
            <v>0</v>
          </cell>
        </row>
        <row r="288">
          <cell r="D288">
            <v>11230701</v>
          </cell>
          <cell r="E288" t="str">
            <v>伯希和/PELLIOT</v>
          </cell>
          <cell r="F288" t="str">
            <v>服装-长裤-软壳裤</v>
          </cell>
          <cell r="G288" t="str">
            <v>一品多商</v>
          </cell>
          <cell r="H288" t="str">
            <v>品牌直发</v>
          </cell>
          <cell r="I288">
            <v>0</v>
          </cell>
        </row>
        <row r="289">
          <cell r="D289">
            <v>11231443</v>
          </cell>
          <cell r="E289" t="str">
            <v>伯希和/PELLIOT</v>
          </cell>
          <cell r="F289" t="str">
            <v>服装-户外运动服-速干裤</v>
          </cell>
          <cell r="G289" t="str">
            <v>一品一商</v>
          </cell>
          <cell r="H289" t="str">
            <v>品牌直发</v>
          </cell>
          <cell r="I289">
            <v>0</v>
          </cell>
        </row>
        <row r="290">
          <cell r="D290">
            <v>12215104</v>
          </cell>
          <cell r="E290" t="str">
            <v>伯希和/PELLIOT</v>
          </cell>
          <cell r="F290" t="str">
            <v>女装-外套-夹克</v>
          </cell>
          <cell r="G290" t="str">
            <v>一品一商</v>
          </cell>
          <cell r="H290" t="str">
            <v>品牌直发</v>
          </cell>
          <cell r="I290">
            <v>0</v>
          </cell>
        </row>
        <row r="291">
          <cell r="D291">
            <v>112213710</v>
          </cell>
          <cell r="E291" t="str">
            <v>伯希和/PELLIOT</v>
          </cell>
          <cell r="F291" t="str">
            <v>服装-上衣-卫衣</v>
          </cell>
          <cell r="G291" t="str">
            <v>一品一商</v>
          </cell>
          <cell r="H291" t="str">
            <v>品牌直发</v>
          </cell>
          <cell r="I291">
            <v>0</v>
          </cell>
        </row>
        <row r="292">
          <cell r="D292">
            <v>111240115</v>
          </cell>
          <cell r="E292" t="str">
            <v>伯希和/PELLIOT</v>
          </cell>
          <cell r="F292" t="str">
            <v>服装-外套-冲锋衣</v>
          </cell>
          <cell r="G292" t="str">
            <v>一品一商</v>
          </cell>
          <cell r="H292" t="str">
            <v>品牌直发</v>
          </cell>
          <cell r="I292">
            <v>0</v>
          </cell>
        </row>
        <row r="293">
          <cell r="D293">
            <v>12321204</v>
          </cell>
          <cell r="E293" t="str">
            <v>伯希和/PELLIOT</v>
          </cell>
          <cell r="F293" t="str">
            <v>女装-外套-防晒服</v>
          </cell>
          <cell r="G293" t="str">
            <v>一品一商</v>
          </cell>
          <cell r="H293" t="str">
            <v>品牌直发</v>
          </cell>
          <cell r="I293">
            <v>0</v>
          </cell>
        </row>
        <row r="294">
          <cell r="D294">
            <v>11240203</v>
          </cell>
          <cell r="E294" t="str">
            <v>伯希和/PELLIOT</v>
          </cell>
          <cell r="F294" t="str">
            <v>服装-长裤-冲锋裤</v>
          </cell>
          <cell r="G294" t="str">
            <v>一品多商</v>
          </cell>
          <cell r="H294" t="str">
            <v>品牌直发</v>
          </cell>
          <cell r="I294">
            <v>0</v>
          </cell>
        </row>
        <row r="295">
          <cell r="D295">
            <v>11040107</v>
          </cell>
          <cell r="E295" t="str">
            <v>伯希和/PELLIOT</v>
          </cell>
          <cell r="F295" t="str">
            <v>服装-外套-冲锋衣</v>
          </cell>
          <cell r="G295" t="str">
            <v>一品多商</v>
          </cell>
          <cell r="H295" t="str">
            <v>品牌直发</v>
          </cell>
          <cell r="I295">
            <v>0</v>
          </cell>
        </row>
        <row r="296">
          <cell r="D296">
            <v>12221522</v>
          </cell>
          <cell r="E296" t="str">
            <v>伯希和/PELLIOT</v>
          </cell>
          <cell r="F296" t="str">
            <v>女装-户外运动服-跑步T恤</v>
          </cell>
          <cell r="G296" t="str">
            <v>一品一商</v>
          </cell>
          <cell r="H296" t="str">
            <v>品牌直发</v>
          </cell>
          <cell r="I296">
            <v>0</v>
          </cell>
        </row>
        <row r="297">
          <cell r="D297">
            <v>12230618</v>
          </cell>
          <cell r="E297" t="str">
            <v>伯希和/PELLIOT</v>
          </cell>
          <cell r="F297" t="str">
            <v>女装-外套-软壳衣</v>
          </cell>
          <cell r="G297" t="str">
            <v>一品一商</v>
          </cell>
          <cell r="H297" t="str">
            <v>品牌直发</v>
          </cell>
          <cell r="I297">
            <v>0</v>
          </cell>
        </row>
        <row r="298">
          <cell r="D298">
            <v>12130608</v>
          </cell>
          <cell r="E298" t="str">
            <v>伯希和/PELLIOT</v>
          </cell>
          <cell r="F298" t="str">
            <v>女装-外套-软壳衣</v>
          </cell>
          <cell r="G298" t="str">
            <v>一品多商</v>
          </cell>
          <cell r="H298" t="str">
            <v>品牌直发</v>
          </cell>
          <cell r="I298">
            <v>0</v>
          </cell>
        </row>
        <row r="299">
          <cell r="D299">
            <v>12313706</v>
          </cell>
          <cell r="E299" t="str">
            <v>伯希和/PELLIOT</v>
          </cell>
          <cell r="F299" t="str">
            <v>女装-上衣-卫衣</v>
          </cell>
          <cell r="G299" t="str">
            <v>一品一商</v>
          </cell>
          <cell r="H299" t="str">
            <v>品牌直发</v>
          </cell>
          <cell r="I299">
            <v>0</v>
          </cell>
        </row>
        <row r="300">
          <cell r="D300">
            <v>11213803</v>
          </cell>
          <cell r="E300" t="str">
            <v>伯希和/PELLIOT</v>
          </cell>
          <cell r="F300" t="str">
            <v>服装-长裤-针织运动裤</v>
          </cell>
          <cell r="G300" t="str">
            <v>一品一商</v>
          </cell>
          <cell r="H300" t="str">
            <v>品牌直发</v>
          </cell>
          <cell r="I300">
            <v>0</v>
          </cell>
        </row>
        <row r="301">
          <cell r="D301">
            <v>12221504</v>
          </cell>
          <cell r="E301" t="str">
            <v>伯希和/PELLIOT</v>
          </cell>
          <cell r="F301" t="str">
            <v>女装-上衣-T恤</v>
          </cell>
          <cell r="G301" t="str">
            <v>一品一商</v>
          </cell>
          <cell r="H301" t="str">
            <v>品牌直发</v>
          </cell>
          <cell r="I301">
            <v>0</v>
          </cell>
        </row>
        <row r="302">
          <cell r="D302">
            <v>12031016</v>
          </cell>
          <cell r="E302" t="str">
            <v>伯希和/PELLIOT</v>
          </cell>
          <cell r="F302" t="str">
            <v>女装-户外运动服-抓绒衣</v>
          </cell>
          <cell r="G302" t="str">
            <v>一品一商</v>
          </cell>
          <cell r="H302" t="str">
            <v>品牌直发</v>
          </cell>
          <cell r="I302">
            <v>0</v>
          </cell>
        </row>
        <row r="303">
          <cell r="D303">
            <v>12131022</v>
          </cell>
          <cell r="E303" t="str">
            <v>伯希和/PELLIOT</v>
          </cell>
          <cell r="F303" t="str">
            <v>女装-户外运动服-抓绒衣</v>
          </cell>
          <cell r="G303" t="str">
            <v>一品一商</v>
          </cell>
          <cell r="H303" t="str">
            <v>品牌直发</v>
          </cell>
          <cell r="I303">
            <v>0</v>
          </cell>
        </row>
        <row r="304">
          <cell r="D304">
            <v>112140110</v>
          </cell>
          <cell r="E304" t="str">
            <v>伯希和/PELLIOT</v>
          </cell>
          <cell r="F304" t="str">
            <v>女装-外套-冲锋衣</v>
          </cell>
          <cell r="G304" t="str">
            <v>一品一商</v>
          </cell>
          <cell r="H304" t="str">
            <v>品牌直发</v>
          </cell>
          <cell r="I304">
            <v>0</v>
          </cell>
        </row>
        <row r="305">
          <cell r="D305">
            <v>12121218</v>
          </cell>
          <cell r="E305" t="str">
            <v>伯希和/PELLIOT</v>
          </cell>
          <cell r="F305" t="str">
            <v>女装-外套-防晒服</v>
          </cell>
          <cell r="G305" t="str">
            <v>一品一商</v>
          </cell>
          <cell r="H305" t="str">
            <v>品牌直发</v>
          </cell>
          <cell r="I305">
            <v>0</v>
          </cell>
        </row>
        <row r="306">
          <cell r="D306">
            <v>12321224</v>
          </cell>
          <cell r="E306" t="str">
            <v>伯希和/PELLIOT</v>
          </cell>
          <cell r="F306" t="str">
            <v>服装-外套-防晒服</v>
          </cell>
          <cell r="G306" t="str">
            <v>一品一商</v>
          </cell>
          <cell r="H306" t="str">
            <v>品牌直发</v>
          </cell>
          <cell r="I306">
            <v>0</v>
          </cell>
        </row>
        <row r="307">
          <cell r="D307">
            <v>16804501</v>
          </cell>
          <cell r="E307" t="str">
            <v>伯希和/PELLIOT</v>
          </cell>
          <cell r="F307" t="str">
            <v>户外装备-露营/野炊装备-秋千</v>
          </cell>
          <cell r="G307" t="str">
            <v>一品多商</v>
          </cell>
          <cell r="H307" t="str">
            <v>普通现货</v>
          </cell>
          <cell r="I307">
            <v>0</v>
          </cell>
        </row>
        <row r="308">
          <cell r="D308">
            <v>11221203</v>
          </cell>
          <cell r="E308" t="str">
            <v>伯希和/PELLIOT</v>
          </cell>
          <cell r="F308" t="str">
            <v>服装-外套-防晒服</v>
          </cell>
          <cell r="G308" t="str">
            <v>一品一商</v>
          </cell>
          <cell r="H308" t="str">
            <v>品牌直发</v>
          </cell>
          <cell r="I308">
            <v>0</v>
          </cell>
        </row>
        <row r="309">
          <cell r="D309">
            <v>12221202</v>
          </cell>
          <cell r="E309" t="str">
            <v>伯希和/PELLIOT</v>
          </cell>
          <cell r="F309" t="str">
            <v>女装-外套-防晒服</v>
          </cell>
          <cell r="G309" t="str">
            <v>一品多商</v>
          </cell>
          <cell r="H309" t="str">
            <v>品牌直发</v>
          </cell>
          <cell r="I309">
            <v>0</v>
          </cell>
        </row>
        <row r="310">
          <cell r="D310">
            <v>12215102</v>
          </cell>
          <cell r="E310" t="str">
            <v>伯希和/PELLIOT</v>
          </cell>
          <cell r="F310" t="str">
            <v>女装-外套-夹克</v>
          </cell>
          <cell r="G310" t="str">
            <v>一品一商</v>
          </cell>
          <cell r="H310" t="str">
            <v>品牌直发</v>
          </cell>
          <cell r="I310">
            <v>0</v>
          </cell>
        </row>
        <row r="311">
          <cell r="D311">
            <v>12121412</v>
          </cell>
          <cell r="E311" t="str">
            <v>伯希和/PELLIOT</v>
          </cell>
          <cell r="F311" t="str">
            <v>女装-户外运动服-速干裤</v>
          </cell>
          <cell r="G311" t="str">
            <v>一品多商</v>
          </cell>
          <cell r="H311" t="str">
            <v>品牌直发</v>
          </cell>
          <cell r="I311">
            <v>0</v>
          </cell>
        </row>
        <row r="312">
          <cell r="D312">
            <v>12231006</v>
          </cell>
          <cell r="E312" t="str">
            <v>伯希和/PELLIOT</v>
          </cell>
          <cell r="F312" t="str">
            <v>女装-户外运动服-抓绒衣</v>
          </cell>
          <cell r="G312" t="str">
            <v>一品一商</v>
          </cell>
          <cell r="H312" t="str">
            <v>品牌直发</v>
          </cell>
          <cell r="I312">
            <v>0</v>
          </cell>
        </row>
        <row r="313">
          <cell r="D313">
            <v>12231004</v>
          </cell>
          <cell r="E313" t="str">
            <v>伯希和/PELLIOT</v>
          </cell>
          <cell r="F313" t="str">
            <v>女装-户外运动服-抓绒衣</v>
          </cell>
          <cell r="G313" t="str">
            <v>一品一商</v>
          </cell>
          <cell r="H313" t="str">
            <v>品牌直发</v>
          </cell>
          <cell r="I313">
            <v>0</v>
          </cell>
        </row>
        <row r="314">
          <cell r="D314">
            <v>12130702</v>
          </cell>
          <cell r="E314" t="str">
            <v>伯希和/PELLIOT</v>
          </cell>
          <cell r="F314" t="str">
            <v>女装-长裤-软壳裤</v>
          </cell>
          <cell r="G314" t="str">
            <v>一品多商</v>
          </cell>
          <cell r="H314" t="str">
            <v>品牌直发</v>
          </cell>
          <cell r="I314">
            <v>0</v>
          </cell>
        </row>
        <row r="315">
          <cell r="D315">
            <v>12321222</v>
          </cell>
          <cell r="E315" t="str">
            <v>伯希和/PELLIOT</v>
          </cell>
          <cell r="F315" t="str">
            <v>女装-外套-防晒服</v>
          </cell>
          <cell r="G315" t="str">
            <v>一品多商</v>
          </cell>
          <cell r="H315" t="str">
            <v>品牌直发</v>
          </cell>
          <cell r="I315">
            <v>0</v>
          </cell>
        </row>
        <row r="316">
          <cell r="D316">
            <v>12131006</v>
          </cell>
          <cell r="E316" t="str">
            <v>伯希和/PELLIOT</v>
          </cell>
          <cell r="F316" t="str">
            <v>女装-户外运动服-抓绒衣</v>
          </cell>
          <cell r="G316" t="str">
            <v>一品一商</v>
          </cell>
          <cell r="H316" t="str">
            <v>普通现货</v>
          </cell>
          <cell r="I316">
            <v>0</v>
          </cell>
        </row>
        <row r="317">
          <cell r="D317">
            <v>12230706</v>
          </cell>
          <cell r="E317" t="str">
            <v>伯希和/PELLIOT</v>
          </cell>
          <cell r="F317" t="str">
            <v>女装-长裤-软壳裤</v>
          </cell>
          <cell r="G317" t="str">
            <v>一品多商</v>
          </cell>
          <cell r="H317" t="str">
            <v>品牌直发</v>
          </cell>
          <cell r="I317">
            <v>0</v>
          </cell>
        </row>
        <row r="318">
          <cell r="D318">
            <v>11240121</v>
          </cell>
          <cell r="E318" t="str">
            <v>伯希和/PELLIOT</v>
          </cell>
          <cell r="F318" t="str">
            <v>服装-外套-冲锋衣</v>
          </cell>
          <cell r="G318" t="str">
            <v>一品一商</v>
          </cell>
          <cell r="H318" t="str">
            <v>品牌直发</v>
          </cell>
          <cell r="I318">
            <v>0</v>
          </cell>
        </row>
        <row r="319">
          <cell r="D319">
            <v>12231016</v>
          </cell>
          <cell r="E319" t="str">
            <v>伯希和/PELLIOT</v>
          </cell>
          <cell r="F319" t="str">
            <v>女装-户外运动服-抓绒衣</v>
          </cell>
          <cell r="G319" t="str">
            <v>一品一商</v>
          </cell>
          <cell r="H319" t="str">
            <v>品牌直发</v>
          </cell>
          <cell r="I319">
            <v>0</v>
          </cell>
        </row>
        <row r="320">
          <cell r="D320">
            <v>12231032</v>
          </cell>
          <cell r="E320" t="str">
            <v>伯希和/PELLIOT</v>
          </cell>
          <cell r="F320" t="str">
            <v>女装-户外运动服-抓绒衣</v>
          </cell>
          <cell r="G320" t="str">
            <v>一品一商</v>
          </cell>
          <cell r="H320" t="str">
            <v>品牌直发</v>
          </cell>
          <cell r="I320">
            <v>0</v>
          </cell>
        </row>
        <row r="321">
          <cell r="D321">
            <v>12231802</v>
          </cell>
          <cell r="E321" t="str">
            <v>伯希和/PELLIOT</v>
          </cell>
          <cell r="F321" t="str">
            <v>内衣-内衣裤-保暖套装</v>
          </cell>
          <cell r="G321" t="str">
            <v>一品一商</v>
          </cell>
          <cell r="H321" t="str">
            <v>品牌直发</v>
          </cell>
          <cell r="I321">
            <v>0</v>
          </cell>
        </row>
        <row r="322">
          <cell r="D322">
            <v>12240834</v>
          </cell>
          <cell r="E322" t="str">
            <v>伯希和/PELLIOT</v>
          </cell>
          <cell r="F322" t="str">
            <v>女装-外套-羽绒服</v>
          </cell>
          <cell r="G322" t="str">
            <v>一品多商</v>
          </cell>
          <cell r="H322" t="str">
            <v>品牌直发</v>
          </cell>
          <cell r="I322">
            <v>0</v>
          </cell>
        </row>
        <row r="323">
          <cell r="D323">
            <v>12230602</v>
          </cell>
          <cell r="E323" t="str">
            <v>伯希和/PELLIOT</v>
          </cell>
          <cell r="F323" t="str">
            <v>女装-外套-软壳衣</v>
          </cell>
          <cell r="G323" t="str">
            <v>一品多商</v>
          </cell>
          <cell r="H323" t="str">
            <v>品牌直发</v>
          </cell>
          <cell r="I323">
            <v>0</v>
          </cell>
        </row>
        <row r="324">
          <cell r="D324">
            <v>11140809</v>
          </cell>
          <cell r="E324" t="str">
            <v>伯希和/PELLIOT</v>
          </cell>
          <cell r="F324" t="str">
            <v>服装-外套-羽绒服</v>
          </cell>
          <cell r="G324" t="str">
            <v>一品多商</v>
          </cell>
          <cell r="H324" t="str">
            <v>品牌直发</v>
          </cell>
          <cell r="I324">
            <v>0</v>
          </cell>
        </row>
        <row r="325">
          <cell r="D325">
            <v>11230601</v>
          </cell>
          <cell r="E325" t="str">
            <v>伯希和/PELLIOT</v>
          </cell>
          <cell r="F325" t="str">
            <v>服装-外套-软壳衣</v>
          </cell>
          <cell r="G325" t="str">
            <v>一品多商</v>
          </cell>
          <cell r="H325" t="str">
            <v>品牌直发</v>
          </cell>
          <cell r="I325">
            <v>0</v>
          </cell>
        </row>
        <row r="326">
          <cell r="D326">
            <v>12140810</v>
          </cell>
          <cell r="E326" t="str">
            <v>伯希和/PELLIOT</v>
          </cell>
          <cell r="F326" t="str">
            <v>女装-外套-羽绒服</v>
          </cell>
          <cell r="G326" t="str">
            <v>一品多商</v>
          </cell>
          <cell r="H326" t="str">
            <v>品牌直发</v>
          </cell>
          <cell r="I326">
            <v>0</v>
          </cell>
        </row>
        <row r="327">
          <cell r="D327">
            <v>12740808</v>
          </cell>
          <cell r="E327" t="str">
            <v>伯希和/PELLIOT</v>
          </cell>
          <cell r="F327" t="str">
            <v>服装-外套-羽绒服</v>
          </cell>
          <cell r="G327" t="str">
            <v>一品一商</v>
          </cell>
          <cell r="H327" t="str">
            <v>品牌直发</v>
          </cell>
          <cell r="I327">
            <v>0</v>
          </cell>
        </row>
        <row r="328">
          <cell r="D328">
            <v>11140813</v>
          </cell>
          <cell r="E328" t="str">
            <v>伯希和/PELLIOT</v>
          </cell>
          <cell r="F328" t="str">
            <v>服装-外套-羽绒服</v>
          </cell>
          <cell r="G328" t="str">
            <v>一品多商</v>
          </cell>
          <cell r="H328" t="str">
            <v>品牌直发</v>
          </cell>
          <cell r="I328">
            <v>0</v>
          </cell>
        </row>
        <row r="329">
          <cell r="D329">
            <v>11240301</v>
          </cell>
          <cell r="E329" t="str">
            <v>伯希和/PELLIOT</v>
          </cell>
          <cell r="F329" t="str">
            <v>服装-外套-棉服</v>
          </cell>
          <cell r="G329" t="str">
            <v>一品多商</v>
          </cell>
          <cell r="H329" t="str">
            <v>品牌直发</v>
          </cell>
          <cell r="I329">
            <v>0</v>
          </cell>
        </row>
        <row r="330">
          <cell r="D330">
            <v>12140814</v>
          </cell>
          <cell r="E330" t="str">
            <v>伯希和/PELLIOT</v>
          </cell>
          <cell r="F330" t="str">
            <v>女装-外套-羽绒服</v>
          </cell>
          <cell r="G330" t="str">
            <v>一品多商</v>
          </cell>
          <cell r="H330" t="str">
            <v>品牌直发</v>
          </cell>
          <cell r="I330">
            <v>0</v>
          </cell>
        </row>
        <row r="331">
          <cell r="D331">
            <v>12140804</v>
          </cell>
          <cell r="E331" t="str">
            <v>伯希和/PELLIOT</v>
          </cell>
          <cell r="F331" t="str">
            <v>女装-外套-羽绒服</v>
          </cell>
          <cell r="G331" t="str">
            <v>一品一商</v>
          </cell>
          <cell r="H331" t="str">
            <v>品牌直发</v>
          </cell>
          <cell r="I331">
            <v>0</v>
          </cell>
        </row>
        <row r="332">
          <cell r="D332">
            <v>12131802</v>
          </cell>
          <cell r="E332" t="str">
            <v>伯希和/PELLIOT</v>
          </cell>
          <cell r="F332" t="str">
            <v>内衣-内衣裤-保暖套装</v>
          </cell>
          <cell r="G332" t="str">
            <v>一品一商</v>
          </cell>
          <cell r="H332" t="str">
            <v>品牌直发</v>
          </cell>
          <cell r="I332">
            <v>0</v>
          </cell>
        </row>
        <row r="333">
          <cell r="D333">
            <v>11240823</v>
          </cell>
          <cell r="E333" t="str">
            <v>伯希和/PELLIOT</v>
          </cell>
          <cell r="F333" t="str">
            <v>服装-外套-羽绒服</v>
          </cell>
          <cell r="G333" t="str">
            <v>一品多商</v>
          </cell>
          <cell r="H333" t="str">
            <v>品牌直发</v>
          </cell>
          <cell r="I333">
            <v>0</v>
          </cell>
        </row>
        <row r="334">
          <cell r="D334">
            <v>11140101</v>
          </cell>
          <cell r="E334" t="str">
            <v>伯希和/PELLIOT</v>
          </cell>
          <cell r="F334" t="str">
            <v>服装-外套-冲锋衣</v>
          </cell>
          <cell r="G334" t="str">
            <v>一品多商</v>
          </cell>
          <cell r="H334" t="str">
            <v>品牌直发</v>
          </cell>
          <cell r="I334">
            <v>0</v>
          </cell>
        </row>
        <row r="335">
          <cell r="D335">
            <v>12140102</v>
          </cell>
          <cell r="E335" t="str">
            <v>伯希和/PELLIOT</v>
          </cell>
          <cell r="F335" t="str">
            <v>女装-外套-冲锋衣</v>
          </cell>
          <cell r="G335" t="str">
            <v>一品多商</v>
          </cell>
          <cell r="H335" t="str">
            <v>品牌直发</v>
          </cell>
          <cell r="I335">
            <v>0</v>
          </cell>
        </row>
        <row r="336">
          <cell r="D336">
            <v>11140121</v>
          </cell>
          <cell r="E336" t="str">
            <v>伯希和/PELLIOT</v>
          </cell>
          <cell r="F336" t="str">
            <v>服装-外套-冲锋衣</v>
          </cell>
          <cell r="G336" t="str">
            <v>一品一商</v>
          </cell>
          <cell r="H336" t="str">
            <v>品牌直发</v>
          </cell>
          <cell r="I336">
            <v>0</v>
          </cell>
        </row>
        <row r="337">
          <cell r="D337">
            <v>11240828</v>
          </cell>
          <cell r="E337" t="str">
            <v>伯希和/PELLIOT</v>
          </cell>
          <cell r="F337" t="str">
            <v>女装-外套-羽绒服</v>
          </cell>
          <cell r="G337" t="str">
            <v>一品一商</v>
          </cell>
          <cell r="H337" t="str">
            <v>品牌直发</v>
          </cell>
          <cell r="I337">
            <v>0</v>
          </cell>
        </row>
        <row r="338">
          <cell r="D338">
            <v>114408279</v>
          </cell>
          <cell r="E338" t="str">
            <v>伯希和/PELLIOT</v>
          </cell>
          <cell r="F338" t="str">
            <v>服装-外套-羽绒服</v>
          </cell>
          <cell r="G338" t="str">
            <v>一品多商</v>
          </cell>
          <cell r="H338" t="str">
            <v>品牌直发</v>
          </cell>
          <cell r="I338">
            <v>0</v>
          </cell>
        </row>
        <row r="339">
          <cell r="D339">
            <v>12240822</v>
          </cell>
          <cell r="E339" t="str">
            <v>伯希和/PELLIOT</v>
          </cell>
          <cell r="F339" t="str">
            <v>女装-外套-羽绒服</v>
          </cell>
          <cell r="G339" t="str">
            <v>一品多商</v>
          </cell>
          <cell r="H339" t="str">
            <v>品牌直发</v>
          </cell>
          <cell r="I339">
            <v>0</v>
          </cell>
        </row>
        <row r="340">
          <cell r="D340">
            <v>12231022</v>
          </cell>
          <cell r="E340" t="str">
            <v>伯希和/PELLIOT</v>
          </cell>
          <cell r="F340" t="str">
            <v>服装-户外运动服-抓绒衣</v>
          </cell>
          <cell r="G340" t="str">
            <v>一品一商</v>
          </cell>
          <cell r="H340" t="str">
            <v>品牌直发</v>
          </cell>
          <cell r="I340">
            <v>0</v>
          </cell>
        </row>
        <row r="341">
          <cell r="D341">
            <v>12231024</v>
          </cell>
          <cell r="E341" t="str">
            <v>伯希和/PELLIOT</v>
          </cell>
          <cell r="F341" t="str">
            <v>服装-户外运动服-抓绒衣</v>
          </cell>
          <cell r="G341" t="str">
            <v>一品一商</v>
          </cell>
          <cell r="H341" t="str">
            <v>品牌直发</v>
          </cell>
          <cell r="I341">
            <v>0</v>
          </cell>
        </row>
        <row r="342">
          <cell r="D342">
            <v>11240821</v>
          </cell>
          <cell r="E342" t="str">
            <v>伯希和/PELLIOT</v>
          </cell>
          <cell r="F342" t="str">
            <v>服装-外套-羽绒服</v>
          </cell>
          <cell r="G342" t="str">
            <v>一品多商</v>
          </cell>
          <cell r="H342" t="str">
            <v>品牌直发</v>
          </cell>
          <cell r="I342">
            <v>0</v>
          </cell>
        </row>
        <row r="343">
          <cell r="D343">
            <v>12240112</v>
          </cell>
          <cell r="E343" t="str">
            <v>伯希和/PELLIOT</v>
          </cell>
          <cell r="F343" t="str">
            <v>女装-外套-冲锋衣</v>
          </cell>
          <cell r="G343" t="str">
            <v>一品多商</v>
          </cell>
          <cell r="H343" t="str">
            <v>品牌直发</v>
          </cell>
          <cell r="I343">
            <v>0</v>
          </cell>
        </row>
        <row r="344">
          <cell r="D344">
            <v>11240129</v>
          </cell>
          <cell r="E344" t="str">
            <v>伯希和/PELLIOT</v>
          </cell>
          <cell r="F344" t="str">
            <v>服装-外套-冲锋衣</v>
          </cell>
          <cell r="G344" t="str">
            <v>一品多商</v>
          </cell>
          <cell r="H344" t="str">
            <v>品牌直发</v>
          </cell>
          <cell r="I344">
            <v>0</v>
          </cell>
        </row>
        <row r="345">
          <cell r="D345">
            <v>11040139</v>
          </cell>
          <cell r="E345" t="str">
            <v>伯希和/PELLIOT</v>
          </cell>
          <cell r="F345" t="str">
            <v>服装-外套-冲锋衣</v>
          </cell>
          <cell r="G345" t="str">
            <v>一品一商</v>
          </cell>
          <cell r="H345" t="str">
            <v>品牌直发</v>
          </cell>
          <cell r="I345">
            <v>0</v>
          </cell>
        </row>
        <row r="346">
          <cell r="D346">
            <v>11231031</v>
          </cell>
          <cell r="E346" t="str">
            <v>伯希和/PELLIOT</v>
          </cell>
          <cell r="F346" t="str">
            <v>服装-户外运动服-抓绒衣</v>
          </cell>
          <cell r="G346" t="str">
            <v>一品一商</v>
          </cell>
          <cell r="H346" t="str">
            <v>品牌直发</v>
          </cell>
          <cell r="I346">
            <v>0</v>
          </cell>
        </row>
        <row r="347">
          <cell r="D347">
            <v>112240824</v>
          </cell>
          <cell r="E347" t="str">
            <v>伯希和/PELLIOT</v>
          </cell>
          <cell r="F347" t="str">
            <v>服装-外套-羽绒马甲</v>
          </cell>
          <cell r="G347" t="str">
            <v>一品一商</v>
          </cell>
          <cell r="H347" t="str">
            <v>品牌直发</v>
          </cell>
          <cell r="I347">
            <v>0</v>
          </cell>
        </row>
        <row r="348">
          <cell r="D348">
            <v>112240128</v>
          </cell>
          <cell r="E348" t="str">
            <v>伯希和/PELLIOT</v>
          </cell>
          <cell r="F348" t="str">
            <v>服装-外套-冲锋衣</v>
          </cell>
          <cell r="G348" t="str">
            <v>一品多商</v>
          </cell>
          <cell r="H348" t="str">
            <v>品牌直发</v>
          </cell>
          <cell r="I348">
            <v>0</v>
          </cell>
        </row>
        <row r="349">
          <cell r="D349">
            <v>111230705</v>
          </cell>
          <cell r="E349" t="str">
            <v>伯希和/PELLIOT</v>
          </cell>
          <cell r="F349" t="str">
            <v>服装-长裤-冲锋裤</v>
          </cell>
          <cell r="G349" t="str">
            <v>一品多商</v>
          </cell>
          <cell r="H349" t="str">
            <v>品牌直发</v>
          </cell>
          <cell r="I349">
            <v>0</v>
          </cell>
        </row>
        <row r="350">
          <cell r="D350">
            <v>12040134</v>
          </cell>
          <cell r="E350" t="str">
            <v>伯希和/PELLIOT</v>
          </cell>
          <cell r="F350" t="str">
            <v>女装-外套-冲锋衣</v>
          </cell>
          <cell r="G350" t="str">
            <v>一品一商</v>
          </cell>
          <cell r="H350" t="str">
            <v>品牌直发</v>
          </cell>
          <cell r="I350">
            <v>0</v>
          </cell>
        </row>
        <row r="351">
          <cell r="D351">
            <v>11133703</v>
          </cell>
          <cell r="E351" t="str">
            <v>伯希和/PELLIOT</v>
          </cell>
          <cell r="F351" t="str">
            <v>服装-上衣-卫衣</v>
          </cell>
          <cell r="G351" t="str">
            <v>一品一商</v>
          </cell>
          <cell r="H351" t="str">
            <v>品牌直发</v>
          </cell>
          <cell r="I351">
            <v>0</v>
          </cell>
        </row>
        <row r="352">
          <cell r="D352">
            <v>12221528</v>
          </cell>
          <cell r="E352" t="str">
            <v>伯希和/PELLIOT</v>
          </cell>
          <cell r="F352" t="str">
            <v>女装-上衣-T恤</v>
          </cell>
          <cell r="G352" t="str">
            <v>一品一商</v>
          </cell>
          <cell r="H352" t="str">
            <v>品牌直发</v>
          </cell>
          <cell r="I352">
            <v>0</v>
          </cell>
        </row>
        <row r="353">
          <cell r="D353">
            <v>12140112</v>
          </cell>
          <cell r="E353" t="str">
            <v>伯希和/PELLIOT</v>
          </cell>
          <cell r="F353" t="str">
            <v>女装-外套-冲锋衣</v>
          </cell>
          <cell r="G353" t="str">
            <v>一品多商</v>
          </cell>
          <cell r="H353" t="str">
            <v>品牌直发</v>
          </cell>
          <cell r="I353">
            <v>0</v>
          </cell>
        </row>
        <row r="354">
          <cell r="D354">
            <v>11130709</v>
          </cell>
          <cell r="E354" t="str">
            <v>伯希和/PELLIOT</v>
          </cell>
          <cell r="F354" t="str">
            <v>服装-长裤-软壳裤</v>
          </cell>
          <cell r="G354" t="str">
            <v>一品一商</v>
          </cell>
          <cell r="H354" t="str">
            <v>品牌直发</v>
          </cell>
          <cell r="I354">
            <v>0</v>
          </cell>
        </row>
        <row r="355">
          <cell r="D355">
            <v>11121269</v>
          </cell>
          <cell r="E355" t="str">
            <v>伯希和/PELLIOT</v>
          </cell>
          <cell r="F355" t="str">
            <v>服装-外套-防晒服</v>
          </cell>
          <cell r="G355" t="str">
            <v>一品一商</v>
          </cell>
          <cell r="H355" t="str">
            <v>品牌直发</v>
          </cell>
          <cell r="I355">
            <v>0</v>
          </cell>
        </row>
        <row r="356">
          <cell r="D356">
            <v>11221219</v>
          </cell>
          <cell r="E356" t="str">
            <v>伯希和/PELLIOT</v>
          </cell>
          <cell r="F356" t="str">
            <v>服装-外套-防晒服</v>
          </cell>
          <cell r="G356" t="str">
            <v>一品多商</v>
          </cell>
          <cell r="H356" t="str">
            <v>品牌直发</v>
          </cell>
          <cell r="I356">
            <v>0</v>
          </cell>
        </row>
        <row r="357">
          <cell r="D357">
            <v>12321248</v>
          </cell>
          <cell r="E357" t="str">
            <v>伯希和/PELLIOT</v>
          </cell>
          <cell r="F357" t="str">
            <v>女装-外套-防晒服</v>
          </cell>
          <cell r="G357" t="str">
            <v>一品多商</v>
          </cell>
          <cell r="H357" t="str">
            <v>品牌直发</v>
          </cell>
          <cell r="I357">
            <v>0</v>
          </cell>
        </row>
        <row r="358">
          <cell r="D358">
            <v>12121262</v>
          </cell>
          <cell r="E358" t="str">
            <v>伯希和/PELLIOT</v>
          </cell>
          <cell r="F358" t="str">
            <v>女装-外套-防晒服</v>
          </cell>
          <cell r="G358" t="str">
            <v>一品多商</v>
          </cell>
          <cell r="H358" t="str">
            <v>品牌直发</v>
          </cell>
          <cell r="I358">
            <v>0</v>
          </cell>
        </row>
        <row r="359">
          <cell r="D359">
            <v>12221440</v>
          </cell>
          <cell r="E359" t="str">
            <v>伯希和/PELLIOT</v>
          </cell>
          <cell r="F359" t="str">
            <v>女装-户外运动服-速干裤</v>
          </cell>
          <cell r="G359" t="str">
            <v>一品一商</v>
          </cell>
          <cell r="H359" t="str">
            <v>品牌直发</v>
          </cell>
          <cell r="I359">
            <v>0</v>
          </cell>
        </row>
        <row r="360">
          <cell r="D360">
            <v>112221430</v>
          </cell>
          <cell r="E360" t="str">
            <v>伯希和/PELLIOT</v>
          </cell>
          <cell r="F360" t="str">
            <v>服装-户外运动服-速干裤</v>
          </cell>
          <cell r="G360" t="str">
            <v>一品一商</v>
          </cell>
          <cell r="H360" t="str">
            <v>品牌直发</v>
          </cell>
          <cell r="I360">
            <v>0</v>
          </cell>
        </row>
        <row r="361">
          <cell r="D361">
            <v>112221530</v>
          </cell>
          <cell r="E361" t="str">
            <v>伯希和/PELLIOT</v>
          </cell>
          <cell r="F361" t="str">
            <v>服装-上衣-T恤</v>
          </cell>
          <cell r="G361" t="str">
            <v>一品多商</v>
          </cell>
          <cell r="H361" t="str">
            <v>品牌直发</v>
          </cell>
          <cell r="I361">
            <v>0</v>
          </cell>
        </row>
        <row r="362">
          <cell r="D362">
            <v>115382007</v>
          </cell>
          <cell r="E362" t="str">
            <v>伯希和/PELLIOT</v>
          </cell>
          <cell r="F362" t="str">
            <v>鞋-运动鞋-登山鞋/徒步鞋</v>
          </cell>
          <cell r="G362" t="str">
            <v>一品多商</v>
          </cell>
          <cell r="H362" t="str">
            <v>品牌直发</v>
          </cell>
          <cell r="I362">
            <v>0</v>
          </cell>
        </row>
        <row r="363">
          <cell r="D363">
            <v>125382008</v>
          </cell>
          <cell r="E363" t="str">
            <v>伯希和/PELLIOT</v>
          </cell>
          <cell r="F363" t="str">
            <v>鞋-运动鞋-登山鞋/徒步鞋</v>
          </cell>
          <cell r="G363" t="str">
            <v>一品多商</v>
          </cell>
          <cell r="H363" t="str">
            <v>品牌直发</v>
          </cell>
          <cell r="I363">
            <v>0</v>
          </cell>
        </row>
        <row r="364">
          <cell r="D364" t="str">
            <v>16403641-2025</v>
          </cell>
          <cell r="E364" t="str">
            <v>伯希和/PELLIOT</v>
          </cell>
          <cell r="F364" t="str">
            <v>户外装备-徒步/攀登-登山杖/手杖</v>
          </cell>
          <cell r="G364" t="str">
            <v>一品一商</v>
          </cell>
          <cell r="H364" t="str">
            <v>品牌直发</v>
          </cell>
          <cell r="I364">
            <v>0</v>
          </cell>
        </row>
        <row r="365">
          <cell r="D365" t="str">
            <v>16003601-2025</v>
          </cell>
          <cell r="E365" t="str">
            <v>伯希和/PELLIOT</v>
          </cell>
          <cell r="F365" t="str">
            <v>户外装备-徒步/攀登-登山杖/手杖</v>
          </cell>
          <cell r="G365" t="str">
            <v>一品一商</v>
          </cell>
          <cell r="H365" t="str">
            <v>品牌直发</v>
          </cell>
          <cell r="I365">
            <v>0</v>
          </cell>
        </row>
        <row r="366">
          <cell r="D366" t="str">
            <v>16303650-2025</v>
          </cell>
          <cell r="E366" t="str">
            <v>伯希和/PELLIOT</v>
          </cell>
          <cell r="F366" t="str">
            <v>户外装备-徒步/攀登-登山杖/手杖</v>
          </cell>
          <cell r="G366" t="str">
            <v>一品一商</v>
          </cell>
          <cell r="H366" t="str">
            <v>普通现货</v>
          </cell>
          <cell r="I366">
            <v>0</v>
          </cell>
        </row>
        <row r="367">
          <cell r="D367">
            <v>115408005</v>
          </cell>
          <cell r="E367" t="str">
            <v>伯希和/PELLIOT</v>
          </cell>
          <cell r="F367" t="str">
            <v>服装-外套-羽绒服</v>
          </cell>
          <cell r="G367" t="str">
            <v>一品多商</v>
          </cell>
          <cell r="H367" t="str">
            <v>普通现货</v>
          </cell>
          <cell r="I367">
            <v>0</v>
          </cell>
        </row>
        <row r="368">
          <cell r="D368">
            <v>115376009</v>
          </cell>
          <cell r="E368" t="str">
            <v>伯希和/PELLIOT</v>
          </cell>
          <cell r="F368" t="str">
            <v>服装-外套-棉服</v>
          </cell>
          <cell r="G368" t="str">
            <v>一品多商</v>
          </cell>
          <cell r="H368" t="str">
            <v>普通现货</v>
          </cell>
          <cell r="I368">
            <v>0</v>
          </cell>
        </row>
        <row r="369">
          <cell r="D369" t="str">
            <v>16403602-2025</v>
          </cell>
          <cell r="E369" t="str">
            <v>伯希和/PELLIOT</v>
          </cell>
          <cell r="F369" t="str">
            <v>户外装备-徒步/攀登-登山杖/手杖</v>
          </cell>
          <cell r="G369" t="str">
            <v>一品一商</v>
          </cell>
          <cell r="H369" t="str">
            <v>品牌直发</v>
          </cell>
          <cell r="I369">
            <v>0</v>
          </cell>
        </row>
        <row r="370">
          <cell r="D370">
            <v>125408006</v>
          </cell>
          <cell r="E370" t="str">
            <v>伯希和/PELLIOT</v>
          </cell>
          <cell r="F370" t="str">
            <v>女装-外套-羽绒服</v>
          </cell>
          <cell r="G370" t="str">
            <v>一品多商</v>
          </cell>
          <cell r="H370" t="str">
            <v>品牌直发</v>
          </cell>
          <cell r="I370">
            <v>0</v>
          </cell>
        </row>
        <row r="371">
          <cell r="D371" t="str">
            <v>16403644-2025</v>
          </cell>
          <cell r="E371" t="str">
            <v>伯希和/PELLIOT</v>
          </cell>
          <cell r="F371" t="str">
            <v>户外装备-徒步/攀登-登山杖/手杖</v>
          </cell>
          <cell r="G371" t="str">
            <v>一品一商</v>
          </cell>
          <cell r="H371" t="str">
            <v>品牌直发</v>
          </cell>
          <cell r="I371">
            <v>0</v>
          </cell>
        </row>
        <row r="372">
          <cell r="D372" t="str">
            <v>16105717-2025</v>
          </cell>
          <cell r="E372" t="str">
            <v>伯希和/PELLIOT</v>
          </cell>
          <cell r="F372" t="str">
            <v>户外装备-露营/野炊装备-户外折叠椅/凳</v>
          </cell>
          <cell r="G372" t="str">
            <v>一品一商</v>
          </cell>
          <cell r="H372" t="str">
            <v>品牌直发</v>
          </cell>
          <cell r="I372">
            <v>0</v>
          </cell>
        </row>
        <row r="373">
          <cell r="D373">
            <v>105025023</v>
          </cell>
          <cell r="E373" t="str">
            <v>伯希和/PELLIOT</v>
          </cell>
          <cell r="F373" t="str">
            <v>箱包-包袋-双肩包</v>
          </cell>
          <cell r="G373" t="str">
            <v>一品一商</v>
          </cell>
          <cell r="H373" t="str">
            <v>品牌直发</v>
          </cell>
          <cell r="I373">
            <v>0</v>
          </cell>
        </row>
        <row r="374">
          <cell r="D374">
            <v>165025027</v>
          </cell>
          <cell r="E374" t="str">
            <v>伯希和/PELLIOT</v>
          </cell>
          <cell r="F374" t="str">
            <v>箱包-包袋-户外包</v>
          </cell>
          <cell r="G374" t="str">
            <v>一品一商</v>
          </cell>
          <cell r="H374" t="str">
            <v>品牌直发</v>
          </cell>
          <cell r="I374">
            <v>0</v>
          </cell>
        </row>
        <row r="375">
          <cell r="D375" t="str">
            <v>125307006-2025</v>
          </cell>
          <cell r="E375" t="str">
            <v>伯希和/PELLIOT</v>
          </cell>
          <cell r="F375" t="str">
            <v>女装-长裤-软壳裤</v>
          </cell>
          <cell r="G375" t="str">
            <v>一品多商</v>
          </cell>
          <cell r="H375" t="str">
            <v>普通现货</v>
          </cell>
          <cell r="I375">
            <v>0</v>
          </cell>
        </row>
        <row r="376">
          <cell r="D376">
            <v>125316033</v>
          </cell>
          <cell r="E376" t="str">
            <v>伯希和/PELLIOT</v>
          </cell>
          <cell r="F376" t="str">
            <v>女装-上衣-T恤</v>
          </cell>
          <cell r="G376" t="str">
            <v>一品多商</v>
          </cell>
          <cell r="H376" t="str">
            <v>品牌直发</v>
          </cell>
          <cell r="I376">
            <v>0</v>
          </cell>
        </row>
        <row r="377">
          <cell r="D377" t="str">
            <v>124301006-2025</v>
          </cell>
          <cell r="E377" t="str">
            <v>伯希和/PELLIOT</v>
          </cell>
          <cell r="F377" t="str">
            <v>女装-外套-冲锋衣</v>
          </cell>
          <cell r="G377" t="str">
            <v>一品一商</v>
          </cell>
          <cell r="H377" t="str">
            <v>品牌直发</v>
          </cell>
          <cell r="I377">
            <v>0</v>
          </cell>
        </row>
        <row r="378">
          <cell r="D378" t="str">
            <v>124301070-2025</v>
          </cell>
          <cell r="E378" t="str">
            <v>伯希和/PELLIOT</v>
          </cell>
          <cell r="F378" t="str">
            <v>女装-外套-冲锋衣</v>
          </cell>
          <cell r="G378" t="str">
            <v>一品多商</v>
          </cell>
          <cell r="H378" t="str">
            <v>品牌直发</v>
          </cell>
          <cell r="I378">
            <v>0</v>
          </cell>
        </row>
        <row r="379">
          <cell r="D379">
            <v>115306017</v>
          </cell>
          <cell r="E379" t="str">
            <v>伯希和/PELLIOT</v>
          </cell>
          <cell r="F379" t="str">
            <v>服装-外套-软壳衣</v>
          </cell>
          <cell r="G379" t="str">
            <v>一品多商</v>
          </cell>
          <cell r="H379" t="str">
            <v>品牌直发</v>
          </cell>
          <cell r="I379">
            <v>0</v>
          </cell>
        </row>
        <row r="380">
          <cell r="D380">
            <v>125306018</v>
          </cell>
          <cell r="E380" t="str">
            <v>伯希和/PELLIOT</v>
          </cell>
          <cell r="F380" t="str">
            <v>女装-外套-软壳衣</v>
          </cell>
          <cell r="G380" t="str">
            <v>一品多商</v>
          </cell>
          <cell r="H380" t="str">
            <v>品牌直发</v>
          </cell>
          <cell r="I380">
            <v>0</v>
          </cell>
        </row>
        <row r="381">
          <cell r="D381">
            <v>105101023</v>
          </cell>
          <cell r="E381" t="str">
            <v>伯希和/PELLIOT</v>
          </cell>
          <cell r="F381" t="str">
            <v>服装-外套-冲锋衣</v>
          </cell>
          <cell r="G381" t="str">
            <v>一品多商</v>
          </cell>
          <cell r="H381" t="str">
            <v>品牌直发</v>
          </cell>
          <cell r="I381">
            <v>0</v>
          </cell>
        </row>
        <row r="382">
          <cell r="D382">
            <v>105301083</v>
          </cell>
          <cell r="E382" t="str">
            <v>伯希和/PELLIOT</v>
          </cell>
          <cell r="F382" t="str">
            <v>服装-外套-冲锋衣</v>
          </cell>
          <cell r="G382" t="str">
            <v>一品多商</v>
          </cell>
          <cell r="H382" t="str">
            <v>品牌直发</v>
          </cell>
          <cell r="I382">
            <v>0</v>
          </cell>
        </row>
        <row r="383">
          <cell r="D383">
            <v>125302004</v>
          </cell>
          <cell r="E383" t="str">
            <v>伯希和/PELLIOT</v>
          </cell>
          <cell r="F383" t="str">
            <v>女装-长裤-冲锋裤</v>
          </cell>
          <cell r="G383" t="str">
            <v>一品多商</v>
          </cell>
          <cell r="H383" t="str">
            <v>品牌直发</v>
          </cell>
          <cell r="I383">
            <v>0</v>
          </cell>
        </row>
        <row r="384">
          <cell r="D384">
            <v>125302008</v>
          </cell>
          <cell r="E384" t="str">
            <v>伯希和/PELLIOT</v>
          </cell>
          <cell r="F384" t="str">
            <v>女装-长裤-冲锋裤</v>
          </cell>
          <cell r="G384" t="str">
            <v>一品多商</v>
          </cell>
          <cell r="H384" t="str">
            <v>品牌直发</v>
          </cell>
          <cell r="I384">
            <v>0</v>
          </cell>
        </row>
        <row r="385">
          <cell r="D385">
            <v>105301059</v>
          </cell>
          <cell r="E385" t="str">
            <v>伯希和/PELLIOT</v>
          </cell>
          <cell r="F385" t="str">
            <v>服装-外套-冲锋衣</v>
          </cell>
          <cell r="G385" t="str">
            <v>一品多商</v>
          </cell>
          <cell r="H385" t="str">
            <v>品牌直发</v>
          </cell>
          <cell r="I385">
            <v>0</v>
          </cell>
        </row>
        <row r="386">
          <cell r="D386" t="str">
            <v>125301055-新加色</v>
          </cell>
          <cell r="E386" t="str">
            <v>伯希和/PELLIOT</v>
          </cell>
          <cell r="F386" t="str">
            <v>女装-外套-冲锋衣</v>
          </cell>
          <cell r="G386" t="str">
            <v>一品多商</v>
          </cell>
          <cell r="H386" t="str">
            <v>品牌直发</v>
          </cell>
          <cell r="I386">
            <v>0</v>
          </cell>
        </row>
        <row r="387">
          <cell r="D387" t="str">
            <v>12040106-新加色</v>
          </cell>
          <cell r="E387" t="str">
            <v>伯希和/PELLIOT</v>
          </cell>
          <cell r="F387" t="str">
            <v>女装-外套-冲锋衣</v>
          </cell>
          <cell r="G387" t="str">
            <v>一品一商</v>
          </cell>
          <cell r="H387" t="str">
            <v>品牌直发</v>
          </cell>
          <cell r="I387">
            <v>0</v>
          </cell>
        </row>
        <row r="388">
          <cell r="D388">
            <v>125220002</v>
          </cell>
          <cell r="E388" t="str">
            <v>伯希和/PELLIOT</v>
          </cell>
          <cell r="F388" t="str">
            <v>鞋-凉鞋/拖鞋-溯溪鞋</v>
          </cell>
          <cell r="G388" t="str">
            <v>一品一商</v>
          </cell>
          <cell r="H388" t="str">
            <v>品牌直发</v>
          </cell>
          <cell r="I388">
            <v>0</v>
          </cell>
        </row>
        <row r="389">
          <cell r="D389">
            <v>115106014</v>
          </cell>
          <cell r="E389" t="str">
            <v>伯希和/PELLIOT</v>
          </cell>
          <cell r="F389" t="str">
            <v>服装-外套-软壳衣</v>
          </cell>
          <cell r="G389" t="str">
            <v>一品多商</v>
          </cell>
          <cell r="H389" t="str">
            <v>品牌直发</v>
          </cell>
          <cell r="I389">
            <v>0</v>
          </cell>
        </row>
        <row r="390">
          <cell r="D390">
            <v>135101016</v>
          </cell>
          <cell r="E390" t="str">
            <v>伯希和/PELLIOT</v>
          </cell>
          <cell r="F390" t="str">
            <v>童装-儿童上装-冲锋衣</v>
          </cell>
          <cell r="G390" t="str">
            <v>一品一商</v>
          </cell>
          <cell r="H390" t="str">
            <v>品牌直发</v>
          </cell>
          <cell r="I390">
            <v>0</v>
          </cell>
        </row>
        <row r="391">
          <cell r="D391">
            <v>125251019</v>
          </cell>
          <cell r="E391" t="str">
            <v>伯希和/PELLIOT</v>
          </cell>
          <cell r="F391" t="str">
            <v>女装-外套-夹克</v>
          </cell>
          <cell r="G391" t="str">
            <v>一品多商</v>
          </cell>
          <cell r="H391" t="str">
            <v>品牌直发</v>
          </cell>
          <cell r="I391">
            <v>0</v>
          </cell>
        </row>
        <row r="392">
          <cell r="D392">
            <v>115251018</v>
          </cell>
          <cell r="E392" t="str">
            <v>伯希和/PELLIOT</v>
          </cell>
          <cell r="F392" t="str">
            <v>服装-外套-夹克</v>
          </cell>
          <cell r="G392" t="str">
            <v>一品多商</v>
          </cell>
          <cell r="H392" t="str">
            <v>品牌直发</v>
          </cell>
          <cell r="I392">
            <v>0</v>
          </cell>
        </row>
        <row r="393">
          <cell r="D393">
            <v>105101076</v>
          </cell>
          <cell r="E393" t="str">
            <v>伯希和/PELLIOT</v>
          </cell>
          <cell r="F393" t="str">
            <v>服装-外套-冲锋衣</v>
          </cell>
          <cell r="G393" t="str">
            <v>一品多商</v>
          </cell>
          <cell r="H393" t="str">
            <v>品牌直发</v>
          </cell>
          <cell r="I393">
            <v>0</v>
          </cell>
        </row>
        <row r="394">
          <cell r="D394">
            <v>135178022</v>
          </cell>
          <cell r="E394" t="str">
            <v>伯希和/PELLIOT</v>
          </cell>
          <cell r="F394" t="str">
            <v>童装-儿童下装-儿童运动裤</v>
          </cell>
          <cell r="G394" t="str">
            <v>一品一商</v>
          </cell>
          <cell r="H394" t="str">
            <v>品牌直发</v>
          </cell>
          <cell r="I394">
            <v>0</v>
          </cell>
        </row>
        <row r="395">
          <cell r="D395">
            <v>115119029</v>
          </cell>
          <cell r="E395" t="str">
            <v>伯希和/PELLIOT</v>
          </cell>
          <cell r="F395" t="str">
            <v>鞋-运动鞋-越野跑鞋</v>
          </cell>
          <cell r="G395" t="str">
            <v>一品多商</v>
          </cell>
          <cell r="H395" t="str">
            <v>品牌直发</v>
          </cell>
          <cell r="I395">
            <v>0</v>
          </cell>
        </row>
        <row r="396">
          <cell r="D396">
            <v>125119030</v>
          </cell>
          <cell r="E396" t="str">
            <v>伯希和/PELLIOT</v>
          </cell>
          <cell r="F396" t="str">
            <v>鞋-运动鞋-越野跑鞋</v>
          </cell>
          <cell r="G396" t="str">
            <v>一品多商</v>
          </cell>
          <cell r="H396" t="str">
            <v>品牌直发</v>
          </cell>
          <cell r="I396">
            <v>0</v>
          </cell>
        </row>
        <row r="397">
          <cell r="D397">
            <v>1124301070</v>
          </cell>
          <cell r="E397" t="str">
            <v>伯希和/PELLIOT</v>
          </cell>
          <cell r="F397" t="str">
            <v>服装-外套-冲锋衣</v>
          </cell>
          <cell r="G397" t="str">
            <v>一品多商</v>
          </cell>
          <cell r="H397" t="str">
            <v>品牌直发</v>
          </cell>
          <cell r="I397">
            <v>0</v>
          </cell>
        </row>
        <row r="398">
          <cell r="D398">
            <v>125181002</v>
          </cell>
          <cell r="E398" t="str">
            <v>伯希和/PELLIOT</v>
          </cell>
          <cell r="F398" t="str">
            <v>鞋-运动鞋-登山鞋/徒步鞋</v>
          </cell>
          <cell r="G398" t="str">
            <v>一品多商</v>
          </cell>
          <cell r="H398" t="str">
            <v>品牌直发</v>
          </cell>
          <cell r="I398">
            <v>0</v>
          </cell>
        </row>
        <row r="399">
          <cell r="D399">
            <v>115151007</v>
          </cell>
          <cell r="E399" t="str">
            <v>伯希和/PELLIOT</v>
          </cell>
          <cell r="F399" t="str">
            <v>服装-外套-夹克</v>
          </cell>
          <cell r="G399" t="str">
            <v>一品多商</v>
          </cell>
          <cell r="H399" t="str">
            <v>品牌直发</v>
          </cell>
          <cell r="I399">
            <v>0</v>
          </cell>
        </row>
        <row r="400">
          <cell r="D400">
            <v>115122023</v>
          </cell>
          <cell r="E400" t="str">
            <v>伯希和/PELLIOT</v>
          </cell>
          <cell r="F400" t="str">
            <v>鞋-运动鞋-登山鞋/徒步鞋</v>
          </cell>
          <cell r="G400" t="str">
            <v>一品一商</v>
          </cell>
          <cell r="H400" t="str">
            <v>品牌直发</v>
          </cell>
          <cell r="I400">
            <v>0</v>
          </cell>
        </row>
        <row r="401">
          <cell r="D401">
            <v>125122024</v>
          </cell>
          <cell r="E401" t="str">
            <v>伯希和/PELLIOT</v>
          </cell>
          <cell r="F401" t="str">
            <v>鞋-运动鞋-登山鞋/徒步鞋</v>
          </cell>
          <cell r="G401" t="str">
            <v>一品一商</v>
          </cell>
          <cell r="H401" t="str">
            <v>品牌直发</v>
          </cell>
          <cell r="I401">
            <v>0</v>
          </cell>
        </row>
        <row r="402">
          <cell r="D402">
            <v>125215048</v>
          </cell>
          <cell r="E402" t="str">
            <v>伯希和/PELLIOT</v>
          </cell>
          <cell r="F402" t="str">
            <v>女装-户外运动服-速干T恤</v>
          </cell>
          <cell r="G402" t="str">
            <v>一品一商</v>
          </cell>
          <cell r="H402" t="str">
            <v>品牌直发</v>
          </cell>
          <cell r="I402">
            <v>0</v>
          </cell>
        </row>
        <row r="403">
          <cell r="D403">
            <v>115214015</v>
          </cell>
          <cell r="E403" t="str">
            <v>伯希和/PELLIOT</v>
          </cell>
          <cell r="F403" t="str">
            <v>服装-户外运动服-速干裤</v>
          </cell>
          <cell r="G403" t="str">
            <v>一品一商</v>
          </cell>
          <cell r="H403" t="str">
            <v>品牌直发</v>
          </cell>
          <cell r="I403">
            <v>0</v>
          </cell>
        </row>
        <row r="404">
          <cell r="D404">
            <v>135215035</v>
          </cell>
          <cell r="E404" t="str">
            <v>伯希和/PELLIOT</v>
          </cell>
          <cell r="F404" t="str">
            <v>童装-儿童上装-T恤</v>
          </cell>
          <cell r="G404" t="str">
            <v>一品一商</v>
          </cell>
          <cell r="H404" t="str">
            <v>品牌直发</v>
          </cell>
          <cell r="I404">
            <v>0</v>
          </cell>
        </row>
        <row r="405">
          <cell r="D405">
            <v>125214019</v>
          </cell>
          <cell r="E405" t="str">
            <v>伯希和/PELLIOT</v>
          </cell>
          <cell r="F405" t="str">
            <v>女装-长裙-休闲长裙</v>
          </cell>
          <cell r="G405" t="str">
            <v>一品多商</v>
          </cell>
          <cell r="H405" t="str">
            <v>品牌直发</v>
          </cell>
          <cell r="I405">
            <v>0</v>
          </cell>
        </row>
        <row r="406">
          <cell r="D406">
            <v>135215036</v>
          </cell>
          <cell r="E406" t="str">
            <v>伯希和/PELLIOT</v>
          </cell>
          <cell r="F406" t="str">
            <v>童装-儿童上装-T恤</v>
          </cell>
          <cell r="G406" t="str">
            <v>一品一商</v>
          </cell>
          <cell r="H406" t="str">
            <v>品牌直发</v>
          </cell>
          <cell r="I406">
            <v>0</v>
          </cell>
        </row>
        <row r="407">
          <cell r="D407">
            <v>135214018</v>
          </cell>
          <cell r="E407" t="str">
            <v>伯希和/PELLIOT</v>
          </cell>
          <cell r="F407" t="str">
            <v>童装-儿童下装-儿童速干裤</v>
          </cell>
          <cell r="G407" t="str">
            <v>一品多商</v>
          </cell>
          <cell r="H407" t="str">
            <v>品牌直发</v>
          </cell>
          <cell r="I407">
            <v>0</v>
          </cell>
        </row>
        <row r="408">
          <cell r="D408">
            <v>115215005</v>
          </cell>
          <cell r="E408" t="str">
            <v>伯希和/PELLIOT</v>
          </cell>
          <cell r="F408" t="str">
            <v>服装-户外运动服-速干T恤</v>
          </cell>
          <cell r="G408" t="str">
            <v>一品多商</v>
          </cell>
          <cell r="H408" t="str">
            <v>品牌直发</v>
          </cell>
          <cell r="I408">
            <v>0</v>
          </cell>
        </row>
        <row r="409">
          <cell r="D409">
            <v>125119028</v>
          </cell>
          <cell r="E409" t="str">
            <v>伯希和/PELLIOT</v>
          </cell>
          <cell r="F409" t="str">
            <v>鞋-运动鞋-登山鞋/徒步鞋</v>
          </cell>
          <cell r="G409" t="str">
            <v>一品一商</v>
          </cell>
          <cell r="H409" t="str">
            <v>品牌直发</v>
          </cell>
          <cell r="I409">
            <v>0</v>
          </cell>
        </row>
        <row r="410">
          <cell r="D410" t="str">
            <v>12421220-新加色</v>
          </cell>
          <cell r="E410" t="str">
            <v>伯希和/PELLIOT</v>
          </cell>
          <cell r="F410" t="str">
            <v>服装-外套-防晒服</v>
          </cell>
          <cell r="G410" t="str">
            <v>一品多商</v>
          </cell>
          <cell r="H410" t="str">
            <v>品牌直发</v>
          </cell>
          <cell r="I410">
            <v>0</v>
          </cell>
        </row>
        <row r="411">
          <cell r="D411">
            <v>115215037</v>
          </cell>
          <cell r="E411" t="str">
            <v>伯希和/PELLIOT</v>
          </cell>
          <cell r="F411" t="str">
            <v>服装-上衣-Polo衫</v>
          </cell>
          <cell r="G411" t="str">
            <v>一品一商</v>
          </cell>
          <cell r="H411" t="str">
            <v>品牌直发</v>
          </cell>
          <cell r="I411">
            <v>0</v>
          </cell>
        </row>
        <row r="412">
          <cell r="D412">
            <v>125215046</v>
          </cell>
          <cell r="E412" t="str">
            <v>伯希和/PELLIOT</v>
          </cell>
          <cell r="F412" t="str">
            <v>女装-上衣-T恤</v>
          </cell>
          <cell r="G412" t="str">
            <v>一品一商</v>
          </cell>
          <cell r="H412" t="str">
            <v>品牌直发</v>
          </cell>
          <cell r="I412">
            <v>0</v>
          </cell>
        </row>
        <row r="413">
          <cell r="D413">
            <v>115215030</v>
          </cell>
          <cell r="E413" t="str">
            <v>伯希和/PELLIOT</v>
          </cell>
          <cell r="F413" t="str">
            <v>服装-上衣-T恤</v>
          </cell>
          <cell r="G413" t="str">
            <v>一品一商</v>
          </cell>
          <cell r="H413" t="str">
            <v>品牌直发</v>
          </cell>
          <cell r="I413">
            <v>0</v>
          </cell>
        </row>
        <row r="414">
          <cell r="D414">
            <v>115119027</v>
          </cell>
          <cell r="E414" t="str">
            <v>伯希和/PELLIOT</v>
          </cell>
          <cell r="F414" t="str">
            <v>鞋-运动鞋-越野跑鞋</v>
          </cell>
          <cell r="G414" t="str">
            <v>一品多商</v>
          </cell>
          <cell r="H414" t="str">
            <v>品牌直发</v>
          </cell>
          <cell r="I414">
            <v>0</v>
          </cell>
        </row>
        <row r="415">
          <cell r="D415">
            <v>105101011</v>
          </cell>
          <cell r="E415" t="str">
            <v>伯希和/PELLIOT</v>
          </cell>
          <cell r="F415" t="str">
            <v>服装-外套-冲锋衣</v>
          </cell>
          <cell r="G415" t="str">
            <v>一品多商</v>
          </cell>
          <cell r="H415" t="str">
            <v>品牌直发</v>
          </cell>
          <cell r="I415">
            <v>0</v>
          </cell>
        </row>
        <row r="416">
          <cell r="D416">
            <v>125215038</v>
          </cell>
          <cell r="E416" t="str">
            <v>伯希和/PELLIOT</v>
          </cell>
          <cell r="F416" t="str">
            <v>女装-上衣-Polo衫</v>
          </cell>
          <cell r="G416" t="str">
            <v>一品一商</v>
          </cell>
          <cell r="H416" t="str">
            <v>品牌直发</v>
          </cell>
          <cell r="I416">
            <v>0</v>
          </cell>
        </row>
        <row r="417">
          <cell r="D417">
            <v>115215021</v>
          </cell>
          <cell r="E417" t="str">
            <v>伯希和/PELLIOT</v>
          </cell>
          <cell r="F417" t="str">
            <v>服装-上衣-T恤</v>
          </cell>
          <cell r="G417" t="str">
            <v>一品一商</v>
          </cell>
          <cell r="H417" t="str">
            <v>品牌直发</v>
          </cell>
          <cell r="I417">
            <v>0</v>
          </cell>
        </row>
        <row r="418">
          <cell r="D418">
            <v>125215022</v>
          </cell>
          <cell r="E418" t="str">
            <v>伯希和/PELLIOT</v>
          </cell>
          <cell r="F418" t="str">
            <v>女装-户外运动服-跑步T恤</v>
          </cell>
          <cell r="G418" t="str">
            <v>一品一商</v>
          </cell>
          <cell r="H418" t="str">
            <v>品牌直发</v>
          </cell>
          <cell r="I418">
            <v>0</v>
          </cell>
        </row>
        <row r="419">
          <cell r="D419">
            <v>125220022</v>
          </cell>
          <cell r="E419" t="str">
            <v>伯希和/PELLIOT</v>
          </cell>
          <cell r="F419" t="str">
            <v>鞋-凉鞋/拖鞋-溯溪鞋</v>
          </cell>
          <cell r="G419" t="str">
            <v>一品多商</v>
          </cell>
          <cell r="H419" t="str">
            <v>品牌直发</v>
          </cell>
          <cell r="I419">
            <v>0</v>
          </cell>
        </row>
        <row r="420">
          <cell r="D420">
            <v>115220021</v>
          </cell>
          <cell r="E420" t="str">
            <v>伯希和/PELLIOT</v>
          </cell>
          <cell r="F420" t="str">
            <v>鞋-凉鞋/拖鞋-溯溪鞋</v>
          </cell>
          <cell r="G420" t="str">
            <v>一品一商</v>
          </cell>
          <cell r="H420" t="str">
            <v>品牌直发</v>
          </cell>
          <cell r="I420">
            <v>0</v>
          </cell>
        </row>
        <row r="421">
          <cell r="D421">
            <v>125215018</v>
          </cell>
          <cell r="E421" t="str">
            <v>伯希和/PELLIOT</v>
          </cell>
          <cell r="F421" t="str">
            <v>女装-户外运动服-速干T恤</v>
          </cell>
          <cell r="G421" t="str">
            <v>一品一商</v>
          </cell>
          <cell r="H421" t="str">
            <v>品牌直发</v>
          </cell>
          <cell r="I421">
            <v>0</v>
          </cell>
        </row>
        <row r="422">
          <cell r="D422">
            <v>125215008</v>
          </cell>
          <cell r="E422" t="str">
            <v>伯希和/PELLIOT</v>
          </cell>
          <cell r="F422" t="str">
            <v>女装-上衣-Polo衫</v>
          </cell>
          <cell r="G422" t="str">
            <v>一品一商</v>
          </cell>
          <cell r="H422" t="str">
            <v>品牌直发</v>
          </cell>
          <cell r="I422">
            <v>0</v>
          </cell>
        </row>
        <row r="423">
          <cell r="D423">
            <v>115215023</v>
          </cell>
          <cell r="E423" t="str">
            <v>伯希和/PELLIOT</v>
          </cell>
          <cell r="F423" t="str">
            <v>服装-上衣-T恤</v>
          </cell>
          <cell r="G423" t="str">
            <v>一品多商</v>
          </cell>
          <cell r="H423" t="str">
            <v>品牌直发</v>
          </cell>
          <cell r="I423">
            <v>0</v>
          </cell>
        </row>
        <row r="424">
          <cell r="D424">
            <v>115215017</v>
          </cell>
          <cell r="E424" t="str">
            <v>伯希和/PELLIOT</v>
          </cell>
          <cell r="F424" t="str">
            <v>服装-上衣-T恤</v>
          </cell>
          <cell r="G424" t="str">
            <v>一品一商</v>
          </cell>
          <cell r="H424" t="str">
            <v>品牌直发</v>
          </cell>
          <cell r="I424">
            <v>0</v>
          </cell>
        </row>
        <row r="425">
          <cell r="D425">
            <v>115278007</v>
          </cell>
          <cell r="E425" t="str">
            <v>伯希和/PELLIOT</v>
          </cell>
          <cell r="F425" t="str">
            <v>服装-长裤-休闲裤</v>
          </cell>
          <cell r="G425" t="str">
            <v>一品一商</v>
          </cell>
          <cell r="H425" t="str">
            <v>品牌直发</v>
          </cell>
          <cell r="I425">
            <v>0</v>
          </cell>
        </row>
        <row r="426">
          <cell r="D426">
            <v>115212005</v>
          </cell>
          <cell r="E426" t="str">
            <v>伯希和/PELLIOT</v>
          </cell>
          <cell r="F426" t="str">
            <v>服装-外套-防晒服</v>
          </cell>
          <cell r="G426" t="str">
            <v>一品多商</v>
          </cell>
          <cell r="H426" t="str">
            <v>品牌直发</v>
          </cell>
          <cell r="I426">
            <v>0</v>
          </cell>
        </row>
        <row r="427">
          <cell r="D427">
            <v>115151005</v>
          </cell>
          <cell r="E427" t="str">
            <v>伯希和/PELLIOT</v>
          </cell>
          <cell r="F427" t="str">
            <v>服装-外套-夹克</v>
          </cell>
          <cell r="G427" t="str">
            <v>一品一商</v>
          </cell>
          <cell r="H427" t="str">
            <v>品牌直发</v>
          </cell>
          <cell r="I427">
            <v>0</v>
          </cell>
        </row>
        <row r="428">
          <cell r="D428">
            <v>115114001</v>
          </cell>
          <cell r="E428" t="str">
            <v>伯希和/PELLIOT</v>
          </cell>
          <cell r="F428" t="str">
            <v>服装-户外运动服-速干裤</v>
          </cell>
          <cell r="G428" t="str">
            <v>一品一商</v>
          </cell>
          <cell r="H428" t="str">
            <v>品牌直发</v>
          </cell>
          <cell r="I428">
            <v>0</v>
          </cell>
        </row>
        <row r="429">
          <cell r="D429">
            <v>135101022</v>
          </cell>
          <cell r="E429" t="str">
            <v>伯希和/PELLIOT</v>
          </cell>
          <cell r="F429" t="str">
            <v>童装-儿童上装-冲锋衣</v>
          </cell>
          <cell r="G429" t="str">
            <v>一品一商</v>
          </cell>
          <cell r="H429" t="str">
            <v>品牌直发</v>
          </cell>
          <cell r="I429">
            <v>0</v>
          </cell>
        </row>
        <row r="430">
          <cell r="D430">
            <v>125106002</v>
          </cell>
          <cell r="E430" t="str">
            <v>伯希和/PELLIOT</v>
          </cell>
          <cell r="F430" t="str">
            <v>女装-外套-软壳衣</v>
          </cell>
          <cell r="G430" t="str">
            <v>一品一商</v>
          </cell>
          <cell r="H430" t="str">
            <v>品牌直发</v>
          </cell>
          <cell r="I430">
            <v>0</v>
          </cell>
        </row>
        <row r="431">
          <cell r="D431" t="str">
            <v>PE125107004</v>
          </cell>
          <cell r="E431" t="str">
            <v>伯希和/PELLIOT</v>
          </cell>
          <cell r="F431" t="str">
            <v>女装-长裤-软壳裤</v>
          </cell>
          <cell r="G431" t="str">
            <v>一品多商</v>
          </cell>
          <cell r="H431" t="str">
            <v>品牌直发</v>
          </cell>
          <cell r="I431">
            <v>0</v>
          </cell>
        </row>
        <row r="432">
          <cell r="D432">
            <v>115107001</v>
          </cell>
          <cell r="E432" t="str">
            <v>伯希和/PELLIOT</v>
          </cell>
          <cell r="F432" t="str">
            <v>服装-长裤-软壳裤</v>
          </cell>
          <cell r="G432" t="str">
            <v>一品多商</v>
          </cell>
          <cell r="H432" t="str">
            <v>品牌直发</v>
          </cell>
          <cell r="I432">
            <v>0</v>
          </cell>
        </row>
        <row r="433">
          <cell r="D433">
            <v>115106003</v>
          </cell>
          <cell r="E433" t="str">
            <v>伯希和/PELLIOT</v>
          </cell>
          <cell r="F433" t="str">
            <v>服装-外套-软壳衣</v>
          </cell>
          <cell r="G433" t="str">
            <v>一品多商</v>
          </cell>
          <cell r="H433" t="str">
            <v>品牌直发</v>
          </cell>
          <cell r="I433">
            <v>0</v>
          </cell>
        </row>
        <row r="434">
          <cell r="D434">
            <v>125119036</v>
          </cell>
          <cell r="E434" t="str">
            <v>伯希和/PELLIOT</v>
          </cell>
          <cell r="F434" t="str">
            <v>鞋-运动鞋-登山鞋/徒步鞋</v>
          </cell>
          <cell r="G434" t="str">
            <v>一品多商</v>
          </cell>
          <cell r="H434" t="str">
            <v>品牌直发</v>
          </cell>
          <cell r="I434">
            <v>0</v>
          </cell>
        </row>
        <row r="435">
          <cell r="D435" t="str">
            <v>PE125101014</v>
          </cell>
          <cell r="E435" t="str">
            <v>伯希和/PELLIOT</v>
          </cell>
          <cell r="F435" t="str">
            <v>女装-外套-冲锋衣</v>
          </cell>
          <cell r="G435" t="str">
            <v>一品多商</v>
          </cell>
          <cell r="H435" t="str">
            <v>品牌直发</v>
          </cell>
          <cell r="I435">
            <v>0</v>
          </cell>
        </row>
        <row r="436">
          <cell r="D436">
            <v>115101013</v>
          </cell>
          <cell r="E436" t="str">
            <v>伯希和/PELLIOT</v>
          </cell>
          <cell r="F436" t="str">
            <v>服装-外套-冲锋衣</v>
          </cell>
          <cell r="G436" t="str">
            <v>一品多商</v>
          </cell>
          <cell r="H436" t="str">
            <v>品牌直发</v>
          </cell>
          <cell r="I436">
            <v>0</v>
          </cell>
        </row>
        <row r="437">
          <cell r="D437">
            <v>125212014</v>
          </cell>
          <cell r="E437" t="str">
            <v>伯希和/PELLIOT</v>
          </cell>
          <cell r="F437" t="str">
            <v>女装-外套-防晒服</v>
          </cell>
          <cell r="G437" t="str">
            <v>一品一商</v>
          </cell>
          <cell r="H437" t="str">
            <v>品牌直发</v>
          </cell>
          <cell r="I437">
            <v>0</v>
          </cell>
        </row>
        <row r="438">
          <cell r="D438" t="str">
            <v>125102002-新</v>
          </cell>
          <cell r="E438" t="str">
            <v>伯希和/PELLIOT</v>
          </cell>
          <cell r="F438" t="str">
            <v>女装-长裤-冲锋裤</v>
          </cell>
          <cell r="G438" t="str">
            <v>一品一商</v>
          </cell>
          <cell r="H438" t="str">
            <v>品牌直发</v>
          </cell>
          <cell r="I438">
            <v>0</v>
          </cell>
        </row>
        <row r="439">
          <cell r="D439">
            <v>115212013</v>
          </cell>
          <cell r="E439" t="str">
            <v>伯希和/PELLIOT</v>
          </cell>
          <cell r="F439" t="str">
            <v>服装-外套-防晒服</v>
          </cell>
          <cell r="G439" t="str">
            <v>一品一商</v>
          </cell>
          <cell r="H439" t="str">
            <v>品牌直发</v>
          </cell>
          <cell r="I439">
            <v>0</v>
          </cell>
        </row>
        <row r="440">
          <cell r="D440">
            <v>105112021</v>
          </cell>
          <cell r="E440" t="str">
            <v>伯希和/PELLIOT</v>
          </cell>
          <cell r="F440" t="str">
            <v>服装-外套-防晒服</v>
          </cell>
          <cell r="G440" t="str">
            <v>一品多商</v>
          </cell>
          <cell r="H440" t="str">
            <v>品牌直发</v>
          </cell>
          <cell r="I440">
            <v>0</v>
          </cell>
        </row>
        <row r="441">
          <cell r="D441">
            <v>1105212020</v>
          </cell>
          <cell r="E441" t="str">
            <v>伯希和/PELLIOT</v>
          </cell>
          <cell r="F441" t="str">
            <v>服装-外套-防晒服</v>
          </cell>
          <cell r="G441" t="str">
            <v>一品一商</v>
          </cell>
          <cell r="H441" t="str">
            <v>品牌直发</v>
          </cell>
          <cell r="I441">
            <v>0</v>
          </cell>
        </row>
        <row r="442">
          <cell r="D442">
            <v>125212004</v>
          </cell>
          <cell r="E442" t="str">
            <v>伯希和/PELLIOT</v>
          </cell>
          <cell r="F442" t="str">
            <v>女装-外套-防晒服</v>
          </cell>
          <cell r="G442" t="str">
            <v>一品多商</v>
          </cell>
          <cell r="H442" t="str">
            <v>品牌直发</v>
          </cell>
          <cell r="I442">
            <v>0</v>
          </cell>
        </row>
        <row r="443">
          <cell r="D443">
            <v>125301055</v>
          </cell>
          <cell r="E443" t="str">
            <v>伯希和/PELLIOT</v>
          </cell>
          <cell r="F443" t="str">
            <v>女装-外套-冲锋衣</v>
          </cell>
          <cell r="G443" t="str">
            <v>一品多商</v>
          </cell>
          <cell r="H443" t="str">
            <v>品牌直发</v>
          </cell>
          <cell r="I443">
            <v>0</v>
          </cell>
        </row>
        <row r="444">
          <cell r="D444">
            <v>115101019</v>
          </cell>
          <cell r="E444" t="str">
            <v>伯希和/PELLIOT</v>
          </cell>
          <cell r="F444" t="str">
            <v>服装-外套-冲锋衣</v>
          </cell>
          <cell r="G444" t="str">
            <v>一品多商</v>
          </cell>
          <cell r="H444" t="str">
            <v>品牌直发</v>
          </cell>
          <cell r="I444">
            <v>0</v>
          </cell>
        </row>
        <row r="445">
          <cell r="D445">
            <v>135116010</v>
          </cell>
          <cell r="E445" t="str">
            <v>伯希和/PELLIOT</v>
          </cell>
          <cell r="F445" t="str">
            <v>童装-儿童上装-T恤</v>
          </cell>
          <cell r="G445" t="str">
            <v>一品多商</v>
          </cell>
          <cell r="H445" t="str">
            <v>品牌直发</v>
          </cell>
          <cell r="I445">
            <v>0</v>
          </cell>
        </row>
        <row r="446">
          <cell r="D446" t="str">
            <v>PE115106001</v>
          </cell>
          <cell r="E446" t="str">
            <v>伯希和/PELLIOT</v>
          </cell>
          <cell r="F446" t="str">
            <v>服装-外套-软壳衣</v>
          </cell>
          <cell r="G446" t="str">
            <v>一品多商</v>
          </cell>
          <cell r="H446" t="str">
            <v>品牌直发</v>
          </cell>
          <cell r="I446">
            <v>0</v>
          </cell>
        </row>
        <row r="447">
          <cell r="D447" t="str">
            <v>PE125119026</v>
          </cell>
          <cell r="E447" t="str">
            <v>伯希和/PELLIOT</v>
          </cell>
          <cell r="F447" t="str">
            <v>鞋-运动鞋-跑步鞋</v>
          </cell>
          <cell r="G447" t="str">
            <v>一品多商</v>
          </cell>
          <cell r="H447" t="str">
            <v>品牌直发</v>
          </cell>
          <cell r="I447">
            <v>0</v>
          </cell>
        </row>
        <row r="448">
          <cell r="D448">
            <v>115119031</v>
          </cell>
          <cell r="E448" t="str">
            <v>伯希和/PELLIOT</v>
          </cell>
          <cell r="F448" t="str">
            <v>鞋-运动鞋-登山鞋/徒步鞋</v>
          </cell>
          <cell r="G448" t="str">
            <v>一品多商</v>
          </cell>
          <cell r="H448" t="str">
            <v>品牌直发</v>
          </cell>
          <cell r="I448">
            <v>0</v>
          </cell>
        </row>
        <row r="449">
          <cell r="D449">
            <v>115101007</v>
          </cell>
          <cell r="E449" t="str">
            <v>伯希和/PELLIOT</v>
          </cell>
          <cell r="F449" t="str">
            <v>服装-外套-冲锋衣</v>
          </cell>
          <cell r="G449" t="str">
            <v>一品多商</v>
          </cell>
          <cell r="H449" t="str">
            <v>品牌直发</v>
          </cell>
          <cell r="I449">
            <v>0</v>
          </cell>
        </row>
        <row r="450">
          <cell r="D450">
            <v>1125107002</v>
          </cell>
          <cell r="E450" t="str">
            <v>伯希和/PELLIOT</v>
          </cell>
          <cell r="F450" t="str">
            <v>女装-长裤-软壳裤</v>
          </cell>
          <cell r="G450" t="str">
            <v>一品一商</v>
          </cell>
          <cell r="H450" t="str">
            <v>品牌直发</v>
          </cell>
          <cell r="I450">
            <v>0</v>
          </cell>
        </row>
        <row r="451">
          <cell r="D451">
            <v>115119025</v>
          </cell>
          <cell r="E451" t="str">
            <v>伯希和/PELLIOT</v>
          </cell>
          <cell r="F451" t="str">
            <v>鞋-运动鞋-越野跑鞋</v>
          </cell>
          <cell r="G451" t="str">
            <v>一品多商</v>
          </cell>
          <cell r="H451" t="str">
            <v>品牌直发</v>
          </cell>
          <cell r="I451">
            <v>0</v>
          </cell>
        </row>
        <row r="452">
          <cell r="D452">
            <v>1125116008</v>
          </cell>
          <cell r="E452" t="str">
            <v>伯希和/PELLIOT</v>
          </cell>
          <cell r="F452" t="str">
            <v>女装-户外运动服-跑步T恤</v>
          </cell>
          <cell r="G452" t="str">
            <v>一品一商</v>
          </cell>
          <cell r="H452" t="str">
            <v>品牌直发</v>
          </cell>
          <cell r="I452">
            <v>0</v>
          </cell>
        </row>
        <row r="453">
          <cell r="D453">
            <v>1115116007</v>
          </cell>
          <cell r="E453" t="str">
            <v>伯希和/PELLIOT</v>
          </cell>
          <cell r="F453" t="str">
            <v>服装-上衣-T恤</v>
          </cell>
          <cell r="G453" t="str">
            <v>一品多商</v>
          </cell>
          <cell r="H453" t="str">
            <v>品牌直发</v>
          </cell>
          <cell r="I453">
            <v>0</v>
          </cell>
        </row>
        <row r="454">
          <cell r="D454">
            <v>125151008</v>
          </cell>
          <cell r="E454" t="str">
            <v>伯希和/PELLIOT</v>
          </cell>
          <cell r="F454" t="str">
            <v>女装-外套-夹克</v>
          </cell>
          <cell r="G454" t="str">
            <v>一品一商</v>
          </cell>
          <cell r="H454" t="str">
            <v>品牌直发</v>
          </cell>
          <cell r="I454">
            <v>0</v>
          </cell>
        </row>
        <row r="455">
          <cell r="D455">
            <v>1125178002</v>
          </cell>
          <cell r="E455" t="str">
            <v>伯希和/PELLIOT</v>
          </cell>
          <cell r="F455" t="str">
            <v>女装-长裤-休闲裤</v>
          </cell>
          <cell r="G455" t="str">
            <v>一品一商</v>
          </cell>
          <cell r="H455" t="str">
            <v>品牌直发</v>
          </cell>
          <cell r="I455">
            <v>0</v>
          </cell>
        </row>
        <row r="456">
          <cell r="D456">
            <v>125151010</v>
          </cell>
          <cell r="E456" t="str">
            <v>伯希和/PELLIOT</v>
          </cell>
          <cell r="F456" t="str">
            <v>女装-外套-夹克</v>
          </cell>
          <cell r="G456" t="str">
            <v>一品一商</v>
          </cell>
          <cell r="H456" t="str">
            <v>品牌直发</v>
          </cell>
          <cell r="I456">
            <v>0</v>
          </cell>
        </row>
        <row r="457">
          <cell r="D457">
            <v>115151009</v>
          </cell>
          <cell r="E457" t="str">
            <v>伯希和/PELLIOT</v>
          </cell>
          <cell r="F457" t="str">
            <v>服装-外套-夹克</v>
          </cell>
          <cell r="G457" t="str">
            <v>一品一商</v>
          </cell>
          <cell r="H457" t="str">
            <v>品牌直发</v>
          </cell>
          <cell r="I457">
            <v>0</v>
          </cell>
        </row>
        <row r="458">
          <cell r="D458">
            <v>1125101020</v>
          </cell>
          <cell r="E458" t="str">
            <v>伯希和/PELLIOT</v>
          </cell>
          <cell r="F458" t="str">
            <v>女装-外套-冲锋衣</v>
          </cell>
          <cell r="G458" t="str">
            <v>一品多商</v>
          </cell>
          <cell r="H458" t="str">
            <v>品牌直发</v>
          </cell>
          <cell r="I458">
            <v>0</v>
          </cell>
        </row>
        <row r="459">
          <cell r="D459" t="str">
            <v>PE105151011</v>
          </cell>
          <cell r="E459" t="str">
            <v>伯希和/PELLIOT</v>
          </cell>
          <cell r="F459" t="str">
            <v>服装-外套-夹克</v>
          </cell>
          <cell r="G459" t="str">
            <v>一品一商</v>
          </cell>
          <cell r="H459" t="str">
            <v>品牌直发</v>
          </cell>
          <cell r="I459">
            <v>0</v>
          </cell>
        </row>
        <row r="460">
          <cell r="D460" t="str">
            <v>PE114310205</v>
          </cell>
          <cell r="E460" t="str">
            <v>伯希和/PELLIOT</v>
          </cell>
          <cell r="F460" t="str">
            <v>服装-户外运动服-抓绒衣</v>
          </cell>
          <cell r="G460" t="str">
            <v>一品一商</v>
          </cell>
          <cell r="H460" t="str">
            <v>品牌直发</v>
          </cell>
          <cell r="I460">
            <v>0</v>
          </cell>
        </row>
        <row r="461">
          <cell r="D461" t="str">
            <v>PE124310206</v>
          </cell>
          <cell r="E461" t="str">
            <v>伯希和/PELLIOT</v>
          </cell>
          <cell r="F461" t="str">
            <v>女装-上衣-T恤</v>
          </cell>
          <cell r="G461" t="str">
            <v>一品一商</v>
          </cell>
          <cell r="H461" t="str">
            <v>品牌直发</v>
          </cell>
          <cell r="I461">
            <v>0</v>
          </cell>
        </row>
        <row r="462">
          <cell r="D462">
            <v>1115214009</v>
          </cell>
          <cell r="E462" t="str">
            <v>伯希和/PELLIOT</v>
          </cell>
          <cell r="F462" t="str">
            <v>服装-户外运动服-速干裤</v>
          </cell>
          <cell r="G462" t="str">
            <v>一品多商</v>
          </cell>
          <cell r="H462" t="str">
            <v>品牌直发</v>
          </cell>
          <cell r="I462">
            <v>0</v>
          </cell>
        </row>
        <row r="463">
          <cell r="D463">
            <v>124310206</v>
          </cell>
          <cell r="E463" t="str">
            <v>伯希和/PELLIOT</v>
          </cell>
          <cell r="F463" t="str">
            <v>女装-户外运动服-抓绒衣</v>
          </cell>
          <cell r="G463" t="str">
            <v>一品一商</v>
          </cell>
          <cell r="H463" t="str">
            <v>品牌直发</v>
          </cell>
          <cell r="I463">
            <v>0</v>
          </cell>
        </row>
        <row r="464">
          <cell r="D464">
            <v>114310205</v>
          </cell>
          <cell r="E464" t="str">
            <v>伯希和/PELLIOT</v>
          </cell>
          <cell r="F464" t="str">
            <v>内衣-内衣裤-保暖上装</v>
          </cell>
          <cell r="G464" t="str">
            <v>一品多商</v>
          </cell>
          <cell r="H464" t="str">
            <v>品牌直发</v>
          </cell>
          <cell r="I464">
            <v>0</v>
          </cell>
        </row>
        <row r="465">
          <cell r="D465">
            <v>105025005</v>
          </cell>
          <cell r="E465" t="str">
            <v>伯希和/PELLIOT</v>
          </cell>
          <cell r="F465" t="str">
            <v>箱包-包袋-户外包</v>
          </cell>
          <cell r="G465" t="str">
            <v>一品一商</v>
          </cell>
          <cell r="H465" t="str">
            <v>普通现货</v>
          </cell>
          <cell r="I465">
            <v>0</v>
          </cell>
        </row>
        <row r="466">
          <cell r="D466">
            <v>11340303</v>
          </cell>
          <cell r="E466" t="str">
            <v>伯希和/PELLIOT</v>
          </cell>
          <cell r="F466" t="str">
            <v>服装-外套-棉服</v>
          </cell>
          <cell r="G466" t="str">
            <v>一品多商</v>
          </cell>
          <cell r="H466" t="str">
            <v>品牌直发</v>
          </cell>
          <cell r="I466">
            <v>0</v>
          </cell>
        </row>
        <row r="467">
          <cell r="D467">
            <v>105025003</v>
          </cell>
          <cell r="E467" t="str">
            <v>伯希和/PELLIOT</v>
          </cell>
          <cell r="F467" t="str">
            <v>箱包-包袋-户外包</v>
          </cell>
          <cell r="G467" t="str">
            <v>一品一商</v>
          </cell>
          <cell r="H467" t="str">
            <v>品牌直发</v>
          </cell>
          <cell r="I467">
            <v>0</v>
          </cell>
        </row>
        <row r="468">
          <cell r="D468">
            <v>16123410</v>
          </cell>
          <cell r="E468" t="str">
            <v>伯希和/PELLIOT</v>
          </cell>
          <cell r="F468" t="str">
            <v>流行饰品/眼镜/服配-防晒服配-防晒帽</v>
          </cell>
          <cell r="G468" t="str">
            <v>一品一商</v>
          </cell>
          <cell r="H468" t="str">
            <v>品牌直发</v>
          </cell>
          <cell r="I468">
            <v>0</v>
          </cell>
        </row>
        <row r="469">
          <cell r="D469">
            <v>16223409</v>
          </cell>
          <cell r="E469" t="str">
            <v>伯希和/PELLIOT</v>
          </cell>
          <cell r="F469" t="str">
            <v>流行饰品/眼镜/服配-防晒服配-防晒帽</v>
          </cell>
          <cell r="G469" t="str">
            <v>一品一商</v>
          </cell>
          <cell r="H469" t="str">
            <v>品牌直发</v>
          </cell>
          <cell r="I469">
            <v>0</v>
          </cell>
        </row>
        <row r="470">
          <cell r="D470">
            <v>16123407</v>
          </cell>
          <cell r="E470" t="str">
            <v>伯希和/PELLIOT</v>
          </cell>
          <cell r="F470" t="str">
            <v>流行饰品/眼镜/服配-防晒服配-防晒帽</v>
          </cell>
          <cell r="G470" t="str">
            <v>一品一商</v>
          </cell>
          <cell r="H470" t="str">
            <v>普通现货</v>
          </cell>
          <cell r="I470">
            <v>0</v>
          </cell>
        </row>
        <row r="471">
          <cell r="D471">
            <v>16423417</v>
          </cell>
          <cell r="E471" t="str">
            <v>伯希和/PELLIOT</v>
          </cell>
          <cell r="F471" t="str">
            <v>流行饰品/眼镜/服配-防晒服配-防晒帽</v>
          </cell>
          <cell r="G471" t="str">
            <v>一品一商</v>
          </cell>
          <cell r="H471" t="str">
            <v>品牌直发</v>
          </cell>
          <cell r="I471">
            <v>0</v>
          </cell>
        </row>
        <row r="472">
          <cell r="D472">
            <v>16123409</v>
          </cell>
          <cell r="E472" t="str">
            <v>伯希和/PELLIOT</v>
          </cell>
          <cell r="F472" t="str">
            <v>流行饰品/眼镜/服配-防晒服配-防晒帽</v>
          </cell>
          <cell r="G472" t="str">
            <v>一品一商</v>
          </cell>
          <cell r="H472" t="str">
            <v>品牌直发</v>
          </cell>
          <cell r="I472">
            <v>0</v>
          </cell>
        </row>
        <row r="473">
          <cell r="D473">
            <v>16123403</v>
          </cell>
          <cell r="E473" t="str">
            <v>伯希和/PELLIOT</v>
          </cell>
          <cell r="F473" t="str">
            <v>流行饰品/眼镜/服配-帽子-渔夫帽</v>
          </cell>
          <cell r="G473" t="str">
            <v>一品一商</v>
          </cell>
          <cell r="H473" t="str">
            <v>品牌直发</v>
          </cell>
          <cell r="I473">
            <v>0</v>
          </cell>
        </row>
        <row r="474">
          <cell r="D474">
            <v>16223101</v>
          </cell>
          <cell r="E474" t="str">
            <v>伯希和/PELLIOT</v>
          </cell>
          <cell r="F474" t="str">
            <v>流行饰品/眼镜/服配-防晒服配-防晒手套</v>
          </cell>
          <cell r="G474" t="str">
            <v>一品一商</v>
          </cell>
          <cell r="H474" t="str">
            <v>品牌直发</v>
          </cell>
          <cell r="I474">
            <v>0</v>
          </cell>
        </row>
        <row r="475">
          <cell r="D475">
            <v>16043428</v>
          </cell>
          <cell r="E475" t="str">
            <v>伯希和/PELLIOT</v>
          </cell>
          <cell r="F475" t="str">
            <v>流行饰品/眼镜/服配-帽子-渔夫帽</v>
          </cell>
          <cell r="G475" t="str">
            <v>一品一商</v>
          </cell>
          <cell r="H475" t="str">
            <v>品牌直发</v>
          </cell>
          <cell r="I475">
            <v>0</v>
          </cell>
        </row>
        <row r="476">
          <cell r="D476">
            <v>16423418</v>
          </cell>
          <cell r="E476" t="str">
            <v>伯希和/PELLIOT</v>
          </cell>
          <cell r="F476" t="str">
            <v>流行饰品/眼镜/服配-帽子-鸭舌帽</v>
          </cell>
          <cell r="G476" t="str">
            <v>一品一商</v>
          </cell>
          <cell r="H476" t="str">
            <v>品牌直发</v>
          </cell>
          <cell r="I476">
            <v>0</v>
          </cell>
        </row>
        <row r="477">
          <cell r="D477">
            <v>16143205</v>
          </cell>
          <cell r="E477" t="str">
            <v>伯希和/PELLIOT</v>
          </cell>
          <cell r="F477" t="str">
            <v>流行饰品/眼镜/服配-围巾-围脖</v>
          </cell>
          <cell r="G477" t="str">
            <v>一品一商</v>
          </cell>
          <cell r="H477" t="str">
            <v>品牌直发</v>
          </cell>
          <cell r="I477">
            <v>0</v>
          </cell>
        </row>
        <row r="478">
          <cell r="D478">
            <v>16323402</v>
          </cell>
          <cell r="E478" t="str">
            <v>伯希和/PELLIOT</v>
          </cell>
          <cell r="F478" t="str">
            <v>流行饰品/眼镜/服配-防晒服配-防晒帽</v>
          </cell>
          <cell r="G478" t="str">
            <v>一品一商</v>
          </cell>
          <cell r="H478" t="str">
            <v>品牌直发</v>
          </cell>
          <cell r="I478">
            <v>0</v>
          </cell>
        </row>
        <row r="479">
          <cell r="D479">
            <v>16243103</v>
          </cell>
          <cell r="E479" t="str">
            <v>伯希和/PELLIOT</v>
          </cell>
          <cell r="F479" t="str">
            <v>流行饰品/眼镜/服配-手套-其他手套</v>
          </cell>
          <cell r="G479" t="str">
            <v>一品一商</v>
          </cell>
          <cell r="H479" t="str">
            <v>品牌直发</v>
          </cell>
          <cell r="I479">
            <v>0</v>
          </cell>
        </row>
        <row r="480">
          <cell r="D480">
            <v>16343418</v>
          </cell>
          <cell r="E480" t="str">
            <v>伯希和/PELLIOT</v>
          </cell>
          <cell r="F480" t="str">
            <v>流行饰品/眼镜/服配-帽子-其他帽子</v>
          </cell>
          <cell r="G480" t="str">
            <v>一品一商</v>
          </cell>
          <cell r="H480" t="str">
            <v>品牌直发</v>
          </cell>
          <cell r="I480">
            <v>0</v>
          </cell>
        </row>
        <row r="481">
          <cell r="D481">
            <v>16323204</v>
          </cell>
          <cell r="E481" t="str">
            <v>伯希和/PELLIOT</v>
          </cell>
          <cell r="F481" t="str">
            <v>流行饰品/眼镜/服配-防晒服配-防晒脖套</v>
          </cell>
          <cell r="G481" t="str">
            <v>一品一商</v>
          </cell>
          <cell r="H481" t="str">
            <v>品牌直发</v>
          </cell>
          <cell r="I481">
            <v>0</v>
          </cell>
        </row>
        <row r="482">
          <cell r="D482">
            <v>1124310184</v>
          </cell>
          <cell r="E482" t="str">
            <v>伯希和/PELLIOT</v>
          </cell>
          <cell r="F482" t="str">
            <v>女装-户外运动服-抓绒衣</v>
          </cell>
          <cell r="G482" t="str">
            <v>一品一商</v>
          </cell>
          <cell r="H482" t="str">
            <v>品牌直发</v>
          </cell>
          <cell r="I482">
            <v>0</v>
          </cell>
        </row>
        <row r="483">
          <cell r="D483">
            <v>124401056</v>
          </cell>
          <cell r="E483" t="str">
            <v>伯希和/PELLIOT</v>
          </cell>
          <cell r="F483" t="str">
            <v>服装-外套-冲锋衣</v>
          </cell>
          <cell r="G483" t="str">
            <v>一品一商</v>
          </cell>
          <cell r="H483" t="str">
            <v>品牌直发</v>
          </cell>
          <cell r="I483">
            <v>0</v>
          </cell>
        </row>
        <row r="484">
          <cell r="D484">
            <v>124306142</v>
          </cell>
          <cell r="E484" t="str">
            <v>伯希和/PELLIOT</v>
          </cell>
          <cell r="F484" t="str">
            <v>女装-外套-软壳衣</v>
          </cell>
          <cell r="G484" t="str">
            <v>一品多商</v>
          </cell>
          <cell r="H484" t="str">
            <v>品牌直发</v>
          </cell>
          <cell r="I484">
            <v>0</v>
          </cell>
        </row>
        <row r="485">
          <cell r="D485">
            <v>114408263</v>
          </cell>
          <cell r="E485" t="str">
            <v>伯希和/PELLIOT</v>
          </cell>
          <cell r="F485" t="str">
            <v>服装-外套-羽绒服</v>
          </cell>
          <cell r="G485" t="str">
            <v>一品多商</v>
          </cell>
          <cell r="H485" t="str">
            <v>品牌直发</v>
          </cell>
          <cell r="I485">
            <v>0</v>
          </cell>
        </row>
        <row r="486">
          <cell r="D486">
            <v>114401077</v>
          </cell>
          <cell r="E486" t="str">
            <v>伯希和/PELLIOT</v>
          </cell>
          <cell r="F486" t="str">
            <v>服装-外套-冲锋衣</v>
          </cell>
          <cell r="G486" t="str">
            <v>一品多商</v>
          </cell>
          <cell r="H486" t="str">
            <v>品牌直发</v>
          </cell>
          <cell r="I486">
            <v>0</v>
          </cell>
        </row>
        <row r="487">
          <cell r="D487" t="str">
            <v>PE124423019</v>
          </cell>
          <cell r="E487" t="str">
            <v>伯希和/PELLIOT</v>
          </cell>
          <cell r="F487" t="str">
            <v>鞋-靴子-雪地靴</v>
          </cell>
          <cell r="G487" t="str">
            <v>一品一商</v>
          </cell>
          <cell r="H487" t="str">
            <v>品牌直发</v>
          </cell>
          <cell r="I487">
            <v>0</v>
          </cell>
        </row>
        <row r="488">
          <cell r="D488">
            <v>114315397</v>
          </cell>
          <cell r="E488" t="str">
            <v>伯希和/PELLIOT</v>
          </cell>
          <cell r="F488" t="str">
            <v>服装-上衣-T恤</v>
          </cell>
          <cell r="G488" t="str">
            <v>一品一商</v>
          </cell>
          <cell r="H488" t="str">
            <v>品牌直发</v>
          </cell>
          <cell r="I488">
            <v>0</v>
          </cell>
        </row>
        <row r="489">
          <cell r="D489">
            <v>124310204</v>
          </cell>
          <cell r="E489" t="str">
            <v>伯希和/PELLIOT</v>
          </cell>
          <cell r="F489" t="str">
            <v>女装-户外运动服-抓绒衣</v>
          </cell>
          <cell r="G489" t="str">
            <v>一品一商</v>
          </cell>
          <cell r="H489" t="str">
            <v>品牌直发</v>
          </cell>
          <cell r="I489">
            <v>0</v>
          </cell>
        </row>
        <row r="490">
          <cell r="D490" t="str">
            <v>PE114315381</v>
          </cell>
          <cell r="E490" t="str">
            <v>伯希和/PELLIOT</v>
          </cell>
          <cell r="F490" t="str">
            <v>服装-上衣-T恤</v>
          </cell>
          <cell r="G490" t="str">
            <v>一品一商</v>
          </cell>
          <cell r="H490" t="str">
            <v>品牌直发</v>
          </cell>
          <cell r="I490">
            <v>0</v>
          </cell>
        </row>
        <row r="491">
          <cell r="D491">
            <v>124409342</v>
          </cell>
          <cell r="E491" t="str">
            <v>伯希和/PELLIOT</v>
          </cell>
          <cell r="F491" t="str">
            <v>女装-长裤-羽绒裤</v>
          </cell>
          <cell r="G491" t="str">
            <v>一品多商</v>
          </cell>
          <cell r="H491" t="str">
            <v>品牌直发</v>
          </cell>
          <cell r="I491">
            <v>0</v>
          </cell>
        </row>
        <row r="492">
          <cell r="D492">
            <v>124306144</v>
          </cell>
          <cell r="E492" t="str">
            <v>伯希和/PELLIOT</v>
          </cell>
          <cell r="F492" t="str">
            <v>女装-外套-软壳衣</v>
          </cell>
          <cell r="G492" t="str">
            <v>一品多商</v>
          </cell>
          <cell r="H492" t="str">
            <v>品牌直发</v>
          </cell>
          <cell r="I492">
            <v>0</v>
          </cell>
        </row>
        <row r="493">
          <cell r="D493" t="str">
            <v>PE114377365</v>
          </cell>
          <cell r="E493" t="str">
            <v>伯希和/PELLIOT</v>
          </cell>
          <cell r="F493" t="str">
            <v>服装-健身服-运动长裤</v>
          </cell>
          <cell r="G493" t="str">
            <v>一品多商</v>
          </cell>
          <cell r="H493" t="str">
            <v>品牌直发</v>
          </cell>
          <cell r="I493">
            <v>0</v>
          </cell>
        </row>
        <row r="494">
          <cell r="D494">
            <v>114376411</v>
          </cell>
          <cell r="E494" t="str">
            <v>伯希和/PELLIOT</v>
          </cell>
          <cell r="F494" t="str">
            <v>服装-外套-棉服</v>
          </cell>
          <cell r="G494" t="str">
            <v>一品一商</v>
          </cell>
          <cell r="H494" t="str">
            <v>品牌直发</v>
          </cell>
          <cell r="I494">
            <v>0</v>
          </cell>
        </row>
        <row r="495">
          <cell r="D495" t="str">
            <v>PE124408264</v>
          </cell>
          <cell r="E495" t="str">
            <v>伯希和/PELLIOT</v>
          </cell>
          <cell r="F495" t="str">
            <v>服装-外套-羽绒服</v>
          </cell>
          <cell r="G495" t="str">
            <v>一品多商</v>
          </cell>
          <cell r="H495" t="str">
            <v>品牌直发</v>
          </cell>
          <cell r="I495">
            <v>0</v>
          </cell>
        </row>
        <row r="496">
          <cell r="D496">
            <v>114401061</v>
          </cell>
          <cell r="E496" t="str">
            <v>伯希和/PELLIOT</v>
          </cell>
          <cell r="F496" t="str">
            <v>服装-外套-冲锋衣</v>
          </cell>
          <cell r="G496" t="str">
            <v>一品一商</v>
          </cell>
          <cell r="H496" t="str">
            <v>品牌直发</v>
          </cell>
          <cell r="I496">
            <v>0</v>
          </cell>
        </row>
        <row r="497">
          <cell r="D497">
            <v>114408259</v>
          </cell>
          <cell r="E497" t="str">
            <v>伯希和/PELLIOT</v>
          </cell>
          <cell r="F497" t="str">
            <v>服装-外套-羽绒服</v>
          </cell>
          <cell r="G497" t="str">
            <v>一品多商</v>
          </cell>
          <cell r="H497" t="str">
            <v>品牌直发</v>
          </cell>
          <cell r="I497">
            <v>0</v>
          </cell>
        </row>
        <row r="498">
          <cell r="D498">
            <v>114408257</v>
          </cell>
          <cell r="E498" t="str">
            <v>伯希和/PELLIOT</v>
          </cell>
          <cell r="F498" t="str">
            <v>服装-外套-羽绒服</v>
          </cell>
          <cell r="G498" t="str">
            <v>一品多商</v>
          </cell>
          <cell r="H498" t="str">
            <v>品牌直发</v>
          </cell>
          <cell r="I498">
            <v>0</v>
          </cell>
        </row>
        <row r="499">
          <cell r="D499">
            <v>124301066</v>
          </cell>
          <cell r="E499" t="str">
            <v>伯希和/PELLIOT</v>
          </cell>
          <cell r="F499" t="str">
            <v>女装-外套-冲锋衣</v>
          </cell>
          <cell r="G499" t="str">
            <v>一品一商</v>
          </cell>
          <cell r="H499" t="str">
            <v>品牌直发</v>
          </cell>
          <cell r="I499">
            <v>0</v>
          </cell>
        </row>
        <row r="500">
          <cell r="D500">
            <v>124408254</v>
          </cell>
          <cell r="E500" t="str">
            <v>伯希和/PELLIOT</v>
          </cell>
          <cell r="F500" t="str">
            <v>服装-外套-羽绒服</v>
          </cell>
          <cell r="G500" t="str">
            <v>一品多商</v>
          </cell>
          <cell r="H500" t="str">
            <v>品牌直发</v>
          </cell>
          <cell r="I500">
            <v>0</v>
          </cell>
        </row>
        <row r="501">
          <cell r="D501">
            <v>124403128</v>
          </cell>
          <cell r="E501" t="str">
            <v>伯希和/PELLIOT</v>
          </cell>
          <cell r="F501" t="str">
            <v>服装-户外运动服-滑雪衣</v>
          </cell>
          <cell r="G501" t="str">
            <v>一品多商</v>
          </cell>
          <cell r="H501" t="str">
            <v>品牌直发</v>
          </cell>
          <cell r="I501">
            <v>0</v>
          </cell>
        </row>
        <row r="502">
          <cell r="D502">
            <v>114301071</v>
          </cell>
          <cell r="E502" t="str">
            <v>伯希和/PELLIOT</v>
          </cell>
          <cell r="F502" t="str">
            <v>服装-外套-冲锋衣</v>
          </cell>
          <cell r="G502" t="str">
            <v>一品多商</v>
          </cell>
          <cell r="H502" t="str">
            <v>品牌直发</v>
          </cell>
          <cell r="I502">
            <v>0</v>
          </cell>
        </row>
        <row r="503">
          <cell r="D503">
            <v>114408277</v>
          </cell>
          <cell r="E503" t="str">
            <v>伯希和/PELLIOT</v>
          </cell>
          <cell r="F503" t="str">
            <v>服装-外套-羽绒服</v>
          </cell>
          <cell r="G503" t="str">
            <v>一品多商</v>
          </cell>
          <cell r="H503" t="str">
            <v>品牌直发</v>
          </cell>
          <cell r="I503">
            <v>0</v>
          </cell>
        </row>
        <row r="504">
          <cell r="D504">
            <v>134401045</v>
          </cell>
          <cell r="E504" t="str">
            <v>伯希和/PELLIOT</v>
          </cell>
          <cell r="F504" t="str">
            <v>童装-儿童上装-冲锋衣</v>
          </cell>
          <cell r="G504" t="str">
            <v>一品一商</v>
          </cell>
          <cell r="H504" t="str">
            <v>品牌直发</v>
          </cell>
          <cell r="I504">
            <v>0</v>
          </cell>
        </row>
        <row r="505">
          <cell r="D505">
            <v>124403126</v>
          </cell>
          <cell r="E505" t="str">
            <v>伯希和/PELLIOT</v>
          </cell>
          <cell r="F505" t="str">
            <v>服装-户外运动服-滑雪衣</v>
          </cell>
          <cell r="G505" t="str">
            <v>一品一商</v>
          </cell>
          <cell r="H505" t="str">
            <v>品牌直发</v>
          </cell>
          <cell r="I505">
            <v>0</v>
          </cell>
        </row>
        <row r="506">
          <cell r="D506">
            <v>114408273</v>
          </cell>
          <cell r="E506" t="str">
            <v>伯希和/PELLIOT</v>
          </cell>
          <cell r="F506" t="str">
            <v>服装-外套-羽绒服</v>
          </cell>
          <cell r="G506" t="str">
            <v>一品多商</v>
          </cell>
          <cell r="H506" t="str">
            <v>品牌直发</v>
          </cell>
          <cell r="I506">
            <v>0</v>
          </cell>
        </row>
        <row r="507">
          <cell r="D507">
            <v>134408270</v>
          </cell>
          <cell r="E507" t="str">
            <v>伯希和/PELLIOT</v>
          </cell>
          <cell r="F507" t="str">
            <v>童装-儿童上装-羽绒服</v>
          </cell>
          <cell r="G507" t="str">
            <v>一品一商</v>
          </cell>
          <cell r="H507" t="str">
            <v>品牌直发</v>
          </cell>
          <cell r="I507">
            <v>0</v>
          </cell>
        </row>
        <row r="508">
          <cell r="D508" t="str">
            <v>PE124408260</v>
          </cell>
          <cell r="E508" t="str">
            <v>伯希和/PELLIOT</v>
          </cell>
          <cell r="F508" t="str">
            <v>女装-外套-羽绒服</v>
          </cell>
          <cell r="G508" t="str">
            <v>一品多商</v>
          </cell>
          <cell r="H508" t="str">
            <v>品牌直发</v>
          </cell>
          <cell r="I508">
            <v>0</v>
          </cell>
        </row>
        <row r="509">
          <cell r="D509">
            <v>124408240</v>
          </cell>
          <cell r="E509" t="str">
            <v>伯希和/PELLIOT</v>
          </cell>
          <cell r="F509" t="str">
            <v>服装-外套-羽绒服</v>
          </cell>
          <cell r="G509" t="str">
            <v>一品多商</v>
          </cell>
          <cell r="H509" t="str">
            <v>品牌直发</v>
          </cell>
          <cell r="I509">
            <v>0</v>
          </cell>
        </row>
        <row r="510">
          <cell r="D510" t="str">
            <v>PE114401055</v>
          </cell>
          <cell r="E510" t="str">
            <v>伯希和/PELLIOT</v>
          </cell>
          <cell r="F510" t="str">
            <v>服装-外套-冲锋衣</v>
          </cell>
          <cell r="G510" t="str">
            <v>一品一商</v>
          </cell>
          <cell r="H510" t="str">
            <v>品牌直发</v>
          </cell>
          <cell r="I510">
            <v>0</v>
          </cell>
        </row>
        <row r="511">
          <cell r="D511" t="str">
            <v>PE124408278</v>
          </cell>
          <cell r="E511" t="str">
            <v>伯希和/PELLIOT</v>
          </cell>
          <cell r="F511" t="str">
            <v>女装-外套-羽绒服</v>
          </cell>
          <cell r="G511" t="str">
            <v>一品多商</v>
          </cell>
          <cell r="H511" t="str">
            <v>品牌直发</v>
          </cell>
          <cell r="I511">
            <v>0</v>
          </cell>
        </row>
        <row r="512">
          <cell r="D512">
            <v>134301043</v>
          </cell>
          <cell r="E512" t="str">
            <v>伯希和/PELLIOT</v>
          </cell>
          <cell r="F512" t="str">
            <v>童装-儿童上装-冲锋衣</v>
          </cell>
          <cell r="G512" t="str">
            <v>一品一商</v>
          </cell>
          <cell r="H512" t="str">
            <v>品牌直发</v>
          </cell>
          <cell r="I512">
            <v>0</v>
          </cell>
        </row>
        <row r="513">
          <cell r="D513" t="str">
            <v>PE124315434</v>
          </cell>
          <cell r="E513" t="str">
            <v>伯希和/PELLIOT</v>
          </cell>
          <cell r="F513" t="str">
            <v>女装-上衣-T恤</v>
          </cell>
          <cell r="G513" t="str">
            <v>一品一商</v>
          </cell>
          <cell r="H513" t="str">
            <v>品牌直发</v>
          </cell>
          <cell r="I513">
            <v>0</v>
          </cell>
        </row>
        <row r="514">
          <cell r="D514" t="str">
            <v>PE114315433</v>
          </cell>
          <cell r="E514" t="str">
            <v>伯希和/PELLIOT</v>
          </cell>
          <cell r="F514" t="str">
            <v>服装-户外运动服-抓绒衣</v>
          </cell>
          <cell r="G514" t="str">
            <v>一品一商</v>
          </cell>
          <cell r="H514" t="str">
            <v>品牌直发</v>
          </cell>
          <cell r="I514">
            <v>0</v>
          </cell>
        </row>
        <row r="515">
          <cell r="D515" t="str">
            <v>PE124310192</v>
          </cell>
          <cell r="E515" t="str">
            <v>伯希和/PELLIOT</v>
          </cell>
          <cell r="F515" t="str">
            <v>女装-户外运动服-抓绒衣</v>
          </cell>
          <cell r="G515" t="str">
            <v>一品多商</v>
          </cell>
          <cell r="H515" t="str">
            <v>品牌直发</v>
          </cell>
          <cell r="I515">
            <v>0</v>
          </cell>
        </row>
        <row r="516">
          <cell r="D516">
            <v>134409343</v>
          </cell>
          <cell r="E516" t="str">
            <v>伯希和/PELLIOT</v>
          </cell>
          <cell r="F516" t="str">
            <v>童装-儿童下装-儿童运动裤</v>
          </cell>
          <cell r="G516" t="str">
            <v>一品一商</v>
          </cell>
          <cell r="H516" t="str">
            <v>品牌直发</v>
          </cell>
          <cell r="I516">
            <v>0</v>
          </cell>
        </row>
        <row r="517">
          <cell r="D517">
            <v>114311235</v>
          </cell>
          <cell r="E517" t="str">
            <v>伯希和/PELLIOT</v>
          </cell>
          <cell r="F517" t="str">
            <v>服装-长裤-休闲裤</v>
          </cell>
          <cell r="G517" t="str">
            <v>一品一商</v>
          </cell>
          <cell r="H517" t="str">
            <v>品牌直发</v>
          </cell>
          <cell r="I517">
            <v>0</v>
          </cell>
        </row>
        <row r="518">
          <cell r="D518">
            <v>134301049</v>
          </cell>
          <cell r="E518" t="str">
            <v>伯希和/PELLIOT</v>
          </cell>
          <cell r="F518" t="str">
            <v>童装-儿童上装-冲锋衣</v>
          </cell>
          <cell r="G518" t="str">
            <v>一品一商</v>
          </cell>
          <cell r="H518" t="str">
            <v>品牌直发</v>
          </cell>
          <cell r="I518">
            <v>0</v>
          </cell>
        </row>
        <row r="519">
          <cell r="D519">
            <v>134408267</v>
          </cell>
          <cell r="E519" t="str">
            <v>伯希和/PELLIOT</v>
          </cell>
          <cell r="F519" t="str">
            <v>童装-儿童上装-羽绒服</v>
          </cell>
          <cell r="G519" t="str">
            <v>一品一商</v>
          </cell>
          <cell r="H519" t="str">
            <v>品牌直发</v>
          </cell>
          <cell r="I519">
            <v>0</v>
          </cell>
        </row>
        <row r="520">
          <cell r="D520">
            <v>134306146</v>
          </cell>
          <cell r="E520" t="str">
            <v>伯希和/PELLIOT</v>
          </cell>
          <cell r="F520" t="str">
            <v>童装-儿童上装-夹克</v>
          </cell>
          <cell r="G520" t="str">
            <v>一品多商</v>
          </cell>
          <cell r="H520" t="str">
            <v>品牌直发</v>
          </cell>
          <cell r="I520">
            <v>0</v>
          </cell>
        </row>
        <row r="521">
          <cell r="D521">
            <v>114408265</v>
          </cell>
          <cell r="E521" t="str">
            <v>伯希和/PELLIOT</v>
          </cell>
          <cell r="F521" t="str">
            <v>服装-外套-羽绒服</v>
          </cell>
          <cell r="G521" t="str">
            <v>一品多商</v>
          </cell>
          <cell r="H521" t="str">
            <v>品牌直发</v>
          </cell>
          <cell r="I521">
            <v>0</v>
          </cell>
        </row>
        <row r="522">
          <cell r="D522">
            <v>114319017</v>
          </cell>
          <cell r="E522" t="str">
            <v>伯希和/PELLIOT</v>
          </cell>
          <cell r="F522" t="str">
            <v>鞋-运动鞋-登山鞋/徒步鞋</v>
          </cell>
          <cell r="G522" t="str">
            <v>一品一商</v>
          </cell>
          <cell r="H522" t="str">
            <v>品牌直发</v>
          </cell>
          <cell r="I522">
            <v>0</v>
          </cell>
        </row>
        <row r="523">
          <cell r="D523" t="str">
            <v>PE124408256</v>
          </cell>
          <cell r="E523" t="str">
            <v>伯希和/PELLIOT</v>
          </cell>
          <cell r="F523" t="str">
            <v>女装-外套-羽绒服</v>
          </cell>
          <cell r="G523" t="str">
            <v>一品多商</v>
          </cell>
          <cell r="H523" t="str">
            <v>品牌直发</v>
          </cell>
          <cell r="I523">
            <v>0</v>
          </cell>
        </row>
        <row r="524">
          <cell r="D524">
            <v>114408255</v>
          </cell>
          <cell r="E524" t="str">
            <v>伯希和/PELLIOT</v>
          </cell>
          <cell r="F524" t="str">
            <v>服装-外套-羽绒服</v>
          </cell>
          <cell r="G524" t="str">
            <v>一品多商</v>
          </cell>
          <cell r="H524" t="str">
            <v>品牌直发</v>
          </cell>
          <cell r="I524">
            <v>0</v>
          </cell>
        </row>
        <row r="525">
          <cell r="D525">
            <v>124408258</v>
          </cell>
          <cell r="E525" t="str">
            <v>伯希和/PELLIOT</v>
          </cell>
          <cell r="F525" t="str">
            <v>女装-外套-羽绒服</v>
          </cell>
          <cell r="G525" t="str">
            <v>一品多商</v>
          </cell>
          <cell r="H525" t="str">
            <v>品牌直发</v>
          </cell>
          <cell r="I525">
            <v>0</v>
          </cell>
        </row>
        <row r="526">
          <cell r="D526">
            <v>114401069</v>
          </cell>
          <cell r="E526" t="str">
            <v>伯希和/PELLIOT</v>
          </cell>
          <cell r="F526" t="str">
            <v>服装-外套-冲锋衣</v>
          </cell>
          <cell r="G526" t="str">
            <v>一品一商</v>
          </cell>
          <cell r="H526" t="str">
            <v>品牌直发</v>
          </cell>
          <cell r="I526">
            <v>0</v>
          </cell>
        </row>
        <row r="527">
          <cell r="D527">
            <v>114301015</v>
          </cell>
          <cell r="E527" t="str">
            <v>伯希和/PELLIOT</v>
          </cell>
          <cell r="F527" t="str">
            <v>服装-外套-冲锋衣</v>
          </cell>
          <cell r="G527" t="str">
            <v>一品多商</v>
          </cell>
          <cell r="H527" t="str">
            <v>品牌直发</v>
          </cell>
          <cell r="I527">
            <v>0</v>
          </cell>
        </row>
        <row r="528">
          <cell r="D528">
            <v>124311236</v>
          </cell>
          <cell r="E528" t="str">
            <v>伯希和/PELLIOT</v>
          </cell>
          <cell r="F528" t="str">
            <v>女装-户外运动服-抓绒裤</v>
          </cell>
          <cell r="G528" t="str">
            <v>一品一商</v>
          </cell>
          <cell r="H528" t="str">
            <v>品牌直发</v>
          </cell>
          <cell r="I528">
            <v>0</v>
          </cell>
        </row>
        <row r="529">
          <cell r="D529">
            <v>114408251</v>
          </cell>
          <cell r="E529" t="str">
            <v>伯希和/PELLIOT</v>
          </cell>
          <cell r="F529" t="str">
            <v>服装-外套-羽绒服</v>
          </cell>
          <cell r="G529" t="str">
            <v>一品一商</v>
          </cell>
          <cell r="H529" t="str">
            <v>品牌直发</v>
          </cell>
          <cell r="I529">
            <v>0</v>
          </cell>
        </row>
        <row r="530">
          <cell r="D530" t="str">
            <v>PE124408250</v>
          </cell>
          <cell r="E530" t="str">
            <v>伯希和/PELLIOT</v>
          </cell>
          <cell r="F530" t="str">
            <v>女装-外套-羽绒服</v>
          </cell>
          <cell r="G530" t="str">
            <v>一品一商</v>
          </cell>
          <cell r="H530" t="str">
            <v>品牌直发</v>
          </cell>
          <cell r="I530">
            <v>0</v>
          </cell>
        </row>
        <row r="531">
          <cell r="D531">
            <v>124304118</v>
          </cell>
          <cell r="E531" t="str">
            <v>伯希和/PELLIOT</v>
          </cell>
          <cell r="F531" t="str">
            <v>服装-户外运动服-滑雪裤</v>
          </cell>
          <cell r="G531" t="str">
            <v>一品多商</v>
          </cell>
          <cell r="H531" t="str">
            <v>品牌直发</v>
          </cell>
          <cell r="I531">
            <v>0</v>
          </cell>
        </row>
        <row r="532">
          <cell r="D532" t="str">
            <v>PE124404116</v>
          </cell>
          <cell r="E532" t="str">
            <v>伯希和/PELLIOT</v>
          </cell>
          <cell r="F532" t="str">
            <v>服装-户外运动服-滑雪裤</v>
          </cell>
          <cell r="G532" t="str">
            <v>一品多商</v>
          </cell>
          <cell r="H532" t="str">
            <v>品牌直发</v>
          </cell>
          <cell r="I532">
            <v>0</v>
          </cell>
        </row>
        <row r="533">
          <cell r="D533">
            <v>114301079</v>
          </cell>
          <cell r="E533" t="str">
            <v>伯希和/PELLIOT</v>
          </cell>
          <cell r="F533" t="str">
            <v>服装-外套-冲锋衣</v>
          </cell>
          <cell r="G533" t="str">
            <v>一品多商</v>
          </cell>
          <cell r="H533" t="str">
            <v>品牌直发</v>
          </cell>
          <cell r="I533">
            <v>0</v>
          </cell>
        </row>
        <row r="534">
          <cell r="D534" t="str">
            <v>124319016曜石黑</v>
          </cell>
          <cell r="E534" t="str">
            <v>伯希和/PELLIOT</v>
          </cell>
          <cell r="F534" t="str">
            <v>鞋-运动鞋-登山鞋/徒步鞋</v>
          </cell>
          <cell r="G534" t="str">
            <v>一品一商</v>
          </cell>
          <cell r="H534" t="str">
            <v>品牌直发</v>
          </cell>
          <cell r="I534">
            <v>0</v>
          </cell>
        </row>
        <row r="535">
          <cell r="D535" t="str">
            <v>PE124310194</v>
          </cell>
          <cell r="E535" t="str">
            <v>伯希和/PELLIOT</v>
          </cell>
          <cell r="F535" t="str">
            <v>女装-户外运动服-抓绒衣</v>
          </cell>
          <cell r="G535" t="str">
            <v>一品一商</v>
          </cell>
          <cell r="H535" t="str">
            <v>品牌直发</v>
          </cell>
          <cell r="I535">
            <v>0</v>
          </cell>
        </row>
        <row r="536">
          <cell r="D536">
            <v>124408252</v>
          </cell>
          <cell r="E536" t="str">
            <v>伯希和/PELLIOT</v>
          </cell>
          <cell r="F536" t="str">
            <v>女装-外套-羽绒服</v>
          </cell>
          <cell r="G536" t="str">
            <v>一品多商</v>
          </cell>
          <cell r="H536" t="str">
            <v>品牌直发</v>
          </cell>
          <cell r="I536">
            <v>0</v>
          </cell>
        </row>
        <row r="537">
          <cell r="D537">
            <v>114351091</v>
          </cell>
          <cell r="E537" t="str">
            <v>伯希和/PELLIOT</v>
          </cell>
          <cell r="F537" t="str">
            <v>服装-外套-软壳衣</v>
          </cell>
          <cell r="G537" t="str">
            <v>一品多商</v>
          </cell>
          <cell r="H537" t="str">
            <v>品牌直发</v>
          </cell>
          <cell r="I537">
            <v>0</v>
          </cell>
        </row>
        <row r="538">
          <cell r="D538">
            <v>124310184</v>
          </cell>
          <cell r="E538" t="str">
            <v>伯希和/PELLIOT</v>
          </cell>
          <cell r="F538" t="str">
            <v>女装-上衣-卫衣</v>
          </cell>
          <cell r="G538" t="str">
            <v>一品一商</v>
          </cell>
          <cell r="H538" t="str">
            <v>品牌直发</v>
          </cell>
          <cell r="I538">
            <v>0</v>
          </cell>
        </row>
        <row r="539">
          <cell r="D539">
            <v>124377366</v>
          </cell>
          <cell r="E539" t="str">
            <v>伯希和/PELLIOT</v>
          </cell>
          <cell r="F539" t="str">
            <v>内衣-内衣裤-保暖裤</v>
          </cell>
          <cell r="G539" t="str">
            <v>一品一商</v>
          </cell>
          <cell r="H539" t="str">
            <v>品牌直发</v>
          </cell>
          <cell r="I539">
            <v>0</v>
          </cell>
        </row>
        <row r="540">
          <cell r="D540">
            <v>114315395</v>
          </cell>
          <cell r="E540" t="str">
            <v>伯希和/PELLIOT</v>
          </cell>
          <cell r="F540" t="str">
            <v>服装-户外运动服-速干衣</v>
          </cell>
          <cell r="G540" t="str">
            <v>一品一商</v>
          </cell>
          <cell r="H540" t="str">
            <v>品牌直发</v>
          </cell>
          <cell r="I540">
            <v>0</v>
          </cell>
        </row>
        <row r="541">
          <cell r="D541">
            <v>164334001</v>
          </cell>
          <cell r="E541" t="str">
            <v>伯希和/PELLIOT</v>
          </cell>
          <cell r="F541" t="str">
            <v>流行饰品/眼镜/服配-帽子-其他帽子</v>
          </cell>
          <cell r="G541" t="str">
            <v>一品一商</v>
          </cell>
          <cell r="H541" t="str">
            <v>品牌直发</v>
          </cell>
          <cell r="I541">
            <v>0</v>
          </cell>
        </row>
        <row r="542">
          <cell r="D542">
            <v>124315398</v>
          </cell>
          <cell r="E542" t="str">
            <v>伯希和/PELLIOT</v>
          </cell>
          <cell r="F542" t="str">
            <v>女装-上衣-T恤</v>
          </cell>
          <cell r="G542" t="str">
            <v>一品多商</v>
          </cell>
          <cell r="H542" t="str">
            <v>品牌直发</v>
          </cell>
          <cell r="I542">
            <v>0</v>
          </cell>
        </row>
        <row r="543">
          <cell r="D543">
            <v>124301080</v>
          </cell>
          <cell r="E543" t="str">
            <v>伯希和/PELLIOT</v>
          </cell>
          <cell r="F543" t="str">
            <v>女装-外套-冲锋衣</v>
          </cell>
          <cell r="G543" t="str">
            <v>一品多商</v>
          </cell>
          <cell r="H543" t="str">
            <v>品牌直发</v>
          </cell>
          <cell r="I543">
            <v>0</v>
          </cell>
        </row>
        <row r="544">
          <cell r="D544" t="str">
            <v>PE124306152</v>
          </cell>
          <cell r="E544" t="str">
            <v>伯希和/PELLIOT</v>
          </cell>
          <cell r="F544" t="str">
            <v>女装-外套-软壳衣</v>
          </cell>
          <cell r="G544" t="str">
            <v>一品多商</v>
          </cell>
          <cell r="H544" t="str">
            <v>品牌直发</v>
          </cell>
          <cell r="I544">
            <v>0</v>
          </cell>
        </row>
        <row r="545">
          <cell r="D545">
            <v>124311234</v>
          </cell>
          <cell r="E545" t="str">
            <v>伯希和/PELLIOT</v>
          </cell>
          <cell r="F545" t="str">
            <v>女装-户外运动服-抓绒裤</v>
          </cell>
          <cell r="G545" t="str">
            <v>一品多商</v>
          </cell>
          <cell r="H545" t="str">
            <v>品牌直发</v>
          </cell>
          <cell r="I545">
            <v>0</v>
          </cell>
        </row>
        <row r="546">
          <cell r="D546">
            <v>124408246</v>
          </cell>
          <cell r="E546" t="str">
            <v>伯希和/PELLIOT</v>
          </cell>
          <cell r="F546" t="str">
            <v>女装-外套-羽绒服</v>
          </cell>
          <cell r="G546" t="str">
            <v>一品多商</v>
          </cell>
          <cell r="H546" t="str">
            <v>品牌直发</v>
          </cell>
          <cell r="I546">
            <v>0</v>
          </cell>
        </row>
        <row r="547">
          <cell r="D547" t="str">
            <v>PE114401009</v>
          </cell>
          <cell r="E547" t="str">
            <v>伯希和/PELLIOT</v>
          </cell>
          <cell r="F547" t="str">
            <v>服装-外套-冲锋衣</v>
          </cell>
          <cell r="G547" t="str">
            <v>一品多商</v>
          </cell>
          <cell r="H547" t="str">
            <v>品牌直发</v>
          </cell>
          <cell r="I547">
            <v>0</v>
          </cell>
        </row>
        <row r="548">
          <cell r="D548">
            <v>114408249</v>
          </cell>
          <cell r="E548" t="str">
            <v>伯希和/PELLIOT</v>
          </cell>
          <cell r="F548" t="str">
            <v>服装-外套-羽绒服</v>
          </cell>
          <cell r="G548" t="str">
            <v>一品多商</v>
          </cell>
          <cell r="H548" t="str">
            <v>品牌直发</v>
          </cell>
          <cell r="I548">
            <v>0</v>
          </cell>
        </row>
        <row r="549">
          <cell r="D549" t="str">
            <v>124419010经典黑</v>
          </cell>
          <cell r="E549" t="str">
            <v>伯希和/PELLIOT</v>
          </cell>
          <cell r="F549" t="str">
            <v>鞋-运动鞋-登山鞋/徒步鞋</v>
          </cell>
          <cell r="G549" t="str">
            <v>一品一商</v>
          </cell>
          <cell r="H549" t="str">
            <v>品牌直发</v>
          </cell>
          <cell r="I549">
            <v>0</v>
          </cell>
        </row>
        <row r="550">
          <cell r="D550">
            <v>124318426</v>
          </cell>
          <cell r="E550" t="str">
            <v>伯希和/PELLIOT</v>
          </cell>
          <cell r="F550" t="str">
            <v>内衣-内衣裤-保暖套装</v>
          </cell>
          <cell r="G550" t="str">
            <v>一品一商</v>
          </cell>
          <cell r="H550" t="str">
            <v>普通现货</v>
          </cell>
          <cell r="I550">
            <v>0</v>
          </cell>
        </row>
        <row r="551">
          <cell r="D551">
            <v>124408244</v>
          </cell>
          <cell r="E551" t="str">
            <v>伯希和/PELLIOT</v>
          </cell>
          <cell r="F551" t="str">
            <v>服装-外套-羽绒服</v>
          </cell>
          <cell r="G551" t="str">
            <v>一品多商</v>
          </cell>
          <cell r="H551" t="str">
            <v>品牌直发</v>
          </cell>
          <cell r="I551">
            <v>0</v>
          </cell>
        </row>
        <row r="552">
          <cell r="D552">
            <v>114306151</v>
          </cell>
          <cell r="E552" t="str">
            <v>伯希和/PELLIOT</v>
          </cell>
          <cell r="F552" t="str">
            <v>服装-外套-软壳衣</v>
          </cell>
          <cell r="G552" t="str">
            <v>一品多商</v>
          </cell>
          <cell r="H552" t="str">
            <v>品牌直发</v>
          </cell>
          <cell r="I552">
            <v>0</v>
          </cell>
        </row>
        <row r="553">
          <cell r="D553">
            <v>114401041</v>
          </cell>
          <cell r="E553" t="str">
            <v>伯希和/PELLIOT</v>
          </cell>
          <cell r="F553" t="str">
            <v>服装-外套-冲锋衣</v>
          </cell>
          <cell r="G553" t="str">
            <v>一品多商</v>
          </cell>
          <cell r="H553" t="str">
            <v>品牌直发</v>
          </cell>
          <cell r="I553">
            <v>0</v>
          </cell>
        </row>
        <row r="554">
          <cell r="D554" t="str">
            <v>11421551-SG51</v>
          </cell>
          <cell r="E554" t="str">
            <v>伯希和/PELLIOT</v>
          </cell>
          <cell r="F554" t="str">
            <v>服装-上衣-Polo衫</v>
          </cell>
          <cell r="G554" t="str">
            <v>一品一商</v>
          </cell>
          <cell r="H554" t="str">
            <v>品牌直发</v>
          </cell>
          <cell r="I554">
            <v>0</v>
          </cell>
        </row>
        <row r="555">
          <cell r="D555">
            <v>124376410</v>
          </cell>
          <cell r="E555" t="str">
            <v>伯希和/PELLIOT</v>
          </cell>
          <cell r="F555" t="str">
            <v>服装-外套-棉服</v>
          </cell>
          <cell r="G555" t="str">
            <v>一品多商</v>
          </cell>
          <cell r="H555" t="str">
            <v>品牌直发</v>
          </cell>
          <cell r="I555">
            <v>0</v>
          </cell>
        </row>
        <row r="556">
          <cell r="D556">
            <v>124419012</v>
          </cell>
          <cell r="E556" t="str">
            <v>伯希和/PELLIOT</v>
          </cell>
          <cell r="F556" t="str">
            <v>鞋-运动鞋-登山鞋/徒步鞋</v>
          </cell>
          <cell r="G556" t="str">
            <v>一品一商</v>
          </cell>
          <cell r="H556" t="str">
            <v>品牌直发</v>
          </cell>
          <cell r="I556">
            <v>0</v>
          </cell>
        </row>
        <row r="557">
          <cell r="D557">
            <v>114419011</v>
          </cell>
          <cell r="E557" t="str">
            <v>伯希和/PELLIOT</v>
          </cell>
          <cell r="F557" t="str">
            <v>鞋-运动鞋-登山鞋/徒步鞋</v>
          </cell>
          <cell r="G557" t="str">
            <v>一品一商</v>
          </cell>
          <cell r="H557" t="str">
            <v>品牌直发</v>
          </cell>
          <cell r="I557">
            <v>0</v>
          </cell>
        </row>
        <row r="558">
          <cell r="D558">
            <v>114311233</v>
          </cell>
          <cell r="E558" t="str">
            <v>伯希和/PELLIOT</v>
          </cell>
          <cell r="F558" t="str">
            <v>服装-户外运动服-抓绒裤</v>
          </cell>
          <cell r="G558" t="str">
            <v>一品多商</v>
          </cell>
          <cell r="H558" t="str">
            <v>品牌直发</v>
          </cell>
          <cell r="I558">
            <v>0</v>
          </cell>
        </row>
        <row r="559">
          <cell r="D559">
            <v>114408241</v>
          </cell>
          <cell r="E559" t="str">
            <v>伯希和/PELLIOT</v>
          </cell>
          <cell r="F559" t="str">
            <v>服装-外套-羽绒马甲</v>
          </cell>
          <cell r="G559" t="str">
            <v>一品多商</v>
          </cell>
          <cell r="H559" t="str">
            <v>品牌直发</v>
          </cell>
          <cell r="I559">
            <v>0</v>
          </cell>
        </row>
        <row r="560">
          <cell r="D560">
            <v>134408269</v>
          </cell>
          <cell r="E560" t="str">
            <v>伯希和/PELLIOT</v>
          </cell>
          <cell r="F560" t="str">
            <v>童装-儿童上装-羽绒服</v>
          </cell>
          <cell r="G560" t="str">
            <v>一品一商</v>
          </cell>
          <cell r="H560" t="str">
            <v>品牌直发</v>
          </cell>
          <cell r="I560">
            <v>0</v>
          </cell>
        </row>
        <row r="561">
          <cell r="D561">
            <v>124408268</v>
          </cell>
          <cell r="E561" t="str">
            <v>伯希和/PELLIOT</v>
          </cell>
          <cell r="F561" t="str">
            <v>女装-外套-羽绒服</v>
          </cell>
          <cell r="G561" t="str">
            <v>一品多商</v>
          </cell>
          <cell r="H561" t="str">
            <v>品牌直发</v>
          </cell>
          <cell r="I561">
            <v>0</v>
          </cell>
        </row>
        <row r="562">
          <cell r="D562">
            <v>114408245</v>
          </cell>
          <cell r="E562" t="str">
            <v>伯希和/PELLIOT</v>
          </cell>
          <cell r="F562" t="str">
            <v>服装-外套-羽绒马甲</v>
          </cell>
          <cell r="G562" t="str">
            <v>一品多商</v>
          </cell>
          <cell r="H562" t="str">
            <v>品牌直发</v>
          </cell>
          <cell r="I562">
            <v>0</v>
          </cell>
        </row>
        <row r="563">
          <cell r="D563">
            <v>124376130</v>
          </cell>
          <cell r="E563" t="str">
            <v>伯希和/PELLIOT</v>
          </cell>
          <cell r="F563" t="str">
            <v>女装-外套-棉服</v>
          </cell>
          <cell r="G563" t="str">
            <v>一品多商</v>
          </cell>
          <cell r="H563" t="str">
            <v>品牌直发</v>
          </cell>
          <cell r="I563">
            <v>0</v>
          </cell>
        </row>
        <row r="564">
          <cell r="D564">
            <v>114310189</v>
          </cell>
          <cell r="E564" t="str">
            <v>伯希和/PELLIOT</v>
          </cell>
          <cell r="F564" t="str">
            <v>服装-户外运动服-抓绒衣</v>
          </cell>
          <cell r="G564" t="str">
            <v>一品一商</v>
          </cell>
          <cell r="H564" t="str">
            <v>品牌直发</v>
          </cell>
          <cell r="I564">
            <v>0</v>
          </cell>
        </row>
        <row r="565">
          <cell r="D565">
            <v>124420014</v>
          </cell>
          <cell r="E565" t="str">
            <v>伯希和/PELLIOT</v>
          </cell>
          <cell r="F565" t="str">
            <v>鞋-潮流休闲鞋-生活休闲鞋</v>
          </cell>
          <cell r="G565" t="str">
            <v>一品一商</v>
          </cell>
          <cell r="H565" t="str">
            <v>品牌直发</v>
          </cell>
          <cell r="I565">
            <v>0</v>
          </cell>
        </row>
        <row r="566">
          <cell r="D566">
            <v>124315394</v>
          </cell>
          <cell r="E566" t="str">
            <v>伯希和/PELLIOT</v>
          </cell>
          <cell r="F566" t="str">
            <v>女装-上衣-T恤</v>
          </cell>
          <cell r="G566" t="str">
            <v>一品一商</v>
          </cell>
          <cell r="H566" t="str">
            <v>品牌直发</v>
          </cell>
          <cell r="I566">
            <v>0</v>
          </cell>
        </row>
        <row r="567">
          <cell r="D567">
            <v>124401010</v>
          </cell>
          <cell r="E567" t="str">
            <v>伯希和/PELLIOT</v>
          </cell>
          <cell r="F567" t="str">
            <v>女装-外套-冲锋衣</v>
          </cell>
          <cell r="G567" t="str">
            <v>一品一商</v>
          </cell>
          <cell r="H567" t="str">
            <v>品牌直发</v>
          </cell>
          <cell r="I567">
            <v>0</v>
          </cell>
        </row>
        <row r="568">
          <cell r="D568">
            <v>124307170</v>
          </cell>
          <cell r="E568" t="str">
            <v>伯希和/PELLIOT</v>
          </cell>
          <cell r="F568" t="str">
            <v>女装-长裤-软壳裤</v>
          </cell>
          <cell r="G568" t="str">
            <v>一品多商</v>
          </cell>
          <cell r="H568" t="str">
            <v>品牌直发</v>
          </cell>
          <cell r="I568">
            <v>0</v>
          </cell>
        </row>
        <row r="569">
          <cell r="D569">
            <v>114315393</v>
          </cell>
          <cell r="E569" t="str">
            <v>伯希和/PELLIOT</v>
          </cell>
          <cell r="F569" t="str">
            <v>服装-上衣-T恤</v>
          </cell>
          <cell r="G569" t="str">
            <v>一品多商</v>
          </cell>
          <cell r="H569" t="str">
            <v>品牌直发</v>
          </cell>
          <cell r="I569">
            <v>0</v>
          </cell>
        </row>
        <row r="570">
          <cell r="D570">
            <v>124318424</v>
          </cell>
          <cell r="E570" t="str">
            <v>伯希和/PELLIOT</v>
          </cell>
          <cell r="F570" t="str">
            <v>内衣-内衣裤-保暖套装</v>
          </cell>
          <cell r="G570" t="str">
            <v>一品一商</v>
          </cell>
          <cell r="H570" t="str">
            <v>品牌直发</v>
          </cell>
          <cell r="I570">
            <v>0</v>
          </cell>
        </row>
        <row r="571">
          <cell r="D571">
            <v>134307173</v>
          </cell>
          <cell r="E571" t="str">
            <v>伯希和/PELLIOT</v>
          </cell>
          <cell r="F571" t="str">
            <v>童装-儿童下装-儿童运动裤</v>
          </cell>
          <cell r="G571" t="str">
            <v>一品一商</v>
          </cell>
          <cell r="H571" t="str">
            <v>品牌直发</v>
          </cell>
          <cell r="I571">
            <v>0</v>
          </cell>
        </row>
        <row r="572">
          <cell r="D572">
            <v>134310199</v>
          </cell>
          <cell r="E572" t="str">
            <v>伯希和/PELLIOT</v>
          </cell>
          <cell r="F572" t="str">
            <v>童装-儿童上装-卫衣</v>
          </cell>
          <cell r="G572" t="str">
            <v>一品一商</v>
          </cell>
          <cell r="H572" t="str">
            <v>品牌直发</v>
          </cell>
          <cell r="I572">
            <v>0</v>
          </cell>
        </row>
        <row r="573">
          <cell r="D573">
            <v>124307162</v>
          </cell>
          <cell r="E573" t="str">
            <v>伯希和/PELLIOT</v>
          </cell>
          <cell r="F573" t="str">
            <v>女装-长裤-软壳裤</v>
          </cell>
          <cell r="G573" t="str">
            <v>一品多商</v>
          </cell>
          <cell r="H573" t="str">
            <v>品牌直发</v>
          </cell>
          <cell r="I573">
            <v>0</v>
          </cell>
        </row>
        <row r="574">
          <cell r="D574">
            <v>114376129</v>
          </cell>
          <cell r="E574" t="str">
            <v>伯希和/PELLIOT</v>
          </cell>
          <cell r="F574" t="str">
            <v>服装-外套-棉服</v>
          </cell>
          <cell r="G574" t="str">
            <v>一品多商</v>
          </cell>
          <cell r="H574" t="str">
            <v>品牌直发</v>
          </cell>
          <cell r="I574">
            <v>0</v>
          </cell>
        </row>
        <row r="575">
          <cell r="D575">
            <v>114301065</v>
          </cell>
          <cell r="E575" t="str">
            <v>伯希和/PELLIOT</v>
          </cell>
          <cell r="F575" t="str">
            <v>服装-外套-冲锋衣</v>
          </cell>
          <cell r="G575" t="str">
            <v>一品一商</v>
          </cell>
          <cell r="H575" t="str">
            <v>品牌直发</v>
          </cell>
          <cell r="I575">
            <v>0</v>
          </cell>
        </row>
        <row r="576">
          <cell r="D576">
            <v>134310200</v>
          </cell>
          <cell r="E576" t="str">
            <v>伯希和/PELLIOT</v>
          </cell>
          <cell r="F576" t="str">
            <v>童装-儿童上装-夹克</v>
          </cell>
          <cell r="G576" t="str">
            <v>一品一商</v>
          </cell>
          <cell r="H576" t="str">
            <v>品牌直发</v>
          </cell>
          <cell r="I576">
            <v>0</v>
          </cell>
        </row>
        <row r="577">
          <cell r="D577">
            <v>114307175</v>
          </cell>
          <cell r="E577" t="str">
            <v>伯希和/PELLIOT</v>
          </cell>
          <cell r="F577" t="str">
            <v>服装-长裤-软壳裤</v>
          </cell>
          <cell r="G577" t="str">
            <v>一品多商</v>
          </cell>
          <cell r="H577" t="str">
            <v>品牌直发</v>
          </cell>
          <cell r="I577">
            <v>0</v>
          </cell>
        </row>
        <row r="578">
          <cell r="D578">
            <v>114310201</v>
          </cell>
          <cell r="E578" t="str">
            <v>伯希和/PELLIOT</v>
          </cell>
          <cell r="F578" t="str">
            <v>服装-户外运动服-抓绒衣</v>
          </cell>
          <cell r="G578" t="str">
            <v>一品多商</v>
          </cell>
          <cell r="H578" t="str">
            <v>品牌直发</v>
          </cell>
          <cell r="I578">
            <v>0</v>
          </cell>
        </row>
        <row r="579">
          <cell r="D579">
            <v>11340305</v>
          </cell>
          <cell r="E579" t="str">
            <v>伯希和/PELLIOT</v>
          </cell>
          <cell r="F579" t="str">
            <v>服装-外套-棉服</v>
          </cell>
          <cell r="G579" t="str">
            <v>一品多商</v>
          </cell>
          <cell r="H579" t="str">
            <v>品牌直发</v>
          </cell>
          <cell r="I579">
            <v>0</v>
          </cell>
        </row>
        <row r="580">
          <cell r="D580">
            <v>114315385</v>
          </cell>
          <cell r="E580" t="str">
            <v>伯希和/PELLIOT</v>
          </cell>
          <cell r="F580" t="str">
            <v>服装-上衣-T恤</v>
          </cell>
          <cell r="G580" t="str">
            <v>一品多商</v>
          </cell>
          <cell r="H580" t="str">
            <v>品牌直发</v>
          </cell>
          <cell r="I580">
            <v>0</v>
          </cell>
        </row>
        <row r="581">
          <cell r="D581">
            <v>124315390</v>
          </cell>
          <cell r="E581" t="str">
            <v>伯希和/PELLIOT</v>
          </cell>
          <cell r="F581" t="str">
            <v>服装-户外运动服-速干衣</v>
          </cell>
          <cell r="G581" t="str">
            <v>一品一商</v>
          </cell>
          <cell r="H581" t="str">
            <v>品牌直发</v>
          </cell>
          <cell r="I581">
            <v>0</v>
          </cell>
        </row>
        <row r="582">
          <cell r="D582">
            <v>114314377</v>
          </cell>
          <cell r="E582" t="str">
            <v>伯希和/PELLIOT</v>
          </cell>
          <cell r="F582" t="str">
            <v>服装-长裤-软壳裤</v>
          </cell>
          <cell r="G582" t="str">
            <v>一品多商</v>
          </cell>
          <cell r="H582" t="str">
            <v>品牌直发</v>
          </cell>
          <cell r="I582">
            <v>0</v>
          </cell>
        </row>
        <row r="583">
          <cell r="D583">
            <v>124315386</v>
          </cell>
          <cell r="E583" t="str">
            <v>伯希和/PELLIOT</v>
          </cell>
          <cell r="F583" t="str">
            <v>女装-上衣-T恤</v>
          </cell>
          <cell r="G583" t="str">
            <v>一品一商</v>
          </cell>
          <cell r="H583" t="str">
            <v>品牌直发</v>
          </cell>
          <cell r="I583">
            <v>0</v>
          </cell>
        </row>
        <row r="584">
          <cell r="D584">
            <v>134301031</v>
          </cell>
          <cell r="E584" t="str">
            <v>伯希和/PELLIOT</v>
          </cell>
          <cell r="F584" t="str">
            <v>童装-儿童上装-冲锋衣</v>
          </cell>
          <cell r="G584" t="str">
            <v>一品一商</v>
          </cell>
          <cell r="H584" t="str">
            <v>品牌直发</v>
          </cell>
          <cell r="I584">
            <v>0</v>
          </cell>
        </row>
        <row r="585">
          <cell r="D585">
            <v>114307161</v>
          </cell>
          <cell r="E585" t="str">
            <v>伯希和/PELLIOT</v>
          </cell>
          <cell r="F585" t="str">
            <v>服装-长裤-软壳裤</v>
          </cell>
          <cell r="G585" t="str">
            <v>一品一商</v>
          </cell>
          <cell r="H585" t="str">
            <v>品牌直发</v>
          </cell>
          <cell r="I585">
            <v>0</v>
          </cell>
        </row>
        <row r="586">
          <cell r="D586" t="str">
            <v>PE114307167</v>
          </cell>
          <cell r="E586" t="str">
            <v>伯希和/PELLIOT</v>
          </cell>
          <cell r="F586" t="str">
            <v>服装-长裤-软壳裤</v>
          </cell>
          <cell r="G586" t="str">
            <v>一品多商</v>
          </cell>
          <cell r="H586" t="str">
            <v>品牌直发</v>
          </cell>
          <cell r="I586">
            <v>0</v>
          </cell>
        </row>
        <row r="587">
          <cell r="D587">
            <v>114307169</v>
          </cell>
          <cell r="E587" t="str">
            <v>伯希和/PELLIOT</v>
          </cell>
          <cell r="F587" t="str">
            <v>服装-长裤-软壳裤</v>
          </cell>
          <cell r="G587" t="str">
            <v>一品多商</v>
          </cell>
          <cell r="H587" t="str">
            <v>品牌直发</v>
          </cell>
          <cell r="I587">
            <v>0</v>
          </cell>
        </row>
        <row r="588">
          <cell r="D588" t="str">
            <v>PE124306150</v>
          </cell>
          <cell r="E588" t="str">
            <v>伯希和/PELLIOT</v>
          </cell>
          <cell r="F588" t="str">
            <v>女装-外套-软壳衣</v>
          </cell>
          <cell r="G588" t="str">
            <v>一品一商</v>
          </cell>
          <cell r="H588" t="str">
            <v>品牌直发</v>
          </cell>
          <cell r="I588">
            <v>0</v>
          </cell>
        </row>
        <row r="589">
          <cell r="D589">
            <v>12421552</v>
          </cell>
          <cell r="E589" t="str">
            <v>伯希和/PELLIOT</v>
          </cell>
          <cell r="F589" t="str">
            <v>女装-上衣-Polo衫</v>
          </cell>
          <cell r="G589" t="str">
            <v>一品一商</v>
          </cell>
          <cell r="H589" t="str">
            <v>品牌直发</v>
          </cell>
          <cell r="I589">
            <v>0</v>
          </cell>
        </row>
        <row r="590">
          <cell r="D590">
            <v>114306149</v>
          </cell>
          <cell r="E590" t="str">
            <v>伯希和/PELLIOT</v>
          </cell>
          <cell r="F590" t="str">
            <v>服装-外套-软壳衣</v>
          </cell>
          <cell r="G590" t="str">
            <v>一品多商</v>
          </cell>
          <cell r="H590" t="str">
            <v>品牌直发</v>
          </cell>
          <cell r="I590">
            <v>0</v>
          </cell>
        </row>
        <row r="591">
          <cell r="D591">
            <v>164334406</v>
          </cell>
          <cell r="E591" t="str">
            <v>伯希和/PELLIOT</v>
          </cell>
          <cell r="F591" t="str">
            <v>流行饰品/眼镜/服配-帽子-其他帽子</v>
          </cell>
          <cell r="G591" t="str">
            <v>一品一商</v>
          </cell>
          <cell r="H591" t="str">
            <v>品牌直发</v>
          </cell>
          <cell r="I591">
            <v>0</v>
          </cell>
        </row>
        <row r="592">
          <cell r="D592" t="str">
            <v>PE124301004</v>
          </cell>
          <cell r="E592" t="str">
            <v>伯希和/PELLIOT</v>
          </cell>
          <cell r="F592" t="str">
            <v>服装-外套-冲锋衣</v>
          </cell>
          <cell r="G592" t="str">
            <v>一品多商</v>
          </cell>
          <cell r="H592" t="str">
            <v>品牌直发</v>
          </cell>
          <cell r="I592">
            <v>0</v>
          </cell>
        </row>
        <row r="593">
          <cell r="D593" t="str">
            <v>PE124302082</v>
          </cell>
          <cell r="E593" t="str">
            <v>伯希和/PELLIOT</v>
          </cell>
          <cell r="F593" t="str">
            <v>女装-长裤-冲锋裤</v>
          </cell>
          <cell r="G593" t="str">
            <v>一品多商</v>
          </cell>
          <cell r="H593" t="str">
            <v>品牌直发</v>
          </cell>
          <cell r="I593">
            <v>0</v>
          </cell>
        </row>
        <row r="594">
          <cell r="D594" t="str">
            <v>PE114376127</v>
          </cell>
          <cell r="E594" t="str">
            <v>伯希和/PELLIOT</v>
          </cell>
          <cell r="F594" t="str">
            <v>服装-外套-马甲</v>
          </cell>
          <cell r="G594" t="str">
            <v>一品多商</v>
          </cell>
          <cell r="H594" t="str">
            <v>品牌直发</v>
          </cell>
          <cell r="I594">
            <v>0</v>
          </cell>
        </row>
        <row r="595">
          <cell r="D595">
            <v>124306148</v>
          </cell>
          <cell r="E595" t="str">
            <v>伯希和/PELLIOT</v>
          </cell>
          <cell r="F595" t="str">
            <v>女装-外套-软壳衣</v>
          </cell>
          <cell r="G595" t="str">
            <v>一品多商</v>
          </cell>
          <cell r="H595" t="str">
            <v>品牌直发</v>
          </cell>
          <cell r="I595">
            <v>0</v>
          </cell>
        </row>
        <row r="596">
          <cell r="D596" t="str">
            <v>PE114310183</v>
          </cell>
          <cell r="E596" t="str">
            <v>伯希和/PELLIOT</v>
          </cell>
          <cell r="F596" t="str">
            <v>服装-户外运动服-抓绒衣</v>
          </cell>
          <cell r="G596" t="str">
            <v>一品一商</v>
          </cell>
          <cell r="H596" t="str">
            <v>品牌直发</v>
          </cell>
          <cell r="I596">
            <v>0</v>
          </cell>
        </row>
        <row r="597">
          <cell r="D597" t="str">
            <v>PE124315382</v>
          </cell>
          <cell r="E597" t="str">
            <v>伯希和/PELLIOT</v>
          </cell>
          <cell r="F597" t="str">
            <v>女装-上衣-T恤</v>
          </cell>
          <cell r="G597" t="str">
            <v>一品一商</v>
          </cell>
          <cell r="H597" t="str">
            <v>品牌直发</v>
          </cell>
          <cell r="I597">
            <v>0</v>
          </cell>
        </row>
        <row r="598">
          <cell r="D598" t="str">
            <v>PE114301013</v>
          </cell>
          <cell r="E598" t="str">
            <v>伯希和/PELLIOT</v>
          </cell>
          <cell r="F598" t="str">
            <v>服装-外套-冲锋衣</v>
          </cell>
          <cell r="G598" t="str">
            <v>一品多商</v>
          </cell>
          <cell r="H598" t="str">
            <v>品牌直发</v>
          </cell>
          <cell r="I598">
            <v>0</v>
          </cell>
        </row>
        <row r="599">
          <cell r="D599" t="str">
            <v>PE114301011</v>
          </cell>
          <cell r="E599" t="str">
            <v>伯希和/PELLIOT</v>
          </cell>
          <cell r="F599" t="str">
            <v>服装-外套-冲锋衣</v>
          </cell>
          <cell r="G599" t="str">
            <v>一品多商</v>
          </cell>
          <cell r="H599" t="str">
            <v>品牌直发</v>
          </cell>
          <cell r="I599">
            <v>0</v>
          </cell>
        </row>
        <row r="600">
          <cell r="D600" t="str">
            <v>PE114302081</v>
          </cell>
          <cell r="E600" t="str">
            <v>伯希和/PELLIOT</v>
          </cell>
          <cell r="F600" t="str">
            <v>服装-长裤-冲锋裤</v>
          </cell>
          <cell r="G600" t="str">
            <v>一品多商</v>
          </cell>
          <cell r="H600" t="str">
            <v>品牌直发</v>
          </cell>
          <cell r="I600">
            <v>0</v>
          </cell>
        </row>
        <row r="601">
          <cell r="D601" t="str">
            <v>PE114351093</v>
          </cell>
          <cell r="E601" t="str">
            <v>伯希和/PELLIOT</v>
          </cell>
          <cell r="F601" t="str">
            <v>服装-外套-夹克</v>
          </cell>
          <cell r="G601" t="str">
            <v>一品多商</v>
          </cell>
          <cell r="H601" t="str">
            <v>品牌直发</v>
          </cell>
          <cell r="I601">
            <v>0</v>
          </cell>
        </row>
        <row r="602">
          <cell r="D602" t="str">
            <v>PE124319002</v>
          </cell>
          <cell r="E602" t="str">
            <v>伯希和/PELLIOT</v>
          </cell>
          <cell r="F602" t="str">
            <v>鞋-运动鞋-越野跑鞋</v>
          </cell>
          <cell r="G602" t="str">
            <v>一品多商</v>
          </cell>
          <cell r="H602" t="str">
            <v>品牌直发</v>
          </cell>
          <cell r="I602">
            <v>0</v>
          </cell>
        </row>
        <row r="603">
          <cell r="D603" t="str">
            <v>PE114306141</v>
          </cell>
          <cell r="E603" t="str">
            <v>伯希和/PELLIOT</v>
          </cell>
          <cell r="F603" t="str">
            <v>服装-外套-软壳衣</v>
          </cell>
          <cell r="G603" t="str">
            <v>一品一商</v>
          </cell>
          <cell r="H603" t="str">
            <v>品牌直发</v>
          </cell>
          <cell r="I603">
            <v>0</v>
          </cell>
        </row>
        <row r="604">
          <cell r="D604">
            <v>16402502</v>
          </cell>
          <cell r="E604" t="str">
            <v>伯希和/PELLIOT</v>
          </cell>
          <cell r="F604" t="str">
            <v>箱包-包袋-户外包</v>
          </cell>
          <cell r="G604" t="str">
            <v>一品一商</v>
          </cell>
          <cell r="H604" t="str">
            <v>品牌直发</v>
          </cell>
          <cell r="I604">
            <v>0</v>
          </cell>
        </row>
        <row r="605">
          <cell r="D605" t="str">
            <v>114419005女款</v>
          </cell>
          <cell r="E605" t="str">
            <v>伯希和/PELLIOT</v>
          </cell>
          <cell r="F605" t="str">
            <v>鞋-运动鞋-登山鞋/徒步鞋</v>
          </cell>
          <cell r="G605" t="str">
            <v>一品一商</v>
          </cell>
          <cell r="H605" t="str">
            <v>品牌直发</v>
          </cell>
          <cell r="I605">
            <v>0</v>
          </cell>
        </row>
        <row r="606">
          <cell r="D606" t="str">
            <v>114419005男款</v>
          </cell>
          <cell r="E606" t="str">
            <v>伯希和/PELLIOT</v>
          </cell>
          <cell r="F606" t="str">
            <v>鞋-运动鞋-登山鞋/徒步鞋</v>
          </cell>
          <cell r="G606" t="str">
            <v>一品一商</v>
          </cell>
          <cell r="H606" t="str">
            <v>品牌直发</v>
          </cell>
          <cell r="I606">
            <v>0</v>
          </cell>
        </row>
        <row r="607">
          <cell r="D607">
            <v>164035001</v>
          </cell>
          <cell r="E607" t="str">
            <v>伯希和/PELLIOT</v>
          </cell>
          <cell r="F607" t="str">
            <v>内衣-袜子-高筒袜</v>
          </cell>
          <cell r="G607" t="str">
            <v>一品一商</v>
          </cell>
          <cell r="H607" t="str">
            <v>品牌直发</v>
          </cell>
          <cell r="I607">
            <v>0</v>
          </cell>
        </row>
        <row r="608">
          <cell r="D608" t="str">
            <v>PE124314372</v>
          </cell>
          <cell r="E608" t="str">
            <v>伯希和/PELLIOT</v>
          </cell>
          <cell r="F608" t="str">
            <v>女装-户外运动服-速干裤</v>
          </cell>
          <cell r="G608" t="str">
            <v>一品一商</v>
          </cell>
          <cell r="H608" t="str">
            <v>品牌直发</v>
          </cell>
          <cell r="I608">
            <v>0</v>
          </cell>
        </row>
        <row r="609">
          <cell r="D609" t="str">
            <v>PE12410202</v>
          </cell>
          <cell r="E609" t="str">
            <v>伯希和/PELLIOT</v>
          </cell>
          <cell r="F609" t="str">
            <v>女装-长裤-冲锋裤</v>
          </cell>
          <cell r="G609" t="str">
            <v>一品多商</v>
          </cell>
          <cell r="H609" t="str">
            <v>品牌直发</v>
          </cell>
          <cell r="I609">
            <v>0</v>
          </cell>
        </row>
        <row r="610">
          <cell r="D610">
            <v>124351094</v>
          </cell>
          <cell r="E610" t="str">
            <v>伯希和/PELLIOT</v>
          </cell>
          <cell r="F610" t="str">
            <v>女装-外套-夹克</v>
          </cell>
          <cell r="G610" t="str">
            <v>一品一商</v>
          </cell>
          <cell r="H610" t="str">
            <v>品牌直发</v>
          </cell>
          <cell r="I610">
            <v>0</v>
          </cell>
        </row>
        <row r="611">
          <cell r="D611" t="str">
            <v>ys124101048</v>
          </cell>
          <cell r="E611" t="str">
            <v>伯希和/PELLIOT</v>
          </cell>
          <cell r="F611" t="str">
            <v>服装-外套-冲锋衣</v>
          </cell>
          <cell r="G611" t="str">
            <v>一品多商</v>
          </cell>
          <cell r="H611" t="str">
            <v>品牌直发</v>
          </cell>
          <cell r="I611">
            <v>0</v>
          </cell>
        </row>
        <row r="612">
          <cell r="D612">
            <v>114314375</v>
          </cell>
          <cell r="E612" t="str">
            <v>伯希和/PELLIOT</v>
          </cell>
          <cell r="F612" t="str">
            <v>服装-户外运动服-速干裤</v>
          </cell>
          <cell r="G612" t="str">
            <v>一品多商</v>
          </cell>
          <cell r="H612" t="str">
            <v>品牌直发</v>
          </cell>
          <cell r="I612">
            <v>0</v>
          </cell>
        </row>
        <row r="613">
          <cell r="D613">
            <v>124310190</v>
          </cell>
          <cell r="E613" t="str">
            <v>伯希和/PELLIOT</v>
          </cell>
          <cell r="F613" t="str">
            <v>女装-户外运动服-抓绒衣</v>
          </cell>
          <cell r="G613" t="str">
            <v>一品一商</v>
          </cell>
          <cell r="H613" t="str">
            <v>品牌直发</v>
          </cell>
          <cell r="I613">
            <v>0</v>
          </cell>
        </row>
        <row r="614">
          <cell r="D614">
            <v>124307168</v>
          </cell>
          <cell r="E614" t="str">
            <v>伯希和/PELLIOT</v>
          </cell>
          <cell r="F614" t="str">
            <v>女装-长裤-软壳裤</v>
          </cell>
          <cell r="G614" t="str">
            <v>一品一商</v>
          </cell>
          <cell r="H614" t="str">
            <v>品牌直发</v>
          </cell>
          <cell r="I614">
            <v>0</v>
          </cell>
        </row>
        <row r="615">
          <cell r="D615">
            <v>124351092</v>
          </cell>
          <cell r="E615" t="str">
            <v>伯希和/PELLIOT</v>
          </cell>
          <cell r="F615" t="str">
            <v>女装-外套-软壳衣</v>
          </cell>
          <cell r="G615" t="str">
            <v>一品多商</v>
          </cell>
          <cell r="H615" t="str">
            <v>品牌直发</v>
          </cell>
          <cell r="I615">
            <v>0</v>
          </cell>
        </row>
        <row r="616">
          <cell r="D616">
            <v>114301039</v>
          </cell>
          <cell r="E616" t="str">
            <v>伯希和/PELLIOT</v>
          </cell>
          <cell r="F616" t="str">
            <v>服装-外套-冲锋衣</v>
          </cell>
          <cell r="G616" t="str">
            <v>一品一商</v>
          </cell>
          <cell r="H616" t="str">
            <v>品牌直发</v>
          </cell>
          <cell r="I616">
            <v>0</v>
          </cell>
        </row>
        <row r="617">
          <cell r="D617">
            <v>124314374</v>
          </cell>
          <cell r="E617" t="str">
            <v>伯希和/PELLIOT</v>
          </cell>
          <cell r="F617" t="str">
            <v>女装-长裤-软壳裤</v>
          </cell>
          <cell r="G617" t="str">
            <v>一品一商</v>
          </cell>
          <cell r="H617" t="str">
            <v>品牌直发</v>
          </cell>
          <cell r="I617">
            <v>0</v>
          </cell>
        </row>
        <row r="618">
          <cell r="D618">
            <v>164334403</v>
          </cell>
          <cell r="E618" t="str">
            <v>伯希和/PELLIOT</v>
          </cell>
          <cell r="F618" t="str">
            <v>流行饰品/眼镜/服配-帽子-绒线帽</v>
          </cell>
          <cell r="G618" t="str">
            <v>一品一商</v>
          </cell>
          <cell r="H618" t="str">
            <v>品牌直发</v>
          </cell>
          <cell r="I618">
            <v>0</v>
          </cell>
        </row>
        <row r="619">
          <cell r="D619" t="str">
            <v>PE124301012</v>
          </cell>
          <cell r="E619" t="str">
            <v>伯希和/PELLIOT</v>
          </cell>
          <cell r="F619" t="str">
            <v>女装-外套-冲锋衣</v>
          </cell>
          <cell r="G619" t="str">
            <v>一品一商</v>
          </cell>
          <cell r="H619" t="str">
            <v>品牌直发</v>
          </cell>
          <cell r="I619">
            <v>0</v>
          </cell>
        </row>
        <row r="620">
          <cell r="D620" t="str">
            <v>PE124301014</v>
          </cell>
          <cell r="E620" t="str">
            <v>伯希和/PELLIOT</v>
          </cell>
          <cell r="F620" t="str">
            <v>女装-外套-冲锋衣</v>
          </cell>
          <cell r="G620" t="str">
            <v>一品多商</v>
          </cell>
          <cell r="H620" t="str">
            <v>品牌直发</v>
          </cell>
          <cell r="I620">
            <v>0</v>
          </cell>
        </row>
        <row r="621">
          <cell r="D621">
            <v>134334002</v>
          </cell>
          <cell r="E621" t="str">
            <v>伯希和/PELLIOT</v>
          </cell>
          <cell r="F621" t="str">
            <v>流行饰品/眼镜/服配-帽子-雷锋帽</v>
          </cell>
          <cell r="G621" t="str">
            <v>一品一商</v>
          </cell>
          <cell r="H621" t="str">
            <v>品牌直发</v>
          </cell>
          <cell r="I621">
            <v>0</v>
          </cell>
        </row>
        <row r="622">
          <cell r="D622">
            <v>116243501</v>
          </cell>
          <cell r="E622" t="str">
            <v>伯希和/PELLIOT</v>
          </cell>
          <cell r="F622" t="str">
            <v>内衣-袜子-中筒袜</v>
          </cell>
          <cell r="G622" t="str">
            <v>一品一商</v>
          </cell>
          <cell r="H622" t="str">
            <v>品牌直发</v>
          </cell>
          <cell r="I622">
            <v>0</v>
          </cell>
        </row>
        <row r="623">
          <cell r="D623">
            <v>164025003</v>
          </cell>
          <cell r="E623" t="str">
            <v>伯希和/PELLIOT</v>
          </cell>
          <cell r="F623" t="str">
            <v>箱包-包袋-户外包</v>
          </cell>
          <cell r="G623" t="str">
            <v>一品一商</v>
          </cell>
          <cell r="H623" t="str">
            <v>品牌直发</v>
          </cell>
          <cell r="I623">
            <v>0</v>
          </cell>
        </row>
        <row r="624">
          <cell r="D624">
            <v>164334402</v>
          </cell>
          <cell r="E624" t="str">
            <v>伯希和/PELLIOT</v>
          </cell>
          <cell r="F624" t="str">
            <v>流行饰品/眼镜/服配-帽子-绒线帽</v>
          </cell>
          <cell r="G624" t="str">
            <v>一品一商</v>
          </cell>
          <cell r="H624" t="str">
            <v>品牌直发</v>
          </cell>
          <cell r="I624">
            <v>0</v>
          </cell>
        </row>
        <row r="625">
          <cell r="D625">
            <v>114314371</v>
          </cell>
          <cell r="E625" t="str">
            <v>伯希和/PELLIOT</v>
          </cell>
          <cell r="F625" t="str">
            <v>服装-户外运动服-速干裤</v>
          </cell>
          <cell r="G625" t="str">
            <v>一品一商</v>
          </cell>
          <cell r="H625" t="str">
            <v>品牌直发</v>
          </cell>
          <cell r="I625">
            <v>0</v>
          </cell>
        </row>
        <row r="626">
          <cell r="D626">
            <v>114314373</v>
          </cell>
          <cell r="E626" t="str">
            <v>伯希和/PELLIOT</v>
          </cell>
          <cell r="F626" t="str">
            <v>服装-户外运动服-速干裤</v>
          </cell>
          <cell r="G626" t="str">
            <v>一品一商</v>
          </cell>
          <cell r="H626" t="str">
            <v>品牌直发</v>
          </cell>
          <cell r="I626">
            <v>0</v>
          </cell>
        </row>
        <row r="627">
          <cell r="D627">
            <v>124307166</v>
          </cell>
          <cell r="E627" t="str">
            <v>伯希和/PELLIOT</v>
          </cell>
          <cell r="F627" t="str">
            <v>女装-长裤-软壳裤</v>
          </cell>
          <cell r="G627" t="str">
            <v>一品多商</v>
          </cell>
          <cell r="H627" t="str">
            <v>品牌直发</v>
          </cell>
          <cell r="I627">
            <v>0</v>
          </cell>
        </row>
        <row r="628">
          <cell r="D628">
            <v>114310203</v>
          </cell>
          <cell r="E628" t="str">
            <v>伯希和/PELLIOT</v>
          </cell>
          <cell r="F628" t="str">
            <v>服装-户外运动服-抓绒衣</v>
          </cell>
          <cell r="G628" t="str">
            <v>一品多商</v>
          </cell>
          <cell r="H628" t="str">
            <v>品牌直发</v>
          </cell>
          <cell r="I628">
            <v>0</v>
          </cell>
        </row>
        <row r="629">
          <cell r="D629">
            <v>114306143</v>
          </cell>
          <cell r="E629" t="str">
            <v>伯希和/PELLIOT</v>
          </cell>
          <cell r="F629" t="str">
            <v>服装-外套-软壳衣</v>
          </cell>
          <cell r="G629" t="str">
            <v>一品一商</v>
          </cell>
          <cell r="H629" t="str">
            <v>品牌直发</v>
          </cell>
          <cell r="I629">
            <v>0</v>
          </cell>
        </row>
        <row r="630">
          <cell r="D630">
            <v>114302083</v>
          </cell>
          <cell r="E630" t="str">
            <v>伯希和/PELLIOT</v>
          </cell>
          <cell r="F630" t="str">
            <v>服装-长裤-冲锋裤</v>
          </cell>
          <cell r="G630" t="str">
            <v>一品多商</v>
          </cell>
          <cell r="H630" t="str">
            <v>品牌直发</v>
          </cell>
          <cell r="I630">
            <v>0</v>
          </cell>
        </row>
        <row r="631">
          <cell r="D631">
            <v>114307165</v>
          </cell>
          <cell r="E631" t="str">
            <v>伯希和/PELLIOT</v>
          </cell>
          <cell r="F631" t="str">
            <v>服装-长裤-软壳裤</v>
          </cell>
          <cell r="G631" t="str">
            <v>一品一商</v>
          </cell>
          <cell r="H631" t="str">
            <v>品牌直发</v>
          </cell>
          <cell r="I631">
            <v>0</v>
          </cell>
        </row>
        <row r="632">
          <cell r="D632">
            <v>114307163</v>
          </cell>
          <cell r="E632" t="str">
            <v>伯希和/PELLIOT</v>
          </cell>
          <cell r="F632" t="str">
            <v>服装-长裤-软壳裤</v>
          </cell>
          <cell r="G632" t="str">
            <v>一品多商</v>
          </cell>
          <cell r="H632" t="str">
            <v>品牌直发</v>
          </cell>
          <cell r="I632">
            <v>0</v>
          </cell>
        </row>
        <row r="633">
          <cell r="D633">
            <v>124307164</v>
          </cell>
          <cell r="E633" t="str">
            <v>伯希和/PELLIOT</v>
          </cell>
          <cell r="F633" t="str">
            <v>女装-长裤-软壳裤</v>
          </cell>
          <cell r="G633" t="str">
            <v>一品一商</v>
          </cell>
          <cell r="H633" t="str">
            <v>品牌直发</v>
          </cell>
          <cell r="I633">
            <v>0</v>
          </cell>
        </row>
        <row r="634">
          <cell r="D634">
            <v>114311231</v>
          </cell>
          <cell r="E634" t="str">
            <v>伯希和/PELLIOT</v>
          </cell>
          <cell r="F634" t="str">
            <v>服装-长裤-休闲裤</v>
          </cell>
          <cell r="G634" t="str">
            <v>一品一商</v>
          </cell>
          <cell r="H634" t="str">
            <v>品牌直发</v>
          </cell>
          <cell r="I634">
            <v>0</v>
          </cell>
        </row>
        <row r="635">
          <cell r="D635">
            <v>16843502</v>
          </cell>
          <cell r="E635" t="str">
            <v>伯希和/PELLIOT</v>
          </cell>
          <cell r="F635" t="str">
            <v>内衣-袜子-中筒袜</v>
          </cell>
          <cell r="G635" t="str">
            <v>一品一商</v>
          </cell>
          <cell r="H635" t="str">
            <v>品牌直发</v>
          </cell>
          <cell r="I635">
            <v>0</v>
          </cell>
        </row>
        <row r="636">
          <cell r="D636">
            <v>12421414</v>
          </cell>
          <cell r="E636" t="str">
            <v>伯希和/PELLIOT</v>
          </cell>
          <cell r="F636" t="str">
            <v>女装-户外运动服-速干裤</v>
          </cell>
          <cell r="G636" t="str">
            <v>一品多商</v>
          </cell>
          <cell r="H636" t="str">
            <v>品牌直发</v>
          </cell>
          <cell r="I636">
            <v>0</v>
          </cell>
        </row>
        <row r="637">
          <cell r="D637">
            <v>12421512</v>
          </cell>
          <cell r="E637" t="str">
            <v>伯希和/PELLIOT</v>
          </cell>
          <cell r="F637" t="str">
            <v>女装-户外运动服-速干T恤</v>
          </cell>
          <cell r="G637" t="str">
            <v>一品一商</v>
          </cell>
          <cell r="H637" t="str">
            <v>品牌直发</v>
          </cell>
          <cell r="I637">
            <v>0</v>
          </cell>
        </row>
        <row r="638">
          <cell r="D638">
            <v>12421510</v>
          </cell>
          <cell r="E638" t="str">
            <v>伯希和/PELLIOT</v>
          </cell>
          <cell r="F638" t="str">
            <v>女装-上衣-T恤</v>
          </cell>
          <cell r="G638" t="str">
            <v>一品一商</v>
          </cell>
          <cell r="H638" t="str">
            <v>品牌直发</v>
          </cell>
          <cell r="I638">
            <v>0</v>
          </cell>
        </row>
        <row r="639">
          <cell r="D639">
            <v>124311232</v>
          </cell>
          <cell r="E639" t="str">
            <v>伯希和/PELLIOT</v>
          </cell>
          <cell r="F639" t="str">
            <v>女装-户外运动服-抓绒裤</v>
          </cell>
          <cell r="G639" t="str">
            <v>一品一商</v>
          </cell>
          <cell r="H639" t="str">
            <v>品牌直发</v>
          </cell>
          <cell r="I639">
            <v>0</v>
          </cell>
        </row>
        <row r="640">
          <cell r="D640">
            <v>16402506</v>
          </cell>
          <cell r="E640" t="str">
            <v>伯希和/PELLIOT</v>
          </cell>
          <cell r="F640" t="str">
            <v>箱包-包袋-户外包</v>
          </cell>
          <cell r="G640" t="str">
            <v>一品多商</v>
          </cell>
          <cell r="H640" t="str">
            <v>品牌直发</v>
          </cell>
          <cell r="I640">
            <v>0</v>
          </cell>
        </row>
        <row r="641">
          <cell r="D641" t="str">
            <v>PE13415145</v>
          </cell>
          <cell r="E641" t="str">
            <v>伯希和/PELLIOT</v>
          </cell>
          <cell r="F641" t="str">
            <v>童装-儿童上装-其他上装</v>
          </cell>
          <cell r="G641" t="str">
            <v>一品一商</v>
          </cell>
          <cell r="H641" t="str">
            <v>品牌直发</v>
          </cell>
          <cell r="I641">
            <v>0</v>
          </cell>
        </row>
        <row r="642">
          <cell r="D642" t="str">
            <v>PE13421430</v>
          </cell>
          <cell r="E642" t="str">
            <v>伯希和/PELLIOT</v>
          </cell>
          <cell r="F642" t="str">
            <v>童装-儿童下装-卫裤</v>
          </cell>
          <cell r="G642" t="str">
            <v>一品一商</v>
          </cell>
          <cell r="H642" t="str">
            <v>品牌直发</v>
          </cell>
          <cell r="I642">
            <v>0</v>
          </cell>
        </row>
        <row r="643">
          <cell r="D643" t="str">
            <v>PE13421431</v>
          </cell>
          <cell r="E643" t="str">
            <v>伯希和/PELLIOT</v>
          </cell>
          <cell r="F643" t="str">
            <v>童装-儿童下装-短裤</v>
          </cell>
          <cell r="G643" t="str">
            <v>一品一商</v>
          </cell>
          <cell r="H643" t="str">
            <v>品牌直发</v>
          </cell>
          <cell r="I643">
            <v>0</v>
          </cell>
        </row>
        <row r="644">
          <cell r="D644">
            <v>13421235</v>
          </cell>
          <cell r="E644" t="str">
            <v>伯希和/PELLIOT</v>
          </cell>
          <cell r="F644" t="str">
            <v>童装-儿童上装-防晒衣</v>
          </cell>
          <cell r="G644" t="str">
            <v>一品一商</v>
          </cell>
          <cell r="H644" t="str">
            <v>品牌直发</v>
          </cell>
          <cell r="I644">
            <v>0</v>
          </cell>
        </row>
        <row r="645">
          <cell r="D645">
            <v>164026422</v>
          </cell>
          <cell r="E645" t="str">
            <v>伯希和/PELLIOT</v>
          </cell>
          <cell r="F645" t="str">
            <v>箱包-包袋-户外包</v>
          </cell>
          <cell r="G645" t="str">
            <v>一品一商</v>
          </cell>
          <cell r="H645" t="str">
            <v>品牌直发</v>
          </cell>
          <cell r="I645">
            <v>0</v>
          </cell>
        </row>
        <row r="646">
          <cell r="D646">
            <v>124222002</v>
          </cell>
          <cell r="E646" t="str">
            <v>伯希和/PELLIOT</v>
          </cell>
          <cell r="F646" t="str">
            <v>鞋-运动鞋-登山鞋/徒步鞋</v>
          </cell>
          <cell r="G646" t="str">
            <v>一品一商</v>
          </cell>
          <cell r="H646" t="str">
            <v>品牌直发</v>
          </cell>
          <cell r="I646">
            <v>0</v>
          </cell>
        </row>
        <row r="647">
          <cell r="D647">
            <v>13421546</v>
          </cell>
          <cell r="E647" t="str">
            <v>伯希和/PELLIOT</v>
          </cell>
          <cell r="F647" t="str">
            <v>童装-儿童上装-T恤</v>
          </cell>
          <cell r="G647" t="str">
            <v>一品一商</v>
          </cell>
          <cell r="H647" t="str">
            <v>品牌直发</v>
          </cell>
          <cell r="I647">
            <v>0</v>
          </cell>
        </row>
        <row r="648">
          <cell r="D648">
            <v>124301032</v>
          </cell>
          <cell r="E648" t="str">
            <v>伯希和/PELLIOT</v>
          </cell>
          <cell r="F648" t="str">
            <v>女装-外套-冲锋衣</v>
          </cell>
          <cell r="G648" t="str">
            <v>一品多商</v>
          </cell>
          <cell r="H648" t="str">
            <v>品牌直发</v>
          </cell>
          <cell r="I648">
            <v>0</v>
          </cell>
        </row>
        <row r="649">
          <cell r="D649">
            <v>114301033</v>
          </cell>
          <cell r="E649" t="str">
            <v>伯希和/PELLIOT</v>
          </cell>
          <cell r="F649" t="str">
            <v>服装-外套-冲锋衣</v>
          </cell>
          <cell r="G649" t="str">
            <v>一品多商</v>
          </cell>
          <cell r="H649" t="str">
            <v>品牌直发</v>
          </cell>
          <cell r="I649">
            <v>0</v>
          </cell>
        </row>
        <row r="650">
          <cell r="D650">
            <v>124301030</v>
          </cell>
          <cell r="E650" t="str">
            <v>伯希和/PELLIOT</v>
          </cell>
          <cell r="F650" t="str">
            <v>女装-外套-冲锋衣</v>
          </cell>
          <cell r="G650" t="str">
            <v>一品多商</v>
          </cell>
          <cell r="H650" t="str">
            <v>品牌直发</v>
          </cell>
          <cell r="I650">
            <v>0</v>
          </cell>
        </row>
        <row r="651">
          <cell r="D651" t="str">
            <v>PE124101060</v>
          </cell>
          <cell r="E651" t="str">
            <v>伯希和/PELLIOT</v>
          </cell>
          <cell r="F651" t="str">
            <v>女装-外套-冲锋衣</v>
          </cell>
          <cell r="G651" t="str">
            <v>一品一商</v>
          </cell>
          <cell r="H651" t="str">
            <v>品牌直发</v>
          </cell>
          <cell r="I651">
            <v>0</v>
          </cell>
        </row>
        <row r="652">
          <cell r="D652">
            <v>114101059</v>
          </cell>
          <cell r="E652" t="str">
            <v>伯希和/PELLIOT</v>
          </cell>
          <cell r="F652" t="str">
            <v>服装-外套-冲锋衣</v>
          </cell>
          <cell r="G652" t="str">
            <v>一品一商</v>
          </cell>
          <cell r="H652" t="str">
            <v>品牌直发</v>
          </cell>
          <cell r="I652">
            <v>0</v>
          </cell>
        </row>
        <row r="653">
          <cell r="D653">
            <v>112321516</v>
          </cell>
          <cell r="E653" t="str">
            <v>伯希和/PELLIOT</v>
          </cell>
          <cell r="F653" t="str">
            <v>女装-上衣-Polo衫</v>
          </cell>
          <cell r="G653" t="str">
            <v>一品一商</v>
          </cell>
          <cell r="H653" t="str">
            <v>品牌直发</v>
          </cell>
          <cell r="I653">
            <v>0</v>
          </cell>
        </row>
        <row r="654">
          <cell r="D654">
            <v>113240815</v>
          </cell>
          <cell r="E654" t="str">
            <v>伯希和/PELLIOT</v>
          </cell>
          <cell r="F654" t="str">
            <v>童装-儿童上装-羽绒服</v>
          </cell>
          <cell r="G654" t="str">
            <v>一品一商</v>
          </cell>
          <cell r="H654" t="str">
            <v>品牌直发</v>
          </cell>
          <cell r="I654">
            <v>0</v>
          </cell>
        </row>
        <row r="655">
          <cell r="D655">
            <v>114301087</v>
          </cell>
          <cell r="E655" t="str">
            <v>伯希和/PELLIOT</v>
          </cell>
          <cell r="F655" t="str">
            <v>服装-外套-冲锋衣</v>
          </cell>
          <cell r="G655" t="str">
            <v>一品多商</v>
          </cell>
          <cell r="H655" t="str">
            <v>品牌直发</v>
          </cell>
          <cell r="I655">
            <v>0</v>
          </cell>
        </row>
        <row r="656">
          <cell r="D656">
            <v>111040303</v>
          </cell>
          <cell r="E656" t="str">
            <v>伯希和/PELLIOT</v>
          </cell>
          <cell r="F656" t="str">
            <v>服装-户外运动服-登山服</v>
          </cell>
          <cell r="G656" t="str">
            <v>一品一商</v>
          </cell>
          <cell r="H656" t="str">
            <v>品牌直发</v>
          </cell>
          <cell r="I656">
            <v>0</v>
          </cell>
        </row>
        <row r="657">
          <cell r="D657">
            <v>124301006</v>
          </cell>
          <cell r="E657" t="str">
            <v>伯希和/PELLIOT</v>
          </cell>
          <cell r="F657" t="str">
            <v>服装-外套-冲锋衣</v>
          </cell>
          <cell r="G657" t="str">
            <v>一品多商</v>
          </cell>
          <cell r="H657" t="str">
            <v>品牌直发</v>
          </cell>
          <cell r="I657">
            <v>0</v>
          </cell>
        </row>
        <row r="658">
          <cell r="D658">
            <v>112340158</v>
          </cell>
          <cell r="E658" t="str">
            <v>伯希和/PELLIOT</v>
          </cell>
          <cell r="F658" t="str">
            <v>女装-外套-冲锋衣</v>
          </cell>
          <cell r="G658" t="str">
            <v>一品一商</v>
          </cell>
          <cell r="H658" t="str">
            <v>品牌直发</v>
          </cell>
          <cell r="I658">
            <v>0</v>
          </cell>
        </row>
        <row r="659">
          <cell r="D659">
            <v>16702609</v>
          </cell>
          <cell r="E659" t="str">
            <v>伯希和/PELLIOT</v>
          </cell>
          <cell r="F659" t="str">
            <v>箱包-包袋-手机包</v>
          </cell>
          <cell r="G659" t="str">
            <v>一品一商</v>
          </cell>
          <cell r="H659" t="str">
            <v>品牌直发</v>
          </cell>
          <cell r="I659">
            <v>0</v>
          </cell>
        </row>
        <row r="660">
          <cell r="D660">
            <v>16702618</v>
          </cell>
          <cell r="E660" t="str">
            <v>伯希和/PELLIOT</v>
          </cell>
          <cell r="F660" t="str">
            <v>箱包-包袋-出行收纳包</v>
          </cell>
          <cell r="G660" t="str">
            <v>一品一商</v>
          </cell>
          <cell r="H660" t="str">
            <v>品牌直发</v>
          </cell>
          <cell r="I660">
            <v>0</v>
          </cell>
        </row>
        <row r="661">
          <cell r="D661">
            <v>113140132</v>
          </cell>
          <cell r="E661" t="str">
            <v>伯希和/PELLIOT</v>
          </cell>
          <cell r="F661" t="str">
            <v>童装-儿童上装-冲锋衣</v>
          </cell>
          <cell r="G661" t="str">
            <v>一品一商</v>
          </cell>
          <cell r="H661" t="str">
            <v>品牌直发</v>
          </cell>
          <cell r="I661">
            <v>0</v>
          </cell>
        </row>
        <row r="662">
          <cell r="D662">
            <v>114301029</v>
          </cell>
          <cell r="E662" t="str">
            <v>伯希和/PELLIOT</v>
          </cell>
          <cell r="F662" t="str">
            <v>服装-外套-冲锋衣</v>
          </cell>
          <cell r="G662" t="str">
            <v>一品多商</v>
          </cell>
          <cell r="H662" t="str">
            <v>品牌直发</v>
          </cell>
          <cell r="I662">
            <v>0</v>
          </cell>
        </row>
        <row r="663">
          <cell r="D663">
            <v>124301002</v>
          </cell>
          <cell r="E663" t="str">
            <v>伯希和/PELLIOT</v>
          </cell>
          <cell r="F663" t="str">
            <v>女装-外套-冲锋衣</v>
          </cell>
          <cell r="G663" t="str">
            <v>一品多商</v>
          </cell>
          <cell r="H663" t="str">
            <v>品牌直发</v>
          </cell>
          <cell r="I663">
            <v>0</v>
          </cell>
        </row>
        <row r="664">
          <cell r="D664">
            <v>114301001</v>
          </cell>
          <cell r="E664" t="str">
            <v>伯希和/PELLIOT</v>
          </cell>
          <cell r="F664" t="str">
            <v>服装-外套-冲锋衣</v>
          </cell>
          <cell r="G664" t="str">
            <v>一品多商</v>
          </cell>
          <cell r="H664" t="str">
            <v>品牌直发</v>
          </cell>
          <cell r="I664">
            <v>0</v>
          </cell>
        </row>
        <row r="665">
          <cell r="D665">
            <v>124301024</v>
          </cell>
          <cell r="E665" t="str">
            <v>伯希和/PELLIOT</v>
          </cell>
          <cell r="F665" t="str">
            <v>女装-外套-冲锋衣</v>
          </cell>
          <cell r="G665" t="str">
            <v>一品多商</v>
          </cell>
          <cell r="H665" t="str">
            <v>品牌直发</v>
          </cell>
          <cell r="I665">
            <v>0</v>
          </cell>
        </row>
        <row r="666">
          <cell r="D666">
            <v>114301023</v>
          </cell>
          <cell r="E666" t="str">
            <v>伯希和/PELLIOT</v>
          </cell>
          <cell r="F666" t="str">
            <v>服装-外套-冲锋衣</v>
          </cell>
          <cell r="G666" t="str">
            <v>一品多商</v>
          </cell>
          <cell r="H666" t="str">
            <v>品牌直发</v>
          </cell>
          <cell r="I666">
            <v>0</v>
          </cell>
        </row>
        <row r="667">
          <cell r="D667">
            <v>112331010</v>
          </cell>
          <cell r="E667" t="str">
            <v>伯希和/PELLIOT</v>
          </cell>
          <cell r="F667" t="str">
            <v>女装-户外运动服-抓绒衣</v>
          </cell>
          <cell r="G667" t="str">
            <v>一品一商</v>
          </cell>
          <cell r="H667" t="str">
            <v>品牌直发</v>
          </cell>
          <cell r="I667">
            <v>0</v>
          </cell>
        </row>
        <row r="668">
          <cell r="D668">
            <v>111331805</v>
          </cell>
          <cell r="E668" t="str">
            <v>伯希和/PELLIOT</v>
          </cell>
          <cell r="F668" t="str">
            <v>内衣-内衣裤-保暖套装</v>
          </cell>
          <cell r="G668" t="str">
            <v>一品一商</v>
          </cell>
          <cell r="H668" t="str">
            <v>品牌直发</v>
          </cell>
          <cell r="I668">
            <v>0</v>
          </cell>
        </row>
        <row r="669">
          <cell r="D669">
            <v>112331026</v>
          </cell>
          <cell r="E669" t="str">
            <v>伯希和/PELLIOT</v>
          </cell>
          <cell r="F669" t="str">
            <v>女装-户外运动服-抓绒衣</v>
          </cell>
          <cell r="G669" t="str">
            <v>一品一商</v>
          </cell>
          <cell r="H669" t="str">
            <v>品牌直发</v>
          </cell>
          <cell r="I669">
            <v>0</v>
          </cell>
        </row>
        <row r="670">
          <cell r="D670">
            <v>111421301</v>
          </cell>
          <cell r="E670" t="str">
            <v>伯希和/PELLIOT</v>
          </cell>
          <cell r="F670" t="str">
            <v>服装-上衣-衬衫</v>
          </cell>
          <cell r="G670" t="str">
            <v>一品一商</v>
          </cell>
          <cell r="H670" t="str">
            <v>品牌直发</v>
          </cell>
          <cell r="I670">
            <v>0</v>
          </cell>
        </row>
        <row r="671">
          <cell r="D671">
            <v>12415104</v>
          </cell>
          <cell r="E671" t="str">
            <v>伯希和/PELLIOT</v>
          </cell>
          <cell r="F671" t="str">
            <v>女装-外套-软壳衣</v>
          </cell>
          <cell r="G671" t="str">
            <v>一品一商</v>
          </cell>
          <cell r="H671" t="str">
            <v>品牌直发</v>
          </cell>
          <cell r="I671">
            <v>0</v>
          </cell>
        </row>
        <row r="672">
          <cell r="D672">
            <v>11415103</v>
          </cell>
          <cell r="E672" t="str">
            <v>伯希和/PELLIOT</v>
          </cell>
          <cell r="F672" t="str">
            <v>服装-户外运动服-风壳</v>
          </cell>
          <cell r="G672" t="str">
            <v>一品多商</v>
          </cell>
          <cell r="H672" t="str">
            <v>品牌直发</v>
          </cell>
          <cell r="I672">
            <v>0</v>
          </cell>
        </row>
        <row r="673">
          <cell r="D673">
            <v>12421216</v>
          </cell>
          <cell r="E673" t="str">
            <v>伯希和/PELLIOT</v>
          </cell>
          <cell r="F673" t="str">
            <v>女装-外套-防晒服</v>
          </cell>
          <cell r="G673" t="str">
            <v>一品多商</v>
          </cell>
          <cell r="H673" t="str">
            <v>品牌直发</v>
          </cell>
          <cell r="I673">
            <v>0</v>
          </cell>
        </row>
        <row r="674">
          <cell r="D674">
            <v>12421428</v>
          </cell>
          <cell r="E674" t="str">
            <v>伯希和/PELLIOT</v>
          </cell>
          <cell r="F674" t="str">
            <v>服装-长裤-工装裤</v>
          </cell>
          <cell r="G674" t="str">
            <v>一品一商</v>
          </cell>
          <cell r="H674" t="str">
            <v>品牌直发</v>
          </cell>
          <cell r="I674">
            <v>0</v>
          </cell>
        </row>
        <row r="675">
          <cell r="D675">
            <v>11421419</v>
          </cell>
          <cell r="E675" t="str">
            <v>伯希和/PELLIOT</v>
          </cell>
          <cell r="F675" t="str">
            <v>服装-健身服-运动短裤</v>
          </cell>
          <cell r="G675" t="str">
            <v>一品一商</v>
          </cell>
          <cell r="H675" t="str">
            <v>品牌直发</v>
          </cell>
          <cell r="I675">
            <v>0</v>
          </cell>
        </row>
        <row r="676">
          <cell r="D676">
            <v>11421301</v>
          </cell>
          <cell r="E676" t="str">
            <v>伯希和/PELLIOT</v>
          </cell>
          <cell r="F676" t="str">
            <v>服装-上衣-衬衫</v>
          </cell>
          <cell r="G676" t="str">
            <v>一品一商</v>
          </cell>
          <cell r="H676" t="str">
            <v>品牌直发</v>
          </cell>
          <cell r="I676">
            <v>0</v>
          </cell>
        </row>
        <row r="677">
          <cell r="D677">
            <v>16402608</v>
          </cell>
          <cell r="E677" t="str">
            <v>伯希和/PELLIOT</v>
          </cell>
          <cell r="F677" t="str">
            <v>箱包-包袋-手拿包</v>
          </cell>
          <cell r="G677" t="str">
            <v>一品一商</v>
          </cell>
          <cell r="H677" t="str">
            <v>品牌直发</v>
          </cell>
          <cell r="I677">
            <v>0</v>
          </cell>
        </row>
        <row r="678">
          <cell r="D678" t="str">
            <v>11340105-CF05</v>
          </cell>
          <cell r="E678" t="str">
            <v>伯希和/PELLIOT</v>
          </cell>
          <cell r="F678" t="str">
            <v>服装-外套-冲锋衣</v>
          </cell>
          <cell r="G678" t="str">
            <v>一品多商</v>
          </cell>
          <cell r="H678" t="str">
            <v>品牌直发</v>
          </cell>
          <cell r="I678">
            <v>0</v>
          </cell>
        </row>
        <row r="679">
          <cell r="D679">
            <v>12111901</v>
          </cell>
          <cell r="E679" t="str">
            <v>伯希和/PELLIOT</v>
          </cell>
          <cell r="F679" t="str">
            <v>鞋-运动鞋-跑步鞋</v>
          </cell>
          <cell r="G679" t="str">
            <v>一品一商</v>
          </cell>
          <cell r="H679" t="str">
            <v>品牌直发</v>
          </cell>
          <cell r="I679">
            <v>0</v>
          </cell>
        </row>
        <row r="680">
          <cell r="D680">
            <v>12331902</v>
          </cell>
          <cell r="E680" t="str">
            <v>伯希和/PELLIOT</v>
          </cell>
          <cell r="F680" t="str">
            <v>鞋-运动鞋-登山鞋/徒步鞋</v>
          </cell>
          <cell r="G680" t="str">
            <v>一品一商</v>
          </cell>
          <cell r="H680" t="str">
            <v>品牌直发</v>
          </cell>
          <cell r="I680">
            <v>0</v>
          </cell>
        </row>
        <row r="681">
          <cell r="D681">
            <v>11111905</v>
          </cell>
          <cell r="E681" t="str">
            <v>伯希和/PELLIOT</v>
          </cell>
          <cell r="F681" t="str">
            <v>鞋-运动鞋-跑步鞋</v>
          </cell>
          <cell r="G681" t="str">
            <v>一品一商</v>
          </cell>
          <cell r="H681" t="str">
            <v>品牌直发</v>
          </cell>
          <cell r="I681">
            <v>0</v>
          </cell>
        </row>
        <row r="682">
          <cell r="D682">
            <v>11411907</v>
          </cell>
          <cell r="E682" t="str">
            <v>伯希和/PELLIOT</v>
          </cell>
          <cell r="F682" t="str">
            <v>鞋-运动鞋-登山鞋/徒步鞋</v>
          </cell>
          <cell r="G682" t="str">
            <v>一品一商</v>
          </cell>
          <cell r="H682" t="str">
            <v>品牌直发</v>
          </cell>
          <cell r="I682">
            <v>0</v>
          </cell>
        </row>
        <row r="683">
          <cell r="D683">
            <v>12422004</v>
          </cell>
          <cell r="E683" t="str">
            <v>伯希和/PELLIOT</v>
          </cell>
          <cell r="F683" t="str">
            <v>鞋-运动鞋-户外功能鞋</v>
          </cell>
          <cell r="G683" t="str">
            <v>一品一商</v>
          </cell>
          <cell r="H683" t="str">
            <v>品牌直发</v>
          </cell>
          <cell r="I683">
            <v>0</v>
          </cell>
        </row>
        <row r="684">
          <cell r="D684">
            <v>12421238</v>
          </cell>
          <cell r="E684" t="str">
            <v>伯希和/PELLIOT</v>
          </cell>
          <cell r="F684" t="str">
            <v>女装-外套-防晒服</v>
          </cell>
          <cell r="G684" t="str">
            <v>一品一商</v>
          </cell>
          <cell r="H684" t="str">
            <v>品牌直发</v>
          </cell>
          <cell r="I684">
            <v>0</v>
          </cell>
        </row>
        <row r="685">
          <cell r="D685">
            <v>12422002</v>
          </cell>
          <cell r="E685" t="str">
            <v>伯希和/PELLIOT</v>
          </cell>
          <cell r="F685" t="str">
            <v>鞋-运动鞋-户外功能鞋</v>
          </cell>
          <cell r="G685" t="str">
            <v>一品多商</v>
          </cell>
          <cell r="H685" t="str">
            <v>品牌直发</v>
          </cell>
          <cell r="I685">
            <v>0</v>
          </cell>
        </row>
        <row r="686">
          <cell r="D686">
            <v>11011901</v>
          </cell>
          <cell r="E686" t="str">
            <v>伯希和/PELLIOT</v>
          </cell>
          <cell r="F686" t="str">
            <v>鞋-运动鞋-跑步鞋</v>
          </cell>
          <cell r="G686" t="str">
            <v>一品一商</v>
          </cell>
          <cell r="H686" t="str">
            <v>品牌直发</v>
          </cell>
          <cell r="I686">
            <v>0</v>
          </cell>
        </row>
        <row r="687">
          <cell r="D687">
            <v>12022104</v>
          </cell>
          <cell r="E687" t="str">
            <v>伯希和/PELLIOT</v>
          </cell>
          <cell r="F687" t="str">
            <v>鞋-运动鞋-户外功能鞋</v>
          </cell>
          <cell r="G687" t="str">
            <v>一品一商</v>
          </cell>
          <cell r="H687" t="str">
            <v>品牌直发</v>
          </cell>
          <cell r="I687">
            <v>0</v>
          </cell>
        </row>
        <row r="688">
          <cell r="D688">
            <v>16123406</v>
          </cell>
          <cell r="E688" t="str">
            <v>伯希和/PELLIOT</v>
          </cell>
          <cell r="F688" t="str">
            <v>流行饰品/眼镜/服配-帽子-鸭舌帽</v>
          </cell>
          <cell r="G688" t="str">
            <v>一品一商</v>
          </cell>
          <cell r="H688" t="str">
            <v>品牌直发</v>
          </cell>
          <cell r="I688">
            <v>0</v>
          </cell>
        </row>
        <row r="689">
          <cell r="D689">
            <v>1116023410</v>
          </cell>
          <cell r="E689" t="str">
            <v>伯希和/PELLIOT</v>
          </cell>
          <cell r="F689" t="str">
            <v>流行饰品/眼镜/服配-防晒服配-防晒帽</v>
          </cell>
          <cell r="G689" t="str">
            <v>一品一商</v>
          </cell>
          <cell r="H689" t="str">
            <v>品牌直发</v>
          </cell>
          <cell r="I689">
            <v>0</v>
          </cell>
        </row>
        <row r="690">
          <cell r="D690">
            <v>12421410</v>
          </cell>
          <cell r="E690" t="str">
            <v>伯希和/PELLIOT</v>
          </cell>
          <cell r="F690" t="str">
            <v>女装-户外运动服-速干裤</v>
          </cell>
          <cell r="G690" t="str">
            <v>一品一商</v>
          </cell>
          <cell r="H690" t="str">
            <v>品牌直发</v>
          </cell>
          <cell r="I690">
            <v>0</v>
          </cell>
        </row>
        <row r="691">
          <cell r="D691">
            <v>12411402</v>
          </cell>
          <cell r="E691" t="str">
            <v>伯希和/PELLIOT</v>
          </cell>
          <cell r="F691" t="str">
            <v>女装-长裤-软壳裤</v>
          </cell>
          <cell r="G691" t="str">
            <v>一品一商</v>
          </cell>
          <cell r="H691" t="str">
            <v>品牌直发</v>
          </cell>
          <cell r="I691">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heet1"/>
    </sheetNames>
    <sheetDataSet>
      <sheetData sheetId="0">
        <row r="1">
          <cell r="D1" t="str">
            <v>商品货号</v>
          </cell>
          <cell r="E1" t="str">
            <v>品牌名称</v>
          </cell>
          <cell r="F1" t="str">
            <v>类目名称</v>
          </cell>
          <cell r="G1" t="str">
            <v>商品类型</v>
          </cell>
          <cell r="H1" t="str">
            <v>出价渠道</v>
          </cell>
          <cell r="I1" t="str">
            <v>支付金额</v>
          </cell>
        </row>
        <row r="2">
          <cell r="D2">
            <v>11421507</v>
          </cell>
          <cell r="E2" t="str">
            <v>伯希和/PELLIOT</v>
          </cell>
          <cell r="F2" t="str">
            <v>服装-上衣-Polo衫</v>
          </cell>
          <cell r="G2" t="str">
            <v>一品多商</v>
          </cell>
          <cell r="H2" t="str">
            <v>品牌直发</v>
          </cell>
          <cell r="I2">
            <v>9469</v>
          </cell>
        </row>
        <row r="3">
          <cell r="D3">
            <v>11421509</v>
          </cell>
          <cell r="E3" t="str">
            <v>伯希和/PELLIOT</v>
          </cell>
          <cell r="F3" t="str">
            <v>服装-上衣-T恤</v>
          </cell>
          <cell r="G3" t="str">
            <v>一品多商</v>
          </cell>
          <cell r="H3" t="str">
            <v>品牌直发</v>
          </cell>
          <cell r="I3">
            <v>3595</v>
          </cell>
        </row>
        <row r="4">
          <cell r="D4">
            <v>16402503</v>
          </cell>
          <cell r="E4" t="str">
            <v>伯希和/PELLIOT</v>
          </cell>
          <cell r="F4" t="str">
            <v>箱包-包袋-户外包</v>
          </cell>
          <cell r="G4" t="str">
            <v>一品多商</v>
          </cell>
          <cell r="H4" t="str">
            <v>品牌直发</v>
          </cell>
          <cell r="I4">
            <v>5443</v>
          </cell>
        </row>
        <row r="5">
          <cell r="D5">
            <v>115215019</v>
          </cell>
          <cell r="E5" t="str">
            <v>伯希和/PELLIOT</v>
          </cell>
          <cell r="F5" t="str">
            <v>服装-上衣-Polo衫</v>
          </cell>
          <cell r="G5" t="str">
            <v>一品多商</v>
          </cell>
          <cell r="H5" t="str">
            <v>品牌直发</v>
          </cell>
          <cell r="I5">
            <v>3105</v>
          </cell>
        </row>
        <row r="6">
          <cell r="D6">
            <v>11421415</v>
          </cell>
          <cell r="E6" t="str">
            <v>伯希和/PELLIOT</v>
          </cell>
          <cell r="F6" t="str">
            <v>服装-户外运动服-速干裤</v>
          </cell>
          <cell r="G6" t="str">
            <v>一品多商</v>
          </cell>
          <cell r="H6" t="str">
            <v>品牌直发</v>
          </cell>
          <cell r="I6">
            <v>3828</v>
          </cell>
        </row>
        <row r="7">
          <cell r="D7">
            <v>12421220</v>
          </cell>
          <cell r="E7" t="str">
            <v>伯希和/PELLIOT</v>
          </cell>
          <cell r="F7" t="str">
            <v>服装-外套-防晒服</v>
          </cell>
          <cell r="G7" t="str">
            <v>一品多商</v>
          </cell>
          <cell r="H7" t="str">
            <v>品牌直发</v>
          </cell>
          <cell r="I7">
            <v>4492.46</v>
          </cell>
        </row>
        <row r="8">
          <cell r="D8" t="str">
            <v>x1622</v>
          </cell>
          <cell r="E8" t="str">
            <v>伯希和/PELLIOT</v>
          </cell>
          <cell r="F8" t="str">
            <v>流行饰品/眼镜/服配-帽子-渔夫帽</v>
          </cell>
          <cell r="G8" t="str">
            <v>一品一商</v>
          </cell>
          <cell r="H8" t="str">
            <v>品牌直发</v>
          </cell>
          <cell r="I8">
            <v>1110</v>
          </cell>
        </row>
        <row r="9">
          <cell r="D9">
            <v>11321405</v>
          </cell>
          <cell r="E9" t="str">
            <v>伯希和/PELLIOT</v>
          </cell>
          <cell r="F9" t="str">
            <v>服装-户外运动服-速干裤</v>
          </cell>
          <cell r="G9" t="str">
            <v>一品多商</v>
          </cell>
          <cell r="H9" t="str">
            <v>品牌直发</v>
          </cell>
          <cell r="I9">
            <v>2852</v>
          </cell>
        </row>
        <row r="10">
          <cell r="D10">
            <v>115214024</v>
          </cell>
          <cell r="E10" t="str">
            <v>伯希和/PELLIOT</v>
          </cell>
          <cell r="F10" t="str">
            <v>服装-户外运动服-速干裤</v>
          </cell>
          <cell r="G10" t="str">
            <v>一品多商</v>
          </cell>
          <cell r="H10" t="str">
            <v>品牌直发</v>
          </cell>
          <cell r="I10">
            <v>2439</v>
          </cell>
        </row>
        <row r="11">
          <cell r="D11">
            <v>115215025</v>
          </cell>
          <cell r="E11" t="str">
            <v>伯希和/PELLIOT</v>
          </cell>
          <cell r="F11" t="str">
            <v>服装-户外运动服-速干T恤</v>
          </cell>
          <cell r="G11" t="str">
            <v>一品多商</v>
          </cell>
          <cell r="H11" t="str">
            <v>品牌直发</v>
          </cell>
          <cell r="I11">
            <v>3051</v>
          </cell>
        </row>
        <row r="12">
          <cell r="D12">
            <v>12421534</v>
          </cell>
          <cell r="E12" t="str">
            <v>伯希和/PELLIOT</v>
          </cell>
          <cell r="F12" t="str">
            <v>女装-上衣-Polo衫</v>
          </cell>
          <cell r="G12" t="str">
            <v>一品多商</v>
          </cell>
          <cell r="H12" t="str">
            <v>品牌直发</v>
          </cell>
          <cell r="I12">
            <v>2544</v>
          </cell>
        </row>
        <row r="13">
          <cell r="D13">
            <v>115215045</v>
          </cell>
          <cell r="E13" t="str">
            <v>伯希和/PELLIOT</v>
          </cell>
          <cell r="F13" t="str">
            <v>服装-上衣-T恤</v>
          </cell>
          <cell r="G13" t="str">
            <v>一品一商</v>
          </cell>
          <cell r="H13" t="str">
            <v>品牌直发</v>
          </cell>
          <cell r="I13">
            <v>1274</v>
          </cell>
        </row>
        <row r="14">
          <cell r="D14">
            <v>16403404</v>
          </cell>
          <cell r="E14" t="str">
            <v>伯希和/PELLIOT</v>
          </cell>
          <cell r="F14" t="str">
            <v>流行饰品/眼镜/服配-帽子-鸭舌帽</v>
          </cell>
          <cell r="G14" t="str">
            <v>一品一商</v>
          </cell>
          <cell r="H14" t="str">
            <v>品牌直发</v>
          </cell>
          <cell r="I14">
            <v>477</v>
          </cell>
        </row>
        <row r="15">
          <cell r="D15">
            <v>12421440</v>
          </cell>
          <cell r="E15" t="str">
            <v>伯希和/PELLIOT</v>
          </cell>
          <cell r="F15" t="str">
            <v>服装-健身服-运动短裤</v>
          </cell>
          <cell r="G15" t="str">
            <v>一品多商</v>
          </cell>
          <cell r="H15" t="str">
            <v>品牌直发</v>
          </cell>
          <cell r="I15">
            <v>1562</v>
          </cell>
        </row>
        <row r="16">
          <cell r="D16">
            <v>115215047</v>
          </cell>
          <cell r="E16" t="str">
            <v>伯希和/PELLIOT</v>
          </cell>
          <cell r="F16" t="str">
            <v>服装-上衣-T恤</v>
          </cell>
          <cell r="G16" t="str">
            <v>一品一商</v>
          </cell>
          <cell r="H16" t="str">
            <v>品牌直发</v>
          </cell>
          <cell r="I16">
            <v>822</v>
          </cell>
        </row>
        <row r="17">
          <cell r="D17">
            <v>115214021</v>
          </cell>
          <cell r="E17" t="str">
            <v>伯希和/PELLIOT</v>
          </cell>
          <cell r="F17" t="str">
            <v>服装-户外运动服-速干裤</v>
          </cell>
          <cell r="G17" t="str">
            <v>一品多商</v>
          </cell>
          <cell r="H17" t="str">
            <v>品牌直发</v>
          </cell>
          <cell r="I17">
            <v>1989</v>
          </cell>
        </row>
        <row r="18">
          <cell r="D18">
            <v>115214005</v>
          </cell>
          <cell r="E18" t="str">
            <v>伯希和/PELLIOT</v>
          </cell>
          <cell r="F18" t="str">
            <v>服装-户外运动服-速干裤</v>
          </cell>
          <cell r="G18" t="str">
            <v>一品多商</v>
          </cell>
          <cell r="H18" t="str">
            <v>品牌直发</v>
          </cell>
          <cell r="I18">
            <v>1871</v>
          </cell>
        </row>
        <row r="19">
          <cell r="D19" t="str">
            <v>11340105-新加色</v>
          </cell>
          <cell r="E19" t="str">
            <v>伯希和/PELLIOT</v>
          </cell>
          <cell r="F19" t="str">
            <v>服装-外套-冲锋衣</v>
          </cell>
          <cell r="G19" t="str">
            <v>一品多商</v>
          </cell>
          <cell r="H19" t="str">
            <v>品牌直发</v>
          </cell>
          <cell r="I19">
            <v>3781</v>
          </cell>
        </row>
        <row r="20">
          <cell r="D20">
            <v>115214025</v>
          </cell>
          <cell r="E20" t="str">
            <v>伯希和/PELLIOT</v>
          </cell>
          <cell r="F20" t="str">
            <v>服装-户外运动服-速干裤</v>
          </cell>
          <cell r="G20" t="str">
            <v>一品多商</v>
          </cell>
          <cell r="H20" t="str">
            <v>品牌直发</v>
          </cell>
          <cell r="I20">
            <v>1426</v>
          </cell>
        </row>
        <row r="21">
          <cell r="D21">
            <v>12321218</v>
          </cell>
          <cell r="E21" t="str">
            <v>伯希和/PELLIOT</v>
          </cell>
          <cell r="F21" t="str">
            <v>女装-外套-防晒服</v>
          </cell>
          <cell r="G21" t="str">
            <v>一品多商</v>
          </cell>
          <cell r="H21" t="str">
            <v>品牌直发</v>
          </cell>
          <cell r="I21">
            <v>733</v>
          </cell>
        </row>
        <row r="22">
          <cell r="D22">
            <v>115181001</v>
          </cell>
          <cell r="E22" t="str">
            <v>伯希和/PELLIOT</v>
          </cell>
          <cell r="F22" t="str">
            <v>鞋-运动鞋-登山鞋/徒步鞋</v>
          </cell>
          <cell r="G22" t="str">
            <v>一品多商</v>
          </cell>
          <cell r="H22" t="str">
            <v>品牌直发</v>
          </cell>
          <cell r="I22">
            <v>3150</v>
          </cell>
        </row>
        <row r="23">
          <cell r="D23">
            <v>116202507</v>
          </cell>
          <cell r="E23" t="str">
            <v>伯希和/PELLIOT</v>
          </cell>
          <cell r="F23" t="str">
            <v>箱包-包袋-户外包</v>
          </cell>
          <cell r="G23" t="str">
            <v>一品多商</v>
          </cell>
          <cell r="H23" t="str">
            <v>品牌直发</v>
          </cell>
          <cell r="I23">
            <v>1897</v>
          </cell>
        </row>
        <row r="24">
          <cell r="D24">
            <v>11421533</v>
          </cell>
          <cell r="E24" t="str">
            <v>伯希和/PELLIOT</v>
          </cell>
          <cell r="F24" t="str">
            <v>服装-上衣-Polo衫</v>
          </cell>
          <cell r="G24" t="str">
            <v>一品多商</v>
          </cell>
          <cell r="H24" t="str">
            <v>品牌直发</v>
          </cell>
          <cell r="I24">
            <v>1232</v>
          </cell>
        </row>
        <row r="25">
          <cell r="D25">
            <v>11340105</v>
          </cell>
          <cell r="E25" t="str">
            <v>伯希和/PELLIOT</v>
          </cell>
          <cell r="F25" t="str">
            <v>服装-外套-冲锋衣</v>
          </cell>
          <cell r="G25" t="str">
            <v>一品多商</v>
          </cell>
          <cell r="H25" t="str">
            <v>品牌直发</v>
          </cell>
          <cell r="I25">
            <v>2350</v>
          </cell>
        </row>
        <row r="26">
          <cell r="D26">
            <v>115220021</v>
          </cell>
          <cell r="E26" t="str">
            <v>伯希和/PELLIOT</v>
          </cell>
          <cell r="F26" t="str">
            <v>鞋-凉鞋/拖鞋-溯溪鞋</v>
          </cell>
          <cell r="G26" t="str">
            <v>一品一商</v>
          </cell>
          <cell r="H26" t="str">
            <v>品牌直发</v>
          </cell>
          <cell r="I26">
            <v>2074</v>
          </cell>
        </row>
        <row r="27">
          <cell r="D27">
            <v>12421250</v>
          </cell>
          <cell r="E27" t="str">
            <v>伯希和/PELLIOT</v>
          </cell>
          <cell r="F27" t="str">
            <v>女装-外套-防晒服</v>
          </cell>
          <cell r="G27" t="str">
            <v>一品多商</v>
          </cell>
          <cell r="H27" t="str">
            <v>品牌直发</v>
          </cell>
          <cell r="I27">
            <v>787</v>
          </cell>
        </row>
        <row r="28">
          <cell r="D28">
            <v>11421201</v>
          </cell>
          <cell r="E28" t="str">
            <v>伯希和/PELLIOT</v>
          </cell>
          <cell r="F28" t="str">
            <v>服装-外套-防晒服</v>
          </cell>
          <cell r="G28" t="str">
            <v>一品多商</v>
          </cell>
          <cell r="H28" t="str">
            <v>品牌直发</v>
          </cell>
          <cell r="I28">
            <v>848</v>
          </cell>
        </row>
        <row r="29">
          <cell r="D29" t="str">
            <v>12340164-新加色</v>
          </cell>
          <cell r="E29" t="str">
            <v>伯希和/PELLIOT</v>
          </cell>
          <cell r="F29" t="str">
            <v>服装-外套-冲锋衣</v>
          </cell>
          <cell r="G29" t="str">
            <v>一品多商</v>
          </cell>
          <cell r="H29" t="str">
            <v>品牌直发</v>
          </cell>
          <cell r="I29">
            <v>2645</v>
          </cell>
        </row>
        <row r="30">
          <cell r="D30">
            <v>11340821</v>
          </cell>
          <cell r="E30" t="str">
            <v>伯希和/PELLIOT</v>
          </cell>
          <cell r="F30" t="str">
            <v>服装-外套-羽绒服</v>
          </cell>
          <cell r="G30" t="str">
            <v>一品多商</v>
          </cell>
          <cell r="H30" t="str">
            <v>品牌直发</v>
          </cell>
          <cell r="I30">
            <v>2294</v>
          </cell>
        </row>
        <row r="31">
          <cell r="D31">
            <v>115116021</v>
          </cell>
          <cell r="E31" t="str">
            <v>伯希和/PELLIOT</v>
          </cell>
          <cell r="F31" t="str">
            <v>服装-上衣-T恤</v>
          </cell>
          <cell r="G31" t="str">
            <v>一品多商</v>
          </cell>
          <cell r="H31" t="str">
            <v>品牌直发</v>
          </cell>
          <cell r="I31">
            <v>557</v>
          </cell>
        </row>
        <row r="32">
          <cell r="D32">
            <v>165041001</v>
          </cell>
          <cell r="E32" t="str">
            <v>伯希和/PELLIOT</v>
          </cell>
          <cell r="F32" t="str">
            <v>流行饰品/眼镜/服配-防晒服配-防晒脖套</v>
          </cell>
          <cell r="G32" t="str">
            <v>一品一商</v>
          </cell>
          <cell r="H32" t="str">
            <v>品牌直发</v>
          </cell>
          <cell r="I32">
            <v>116</v>
          </cell>
        </row>
        <row r="33">
          <cell r="D33">
            <v>125214022</v>
          </cell>
          <cell r="E33" t="str">
            <v>伯希和/PELLIOT</v>
          </cell>
          <cell r="F33" t="str">
            <v>女装-户外运动服-速干裤</v>
          </cell>
          <cell r="G33" t="str">
            <v>一品一商</v>
          </cell>
          <cell r="H33" t="str">
            <v>品牌直发</v>
          </cell>
          <cell r="I33">
            <v>952.52</v>
          </cell>
        </row>
        <row r="34">
          <cell r="D34">
            <v>115107003</v>
          </cell>
          <cell r="E34" t="str">
            <v>伯希和/PELLIOT</v>
          </cell>
          <cell r="F34" t="str">
            <v>服装-长裤-软壳裤</v>
          </cell>
          <cell r="G34" t="str">
            <v>一品多商</v>
          </cell>
          <cell r="H34" t="str">
            <v>品牌直发</v>
          </cell>
          <cell r="I34">
            <v>2090.86</v>
          </cell>
        </row>
        <row r="35">
          <cell r="D35">
            <v>11421241</v>
          </cell>
          <cell r="E35" t="str">
            <v>伯希和/PELLIOT</v>
          </cell>
          <cell r="F35" t="str">
            <v>服装-外套-防晒服</v>
          </cell>
          <cell r="G35" t="str">
            <v>一品多商</v>
          </cell>
          <cell r="H35" t="str">
            <v>品牌直发</v>
          </cell>
          <cell r="I35">
            <v>486</v>
          </cell>
        </row>
        <row r="36">
          <cell r="D36">
            <v>12421254</v>
          </cell>
          <cell r="E36" t="str">
            <v>伯希和/PELLIOT</v>
          </cell>
          <cell r="F36" t="str">
            <v>女装-外套-防晒服</v>
          </cell>
          <cell r="G36" t="str">
            <v>一品多商</v>
          </cell>
          <cell r="H36" t="str">
            <v>品牌直发</v>
          </cell>
          <cell r="I36">
            <v>623</v>
          </cell>
        </row>
        <row r="37">
          <cell r="D37">
            <v>11410201</v>
          </cell>
          <cell r="E37" t="str">
            <v>伯希和/PELLIOT</v>
          </cell>
          <cell r="F37" t="str">
            <v>服装-长裤-冲锋裤</v>
          </cell>
          <cell r="G37" t="str">
            <v>一品多商</v>
          </cell>
          <cell r="H37" t="str">
            <v>品牌直发</v>
          </cell>
          <cell r="I37">
            <v>1348</v>
          </cell>
        </row>
        <row r="38">
          <cell r="D38">
            <v>12340106</v>
          </cell>
          <cell r="E38" t="str">
            <v>伯希和/PELLIOT</v>
          </cell>
          <cell r="F38" t="str">
            <v>女装-外套-冲锋衣</v>
          </cell>
          <cell r="G38" t="str">
            <v>一品多商</v>
          </cell>
          <cell r="H38" t="str">
            <v>品牌直发</v>
          </cell>
          <cell r="I38">
            <v>1415</v>
          </cell>
        </row>
        <row r="39">
          <cell r="D39">
            <v>125215020</v>
          </cell>
          <cell r="E39" t="str">
            <v>伯希和/PELLIOT</v>
          </cell>
          <cell r="F39" t="str">
            <v>女装-上衣-Polo衫</v>
          </cell>
          <cell r="G39" t="str">
            <v>一品多商</v>
          </cell>
          <cell r="H39" t="str">
            <v>品牌直发</v>
          </cell>
          <cell r="I39">
            <v>508</v>
          </cell>
        </row>
        <row r="40">
          <cell r="D40">
            <v>135101022</v>
          </cell>
          <cell r="E40" t="str">
            <v>伯希和/PELLIOT</v>
          </cell>
          <cell r="F40" t="str">
            <v>童装-儿童上装-冲锋衣</v>
          </cell>
          <cell r="G40" t="str">
            <v>一品一商</v>
          </cell>
          <cell r="H40" t="str">
            <v>品牌直发</v>
          </cell>
          <cell r="I40">
            <v>970</v>
          </cell>
        </row>
        <row r="41">
          <cell r="D41" t="str">
            <v>124101048-新加色</v>
          </cell>
          <cell r="E41" t="str">
            <v>伯希和/PELLIOT</v>
          </cell>
          <cell r="F41" t="str">
            <v>服装-外套-冲锋衣</v>
          </cell>
          <cell r="G41" t="str">
            <v>一品多商</v>
          </cell>
          <cell r="H41" t="str">
            <v>品牌直发</v>
          </cell>
          <cell r="I41">
            <v>2039</v>
          </cell>
        </row>
        <row r="42">
          <cell r="D42">
            <v>114310191</v>
          </cell>
          <cell r="E42" t="str">
            <v>伯希和/PELLIOT</v>
          </cell>
          <cell r="F42" t="str">
            <v>服装-户外运动服-抓绒衣</v>
          </cell>
          <cell r="G42" t="str">
            <v>一品多商</v>
          </cell>
          <cell r="H42" t="str">
            <v>品牌直发</v>
          </cell>
          <cell r="I42">
            <v>993</v>
          </cell>
        </row>
        <row r="43">
          <cell r="D43">
            <v>114401041</v>
          </cell>
          <cell r="E43" t="str">
            <v>伯希和/PELLIOT</v>
          </cell>
          <cell r="F43" t="str">
            <v>服装-外套-冲锋衣</v>
          </cell>
          <cell r="G43" t="str">
            <v>一品多商</v>
          </cell>
          <cell r="H43" t="str">
            <v>品牌直发</v>
          </cell>
          <cell r="I43">
            <v>2903</v>
          </cell>
        </row>
        <row r="44">
          <cell r="D44" t="str">
            <v>PE124314376</v>
          </cell>
          <cell r="E44" t="str">
            <v>伯希和/PELLIOT</v>
          </cell>
          <cell r="F44" t="str">
            <v>服装-户外运动服-速干裤</v>
          </cell>
          <cell r="G44" t="str">
            <v>一品多商</v>
          </cell>
          <cell r="H44" t="str">
            <v>品牌直发</v>
          </cell>
          <cell r="I44">
            <v>1047</v>
          </cell>
        </row>
        <row r="45">
          <cell r="D45" t="str">
            <v>PE1124101048</v>
          </cell>
          <cell r="E45" t="str">
            <v>伯希和/PELLIOT</v>
          </cell>
          <cell r="F45" t="str">
            <v>服装-外套-冲锋衣</v>
          </cell>
          <cell r="G45" t="str">
            <v>一品多商</v>
          </cell>
          <cell r="H45" t="str">
            <v>品牌直发</v>
          </cell>
          <cell r="I45">
            <v>2013</v>
          </cell>
        </row>
        <row r="46">
          <cell r="D46">
            <v>12425112</v>
          </cell>
          <cell r="E46" t="str">
            <v>伯希和/PELLIOT</v>
          </cell>
          <cell r="F46" t="str">
            <v>女装-外套-防晒服</v>
          </cell>
          <cell r="G46" t="str">
            <v>一品多商</v>
          </cell>
          <cell r="H46" t="str">
            <v>品牌直发</v>
          </cell>
          <cell r="I46">
            <v>455</v>
          </cell>
        </row>
        <row r="47">
          <cell r="D47">
            <v>11331801</v>
          </cell>
          <cell r="E47" t="str">
            <v>伯希和/PELLIOT</v>
          </cell>
          <cell r="F47" t="str">
            <v>内衣-内衣裤-保暖套装</v>
          </cell>
          <cell r="G47" t="str">
            <v>一品多商</v>
          </cell>
          <cell r="H47" t="str">
            <v>品牌直发</v>
          </cell>
          <cell r="I47">
            <v>516</v>
          </cell>
        </row>
        <row r="48">
          <cell r="D48">
            <v>114408281</v>
          </cell>
          <cell r="E48" t="str">
            <v>伯希和/PELLIOT</v>
          </cell>
          <cell r="F48" t="str">
            <v>服装-外套-羽绒服</v>
          </cell>
          <cell r="G48" t="str">
            <v>一品多商</v>
          </cell>
          <cell r="H48" t="str">
            <v>品牌直发</v>
          </cell>
          <cell r="I48">
            <v>1526</v>
          </cell>
        </row>
        <row r="49">
          <cell r="D49">
            <v>12021510</v>
          </cell>
          <cell r="E49" t="str">
            <v>伯希和/PELLIOT</v>
          </cell>
          <cell r="F49" t="str">
            <v>女装-户外运动服-跑步T恤</v>
          </cell>
          <cell r="G49" t="str">
            <v>一品一商</v>
          </cell>
          <cell r="H49" t="str">
            <v>品牌直发</v>
          </cell>
          <cell r="I49">
            <v>168</v>
          </cell>
        </row>
        <row r="50">
          <cell r="D50">
            <v>115110021</v>
          </cell>
          <cell r="E50" t="str">
            <v>伯希和/PELLIOT</v>
          </cell>
          <cell r="F50" t="str">
            <v>服装-户外运动服-抓绒衣</v>
          </cell>
          <cell r="G50" t="str">
            <v>一品多商</v>
          </cell>
          <cell r="H50" t="str">
            <v>品牌直发</v>
          </cell>
          <cell r="I50">
            <v>378</v>
          </cell>
        </row>
        <row r="51">
          <cell r="D51">
            <v>125110022</v>
          </cell>
          <cell r="E51" t="str">
            <v>伯希和/PELLIOT</v>
          </cell>
          <cell r="F51" t="str">
            <v>女装-户外运动服-抓绒衣</v>
          </cell>
          <cell r="G51" t="str">
            <v>一品多商</v>
          </cell>
          <cell r="H51" t="str">
            <v>品牌直发</v>
          </cell>
          <cell r="I51">
            <v>424</v>
          </cell>
        </row>
        <row r="52">
          <cell r="D52">
            <v>105301059</v>
          </cell>
          <cell r="E52" t="str">
            <v>伯希和/PELLIOT</v>
          </cell>
          <cell r="F52" t="str">
            <v>服装-外套-冲锋衣</v>
          </cell>
          <cell r="G52" t="str">
            <v>一品多商</v>
          </cell>
          <cell r="H52" t="str">
            <v>品牌直发</v>
          </cell>
          <cell r="I52">
            <v>1734</v>
          </cell>
        </row>
        <row r="53">
          <cell r="D53">
            <v>115316032</v>
          </cell>
          <cell r="E53" t="str">
            <v>伯希和/PELLIOT</v>
          </cell>
          <cell r="F53" t="str">
            <v>服装-上衣-T恤</v>
          </cell>
          <cell r="G53" t="str">
            <v>一品多商</v>
          </cell>
          <cell r="H53" t="str">
            <v>品牌直发</v>
          </cell>
          <cell r="I53">
            <v>562</v>
          </cell>
        </row>
        <row r="54">
          <cell r="D54">
            <v>115215007</v>
          </cell>
          <cell r="E54" t="str">
            <v>伯希和/PELLIOT</v>
          </cell>
          <cell r="F54" t="str">
            <v>服装-上衣-Polo衫</v>
          </cell>
          <cell r="G54" t="str">
            <v>一品多商</v>
          </cell>
          <cell r="H54" t="str">
            <v>品牌直发</v>
          </cell>
          <cell r="I54">
            <v>606</v>
          </cell>
        </row>
        <row r="55">
          <cell r="D55">
            <v>115215001</v>
          </cell>
          <cell r="E55" t="str">
            <v>伯希和/PELLIOT</v>
          </cell>
          <cell r="F55" t="str">
            <v>服装-上衣-T恤</v>
          </cell>
          <cell r="G55" t="str">
            <v>一品多商</v>
          </cell>
          <cell r="H55" t="str">
            <v>品牌直发</v>
          </cell>
          <cell r="I55">
            <v>370</v>
          </cell>
        </row>
        <row r="56">
          <cell r="D56">
            <v>115301054</v>
          </cell>
          <cell r="E56" t="str">
            <v>伯希和/PELLIOT</v>
          </cell>
          <cell r="F56" t="str">
            <v>服装-外套-冲锋衣</v>
          </cell>
          <cell r="G56" t="str">
            <v>一品多商</v>
          </cell>
          <cell r="H56" t="str">
            <v>品牌直发</v>
          </cell>
          <cell r="I56">
            <v>1004</v>
          </cell>
        </row>
        <row r="57">
          <cell r="D57">
            <v>114351091</v>
          </cell>
          <cell r="E57" t="str">
            <v>伯希和/PELLIOT</v>
          </cell>
          <cell r="F57" t="str">
            <v>服装-外套-软壳衣</v>
          </cell>
          <cell r="G57" t="str">
            <v>一品多商</v>
          </cell>
          <cell r="H57" t="str">
            <v>品牌直发</v>
          </cell>
          <cell r="I57">
            <v>709</v>
          </cell>
        </row>
        <row r="58">
          <cell r="D58">
            <v>114311233</v>
          </cell>
          <cell r="E58" t="str">
            <v>伯希和/PELLIOT</v>
          </cell>
          <cell r="F58" t="str">
            <v>服装-户外运动服-抓绒裤</v>
          </cell>
          <cell r="G58" t="str">
            <v>一品多商</v>
          </cell>
          <cell r="H58" t="str">
            <v>品牌直发</v>
          </cell>
          <cell r="I58">
            <v>523</v>
          </cell>
        </row>
        <row r="59">
          <cell r="D59">
            <v>16402511</v>
          </cell>
          <cell r="E59" t="str">
            <v>伯希和/PELLIOT</v>
          </cell>
          <cell r="F59" t="str">
            <v>箱包-包袋-户外包</v>
          </cell>
          <cell r="G59" t="str">
            <v>一品多商</v>
          </cell>
          <cell r="H59" t="str">
            <v>品牌直发</v>
          </cell>
          <cell r="I59">
            <v>448</v>
          </cell>
        </row>
        <row r="60">
          <cell r="D60">
            <v>114314371</v>
          </cell>
          <cell r="E60" t="str">
            <v>伯希和/PELLIOT</v>
          </cell>
          <cell r="F60" t="str">
            <v>服装-户外运动服-速干裤</v>
          </cell>
          <cell r="G60" t="str">
            <v>一品一商</v>
          </cell>
          <cell r="H60" t="str">
            <v>品牌直发</v>
          </cell>
          <cell r="I60">
            <v>646</v>
          </cell>
        </row>
        <row r="61">
          <cell r="D61">
            <v>124301006</v>
          </cell>
          <cell r="E61" t="str">
            <v>伯希和/PELLIOT</v>
          </cell>
          <cell r="F61" t="str">
            <v>服装-外套-冲锋衣</v>
          </cell>
          <cell r="G61" t="str">
            <v>一品多商</v>
          </cell>
          <cell r="H61" t="str">
            <v>品牌直发</v>
          </cell>
          <cell r="I61">
            <v>1466</v>
          </cell>
        </row>
        <row r="62">
          <cell r="D62">
            <v>16202612</v>
          </cell>
          <cell r="E62" t="str">
            <v>伯希和/PELLIOT</v>
          </cell>
          <cell r="F62" t="str">
            <v>箱包-包袋-户外包</v>
          </cell>
          <cell r="G62" t="str">
            <v>一品一商</v>
          </cell>
          <cell r="H62" t="str">
            <v>品牌直发</v>
          </cell>
          <cell r="I62">
            <v>61</v>
          </cell>
        </row>
        <row r="63">
          <cell r="D63">
            <v>11411909</v>
          </cell>
          <cell r="E63" t="str">
            <v>伯希和/PELLIOT</v>
          </cell>
          <cell r="F63" t="str">
            <v>鞋-运动鞋-登山鞋/徒步鞋</v>
          </cell>
          <cell r="G63" t="str">
            <v>一品多商</v>
          </cell>
          <cell r="H63" t="str">
            <v>品牌直发</v>
          </cell>
          <cell r="I63">
            <v>659</v>
          </cell>
        </row>
        <row r="64">
          <cell r="D64">
            <v>11421519</v>
          </cell>
          <cell r="E64" t="str">
            <v>伯希和/PELLIOT</v>
          </cell>
          <cell r="F64" t="str">
            <v>服装-上衣-Polo衫</v>
          </cell>
          <cell r="G64" t="str">
            <v>一品一商</v>
          </cell>
          <cell r="H64" t="str">
            <v>品牌直发</v>
          </cell>
          <cell r="I64">
            <v>261</v>
          </cell>
        </row>
        <row r="65">
          <cell r="D65">
            <v>12421228</v>
          </cell>
          <cell r="E65" t="str">
            <v>伯希和/PELLIOT</v>
          </cell>
          <cell r="F65" t="str">
            <v>女装-外套-防晒服</v>
          </cell>
          <cell r="G65" t="str">
            <v>一品多商</v>
          </cell>
          <cell r="H65" t="str">
            <v>品牌直发</v>
          </cell>
          <cell r="I65">
            <v>168</v>
          </cell>
        </row>
        <row r="66">
          <cell r="D66">
            <v>6902507</v>
          </cell>
          <cell r="E66" t="str">
            <v>伯希和/PELLIOT</v>
          </cell>
          <cell r="F66" t="str">
            <v>箱包-包袋-户外包</v>
          </cell>
          <cell r="G66" t="str">
            <v>一品一商</v>
          </cell>
          <cell r="H66" t="str">
            <v>品牌直发</v>
          </cell>
          <cell r="I66">
            <v>278</v>
          </cell>
        </row>
        <row r="67">
          <cell r="D67">
            <v>12340164</v>
          </cell>
          <cell r="E67" t="str">
            <v>伯希和/PELLIOT</v>
          </cell>
          <cell r="F67" t="str">
            <v>服装-外套-冲锋衣</v>
          </cell>
          <cell r="G67" t="str">
            <v>一品多商</v>
          </cell>
          <cell r="H67" t="str">
            <v>品牌直发</v>
          </cell>
          <cell r="I67">
            <v>681</v>
          </cell>
        </row>
        <row r="68">
          <cell r="D68">
            <v>12340130</v>
          </cell>
          <cell r="E68" t="str">
            <v>伯希和/PELLIOT</v>
          </cell>
          <cell r="F68" t="str">
            <v>服装-外套-冲锋衣</v>
          </cell>
          <cell r="G68" t="str">
            <v>一品多商</v>
          </cell>
          <cell r="H68" t="str">
            <v>品牌直发</v>
          </cell>
          <cell r="I68">
            <v>678</v>
          </cell>
        </row>
        <row r="69">
          <cell r="D69">
            <v>112321426</v>
          </cell>
          <cell r="E69" t="str">
            <v>伯希和/PELLIOT</v>
          </cell>
          <cell r="F69" t="str">
            <v>女装-长裙-休闲长裙</v>
          </cell>
          <cell r="G69" t="str">
            <v>一品一商</v>
          </cell>
          <cell r="H69" t="str">
            <v>品牌直发</v>
          </cell>
          <cell r="I69">
            <v>297</v>
          </cell>
        </row>
        <row r="70">
          <cell r="D70">
            <v>11121411</v>
          </cell>
          <cell r="E70" t="str">
            <v>伯希和/PELLIOT</v>
          </cell>
          <cell r="F70" t="str">
            <v>服装-户外运动服-速干裤</v>
          </cell>
          <cell r="G70" t="str">
            <v>一品多商</v>
          </cell>
          <cell r="H70" t="str">
            <v>品牌直发</v>
          </cell>
          <cell r="I70">
            <v>173</v>
          </cell>
        </row>
        <row r="71">
          <cell r="D71">
            <v>12221536</v>
          </cell>
          <cell r="E71" t="str">
            <v>伯希和/PELLIOT</v>
          </cell>
          <cell r="F71" t="str">
            <v>女装-户外运动服-速干T恤</v>
          </cell>
          <cell r="G71" t="str">
            <v>一品一商</v>
          </cell>
          <cell r="H71" t="str">
            <v>品牌直发</v>
          </cell>
          <cell r="I71">
            <v>84</v>
          </cell>
        </row>
        <row r="72">
          <cell r="D72">
            <v>12131106</v>
          </cell>
          <cell r="E72" t="str">
            <v>伯希和/PELLIOT</v>
          </cell>
          <cell r="F72" t="str">
            <v>女装-户外运动服-抓绒裤</v>
          </cell>
          <cell r="G72" t="str">
            <v>一品一商</v>
          </cell>
          <cell r="H72" t="str">
            <v>品牌直发</v>
          </cell>
          <cell r="I72">
            <v>164</v>
          </cell>
        </row>
        <row r="73">
          <cell r="D73" t="str">
            <v>125116022-服</v>
          </cell>
          <cell r="E73" t="str">
            <v>伯希和/PELLIOT</v>
          </cell>
          <cell r="F73" t="str">
            <v>女装-户外运动服-跑步T恤</v>
          </cell>
          <cell r="G73" t="str">
            <v>一品多商</v>
          </cell>
          <cell r="H73" t="str">
            <v>品牌直发</v>
          </cell>
          <cell r="I73">
            <v>152</v>
          </cell>
        </row>
        <row r="74">
          <cell r="D74">
            <v>12321414</v>
          </cell>
          <cell r="E74" t="str">
            <v>伯希和/PELLIOT</v>
          </cell>
          <cell r="F74" t="str">
            <v>女装-户外运动服-速干裤</v>
          </cell>
          <cell r="G74" t="str">
            <v>一品一商</v>
          </cell>
          <cell r="H74" t="str">
            <v>品牌直发</v>
          </cell>
          <cell r="I74">
            <v>126</v>
          </cell>
        </row>
        <row r="75">
          <cell r="D75">
            <v>12230602</v>
          </cell>
          <cell r="E75" t="str">
            <v>伯希和/PELLIOT</v>
          </cell>
          <cell r="F75" t="str">
            <v>女装-外套-软壳衣</v>
          </cell>
          <cell r="G75" t="str">
            <v>一品多商</v>
          </cell>
          <cell r="H75" t="str">
            <v>品牌直发</v>
          </cell>
          <cell r="I75">
            <v>339</v>
          </cell>
        </row>
        <row r="76">
          <cell r="D76">
            <v>11040105</v>
          </cell>
          <cell r="E76" t="str">
            <v>伯希和/PELLIOT</v>
          </cell>
          <cell r="F76" t="str">
            <v>服装-外套-冲锋衣</v>
          </cell>
          <cell r="G76" t="str">
            <v>一品多商</v>
          </cell>
          <cell r="H76" t="str">
            <v>品牌直发</v>
          </cell>
          <cell r="I76">
            <v>523</v>
          </cell>
        </row>
        <row r="77">
          <cell r="D77">
            <v>12040106</v>
          </cell>
          <cell r="E77" t="str">
            <v>伯希和/PELLIOT</v>
          </cell>
          <cell r="F77" t="str">
            <v>女装-外套-冲锋衣</v>
          </cell>
          <cell r="G77" t="str">
            <v>一品多商</v>
          </cell>
          <cell r="H77" t="str">
            <v>品牌直发</v>
          </cell>
          <cell r="I77">
            <v>599</v>
          </cell>
        </row>
        <row r="78">
          <cell r="D78">
            <v>112121202</v>
          </cell>
          <cell r="E78" t="str">
            <v>伯希和/PELLIOT</v>
          </cell>
          <cell r="F78" t="str">
            <v>女装-外套-防晒服</v>
          </cell>
          <cell r="G78" t="str">
            <v>一品一商</v>
          </cell>
          <cell r="H78" t="str">
            <v>品牌直发</v>
          </cell>
          <cell r="I78">
            <v>113</v>
          </cell>
        </row>
        <row r="79">
          <cell r="D79">
            <v>115382007</v>
          </cell>
          <cell r="E79" t="str">
            <v>伯希和/PELLIOT</v>
          </cell>
          <cell r="F79" t="str">
            <v>鞋-运动鞋-登山鞋/徒步鞋</v>
          </cell>
          <cell r="G79" t="str">
            <v>一品多商</v>
          </cell>
          <cell r="H79" t="str">
            <v>品牌直发</v>
          </cell>
          <cell r="I79">
            <v>792</v>
          </cell>
        </row>
        <row r="80">
          <cell r="D80" t="str">
            <v>105301056-2025</v>
          </cell>
          <cell r="E80" t="str">
            <v>伯希和/PELLIOT</v>
          </cell>
          <cell r="F80" t="str">
            <v>女装-外套-冲锋衣</v>
          </cell>
          <cell r="G80" t="str">
            <v>一品多商</v>
          </cell>
          <cell r="H80" t="str">
            <v>品牌直发</v>
          </cell>
          <cell r="I80">
            <v>972</v>
          </cell>
        </row>
        <row r="81">
          <cell r="D81" t="str">
            <v>PE12340164</v>
          </cell>
          <cell r="E81" t="str">
            <v>伯希和/PELLIOT</v>
          </cell>
          <cell r="F81" t="str">
            <v>女装-外套-冲锋衣</v>
          </cell>
          <cell r="G81" t="str">
            <v>一品多商</v>
          </cell>
          <cell r="H81" t="str">
            <v>品牌直发</v>
          </cell>
          <cell r="I81">
            <v>681</v>
          </cell>
        </row>
        <row r="82">
          <cell r="D82">
            <v>105301083</v>
          </cell>
          <cell r="E82" t="str">
            <v>伯希和/PELLIOT</v>
          </cell>
          <cell r="F82" t="str">
            <v>服装-外套-冲锋衣</v>
          </cell>
          <cell r="G82" t="str">
            <v>一品多商</v>
          </cell>
          <cell r="H82" t="str">
            <v>品牌直发</v>
          </cell>
          <cell r="I82">
            <v>574</v>
          </cell>
        </row>
        <row r="83">
          <cell r="D83">
            <v>105301051</v>
          </cell>
          <cell r="E83" t="str">
            <v>伯希和/PELLIOT</v>
          </cell>
          <cell r="F83" t="str">
            <v>服装-外套-冲锋衣</v>
          </cell>
          <cell r="G83" t="str">
            <v>一品多商</v>
          </cell>
          <cell r="H83" t="str">
            <v>普通现货</v>
          </cell>
          <cell r="I83">
            <v>1272</v>
          </cell>
        </row>
        <row r="84">
          <cell r="D84">
            <v>115302003</v>
          </cell>
          <cell r="E84" t="str">
            <v>伯希和/PELLIOT</v>
          </cell>
          <cell r="F84" t="str">
            <v>服装-长裤-冲锋裤</v>
          </cell>
          <cell r="G84" t="str">
            <v>一品多商</v>
          </cell>
          <cell r="H84" t="str">
            <v>品牌直发</v>
          </cell>
          <cell r="I84">
            <v>672</v>
          </cell>
        </row>
        <row r="85">
          <cell r="D85">
            <v>125302008</v>
          </cell>
          <cell r="E85" t="str">
            <v>伯希和/PELLIOT</v>
          </cell>
          <cell r="F85" t="str">
            <v>女装-长裤-冲锋裤</v>
          </cell>
          <cell r="G85" t="str">
            <v>一品多商</v>
          </cell>
          <cell r="H85" t="str">
            <v>品牌直发</v>
          </cell>
          <cell r="I85">
            <v>564</v>
          </cell>
        </row>
        <row r="86">
          <cell r="D86">
            <v>115302007</v>
          </cell>
          <cell r="E86" t="str">
            <v>伯希和/PELLIOT</v>
          </cell>
          <cell r="F86" t="str">
            <v>服装-长裤-冲锋裤</v>
          </cell>
          <cell r="G86" t="str">
            <v>一品多商</v>
          </cell>
          <cell r="H86" t="str">
            <v>品牌直发</v>
          </cell>
          <cell r="I86">
            <v>572</v>
          </cell>
        </row>
        <row r="87">
          <cell r="D87" t="str">
            <v>11040105-新加色</v>
          </cell>
          <cell r="E87" t="str">
            <v>伯希和/PELLIOT</v>
          </cell>
          <cell r="F87" t="str">
            <v>服装-外套-冲锋衣</v>
          </cell>
          <cell r="G87" t="str">
            <v>一品一商</v>
          </cell>
          <cell r="H87" t="str">
            <v>品牌直发</v>
          </cell>
          <cell r="I87">
            <v>581</v>
          </cell>
        </row>
        <row r="88">
          <cell r="D88">
            <v>115220001</v>
          </cell>
          <cell r="E88" t="str">
            <v>伯希和/PELLIOT</v>
          </cell>
          <cell r="F88" t="str">
            <v>鞋-凉鞋/拖鞋-溯溪鞋</v>
          </cell>
          <cell r="G88" t="str">
            <v>一品多商</v>
          </cell>
          <cell r="H88" t="str">
            <v>品牌直发</v>
          </cell>
          <cell r="I88">
            <v>478</v>
          </cell>
        </row>
        <row r="89">
          <cell r="D89">
            <v>105301056</v>
          </cell>
          <cell r="E89" t="str">
            <v>伯希和/PELLIOT</v>
          </cell>
          <cell r="F89" t="str">
            <v>服装-外套-冲锋衣</v>
          </cell>
          <cell r="G89" t="str">
            <v>一品多商</v>
          </cell>
          <cell r="H89" t="str">
            <v>品牌直发</v>
          </cell>
          <cell r="I89">
            <v>962</v>
          </cell>
        </row>
        <row r="90">
          <cell r="D90" t="str">
            <v>11340105-2025</v>
          </cell>
          <cell r="E90" t="str">
            <v>伯希和/PELLIOT</v>
          </cell>
          <cell r="F90" t="str">
            <v>服装-外套-冲锋衣</v>
          </cell>
          <cell r="G90" t="str">
            <v>一品多商</v>
          </cell>
          <cell r="H90" t="str">
            <v>品牌直发</v>
          </cell>
          <cell r="I90">
            <v>438</v>
          </cell>
        </row>
        <row r="91">
          <cell r="D91">
            <v>115119029</v>
          </cell>
          <cell r="E91" t="str">
            <v>伯希和/PELLIOT</v>
          </cell>
          <cell r="F91" t="str">
            <v>鞋-运动鞋-越野跑鞋</v>
          </cell>
          <cell r="G91" t="str">
            <v>一品多商</v>
          </cell>
          <cell r="H91" t="str">
            <v>品牌直发</v>
          </cell>
          <cell r="I91">
            <v>662</v>
          </cell>
        </row>
        <row r="92">
          <cell r="D92">
            <v>1124301070</v>
          </cell>
          <cell r="E92" t="str">
            <v>伯希和/PELLIOT</v>
          </cell>
          <cell r="F92" t="str">
            <v>服装-外套-冲锋衣</v>
          </cell>
          <cell r="G92" t="str">
            <v>一品多商</v>
          </cell>
          <cell r="H92" t="str">
            <v>品牌直发</v>
          </cell>
          <cell r="I92">
            <v>792</v>
          </cell>
        </row>
        <row r="93">
          <cell r="D93">
            <v>115214015</v>
          </cell>
          <cell r="E93" t="str">
            <v>伯希和/PELLIOT</v>
          </cell>
          <cell r="F93" t="str">
            <v>服装-户外运动服-速干裤</v>
          </cell>
          <cell r="G93" t="str">
            <v>一品一商</v>
          </cell>
          <cell r="H93" t="str">
            <v>品牌直发</v>
          </cell>
          <cell r="I93">
            <v>217</v>
          </cell>
        </row>
        <row r="94">
          <cell r="D94">
            <v>135215035</v>
          </cell>
          <cell r="E94" t="str">
            <v>伯希和/PELLIOT</v>
          </cell>
          <cell r="F94" t="str">
            <v>童装-儿童上装-T恤</v>
          </cell>
          <cell r="G94" t="str">
            <v>一品一商</v>
          </cell>
          <cell r="H94" t="str">
            <v>品牌直发</v>
          </cell>
          <cell r="I94">
            <v>84</v>
          </cell>
        </row>
        <row r="95">
          <cell r="D95">
            <v>135212023</v>
          </cell>
          <cell r="E95" t="str">
            <v>伯希和/PELLIOT</v>
          </cell>
          <cell r="F95" t="str">
            <v>童装-儿童上装-防晒衣</v>
          </cell>
          <cell r="G95" t="str">
            <v>一品多商</v>
          </cell>
          <cell r="H95" t="str">
            <v>品牌直发</v>
          </cell>
          <cell r="I95">
            <v>209</v>
          </cell>
        </row>
        <row r="96">
          <cell r="D96" t="str">
            <v>12421220-新加色</v>
          </cell>
          <cell r="E96" t="str">
            <v>伯希和/PELLIOT</v>
          </cell>
          <cell r="F96" t="str">
            <v>服装-外套-防晒服</v>
          </cell>
          <cell r="G96" t="str">
            <v>一品多商</v>
          </cell>
          <cell r="H96" t="str">
            <v>品牌直发</v>
          </cell>
          <cell r="I96">
            <v>268</v>
          </cell>
        </row>
        <row r="97">
          <cell r="D97">
            <v>115215030</v>
          </cell>
          <cell r="E97" t="str">
            <v>伯希和/PELLIOT</v>
          </cell>
          <cell r="F97" t="str">
            <v>服装-上衣-T恤</v>
          </cell>
          <cell r="G97" t="str">
            <v>一品一商</v>
          </cell>
          <cell r="H97" t="str">
            <v>品牌直发</v>
          </cell>
          <cell r="I97">
            <v>168</v>
          </cell>
        </row>
        <row r="98">
          <cell r="D98">
            <v>115212003</v>
          </cell>
          <cell r="E98" t="str">
            <v>伯希和/PELLIOT</v>
          </cell>
          <cell r="F98" t="str">
            <v>服装-外套-防晒服</v>
          </cell>
          <cell r="G98" t="str">
            <v>一品多商</v>
          </cell>
          <cell r="H98" t="str">
            <v>品牌直发</v>
          </cell>
          <cell r="I98">
            <v>233</v>
          </cell>
        </row>
        <row r="99">
          <cell r="D99">
            <v>115215023</v>
          </cell>
          <cell r="E99" t="str">
            <v>伯希和/PELLIOT</v>
          </cell>
          <cell r="F99" t="str">
            <v>服装-上衣-T恤</v>
          </cell>
          <cell r="G99" t="str">
            <v>一品多商</v>
          </cell>
          <cell r="H99" t="str">
            <v>品牌直发</v>
          </cell>
          <cell r="I99">
            <v>190</v>
          </cell>
        </row>
        <row r="100">
          <cell r="D100">
            <v>115119035</v>
          </cell>
          <cell r="E100" t="str">
            <v>伯希和/PELLIOT</v>
          </cell>
          <cell r="F100" t="str">
            <v>鞋-运动鞋-登山鞋/徒步鞋</v>
          </cell>
          <cell r="G100" t="str">
            <v>一品多商</v>
          </cell>
          <cell r="H100" t="str">
            <v>品牌直发</v>
          </cell>
          <cell r="I100">
            <v>442</v>
          </cell>
        </row>
        <row r="101">
          <cell r="D101" t="str">
            <v>PE125101014</v>
          </cell>
          <cell r="E101" t="str">
            <v>伯希和/PELLIOT</v>
          </cell>
          <cell r="F101" t="str">
            <v>女装-外套-冲锋衣</v>
          </cell>
          <cell r="G101" t="str">
            <v>一品多商</v>
          </cell>
          <cell r="H101" t="str">
            <v>品牌直发</v>
          </cell>
          <cell r="I101">
            <v>514</v>
          </cell>
        </row>
        <row r="102">
          <cell r="D102">
            <v>115101013</v>
          </cell>
          <cell r="E102" t="str">
            <v>伯希和/PELLIOT</v>
          </cell>
          <cell r="F102" t="str">
            <v>服装-外套-冲锋衣</v>
          </cell>
          <cell r="G102" t="str">
            <v>一品多商</v>
          </cell>
          <cell r="H102" t="str">
            <v>品牌直发</v>
          </cell>
          <cell r="I102">
            <v>572</v>
          </cell>
        </row>
        <row r="103">
          <cell r="D103">
            <v>115101001</v>
          </cell>
          <cell r="E103" t="str">
            <v>伯希和/PELLIOT</v>
          </cell>
          <cell r="F103" t="str">
            <v>服装-外套-冲锋衣</v>
          </cell>
          <cell r="G103" t="str">
            <v>一品多商</v>
          </cell>
          <cell r="H103" t="str">
            <v>品牌直发</v>
          </cell>
          <cell r="I103">
            <v>572</v>
          </cell>
        </row>
        <row r="104">
          <cell r="D104">
            <v>115212013</v>
          </cell>
          <cell r="E104" t="str">
            <v>伯希和/PELLIOT</v>
          </cell>
          <cell r="F104" t="str">
            <v>服装-外套-防晒服</v>
          </cell>
          <cell r="G104" t="str">
            <v>一品一商</v>
          </cell>
          <cell r="H104" t="str">
            <v>品牌直发</v>
          </cell>
          <cell r="I104">
            <v>524</v>
          </cell>
        </row>
        <row r="105">
          <cell r="D105">
            <v>125212004</v>
          </cell>
          <cell r="E105" t="str">
            <v>伯希和/PELLIOT</v>
          </cell>
          <cell r="F105" t="str">
            <v>女装-外套-防晒服</v>
          </cell>
          <cell r="G105" t="str">
            <v>一品多商</v>
          </cell>
          <cell r="H105" t="str">
            <v>品牌直发</v>
          </cell>
          <cell r="I105">
            <v>228</v>
          </cell>
        </row>
        <row r="106">
          <cell r="D106">
            <v>105212020</v>
          </cell>
          <cell r="E106" t="str">
            <v>伯希和/PELLIOT</v>
          </cell>
          <cell r="F106" t="str">
            <v>服装-外套-防晒服</v>
          </cell>
          <cell r="G106" t="str">
            <v>一品多商</v>
          </cell>
          <cell r="H106" t="str">
            <v>品牌直发</v>
          </cell>
          <cell r="I106">
            <v>263</v>
          </cell>
        </row>
        <row r="107">
          <cell r="D107" t="str">
            <v>PE115106001</v>
          </cell>
          <cell r="E107" t="str">
            <v>伯希和/PELLIOT</v>
          </cell>
          <cell r="F107" t="str">
            <v>服装-外套-软壳衣</v>
          </cell>
          <cell r="G107" t="str">
            <v>一品多商</v>
          </cell>
          <cell r="H107" t="str">
            <v>品牌直发</v>
          </cell>
          <cell r="I107">
            <v>464</v>
          </cell>
        </row>
        <row r="108">
          <cell r="D108">
            <v>115119031</v>
          </cell>
          <cell r="E108" t="str">
            <v>伯希和/PELLIOT</v>
          </cell>
          <cell r="F108" t="str">
            <v>鞋-运动鞋-登山鞋/徒步鞋</v>
          </cell>
          <cell r="G108" t="str">
            <v>一品多商</v>
          </cell>
          <cell r="H108" t="str">
            <v>品牌直发</v>
          </cell>
          <cell r="I108">
            <v>711</v>
          </cell>
        </row>
        <row r="109">
          <cell r="D109">
            <v>115119025</v>
          </cell>
          <cell r="E109" t="str">
            <v>伯希和/PELLIOT</v>
          </cell>
          <cell r="F109" t="str">
            <v>鞋-运动鞋-越野跑鞋</v>
          </cell>
          <cell r="G109" t="str">
            <v>一品多商</v>
          </cell>
          <cell r="H109" t="str">
            <v>品牌直发</v>
          </cell>
          <cell r="I109">
            <v>344</v>
          </cell>
        </row>
        <row r="110">
          <cell r="D110" t="str">
            <v>12340164-2025</v>
          </cell>
          <cell r="E110" t="str">
            <v>伯希和/PELLIOT</v>
          </cell>
          <cell r="F110" t="str">
            <v>服装-外套-冲锋衣</v>
          </cell>
          <cell r="G110" t="str">
            <v>一品多商</v>
          </cell>
          <cell r="H110" t="str">
            <v>品牌直发</v>
          </cell>
          <cell r="I110">
            <v>651</v>
          </cell>
        </row>
        <row r="111">
          <cell r="D111">
            <v>125151010</v>
          </cell>
          <cell r="E111" t="str">
            <v>伯希和/PELLIOT</v>
          </cell>
          <cell r="F111" t="str">
            <v>女装-外套-夹克</v>
          </cell>
          <cell r="G111" t="str">
            <v>一品一商</v>
          </cell>
          <cell r="H111" t="str">
            <v>品牌直发</v>
          </cell>
          <cell r="I111">
            <v>372</v>
          </cell>
        </row>
        <row r="112">
          <cell r="D112">
            <v>124306142</v>
          </cell>
          <cell r="E112" t="str">
            <v>伯希和/PELLIOT</v>
          </cell>
          <cell r="F112" t="str">
            <v>女装-外套-软壳衣</v>
          </cell>
          <cell r="G112" t="str">
            <v>一品多商</v>
          </cell>
          <cell r="H112" t="str">
            <v>品牌直发</v>
          </cell>
          <cell r="I112">
            <v>442</v>
          </cell>
        </row>
        <row r="113">
          <cell r="D113" t="str">
            <v>PE124310192</v>
          </cell>
          <cell r="E113" t="str">
            <v>伯希和/PELLIOT</v>
          </cell>
          <cell r="F113" t="str">
            <v>女装-户外运动服-抓绒衣</v>
          </cell>
          <cell r="G113" t="str">
            <v>一品多商</v>
          </cell>
          <cell r="H113" t="str">
            <v>品牌直发</v>
          </cell>
          <cell r="I113">
            <v>351</v>
          </cell>
        </row>
        <row r="114">
          <cell r="D114">
            <v>124401042</v>
          </cell>
          <cell r="E114" t="str">
            <v>伯希和/PELLIOT</v>
          </cell>
          <cell r="F114" t="str">
            <v>女装-外套-冲锋衣</v>
          </cell>
          <cell r="G114" t="str">
            <v>一品多商</v>
          </cell>
          <cell r="H114" t="str">
            <v>品牌直发</v>
          </cell>
          <cell r="I114">
            <v>892</v>
          </cell>
        </row>
        <row r="115">
          <cell r="D115">
            <v>124419008</v>
          </cell>
          <cell r="E115" t="str">
            <v>伯希和/PELLIOT</v>
          </cell>
          <cell r="F115" t="str">
            <v>鞋-运动鞋-登山鞋/徒步鞋</v>
          </cell>
          <cell r="G115" t="str">
            <v>一品一商</v>
          </cell>
          <cell r="H115" t="str">
            <v>品牌直发</v>
          </cell>
          <cell r="I115">
            <v>442</v>
          </cell>
        </row>
        <row r="116">
          <cell r="D116">
            <v>124306148</v>
          </cell>
          <cell r="E116" t="str">
            <v>伯希和/PELLIOT</v>
          </cell>
          <cell r="F116" t="str">
            <v>女装-外套-软壳衣</v>
          </cell>
          <cell r="G116" t="str">
            <v>一品多商</v>
          </cell>
          <cell r="H116" t="str">
            <v>品牌直发</v>
          </cell>
          <cell r="I116">
            <v>454</v>
          </cell>
        </row>
        <row r="117">
          <cell r="D117" t="str">
            <v>PE114306141</v>
          </cell>
          <cell r="E117" t="str">
            <v>伯希和/PELLIOT</v>
          </cell>
          <cell r="F117" t="str">
            <v>服装-外套-软壳衣</v>
          </cell>
          <cell r="G117" t="str">
            <v>一品一商</v>
          </cell>
          <cell r="H117" t="str">
            <v>品牌直发</v>
          </cell>
          <cell r="I117">
            <v>424</v>
          </cell>
        </row>
        <row r="118">
          <cell r="D118">
            <v>124301070</v>
          </cell>
          <cell r="E118" t="str">
            <v>伯希和/PELLIOT</v>
          </cell>
          <cell r="F118" t="str">
            <v>服装-外套-冲锋衣</v>
          </cell>
          <cell r="G118" t="str">
            <v>一品多商</v>
          </cell>
          <cell r="H118" t="str">
            <v>品牌直发</v>
          </cell>
          <cell r="I118">
            <v>662</v>
          </cell>
        </row>
        <row r="119">
          <cell r="D119" t="str">
            <v>PE12410202</v>
          </cell>
          <cell r="E119" t="str">
            <v>伯希和/PELLIOT</v>
          </cell>
          <cell r="F119" t="str">
            <v>女装-长裤-冲锋裤</v>
          </cell>
          <cell r="G119" t="str">
            <v>一品多商</v>
          </cell>
          <cell r="H119" t="str">
            <v>品牌直发</v>
          </cell>
          <cell r="I119">
            <v>479</v>
          </cell>
        </row>
        <row r="120">
          <cell r="D120">
            <v>164334403</v>
          </cell>
          <cell r="E120" t="str">
            <v>伯希和/PELLIOT</v>
          </cell>
          <cell r="F120" t="str">
            <v>流行饰品/眼镜/服配-帽子-绒线帽</v>
          </cell>
          <cell r="G120" t="str">
            <v>一品一商</v>
          </cell>
          <cell r="H120" t="str">
            <v>品牌直发</v>
          </cell>
          <cell r="I120">
            <v>64</v>
          </cell>
        </row>
        <row r="121">
          <cell r="D121">
            <v>114319003</v>
          </cell>
          <cell r="E121" t="str">
            <v>伯希和/PELLIOT</v>
          </cell>
          <cell r="F121" t="str">
            <v>鞋-运动鞋-登山鞋/徒步鞋</v>
          </cell>
          <cell r="G121" t="str">
            <v>一品多商</v>
          </cell>
          <cell r="H121" t="str">
            <v>品牌直发</v>
          </cell>
          <cell r="I121">
            <v>339</v>
          </cell>
        </row>
        <row r="122">
          <cell r="D122">
            <v>11421429</v>
          </cell>
          <cell r="E122" t="str">
            <v>伯希和/PELLIOT</v>
          </cell>
          <cell r="F122" t="str">
            <v>服装-短裤-休闲短裤</v>
          </cell>
          <cell r="G122" t="str">
            <v>一品一商</v>
          </cell>
          <cell r="H122" t="str">
            <v>品牌直发</v>
          </cell>
          <cell r="I122">
            <v>221</v>
          </cell>
        </row>
        <row r="123">
          <cell r="D123">
            <v>16402501</v>
          </cell>
          <cell r="E123" t="str">
            <v>伯希和/PELLIOT</v>
          </cell>
          <cell r="F123" t="str">
            <v>箱包-包袋-户外包</v>
          </cell>
          <cell r="G123" t="str">
            <v>一品一商</v>
          </cell>
          <cell r="H123" t="str">
            <v>品牌直发</v>
          </cell>
          <cell r="I123">
            <v>150</v>
          </cell>
        </row>
        <row r="124">
          <cell r="D124" t="str">
            <v>11340105-CF05</v>
          </cell>
          <cell r="E124" t="str">
            <v>伯希和/PELLIOT</v>
          </cell>
          <cell r="F124" t="str">
            <v>服装-外套-冲锋衣</v>
          </cell>
          <cell r="G124" t="str">
            <v>一品多商</v>
          </cell>
          <cell r="H124" t="str">
            <v>品牌直发</v>
          </cell>
          <cell r="I124">
            <v>478</v>
          </cell>
        </row>
        <row r="125">
          <cell r="D125">
            <v>12111901</v>
          </cell>
          <cell r="E125" t="str">
            <v>伯希和/PELLIOT</v>
          </cell>
          <cell r="F125" t="str">
            <v>鞋-运动鞋-跑步鞋</v>
          </cell>
          <cell r="G125" t="str">
            <v>一品一商</v>
          </cell>
          <cell r="H125" t="str">
            <v>品牌直发</v>
          </cell>
          <cell r="I125">
            <v>295</v>
          </cell>
        </row>
        <row r="126">
          <cell r="D126">
            <v>11411907</v>
          </cell>
          <cell r="E126" t="str">
            <v>伯希和/PELLIOT</v>
          </cell>
          <cell r="F126" t="str">
            <v>鞋-运动鞋-登山鞋/徒步鞋</v>
          </cell>
          <cell r="G126" t="str">
            <v>一品一商</v>
          </cell>
          <cell r="H126" t="str">
            <v>品牌直发</v>
          </cell>
          <cell r="I126">
            <v>369</v>
          </cell>
        </row>
        <row r="127">
          <cell r="D127">
            <v>12421238</v>
          </cell>
          <cell r="E127" t="str">
            <v>伯希和/PELLIOT</v>
          </cell>
          <cell r="F127" t="str">
            <v>女装-外套-防晒服</v>
          </cell>
          <cell r="G127" t="str">
            <v>一品一商</v>
          </cell>
          <cell r="H127" t="str">
            <v>品牌直发</v>
          </cell>
          <cell r="I127">
            <v>221</v>
          </cell>
        </row>
        <row r="128">
          <cell r="D128">
            <v>12422002</v>
          </cell>
          <cell r="E128" t="str">
            <v>伯希和/PELLIOT</v>
          </cell>
          <cell r="F128" t="str">
            <v>鞋-运动鞋-户外功能鞋</v>
          </cell>
          <cell r="G128" t="str">
            <v>一品多商</v>
          </cell>
          <cell r="H128" t="str">
            <v>品牌直发</v>
          </cell>
          <cell r="I128">
            <v>269</v>
          </cell>
        </row>
        <row r="129">
          <cell r="D129">
            <v>11411401</v>
          </cell>
          <cell r="E129" t="str">
            <v>伯希和/PELLIOT</v>
          </cell>
          <cell r="F129" t="str">
            <v>服装-长裤-软壳裤</v>
          </cell>
          <cell r="G129" t="str">
            <v>一品多商</v>
          </cell>
          <cell r="H129" t="str">
            <v>品牌直发</v>
          </cell>
          <cell r="I129">
            <v>0</v>
          </cell>
        </row>
        <row r="130">
          <cell r="D130">
            <v>12421252</v>
          </cell>
          <cell r="E130" t="str">
            <v>伯希和/PELLIOT</v>
          </cell>
          <cell r="F130" t="str">
            <v>女装-外套-防晒服</v>
          </cell>
          <cell r="G130" t="str">
            <v>一品多商</v>
          </cell>
          <cell r="H130" t="str">
            <v>品牌直发</v>
          </cell>
          <cell r="I130">
            <v>0</v>
          </cell>
        </row>
        <row r="131">
          <cell r="D131">
            <v>12421230</v>
          </cell>
          <cell r="E131" t="str">
            <v>伯希和/PELLIOT</v>
          </cell>
          <cell r="F131" t="str">
            <v>女装-外套-防晒服</v>
          </cell>
          <cell r="G131" t="str">
            <v>一品多商</v>
          </cell>
          <cell r="H131" t="str">
            <v>品牌直发</v>
          </cell>
          <cell r="I131">
            <v>0</v>
          </cell>
        </row>
        <row r="132">
          <cell r="D132">
            <v>12421212</v>
          </cell>
          <cell r="E132" t="str">
            <v>伯希和/PELLIOT</v>
          </cell>
          <cell r="F132" t="str">
            <v>女装-外套-防晒服</v>
          </cell>
          <cell r="G132" t="str">
            <v>一品多商</v>
          </cell>
          <cell r="H132" t="str">
            <v>品牌直发</v>
          </cell>
          <cell r="I132">
            <v>0</v>
          </cell>
        </row>
        <row r="133">
          <cell r="D133">
            <v>11421411</v>
          </cell>
          <cell r="E133" t="str">
            <v>伯希和/PELLIOT</v>
          </cell>
          <cell r="F133" t="str">
            <v>服装-户外运动服-速干裤</v>
          </cell>
          <cell r="G133" t="str">
            <v>一品多商</v>
          </cell>
          <cell r="H133" t="str">
            <v>品牌直发</v>
          </cell>
          <cell r="I133">
            <v>0</v>
          </cell>
        </row>
        <row r="134">
          <cell r="D134">
            <v>11421409</v>
          </cell>
          <cell r="E134" t="str">
            <v>伯希和/PELLIOT</v>
          </cell>
          <cell r="F134" t="str">
            <v>服装-户外运动服-速干裤</v>
          </cell>
          <cell r="G134" t="str">
            <v>一品多商</v>
          </cell>
          <cell r="H134" t="str">
            <v>品牌直发</v>
          </cell>
          <cell r="I134">
            <v>0</v>
          </cell>
        </row>
        <row r="135">
          <cell r="D135">
            <v>11411405</v>
          </cell>
          <cell r="E135" t="str">
            <v>伯希和/PELLIOT</v>
          </cell>
          <cell r="F135" t="str">
            <v>服装-长裤-软壳裤</v>
          </cell>
          <cell r="G135" t="str">
            <v>一品一商</v>
          </cell>
          <cell r="H135" t="str">
            <v>品牌直发</v>
          </cell>
          <cell r="I135">
            <v>0</v>
          </cell>
        </row>
        <row r="136">
          <cell r="D136">
            <v>11421211</v>
          </cell>
          <cell r="E136" t="str">
            <v>伯希和/PELLIOT</v>
          </cell>
          <cell r="F136" t="str">
            <v>服装-外套-防晒服</v>
          </cell>
          <cell r="G136" t="str">
            <v>一品多商</v>
          </cell>
          <cell r="H136" t="str">
            <v>品牌直发</v>
          </cell>
          <cell r="I136">
            <v>0</v>
          </cell>
        </row>
        <row r="137">
          <cell r="D137">
            <v>12421538</v>
          </cell>
          <cell r="E137" t="str">
            <v>伯希和/PELLIOT</v>
          </cell>
          <cell r="F137" t="str">
            <v>女装-户外运动服-跑步T恤</v>
          </cell>
          <cell r="G137" t="str">
            <v>一品一商</v>
          </cell>
          <cell r="H137" t="str">
            <v>品牌直发</v>
          </cell>
          <cell r="I137">
            <v>0</v>
          </cell>
        </row>
        <row r="138">
          <cell r="D138">
            <v>12421508</v>
          </cell>
          <cell r="E138" t="str">
            <v>伯希和/PELLIOT</v>
          </cell>
          <cell r="F138" t="str">
            <v>女装-上衣-Polo衫</v>
          </cell>
          <cell r="G138" t="str">
            <v>一品多商</v>
          </cell>
          <cell r="H138" t="str">
            <v>品牌直发</v>
          </cell>
          <cell r="I138">
            <v>0</v>
          </cell>
        </row>
        <row r="139">
          <cell r="D139" t="str">
            <v>112340164-271037</v>
          </cell>
          <cell r="E139" t="str">
            <v>伯希和/PELLIOT</v>
          </cell>
          <cell r="F139" t="str">
            <v>服装-外套-冲锋衣</v>
          </cell>
          <cell r="G139" t="str">
            <v>一品多商</v>
          </cell>
          <cell r="H139" t="str">
            <v>品牌直发</v>
          </cell>
          <cell r="I139">
            <v>0</v>
          </cell>
        </row>
        <row r="140">
          <cell r="D140">
            <v>16423433</v>
          </cell>
          <cell r="E140" t="str">
            <v>伯希和/PELLIOT</v>
          </cell>
          <cell r="F140" t="str">
            <v>流行饰品/眼镜/服配-防晒服配-防晒帽</v>
          </cell>
          <cell r="G140" t="str">
            <v>一品一商</v>
          </cell>
          <cell r="H140" t="str">
            <v>品牌直发</v>
          </cell>
          <cell r="I140">
            <v>0</v>
          </cell>
        </row>
        <row r="141">
          <cell r="D141">
            <v>11421503</v>
          </cell>
          <cell r="E141" t="str">
            <v>伯希和/PELLIOT</v>
          </cell>
          <cell r="F141" t="str">
            <v>服装-上衣-Polo衫</v>
          </cell>
          <cell r="G141" t="str">
            <v>一品多商</v>
          </cell>
          <cell r="H141" t="str">
            <v>品牌直发</v>
          </cell>
          <cell r="I141">
            <v>0</v>
          </cell>
        </row>
        <row r="142">
          <cell r="D142">
            <v>11421215</v>
          </cell>
          <cell r="E142" t="str">
            <v>伯希和/PELLIOT</v>
          </cell>
          <cell r="F142" t="str">
            <v>服装-外套-防晒服</v>
          </cell>
          <cell r="G142" t="str">
            <v>一品多商</v>
          </cell>
          <cell r="H142" t="str">
            <v>品牌直发</v>
          </cell>
          <cell r="I142">
            <v>0</v>
          </cell>
        </row>
        <row r="143">
          <cell r="D143">
            <v>12421226</v>
          </cell>
          <cell r="E143" t="str">
            <v>伯希和/PELLIOT</v>
          </cell>
          <cell r="F143" t="str">
            <v>女装-外套-防晒服</v>
          </cell>
          <cell r="G143" t="str">
            <v>一品一商</v>
          </cell>
          <cell r="H143" t="str">
            <v>品牌直发</v>
          </cell>
          <cell r="I143">
            <v>0</v>
          </cell>
        </row>
        <row r="144">
          <cell r="D144">
            <v>12410306</v>
          </cell>
          <cell r="E144" t="str">
            <v>伯希和/PELLIOT</v>
          </cell>
          <cell r="F144" t="str">
            <v>女装-户外运动服-滑雪衣</v>
          </cell>
          <cell r="G144" t="str">
            <v>一品多商</v>
          </cell>
          <cell r="H144" t="str">
            <v>品牌直发</v>
          </cell>
          <cell r="I144">
            <v>0</v>
          </cell>
        </row>
        <row r="145">
          <cell r="D145">
            <v>11340157</v>
          </cell>
          <cell r="E145" t="str">
            <v>伯希和/PELLIOT</v>
          </cell>
          <cell r="F145" t="str">
            <v>服装-外套-冲锋衣</v>
          </cell>
          <cell r="G145" t="str">
            <v>一品一商</v>
          </cell>
          <cell r="H145" t="str">
            <v>品牌直发</v>
          </cell>
          <cell r="I145">
            <v>0</v>
          </cell>
        </row>
        <row r="146">
          <cell r="D146">
            <v>12421502</v>
          </cell>
          <cell r="E146" t="str">
            <v>伯希和/PELLIOT</v>
          </cell>
          <cell r="F146" t="str">
            <v>女装-户外运动服-速干衣</v>
          </cell>
          <cell r="G146" t="str">
            <v>一品多商</v>
          </cell>
          <cell r="H146" t="str">
            <v>品牌直发</v>
          </cell>
          <cell r="I146">
            <v>0</v>
          </cell>
        </row>
        <row r="147">
          <cell r="D147">
            <v>11421501</v>
          </cell>
          <cell r="E147" t="str">
            <v>伯希和/PELLIOT</v>
          </cell>
          <cell r="F147" t="str">
            <v>服装-上衣-T恤</v>
          </cell>
          <cell r="G147" t="str">
            <v>一品多商</v>
          </cell>
          <cell r="H147" t="str">
            <v>品牌直发</v>
          </cell>
          <cell r="I147">
            <v>0</v>
          </cell>
        </row>
        <row r="148">
          <cell r="D148">
            <v>16423408</v>
          </cell>
          <cell r="E148" t="str">
            <v>伯希和/PELLIOT</v>
          </cell>
          <cell r="F148" t="str">
            <v>流行饰品/眼镜/服配-防晒服配-防晒帽</v>
          </cell>
          <cell r="G148" t="str">
            <v>一品一商</v>
          </cell>
          <cell r="H148" t="str">
            <v>品牌直发</v>
          </cell>
          <cell r="I148">
            <v>0</v>
          </cell>
        </row>
        <row r="149">
          <cell r="D149">
            <v>116423401</v>
          </cell>
          <cell r="E149" t="str">
            <v>伯希和/PELLIOT</v>
          </cell>
          <cell r="F149" t="str">
            <v>流行饰品/眼镜/服配-帽子-渔夫帽</v>
          </cell>
          <cell r="G149" t="str">
            <v>一品一商</v>
          </cell>
          <cell r="H149" t="str">
            <v>品牌直发</v>
          </cell>
          <cell r="I149">
            <v>0</v>
          </cell>
        </row>
        <row r="150">
          <cell r="D150">
            <v>16423407</v>
          </cell>
          <cell r="E150" t="str">
            <v>伯希和/PELLIOT</v>
          </cell>
          <cell r="F150" t="str">
            <v>流行饰品/眼镜/服配-防晒服配-防晒帽</v>
          </cell>
          <cell r="G150" t="str">
            <v>一品一商</v>
          </cell>
          <cell r="H150" t="str">
            <v>品牌直发</v>
          </cell>
          <cell r="I150">
            <v>0</v>
          </cell>
        </row>
        <row r="151">
          <cell r="D151">
            <v>164332401</v>
          </cell>
          <cell r="E151" t="str">
            <v>伯希和/PELLIOT</v>
          </cell>
          <cell r="F151" t="str">
            <v>流行饰品/眼镜/服配-围巾-绒线围巾</v>
          </cell>
          <cell r="G151" t="str">
            <v>一品一商</v>
          </cell>
          <cell r="H151" t="str">
            <v>品牌直发</v>
          </cell>
          <cell r="I151">
            <v>0</v>
          </cell>
        </row>
        <row r="152">
          <cell r="D152">
            <v>16424601</v>
          </cell>
          <cell r="E152" t="str">
            <v>伯希和/PELLIOT</v>
          </cell>
          <cell r="F152" t="str">
            <v>流行饰品/眼镜/服配-防晒服配-防晒袖</v>
          </cell>
          <cell r="G152" t="str">
            <v>一品一商</v>
          </cell>
          <cell r="H152" t="str">
            <v>品牌直发</v>
          </cell>
          <cell r="I152">
            <v>0</v>
          </cell>
        </row>
        <row r="153">
          <cell r="D153">
            <v>11410305</v>
          </cell>
          <cell r="E153" t="str">
            <v>伯希和/PELLIOT</v>
          </cell>
          <cell r="F153" t="str">
            <v>服装-户外运动服-滑雪衣</v>
          </cell>
          <cell r="G153" t="str">
            <v>一品多商</v>
          </cell>
          <cell r="H153" t="str">
            <v>品牌直发</v>
          </cell>
          <cell r="I153">
            <v>0</v>
          </cell>
        </row>
        <row r="154">
          <cell r="D154">
            <v>11410303</v>
          </cell>
          <cell r="E154" t="str">
            <v>伯希和/PELLIOT</v>
          </cell>
          <cell r="F154" t="str">
            <v>服装-外套-棉服</v>
          </cell>
          <cell r="G154" t="str">
            <v>一品多商</v>
          </cell>
          <cell r="H154" t="str">
            <v>品牌直发</v>
          </cell>
          <cell r="I154">
            <v>0</v>
          </cell>
        </row>
        <row r="155">
          <cell r="D155">
            <v>116123408</v>
          </cell>
          <cell r="E155" t="str">
            <v>伯希和/PELLIOT</v>
          </cell>
          <cell r="F155" t="str">
            <v>流行饰品/眼镜/服配-防晒服配-防晒帽</v>
          </cell>
          <cell r="G155" t="str">
            <v>一品一商</v>
          </cell>
          <cell r="H155" t="str">
            <v>品牌直发</v>
          </cell>
          <cell r="I155">
            <v>0</v>
          </cell>
        </row>
        <row r="156">
          <cell r="D156">
            <v>16223401</v>
          </cell>
          <cell r="E156" t="str">
            <v>伯希和/PELLIOT</v>
          </cell>
          <cell r="F156" t="str">
            <v>流行饰品/眼镜/服配-防晒服配-防晒帽</v>
          </cell>
          <cell r="G156" t="str">
            <v>一品一商</v>
          </cell>
          <cell r="H156" t="str">
            <v>品牌直发</v>
          </cell>
          <cell r="I156">
            <v>0</v>
          </cell>
        </row>
        <row r="157">
          <cell r="D157">
            <v>116223402</v>
          </cell>
          <cell r="E157" t="str">
            <v>伯希和/PELLIOT</v>
          </cell>
          <cell r="F157" t="str">
            <v>流行饰品/眼镜/服配-防晒服配-防晒帽</v>
          </cell>
          <cell r="G157" t="str">
            <v>一品一商</v>
          </cell>
          <cell r="H157" t="str">
            <v>品牌直发</v>
          </cell>
          <cell r="I157">
            <v>0</v>
          </cell>
        </row>
        <row r="158">
          <cell r="D158">
            <v>16225604</v>
          </cell>
          <cell r="E158" t="str">
            <v>伯希和/PELLIOT</v>
          </cell>
          <cell r="F158" t="str">
            <v>流行饰品/眼镜/服配-防晒服配-防晒面罩</v>
          </cell>
          <cell r="G158" t="str">
            <v>一品一商</v>
          </cell>
          <cell r="H158" t="str">
            <v>品牌直发</v>
          </cell>
          <cell r="I158">
            <v>0</v>
          </cell>
        </row>
        <row r="159">
          <cell r="D159">
            <v>16423401</v>
          </cell>
          <cell r="E159" t="str">
            <v>伯希和/PELLIOT</v>
          </cell>
          <cell r="F159" t="str">
            <v>流行饰品/眼镜/服配-帽子-渔夫帽</v>
          </cell>
          <cell r="G159" t="str">
            <v>一品一商</v>
          </cell>
          <cell r="H159" t="str">
            <v>品牌直发</v>
          </cell>
          <cell r="I159">
            <v>0</v>
          </cell>
        </row>
        <row r="160">
          <cell r="D160">
            <v>16423406</v>
          </cell>
          <cell r="E160" t="str">
            <v>伯希和/PELLIOT</v>
          </cell>
          <cell r="F160" t="str">
            <v>流行饰品/眼镜/服配-防晒服配-防晒帽</v>
          </cell>
          <cell r="G160" t="str">
            <v>一品一商</v>
          </cell>
          <cell r="H160" t="str">
            <v>品牌直发</v>
          </cell>
          <cell r="I160">
            <v>0</v>
          </cell>
        </row>
        <row r="161">
          <cell r="D161">
            <v>16425601</v>
          </cell>
          <cell r="E161" t="str">
            <v>伯希和/PELLIOT</v>
          </cell>
          <cell r="F161" t="str">
            <v>流行饰品/眼镜/服配-防晒服配-防晒面罩</v>
          </cell>
          <cell r="G161" t="str">
            <v>一品一商</v>
          </cell>
          <cell r="H161" t="str">
            <v>品牌直发</v>
          </cell>
          <cell r="I161">
            <v>0</v>
          </cell>
        </row>
        <row r="162">
          <cell r="D162">
            <v>12421214</v>
          </cell>
          <cell r="E162" t="str">
            <v>伯希和/PELLIOT</v>
          </cell>
          <cell r="F162" t="str">
            <v>女装-外套-防晒服</v>
          </cell>
          <cell r="G162" t="str">
            <v>一品一商</v>
          </cell>
          <cell r="H162" t="str">
            <v>品牌直发</v>
          </cell>
          <cell r="I162">
            <v>0</v>
          </cell>
        </row>
        <row r="163">
          <cell r="D163">
            <v>16023203</v>
          </cell>
          <cell r="E163" t="str">
            <v>伯希和/PELLIOT</v>
          </cell>
          <cell r="F163" t="str">
            <v>流行饰品/眼镜/服配-防晒服配-防晒脖套</v>
          </cell>
          <cell r="G163" t="str">
            <v>一品一商</v>
          </cell>
          <cell r="H163" t="str">
            <v>品牌直发</v>
          </cell>
          <cell r="I163">
            <v>0</v>
          </cell>
        </row>
        <row r="164">
          <cell r="D164">
            <v>16943407</v>
          </cell>
          <cell r="E164" t="str">
            <v>伯希和/PELLIOT</v>
          </cell>
          <cell r="F164" t="str">
            <v>流行饰品/眼镜/服配-帽子-绒线帽</v>
          </cell>
          <cell r="G164" t="str">
            <v>一品一商</v>
          </cell>
          <cell r="H164" t="str">
            <v>品牌直发</v>
          </cell>
          <cell r="I164">
            <v>0</v>
          </cell>
        </row>
        <row r="165">
          <cell r="D165">
            <v>11421425</v>
          </cell>
          <cell r="E165" t="str">
            <v>伯希和/PELLIOT</v>
          </cell>
          <cell r="F165" t="str">
            <v>服装-长裤-针织运动裤</v>
          </cell>
          <cell r="G165" t="str">
            <v>一品多商</v>
          </cell>
          <cell r="H165" t="str">
            <v>品牌直发</v>
          </cell>
          <cell r="I165">
            <v>0</v>
          </cell>
        </row>
        <row r="166">
          <cell r="D166">
            <v>16903501</v>
          </cell>
          <cell r="E166" t="str">
            <v>伯希和/PELLIOT</v>
          </cell>
          <cell r="F166" t="str">
            <v>内衣-袜子-短袜</v>
          </cell>
          <cell r="G166" t="str">
            <v>一品一商</v>
          </cell>
          <cell r="H166" t="str">
            <v>品牌直发</v>
          </cell>
          <cell r="I166">
            <v>0</v>
          </cell>
        </row>
        <row r="167">
          <cell r="D167">
            <v>12421426</v>
          </cell>
          <cell r="E167" t="str">
            <v>伯希和/PELLIOT</v>
          </cell>
          <cell r="F167" t="str">
            <v>女装-户外运动服-速干裤</v>
          </cell>
          <cell r="G167" t="str">
            <v>一品多商</v>
          </cell>
          <cell r="H167" t="str">
            <v>品牌直发</v>
          </cell>
          <cell r="I167">
            <v>0</v>
          </cell>
        </row>
        <row r="168">
          <cell r="D168">
            <v>16023101</v>
          </cell>
          <cell r="E168" t="str">
            <v>伯希和/PELLIOT</v>
          </cell>
          <cell r="F168" t="str">
            <v>流行饰品/眼镜/服配-防晒服配-防晒手套</v>
          </cell>
          <cell r="G168" t="str">
            <v>一品一商</v>
          </cell>
          <cell r="H168" t="str">
            <v>品牌直发</v>
          </cell>
          <cell r="I168">
            <v>0</v>
          </cell>
        </row>
        <row r="169">
          <cell r="D169">
            <v>6623405</v>
          </cell>
          <cell r="E169" t="str">
            <v>伯希和/PELLIOT</v>
          </cell>
          <cell r="F169" t="str">
            <v>流行饰品/眼镜/服配-帽子-鸭舌帽</v>
          </cell>
          <cell r="G169" t="str">
            <v>一品一商</v>
          </cell>
          <cell r="H169" t="str">
            <v>品牌直发</v>
          </cell>
          <cell r="I169">
            <v>0</v>
          </cell>
        </row>
        <row r="170">
          <cell r="D170">
            <v>12421412</v>
          </cell>
          <cell r="E170" t="str">
            <v>伯希和/PELLIOT</v>
          </cell>
          <cell r="F170" t="str">
            <v>女装-户外运动服-速干裤</v>
          </cell>
          <cell r="G170" t="str">
            <v>一品多商</v>
          </cell>
          <cell r="H170" t="str">
            <v>品牌直发</v>
          </cell>
          <cell r="I170">
            <v>0</v>
          </cell>
        </row>
        <row r="171">
          <cell r="D171">
            <v>11331905</v>
          </cell>
          <cell r="E171" t="str">
            <v>伯希和/PELLIOT</v>
          </cell>
          <cell r="F171" t="str">
            <v>鞋-运动鞋-跑步鞋</v>
          </cell>
          <cell r="G171" t="str">
            <v>一品一商</v>
          </cell>
          <cell r="H171" t="str">
            <v>品牌直发</v>
          </cell>
          <cell r="I171">
            <v>0</v>
          </cell>
        </row>
        <row r="172">
          <cell r="D172">
            <v>16043429</v>
          </cell>
          <cell r="E172" t="str">
            <v>伯希和/PELLIOT</v>
          </cell>
          <cell r="F172" t="str">
            <v>流行饰品/眼镜/服配-帽子-绒线帽</v>
          </cell>
          <cell r="G172" t="str">
            <v>一品一商</v>
          </cell>
          <cell r="H172" t="str">
            <v>品牌直发</v>
          </cell>
          <cell r="I172">
            <v>0</v>
          </cell>
        </row>
        <row r="173">
          <cell r="D173">
            <v>16302836</v>
          </cell>
          <cell r="E173" t="str">
            <v>伯希和/PELLIOT</v>
          </cell>
          <cell r="F173" t="str">
            <v>户外装备-露营/野炊装备-户外充气床</v>
          </cell>
          <cell r="G173" t="str">
            <v>一品一商</v>
          </cell>
          <cell r="H173" t="str">
            <v>普通现货</v>
          </cell>
          <cell r="I173">
            <v>0</v>
          </cell>
        </row>
        <row r="174">
          <cell r="D174">
            <v>11325109</v>
          </cell>
          <cell r="E174" t="str">
            <v>伯希和/PELLIOT</v>
          </cell>
          <cell r="F174" t="str">
            <v>服装-外套-夹克</v>
          </cell>
          <cell r="G174" t="str">
            <v>一品一商</v>
          </cell>
          <cell r="H174" t="str">
            <v>品牌直发</v>
          </cell>
          <cell r="I174">
            <v>0</v>
          </cell>
        </row>
        <row r="175">
          <cell r="D175" t="str">
            <v>12331902-黑灰色</v>
          </cell>
          <cell r="E175" t="str">
            <v>伯希和/PELLIOT</v>
          </cell>
          <cell r="F175" t="str">
            <v>鞋-运动鞋-跑步鞋</v>
          </cell>
          <cell r="G175" t="str">
            <v>一品一商</v>
          </cell>
          <cell r="H175" t="str">
            <v>品牌直发</v>
          </cell>
          <cell r="I175">
            <v>0</v>
          </cell>
        </row>
        <row r="176">
          <cell r="D176" t="str">
            <v>12331902-浅卡其</v>
          </cell>
          <cell r="E176" t="str">
            <v>伯希和/PELLIOT</v>
          </cell>
          <cell r="F176" t="str">
            <v>鞋-运动鞋-跑步鞋</v>
          </cell>
          <cell r="G176" t="str">
            <v>一品多商</v>
          </cell>
          <cell r="H176" t="str">
            <v>品牌直发</v>
          </cell>
          <cell r="I176">
            <v>0</v>
          </cell>
        </row>
        <row r="177">
          <cell r="D177" t="str">
            <v>12331902-活力红</v>
          </cell>
          <cell r="E177" t="str">
            <v>伯希和/PELLIOT</v>
          </cell>
          <cell r="F177" t="str">
            <v>鞋-运动鞋-跑步鞋</v>
          </cell>
          <cell r="G177" t="str">
            <v>一品一商</v>
          </cell>
          <cell r="H177" t="str">
            <v>品牌直发</v>
          </cell>
          <cell r="I177">
            <v>0</v>
          </cell>
        </row>
        <row r="178">
          <cell r="D178">
            <v>12340820</v>
          </cell>
          <cell r="E178" t="str">
            <v>伯希和/PELLIOT</v>
          </cell>
          <cell r="F178" t="str">
            <v>服装-外套-羽绒服</v>
          </cell>
          <cell r="G178" t="str">
            <v>一品一商</v>
          </cell>
          <cell r="H178" t="str">
            <v>品牌直发</v>
          </cell>
          <cell r="I178">
            <v>0</v>
          </cell>
        </row>
        <row r="179">
          <cell r="D179">
            <v>12331028</v>
          </cell>
          <cell r="E179" t="str">
            <v>伯希和/PELLIOT</v>
          </cell>
          <cell r="F179" t="str">
            <v>服装-户外运动服-抓绒衣</v>
          </cell>
          <cell r="G179" t="str">
            <v>一品一商</v>
          </cell>
          <cell r="H179" t="str">
            <v>品牌直发</v>
          </cell>
          <cell r="I179">
            <v>0</v>
          </cell>
        </row>
        <row r="180">
          <cell r="D180">
            <v>12331032</v>
          </cell>
          <cell r="E180" t="str">
            <v>伯希和/PELLIOT</v>
          </cell>
          <cell r="F180" t="str">
            <v>服装-户外运动服-抓绒衣</v>
          </cell>
          <cell r="G180" t="str">
            <v>一品一商</v>
          </cell>
          <cell r="H180" t="str">
            <v>品牌直发</v>
          </cell>
          <cell r="I180">
            <v>0</v>
          </cell>
        </row>
        <row r="181">
          <cell r="D181">
            <v>12340806</v>
          </cell>
          <cell r="E181" t="str">
            <v>伯希和/PELLIOT</v>
          </cell>
          <cell r="F181" t="str">
            <v>女装-外套-羽绒服</v>
          </cell>
          <cell r="G181" t="str">
            <v>一品多商</v>
          </cell>
          <cell r="H181" t="str">
            <v>品牌直发</v>
          </cell>
          <cell r="I181">
            <v>0</v>
          </cell>
        </row>
        <row r="182">
          <cell r="D182">
            <v>12331030</v>
          </cell>
          <cell r="E182" t="str">
            <v>伯希和/PELLIOT</v>
          </cell>
          <cell r="F182" t="str">
            <v>服装-户外运动服-抓绒衣</v>
          </cell>
          <cell r="G182" t="str">
            <v>一品一商</v>
          </cell>
          <cell r="H182" t="str">
            <v>品牌直发</v>
          </cell>
          <cell r="I182">
            <v>0</v>
          </cell>
        </row>
        <row r="183">
          <cell r="D183">
            <v>11340805</v>
          </cell>
          <cell r="E183" t="str">
            <v>伯希和/PELLIOT</v>
          </cell>
          <cell r="F183" t="str">
            <v>服装-外套-羽绒服</v>
          </cell>
          <cell r="G183" t="str">
            <v>一品多商</v>
          </cell>
          <cell r="H183" t="str">
            <v>品牌直发</v>
          </cell>
          <cell r="I183">
            <v>0</v>
          </cell>
        </row>
        <row r="184">
          <cell r="D184">
            <v>11331021</v>
          </cell>
          <cell r="E184" t="str">
            <v>伯希和/PELLIOT</v>
          </cell>
          <cell r="F184" t="str">
            <v>服装-户外运动服-抓绒衣</v>
          </cell>
          <cell r="G184" t="str">
            <v>一品一商</v>
          </cell>
          <cell r="H184" t="str">
            <v>品牌直发</v>
          </cell>
          <cell r="I184">
            <v>0</v>
          </cell>
        </row>
        <row r="185">
          <cell r="D185">
            <v>11331057</v>
          </cell>
          <cell r="E185" t="str">
            <v>伯希和/PELLIOT</v>
          </cell>
          <cell r="F185" t="str">
            <v>服装-户外运动服-抓绒衣</v>
          </cell>
          <cell r="G185" t="str">
            <v>一品一商</v>
          </cell>
          <cell r="H185" t="str">
            <v>品牌直发</v>
          </cell>
          <cell r="I185">
            <v>0</v>
          </cell>
        </row>
        <row r="186">
          <cell r="D186">
            <v>12340836</v>
          </cell>
          <cell r="E186" t="str">
            <v>伯希和/PELLIOT</v>
          </cell>
          <cell r="F186" t="str">
            <v>服装-外套-羽绒服</v>
          </cell>
          <cell r="G186" t="str">
            <v>一品多商</v>
          </cell>
          <cell r="H186" t="str">
            <v>品牌直发</v>
          </cell>
          <cell r="I186">
            <v>0</v>
          </cell>
        </row>
        <row r="187">
          <cell r="D187">
            <v>12331058</v>
          </cell>
          <cell r="E187" t="str">
            <v>伯希和/PELLIOT</v>
          </cell>
          <cell r="F187" t="str">
            <v>女装-户外运动服-抓绒衣</v>
          </cell>
          <cell r="G187" t="str">
            <v>一品一商</v>
          </cell>
          <cell r="H187" t="str">
            <v>品牌直发</v>
          </cell>
          <cell r="I187">
            <v>0</v>
          </cell>
        </row>
        <row r="188">
          <cell r="D188">
            <v>12340828</v>
          </cell>
          <cell r="E188" t="str">
            <v>伯希和/PELLIOT</v>
          </cell>
          <cell r="F188" t="str">
            <v>服装-外套-羽绒服</v>
          </cell>
          <cell r="G188" t="str">
            <v>一品多商</v>
          </cell>
          <cell r="H188" t="str">
            <v>品牌直发</v>
          </cell>
          <cell r="I188">
            <v>0</v>
          </cell>
        </row>
        <row r="189">
          <cell r="D189">
            <v>12340812</v>
          </cell>
          <cell r="E189" t="str">
            <v>伯希和/PELLIOT</v>
          </cell>
          <cell r="F189" t="str">
            <v>服装-外套-羽绒服</v>
          </cell>
          <cell r="G189" t="str">
            <v>一品多商</v>
          </cell>
          <cell r="H189" t="str">
            <v>品牌直发</v>
          </cell>
          <cell r="I189">
            <v>0</v>
          </cell>
        </row>
        <row r="190">
          <cell r="D190">
            <v>12340134</v>
          </cell>
          <cell r="E190" t="str">
            <v>伯希和/PELLIOT</v>
          </cell>
          <cell r="F190" t="str">
            <v>服装-外套-冲锋衣</v>
          </cell>
          <cell r="G190" t="str">
            <v>一品一商</v>
          </cell>
          <cell r="H190" t="str">
            <v>品牌直发</v>
          </cell>
          <cell r="I190">
            <v>0</v>
          </cell>
        </row>
        <row r="191">
          <cell r="D191">
            <v>12340804</v>
          </cell>
          <cell r="E191" t="str">
            <v>伯希和/PELLIOT</v>
          </cell>
          <cell r="F191" t="str">
            <v>女装-外套-羽绒服</v>
          </cell>
          <cell r="G191" t="str">
            <v>一品多商</v>
          </cell>
          <cell r="H191" t="str">
            <v>品牌直发</v>
          </cell>
          <cell r="I191">
            <v>0</v>
          </cell>
        </row>
        <row r="192">
          <cell r="D192">
            <v>12340814</v>
          </cell>
          <cell r="E192" t="str">
            <v>伯希和/PELLIOT</v>
          </cell>
          <cell r="F192" t="str">
            <v>服装-外套-羽绒服</v>
          </cell>
          <cell r="G192" t="str">
            <v>一品多商</v>
          </cell>
          <cell r="H192" t="str">
            <v>品牌直发</v>
          </cell>
          <cell r="I192">
            <v>0</v>
          </cell>
        </row>
        <row r="193">
          <cell r="D193">
            <v>11340139</v>
          </cell>
          <cell r="E193" t="str">
            <v>伯希和/PELLIOT</v>
          </cell>
          <cell r="F193" t="str">
            <v>服装-外套-冲锋衣</v>
          </cell>
          <cell r="G193" t="str">
            <v>一品多商</v>
          </cell>
          <cell r="H193" t="str">
            <v>品牌直发</v>
          </cell>
          <cell r="I193">
            <v>0</v>
          </cell>
        </row>
        <row r="194">
          <cell r="D194">
            <v>12331018</v>
          </cell>
          <cell r="E194" t="str">
            <v>伯希和/PELLIOT</v>
          </cell>
          <cell r="F194" t="str">
            <v>服装-户外运动服-抓绒衣</v>
          </cell>
          <cell r="G194" t="str">
            <v>一品一商</v>
          </cell>
          <cell r="H194" t="str">
            <v>品牌直发</v>
          </cell>
          <cell r="I194">
            <v>0</v>
          </cell>
        </row>
        <row r="195">
          <cell r="D195">
            <v>12331026</v>
          </cell>
          <cell r="E195" t="str">
            <v>伯希和/PELLIOT</v>
          </cell>
          <cell r="F195" t="str">
            <v>女装-户外运动服-抓绒衣</v>
          </cell>
          <cell r="G195" t="str">
            <v>一品多商</v>
          </cell>
          <cell r="H195" t="str">
            <v>品牌直发</v>
          </cell>
          <cell r="I195">
            <v>0</v>
          </cell>
        </row>
        <row r="196">
          <cell r="D196">
            <v>11331027</v>
          </cell>
          <cell r="E196" t="str">
            <v>伯希和/PELLIOT</v>
          </cell>
          <cell r="F196" t="str">
            <v>服装-户外运动服-抓绒衣</v>
          </cell>
          <cell r="G196" t="str">
            <v>一品一商</v>
          </cell>
          <cell r="H196" t="str">
            <v>品牌直发</v>
          </cell>
          <cell r="I196">
            <v>0</v>
          </cell>
        </row>
        <row r="197">
          <cell r="D197">
            <v>12331008</v>
          </cell>
          <cell r="E197" t="str">
            <v>伯希和/PELLIOT</v>
          </cell>
          <cell r="F197" t="str">
            <v>女装-户外运动服-抓绒衣</v>
          </cell>
          <cell r="G197" t="str">
            <v>一品一商</v>
          </cell>
          <cell r="H197" t="str">
            <v>品牌直发</v>
          </cell>
          <cell r="I197">
            <v>0</v>
          </cell>
        </row>
        <row r="198">
          <cell r="D198">
            <v>12331004</v>
          </cell>
          <cell r="E198" t="str">
            <v>伯希和/PELLIOT</v>
          </cell>
          <cell r="F198" t="str">
            <v>女装-户外运动服-抓绒衣</v>
          </cell>
          <cell r="G198" t="str">
            <v>一品一商</v>
          </cell>
          <cell r="H198" t="str">
            <v>品牌直发</v>
          </cell>
          <cell r="I198">
            <v>0</v>
          </cell>
        </row>
        <row r="199">
          <cell r="D199">
            <v>11331011</v>
          </cell>
          <cell r="E199" t="str">
            <v>伯希和/PELLIOT</v>
          </cell>
          <cell r="F199" t="str">
            <v>服装-户外运动服-抓绒衣</v>
          </cell>
          <cell r="G199" t="str">
            <v>一品多商</v>
          </cell>
          <cell r="H199" t="str">
            <v>品牌直发</v>
          </cell>
          <cell r="I199">
            <v>0</v>
          </cell>
        </row>
        <row r="200">
          <cell r="D200">
            <v>12331012</v>
          </cell>
          <cell r="E200" t="str">
            <v>伯希和/PELLIOT</v>
          </cell>
          <cell r="F200" t="str">
            <v>女装-户外运动服-抓绒衣</v>
          </cell>
          <cell r="G200" t="str">
            <v>一品多商</v>
          </cell>
          <cell r="H200" t="str">
            <v>品牌直发</v>
          </cell>
          <cell r="I200">
            <v>0</v>
          </cell>
        </row>
        <row r="201">
          <cell r="D201">
            <v>11331003</v>
          </cell>
          <cell r="E201" t="str">
            <v>伯希和/PELLIOT</v>
          </cell>
          <cell r="F201" t="str">
            <v>服装-户外运动服-抓绒衣</v>
          </cell>
          <cell r="G201" t="str">
            <v>一品一商</v>
          </cell>
          <cell r="H201" t="str">
            <v>品牌直发</v>
          </cell>
          <cell r="I201">
            <v>0</v>
          </cell>
        </row>
        <row r="202">
          <cell r="D202">
            <v>12340822</v>
          </cell>
          <cell r="E202" t="str">
            <v>伯希和/PELLIOT</v>
          </cell>
          <cell r="F202" t="str">
            <v>女装-外套-羽绒服</v>
          </cell>
          <cell r="G202" t="str">
            <v>一品多商</v>
          </cell>
          <cell r="H202" t="str">
            <v>品牌直发</v>
          </cell>
          <cell r="I202">
            <v>0</v>
          </cell>
        </row>
        <row r="203">
          <cell r="D203">
            <v>11330601</v>
          </cell>
          <cell r="E203" t="str">
            <v>伯希和/PELLIOT</v>
          </cell>
          <cell r="F203" t="str">
            <v>服装-外套-软壳衣</v>
          </cell>
          <cell r="G203" t="str">
            <v>一品一商</v>
          </cell>
          <cell r="H203" t="str">
            <v>品牌直发</v>
          </cell>
          <cell r="I203">
            <v>0</v>
          </cell>
        </row>
        <row r="204">
          <cell r="D204">
            <v>12330706</v>
          </cell>
          <cell r="E204" t="str">
            <v>伯希和/PELLIOT</v>
          </cell>
          <cell r="F204" t="str">
            <v>女装-长裤-软壳裤</v>
          </cell>
          <cell r="G204" t="str">
            <v>一品一商</v>
          </cell>
          <cell r="H204" t="str">
            <v>品牌直发</v>
          </cell>
          <cell r="I204">
            <v>0</v>
          </cell>
        </row>
        <row r="205">
          <cell r="D205" t="str">
            <v>12815108-yc</v>
          </cell>
          <cell r="E205" t="str">
            <v>伯希和/PELLIOT</v>
          </cell>
          <cell r="F205" t="str">
            <v>服装-外套-防晒服</v>
          </cell>
          <cell r="G205" t="str">
            <v>一品一商</v>
          </cell>
          <cell r="H205" t="str">
            <v>品牌直发</v>
          </cell>
          <cell r="I205">
            <v>0</v>
          </cell>
        </row>
        <row r="206">
          <cell r="D206">
            <v>12933728</v>
          </cell>
          <cell r="E206" t="str">
            <v>伯希和/PELLIOT</v>
          </cell>
          <cell r="F206" t="str">
            <v>女装-上衣-卫衣</v>
          </cell>
          <cell r="G206" t="str">
            <v>一品一商</v>
          </cell>
          <cell r="H206" t="str">
            <v>品牌直发</v>
          </cell>
          <cell r="I206">
            <v>0</v>
          </cell>
        </row>
        <row r="207">
          <cell r="D207">
            <v>114301085</v>
          </cell>
          <cell r="E207" t="str">
            <v>伯希和/PELLIOT</v>
          </cell>
          <cell r="F207" t="str">
            <v>服装-外套-冲锋衣</v>
          </cell>
          <cell r="G207" t="str">
            <v>一品多商</v>
          </cell>
          <cell r="H207" t="str">
            <v>品牌直发</v>
          </cell>
          <cell r="I207">
            <v>0</v>
          </cell>
        </row>
        <row r="208">
          <cell r="D208">
            <v>11235109</v>
          </cell>
          <cell r="E208" t="str">
            <v>伯希和/PELLIOT</v>
          </cell>
          <cell r="F208" t="str">
            <v>服装-外套-夹克</v>
          </cell>
          <cell r="G208" t="str">
            <v>一品一商</v>
          </cell>
          <cell r="H208" t="str">
            <v>品牌直发</v>
          </cell>
          <cell r="I208">
            <v>0</v>
          </cell>
        </row>
        <row r="209">
          <cell r="D209">
            <v>11140127</v>
          </cell>
          <cell r="E209" t="str">
            <v>伯希和/PELLIOT</v>
          </cell>
          <cell r="F209" t="str">
            <v>服装-外套-冲锋衣</v>
          </cell>
          <cell r="G209" t="str">
            <v>一品一商</v>
          </cell>
          <cell r="H209" t="str">
            <v>品牌直发</v>
          </cell>
          <cell r="I209">
            <v>0</v>
          </cell>
        </row>
        <row r="210">
          <cell r="D210">
            <v>12131002</v>
          </cell>
          <cell r="E210" t="str">
            <v>伯希和/PELLIOT</v>
          </cell>
          <cell r="F210" t="str">
            <v>女装-户外运动服-抓绒衣</v>
          </cell>
          <cell r="G210" t="str">
            <v>一品一商</v>
          </cell>
          <cell r="H210" t="str">
            <v>品牌直发</v>
          </cell>
          <cell r="I210">
            <v>0</v>
          </cell>
        </row>
        <row r="211">
          <cell r="D211">
            <v>12330602</v>
          </cell>
          <cell r="E211" t="str">
            <v>伯希和/PELLIOT</v>
          </cell>
          <cell r="F211" t="str">
            <v>女装-外套-软壳衣</v>
          </cell>
          <cell r="G211" t="str">
            <v>一品多商</v>
          </cell>
          <cell r="H211" t="str">
            <v>品牌直发</v>
          </cell>
          <cell r="I211">
            <v>0</v>
          </cell>
        </row>
        <row r="212">
          <cell r="D212">
            <v>12221258</v>
          </cell>
          <cell r="E212" t="str">
            <v>伯希和/PELLIOT</v>
          </cell>
          <cell r="F212" t="str">
            <v>女装-外套-防晒服</v>
          </cell>
          <cell r="G212" t="str">
            <v>一品一商</v>
          </cell>
          <cell r="H212" t="str">
            <v>普通现货</v>
          </cell>
          <cell r="I212">
            <v>0</v>
          </cell>
        </row>
        <row r="213">
          <cell r="D213">
            <v>112221210</v>
          </cell>
          <cell r="E213" t="str">
            <v>伯希和/PELLIOT</v>
          </cell>
          <cell r="F213" t="str">
            <v>女装-外套-防晒服</v>
          </cell>
          <cell r="G213" t="str">
            <v>一品一商</v>
          </cell>
          <cell r="H213" t="str">
            <v>品牌直发</v>
          </cell>
          <cell r="I213">
            <v>0</v>
          </cell>
        </row>
        <row r="214">
          <cell r="D214">
            <v>12133802</v>
          </cell>
          <cell r="E214" t="str">
            <v>伯希和/PELLIOT</v>
          </cell>
          <cell r="F214" t="str">
            <v>女装-长裤-针织运动裤</v>
          </cell>
          <cell r="G214" t="str">
            <v>一品一商</v>
          </cell>
          <cell r="H214" t="str">
            <v>品牌直发</v>
          </cell>
          <cell r="I214">
            <v>0</v>
          </cell>
        </row>
        <row r="215">
          <cell r="D215">
            <v>112325110</v>
          </cell>
          <cell r="E215" t="str">
            <v>伯希和/PELLIOT</v>
          </cell>
          <cell r="F215" t="str">
            <v>女装-外套-夹克</v>
          </cell>
          <cell r="G215" t="str">
            <v>一品一商</v>
          </cell>
          <cell r="H215" t="str">
            <v>普通现货</v>
          </cell>
          <cell r="I215">
            <v>0</v>
          </cell>
        </row>
        <row r="216">
          <cell r="D216">
            <v>112230602</v>
          </cell>
          <cell r="E216" t="str">
            <v>伯希和/PELLIOT</v>
          </cell>
          <cell r="F216" t="str">
            <v>女装-外套-软壳衣</v>
          </cell>
          <cell r="G216" t="str">
            <v>一品一商</v>
          </cell>
          <cell r="H216" t="str">
            <v>品牌直发</v>
          </cell>
          <cell r="I216">
            <v>0</v>
          </cell>
        </row>
        <row r="217">
          <cell r="D217">
            <v>12340132</v>
          </cell>
          <cell r="E217" t="str">
            <v>伯希和/PELLIOT</v>
          </cell>
          <cell r="F217" t="str">
            <v>服装-外套-冲锋衣</v>
          </cell>
          <cell r="G217" t="str">
            <v>一品一商</v>
          </cell>
          <cell r="H217" t="str">
            <v>品牌直发</v>
          </cell>
          <cell r="I217">
            <v>0</v>
          </cell>
        </row>
        <row r="218">
          <cell r="D218">
            <v>16202509</v>
          </cell>
          <cell r="E218" t="str">
            <v>伯希和/PELLIOT</v>
          </cell>
          <cell r="F218" t="str">
            <v>箱包-包袋-户外包</v>
          </cell>
          <cell r="G218" t="str">
            <v>一品一商</v>
          </cell>
          <cell r="H218" t="str">
            <v>品牌直发</v>
          </cell>
          <cell r="I218">
            <v>0</v>
          </cell>
        </row>
        <row r="219">
          <cell r="D219">
            <v>12340104</v>
          </cell>
          <cell r="E219" t="str">
            <v>伯希和/PELLIOT</v>
          </cell>
          <cell r="F219" t="str">
            <v>女装-外套-冲锋衣</v>
          </cell>
          <cell r="G219" t="str">
            <v>一品多商</v>
          </cell>
          <cell r="H219" t="str">
            <v>品牌直发</v>
          </cell>
          <cell r="I219">
            <v>0</v>
          </cell>
        </row>
        <row r="220">
          <cell r="D220" t="str">
            <v>12011902-樱花粉</v>
          </cell>
          <cell r="E220" t="str">
            <v>伯希和/PELLIOT</v>
          </cell>
          <cell r="F220" t="str">
            <v>鞋-运动鞋-跑步鞋</v>
          </cell>
          <cell r="G220" t="str">
            <v>一品一商</v>
          </cell>
          <cell r="H220" t="str">
            <v>品牌直发</v>
          </cell>
          <cell r="I220">
            <v>0</v>
          </cell>
        </row>
        <row r="221">
          <cell r="D221" t="str">
            <v>12211904-经典黑</v>
          </cell>
          <cell r="E221" t="str">
            <v>伯希和/PELLIOT</v>
          </cell>
          <cell r="F221" t="str">
            <v>鞋-运动鞋-跑步鞋</v>
          </cell>
          <cell r="G221" t="str">
            <v>一品一商</v>
          </cell>
          <cell r="H221" t="str">
            <v>品牌直发</v>
          </cell>
          <cell r="I221">
            <v>0</v>
          </cell>
        </row>
        <row r="222">
          <cell r="D222">
            <v>12231034</v>
          </cell>
          <cell r="E222" t="str">
            <v>伯希和/PELLIOT</v>
          </cell>
          <cell r="F222" t="str">
            <v>女装-户外运动服-抓绒衣</v>
          </cell>
          <cell r="G222" t="str">
            <v>一品一商</v>
          </cell>
          <cell r="H222" t="str">
            <v>品牌直发</v>
          </cell>
          <cell r="I222">
            <v>0</v>
          </cell>
        </row>
        <row r="223">
          <cell r="D223">
            <v>12231026</v>
          </cell>
          <cell r="E223" t="str">
            <v>伯希和/PELLIOT</v>
          </cell>
          <cell r="F223" t="str">
            <v>女装-户外运动服-抓绒衣</v>
          </cell>
          <cell r="G223" t="str">
            <v>一品一商</v>
          </cell>
          <cell r="H223" t="str">
            <v>品牌直发</v>
          </cell>
          <cell r="I223">
            <v>0</v>
          </cell>
        </row>
        <row r="224">
          <cell r="D224">
            <v>11813705</v>
          </cell>
          <cell r="E224" t="str">
            <v>伯希和/PELLIOT</v>
          </cell>
          <cell r="F224" t="str">
            <v>服装-上衣-卫衣</v>
          </cell>
          <cell r="G224" t="str">
            <v>一品一商</v>
          </cell>
          <cell r="H224" t="str">
            <v>品牌直发</v>
          </cell>
          <cell r="I224">
            <v>0</v>
          </cell>
        </row>
        <row r="225">
          <cell r="D225">
            <v>11133803</v>
          </cell>
          <cell r="E225" t="str">
            <v>伯希和/PELLIOT</v>
          </cell>
          <cell r="F225" t="str">
            <v>服装-长裤-针织运动裤</v>
          </cell>
          <cell r="G225" t="str">
            <v>一品一商</v>
          </cell>
          <cell r="H225" t="str">
            <v>品牌直发</v>
          </cell>
          <cell r="I225">
            <v>0</v>
          </cell>
        </row>
        <row r="226">
          <cell r="D226">
            <v>13321435</v>
          </cell>
          <cell r="E226" t="str">
            <v>伯希和/PELLIOT</v>
          </cell>
          <cell r="F226" t="str">
            <v>童装-儿童下装-针织运动裤</v>
          </cell>
          <cell r="G226" t="str">
            <v>一品一商</v>
          </cell>
          <cell r="H226" t="str">
            <v>品牌直发</v>
          </cell>
          <cell r="I226">
            <v>0</v>
          </cell>
        </row>
        <row r="227">
          <cell r="D227">
            <v>23930709</v>
          </cell>
          <cell r="E227" t="str">
            <v>伯希和/PELLIOT</v>
          </cell>
          <cell r="F227" t="str">
            <v>童装-儿童下装-儿童软壳裤</v>
          </cell>
          <cell r="G227" t="str">
            <v>一品一商</v>
          </cell>
          <cell r="H227" t="str">
            <v>品牌直发</v>
          </cell>
          <cell r="I227">
            <v>0</v>
          </cell>
        </row>
        <row r="228">
          <cell r="D228">
            <v>12121216</v>
          </cell>
          <cell r="E228" t="str">
            <v>伯希和/PELLIOT</v>
          </cell>
          <cell r="F228" t="str">
            <v>女装-外套-防晒服</v>
          </cell>
          <cell r="G228" t="str">
            <v>一品多商</v>
          </cell>
          <cell r="H228" t="str">
            <v>品牌直发</v>
          </cell>
          <cell r="I228">
            <v>0</v>
          </cell>
        </row>
        <row r="229">
          <cell r="D229">
            <v>13131023</v>
          </cell>
          <cell r="E229" t="str">
            <v>伯希和/PELLIOT</v>
          </cell>
          <cell r="F229" t="str">
            <v>童装-儿童上装-夹克</v>
          </cell>
          <cell r="G229" t="str">
            <v>一品一商</v>
          </cell>
          <cell r="H229" t="str">
            <v>品牌直发</v>
          </cell>
          <cell r="I229">
            <v>0</v>
          </cell>
        </row>
        <row r="230">
          <cell r="D230">
            <v>13231017</v>
          </cell>
          <cell r="E230" t="str">
            <v>伯希和/PELLIOT</v>
          </cell>
          <cell r="F230" t="str">
            <v>童装-儿童上装-其他上装</v>
          </cell>
          <cell r="G230" t="str">
            <v>一品一商</v>
          </cell>
          <cell r="H230" t="str">
            <v>品牌直发</v>
          </cell>
          <cell r="I230">
            <v>0</v>
          </cell>
        </row>
        <row r="231">
          <cell r="D231">
            <v>12131004</v>
          </cell>
          <cell r="E231" t="str">
            <v>伯希和/PELLIOT</v>
          </cell>
          <cell r="F231" t="str">
            <v>女装-户外运动服-抓绒衣</v>
          </cell>
          <cell r="G231" t="str">
            <v>一品一商</v>
          </cell>
          <cell r="H231" t="str">
            <v>品牌直发</v>
          </cell>
          <cell r="I231">
            <v>0</v>
          </cell>
        </row>
        <row r="232">
          <cell r="D232">
            <v>13131026</v>
          </cell>
          <cell r="E232" t="str">
            <v>伯希和/PELLIOT</v>
          </cell>
          <cell r="F232" t="str">
            <v>童装-儿童上装-马甲</v>
          </cell>
          <cell r="G232" t="str">
            <v>一品一商</v>
          </cell>
          <cell r="H232" t="str">
            <v>品牌直发</v>
          </cell>
          <cell r="I232">
            <v>0</v>
          </cell>
        </row>
        <row r="233">
          <cell r="D233">
            <v>13131501</v>
          </cell>
          <cell r="E233" t="str">
            <v>伯希和/PELLIOT</v>
          </cell>
          <cell r="F233" t="str">
            <v>童装-儿童上装-T恤</v>
          </cell>
          <cell r="G233" t="str">
            <v>一品一商</v>
          </cell>
          <cell r="H233" t="str">
            <v>品牌直发</v>
          </cell>
          <cell r="I233">
            <v>0</v>
          </cell>
        </row>
        <row r="234">
          <cell r="D234">
            <v>13221533</v>
          </cell>
          <cell r="E234" t="str">
            <v>伯希和/PELLIOT</v>
          </cell>
          <cell r="F234" t="str">
            <v>童装-儿童上装-T恤</v>
          </cell>
          <cell r="G234" t="str">
            <v>一品一商</v>
          </cell>
          <cell r="H234" t="str">
            <v>品牌直发</v>
          </cell>
          <cell r="I234">
            <v>0</v>
          </cell>
        </row>
        <row r="235">
          <cell r="D235">
            <v>12123812</v>
          </cell>
          <cell r="E235" t="str">
            <v>伯希和/PELLIOT</v>
          </cell>
          <cell r="F235" t="str">
            <v>女装-短裤-休闲短裤</v>
          </cell>
          <cell r="G235" t="str">
            <v>一品一商</v>
          </cell>
          <cell r="H235" t="str">
            <v>品牌直发</v>
          </cell>
          <cell r="I235">
            <v>0</v>
          </cell>
        </row>
        <row r="236">
          <cell r="D236">
            <v>13113706</v>
          </cell>
          <cell r="E236" t="str">
            <v>伯希和/PELLIOT</v>
          </cell>
          <cell r="F236" t="str">
            <v>童装-儿童上装-卫衣</v>
          </cell>
          <cell r="G236" t="str">
            <v>一品一商</v>
          </cell>
          <cell r="H236" t="str">
            <v>品牌直发</v>
          </cell>
          <cell r="I236">
            <v>0</v>
          </cell>
        </row>
        <row r="237">
          <cell r="D237">
            <v>13221525</v>
          </cell>
          <cell r="E237" t="str">
            <v>伯希和/PELLIOT</v>
          </cell>
          <cell r="F237" t="str">
            <v>童装-儿童上装-T恤</v>
          </cell>
          <cell r="G237" t="str">
            <v>一品一商</v>
          </cell>
          <cell r="H237" t="str">
            <v>品牌直发</v>
          </cell>
          <cell r="I237">
            <v>0</v>
          </cell>
        </row>
        <row r="238">
          <cell r="D238">
            <v>113221526</v>
          </cell>
          <cell r="E238" t="str">
            <v>伯希和/PELLIOT</v>
          </cell>
          <cell r="F238" t="str">
            <v>童装-儿童上装-T恤</v>
          </cell>
          <cell r="G238" t="str">
            <v>一品一商</v>
          </cell>
          <cell r="H238" t="str">
            <v>品牌直发</v>
          </cell>
          <cell r="I238">
            <v>0</v>
          </cell>
        </row>
        <row r="239">
          <cell r="D239">
            <v>12133704</v>
          </cell>
          <cell r="E239" t="str">
            <v>伯希和/PELLIOT</v>
          </cell>
          <cell r="F239" t="str">
            <v>女装-上衣-卫衣</v>
          </cell>
          <cell r="G239" t="str">
            <v>一品一商</v>
          </cell>
          <cell r="H239" t="str">
            <v>品牌直发</v>
          </cell>
          <cell r="I239">
            <v>0</v>
          </cell>
        </row>
        <row r="240">
          <cell r="D240">
            <v>11133707</v>
          </cell>
          <cell r="E240" t="str">
            <v>伯希和/PELLIOT</v>
          </cell>
          <cell r="F240" t="str">
            <v>服装-上衣-卫衣</v>
          </cell>
          <cell r="G240" t="str">
            <v>一品一商</v>
          </cell>
          <cell r="H240" t="str">
            <v>品牌直发</v>
          </cell>
          <cell r="I240">
            <v>0</v>
          </cell>
        </row>
        <row r="241">
          <cell r="D241">
            <v>11133805</v>
          </cell>
          <cell r="E241" t="str">
            <v>伯希和/PELLIOT</v>
          </cell>
          <cell r="F241" t="str">
            <v>服装-长裤-针织运动裤</v>
          </cell>
          <cell r="G241" t="str">
            <v>一品一商</v>
          </cell>
          <cell r="H241" t="str">
            <v>品牌直发</v>
          </cell>
          <cell r="I241">
            <v>0</v>
          </cell>
        </row>
        <row r="242">
          <cell r="D242">
            <v>11131105</v>
          </cell>
          <cell r="E242" t="str">
            <v>伯希和/PELLIOT</v>
          </cell>
          <cell r="F242" t="str">
            <v>服装-户外运动服-抓绒裤</v>
          </cell>
          <cell r="G242" t="str">
            <v>一品一商</v>
          </cell>
          <cell r="H242" t="str">
            <v>品牌直发</v>
          </cell>
          <cell r="I242">
            <v>0</v>
          </cell>
        </row>
        <row r="243">
          <cell r="D243">
            <v>112221508</v>
          </cell>
          <cell r="E243" t="str">
            <v>伯希和/PELLIOT</v>
          </cell>
          <cell r="F243" t="str">
            <v>女装-上衣-T恤</v>
          </cell>
          <cell r="G243" t="str">
            <v>一品一商</v>
          </cell>
          <cell r="H243" t="str">
            <v>品牌直发</v>
          </cell>
          <cell r="I243">
            <v>0</v>
          </cell>
        </row>
        <row r="244">
          <cell r="D244">
            <v>13213709</v>
          </cell>
          <cell r="E244" t="str">
            <v>伯希和/PELLIOT</v>
          </cell>
          <cell r="F244" t="str">
            <v>童装-儿童上装-夹克</v>
          </cell>
          <cell r="G244" t="str">
            <v>一品一商</v>
          </cell>
          <cell r="H244" t="str">
            <v>品牌直发</v>
          </cell>
          <cell r="I244">
            <v>0</v>
          </cell>
        </row>
        <row r="245">
          <cell r="D245">
            <v>13121426</v>
          </cell>
          <cell r="E245" t="str">
            <v>伯希和/PELLIOT</v>
          </cell>
          <cell r="F245" t="str">
            <v>童装-儿童下装-针织运动裤</v>
          </cell>
          <cell r="G245" t="str">
            <v>一品一商</v>
          </cell>
          <cell r="H245" t="str">
            <v>品牌直发</v>
          </cell>
          <cell r="I245">
            <v>0</v>
          </cell>
        </row>
        <row r="246">
          <cell r="D246">
            <v>111121427</v>
          </cell>
          <cell r="E246" t="str">
            <v>伯希和/PELLIOT</v>
          </cell>
          <cell r="F246" t="str">
            <v>服装-户外运动服-速干裤</v>
          </cell>
          <cell r="G246" t="str">
            <v>一品一商</v>
          </cell>
          <cell r="H246" t="str">
            <v>品牌直发</v>
          </cell>
          <cell r="I246">
            <v>0</v>
          </cell>
        </row>
        <row r="247">
          <cell r="D247">
            <v>13231018</v>
          </cell>
          <cell r="E247" t="str">
            <v>伯希和/PELLIOT</v>
          </cell>
          <cell r="F247" t="str">
            <v>童装-儿童上装-卫衣</v>
          </cell>
          <cell r="G247" t="str">
            <v>一品一商</v>
          </cell>
          <cell r="H247" t="str">
            <v>品牌直发</v>
          </cell>
          <cell r="I247">
            <v>0</v>
          </cell>
        </row>
        <row r="248">
          <cell r="D248">
            <v>112221424</v>
          </cell>
          <cell r="E248" t="str">
            <v>伯希和/PELLIOT</v>
          </cell>
          <cell r="F248" t="str">
            <v>女装-健身服-运动短裤</v>
          </cell>
          <cell r="G248" t="str">
            <v>一品一商</v>
          </cell>
          <cell r="H248" t="str">
            <v>品牌直发</v>
          </cell>
          <cell r="I248">
            <v>0</v>
          </cell>
        </row>
        <row r="249">
          <cell r="D249">
            <v>13213805</v>
          </cell>
          <cell r="E249" t="str">
            <v>伯希和/PELLIOT</v>
          </cell>
          <cell r="F249" t="str">
            <v>童装-儿童下装-针织运动裤</v>
          </cell>
          <cell r="G249" t="str">
            <v>一品一商</v>
          </cell>
          <cell r="H249" t="str">
            <v>品牌直发</v>
          </cell>
          <cell r="I249">
            <v>0</v>
          </cell>
        </row>
        <row r="250">
          <cell r="D250">
            <v>13121220</v>
          </cell>
          <cell r="E250" t="str">
            <v>伯希和/PELLIOT</v>
          </cell>
          <cell r="F250" t="str">
            <v>童装-儿童上装-防晒衣</v>
          </cell>
          <cell r="G250" t="str">
            <v>一品一商</v>
          </cell>
          <cell r="H250" t="str">
            <v>品牌直发</v>
          </cell>
          <cell r="I250">
            <v>0</v>
          </cell>
        </row>
        <row r="251">
          <cell r="D251">
            <v>112121402</v>
          </cell>
          <cell r="E251" t="str">
            <v>伯希和/PELLIOT</v>
          </cell>
          <cell r="F251" t="str">
            <v>女装-健身服-运动短裤</v>
          </cell>
          <cell r="G251" t="str">
            <v>一品一商</v>
          </cell>
          <cell r="H251" t="str">
            <v>品牌直发</v>
          </cell>
          <cell r="I251">
            <v>0</v>
          </cell>
        </row>
        <row r="252">
          <cell r="D252">
            <v>113021234</v>
          </cell>
          <cell r="E252" t="str">
            <v>伯希和/PELLIOT</v>
          </cell>
          <cell r="F252" t="str">
            <v>童装-儿童上装-防晒衣</v>
          </cell>
          <cell r="G252" t="str">
            <v>一品一商</v>
          </cell>
          <cell r="H252" t="str">
            <v>普通现货</v>
          </cell>
          <cell r="I252">
            <v>0</v>
          </cell>
        </row>
        <row r="253">
          <cell r="D253">
            <v>113121276</v>
          </cell>
          <cell r="E253" t="str">
            <v>伯希和/PELLIOT</v>
          </cell>
          <cell r="F253" t="str">
            <v>童装-儿童上装-防晒衣</v>
          </cell>
          <cell r="G253" t="str">
            <v>一品一商</v>
          </cell>
          <cell r="H253" t="str">
            <v>品牌直发</v>
          </cell>
          <cell r="I253">
            <v>0</v>
          </cell>
        </row>
        <row r="254">
          <cell r="D254">
            <v>13113805</v>
          </cell>
          <cell r="E254" t="str">
            <v>伯希和/PELLIOT</v>
          </cell>
          <cell r="F254" t="str">
            <v>童装-儿童下装-针织运动裤</v>
          </cell>
          <cell r="G254" t="str">
            <v>一品一商</v>
          </cell>
          <cell r="H254" t="str">
            <v>品牌直发</v>
          </cell>
          <cell r="I254">
            <v>0</v>
          </cell>
        </row>
        <row r="255">
          <cell r="D255">
            <v>113231543</v>
          </cell>
          <cell r="E255" t="str">
            <v>伯希和/PELLIOT</v>
          </cell>
          <cell r="F255" t="str">
            <v>童装-儿童上装-T恤</v>
          </cell>
          <cell r="G255" t="str">
            <v>一品一商</v>
          </cell>
          <cell r="H255" t="str">
            <v>品牌直发</v>
          </cell>
          <cell r="I255">
            <v>0</v>
          </cell>
        </row>
        <row r="256">
          <cell r="D256">
            <v>11021525</v>
          </cell>
          <cell r="E256" t="str">
            <v>伯希和/PELLIOT</v>
          </cell>
          <cell r="F256" t="str">
            <v>服装-上衣-T恤</v>
          </cell>
          <cell r="G256" t="str">
            <v>一品一商</v>
          </cell>
          <cell r="H256" t="str">
            <v>品牌直发</v>
          </cell>
          <cell r="I256">
            <v>0</v>
          </cell>
        </row>
        <row r="257">
          <cell r="D257">
            <v>13221427</v>
          </cell>
          <cell r="E257" t="str">
            <v>伯希和/PELLIOT</v>
          </cell>
          <cell r="F257" t="str">
            <v>童装-儿童下装-针织运动裤</v>
          </cell>
          <cell r="G257" t="str">
            <v>一品一商</v>
          </cell>
          <cell r="H257" t="str">
            <v>品牌直发</v>
          </cell>
          <cell r="I257">
            <v>0</v>
          </cell>
        </row>
        <row r="258">
          <cell r="D258">
            <v>13245112</v>
          </cell>
          <cell r="E258" t="str">
            <v>伯希和/PELLIOT</v>
          </cell>
          <cell r="F258" t="str">
            <v>童装-儿童上装-冲锋衣</v>
          </cell>
          <cell r="G258" t="str">
            <v>一品多商</v>
          </cell>
          <cell r="H258" t="str">
            <v>品牌直发</v>
          </cell>
          <cell r="I258">
            <v>0</v>
          </cell>
        </row>
        <row r="259">
          <cell r="D259">
            <v>113115106</v>
          </cell>
          <cell r="E259" t="str">
            <v>伯希和/PELLIOT</v>
          </cell>
          <cell r="F259" t="str">
            <v>童装-儿童上装-冲锋衣</v>
          </cell>
          <cell r="G259" t="str">
            <v>一品一商</v>
          </cell>
          <cell r="H259" t="str">
            <v>品牌直发</v>
          </cell>
          <cell r="I259">
            <v>0</v>
          </cell>
        </row>
        <row r="260">
          <cell r="D260">
            <v>13040127</v>
          </cell>
          <cell r="E260" t="str">
            <v>伯希和/PELLIOT</v>
          </cell>
          <cell r="F260" t="str">
            <v>童装-儿童上装-冲锋衣</v>
          </cell>
          <cell r="G260" t="str">
            <v>一品一商</v>
          </cell>
          <cell r="H260" t="str">
            <v>品牌直发</v>
          </cell>
          <cell r="I260">
            <v>0</v>
          </cell>
        </row>
        <row r="261">
          <cell r="D261">
            <v>13921412</v>
          </cell>
          <cell r="E261" t="str">
            <v>伯希和/PELLIOT</v>
          </cell>
          <cell r="F261" t="str">
            <v>童装-儿童下装-针织运动裤</v>
          </cell>
          <cell r="G261" t="str">
            <v>一品一商</v>
          </cell>
          <cell r="H261" t="str">
            <v>品牌直发</v>
          </cell>
          <cell r="I261">
            <v>0</v>
          </cell>
        </row>
        <row r="262">
          <cell r="D262">
            <v>11115101</v>
          </cell>
          <cell r="E262" t="str">
            <v>伯希和/PELLIOT</v>
          </cell>
          <cell r="F262" t="str">
            <v>服装-外套-夹克</v>
          </cell>
          <cell r="G262" t="str">
            <v>一品一商</v>
          </cell>
          <cell r="H262" t="str">
            <v>品牌直发</v>
          </cell>
          <cell r="I262">
            <v>0</v>
          </cell>
        </row>
        <row r="263">
          <cell r="D263">
            <v>13930611</v>
          </cell>
          <cell r="E263" t="str">
            <v>伯希和/PELLIOT</v>
          </cell>
          <cell r="F263" t="str">
            <v>童装-儿童上装-冲锋衣</v>
          </cell>
          <cell r="G263" t="str">
            <v>一品多商</v>
          </cell>
          <cell r="H263" t="str">
            <v>品牌直发</v>
          </cell>
          <cell r="I263">
            <v>0</v>
          </cell>
        </row>
        <row r="264">
          <cell r="D264">
            <v>113321236</v>
          </cell>
          <cell r="E264" t="str">
            <v>伯希和/PELLIOT</v>
          </cell>
          <cell r="F264" t="str">
            <v>童装-儿童上装-防晒衣</v>
          </cell>
          <cell r="G264" t="str">
            <v>一品一商</v>
          </cell>
          <cell r="H264" t="str">
            <v>品牌直发</v>
          </cell>
          <cell r="I264">
            <v>0</v>
          </cell>
        </row>
        <row r="265">
          <cell r="D265">
            <v>13221249</v>
          </cell>
          <cell r="E265" t="str">
            <v>伯希和/PELLIOT</v>
          </cell>
          <cell r="F265" t="str">
            <v>童装-儿童上装-防晒衣</v>
          </cell>
          <cell r="G265" t="str">
            <v>一品一商</v>
          </cell>
          <cell r="H265" t="str">
            <v>品牌直发</v>
          </cell>
          <cell r="I265">
            <v>0</v>
          </cell>
        </row>
        <row r="266">
          <cell r="D266">
            <v>13031019</v>
          </cell>
          <cell r="E266" t="str">
            <v>伯希和/PELLIOT</v>
          </cell>
          <cell r="F266" t="str">
            <v>童装-儿童上装-马甲</v>
          </cell>
          <cell r="G266" t="str">
            <v>一品一商</v>
          </cell>
          <cell r="H266" t="str">
            <v>品牌直发</v>
          </cell>
          <cell r="I266">
            <v>0</v>
          </cell>
        </row>
        <row r="267">
          <cell r="D267">
            <v>13121530</v>
          </cell>
          <cell r="E267" t="str">
            <v>伯希和/PELLIOT</v>
          </cell>
          <cell r="F267" t="str">
            <v>童装-儿童上装-T恤</v>
          </cell>
          <cell r="G267" t="str">
            <v>一品一商</v>
          </cell>
          <cell r="H267" t="str">
            <v>品牌直发</v>
          </cell>
          <cell r="I267">
            <v>0</v>
          </cell>
        </row>
        <row r="268">
          <cell r="D268">
            <v>13133807</v>
          </cell>
          <cell r="E268" t="str">
            <v>伯希和/PELLIOT</v>
          </cell>
          <cell r="F268" t="str">
            <v>童装-儿童下装-针织运动裤</v>
          </cell>
          <cell r="G268" t="str">
            <v>一品一商</v>
          </cell>
          <cell r="H268" t="str">
            <v>品牌直发</v>
          </cell>
          <cell r="I268">
            <v>0</v>
          </cell>
        </row>
        <row r="269">
          <cell r="D269">
            <v>13121274</v>
          </cell>
          <cell r="E269" t="str">
            <v>伯希和/PELLIOT</v>
          </cell>
          <cell r="F269" t="str">
            <v>童装-儿童上装-防晒衣</v>
          </cell>
          <cell r="G269" t="str">
            <v>一品一商</v>
          </cell>
          <cell r="H269" t="str">
            <v>品牌直发</v>
          </cell>
          <cell r="I269">
            <v>0</v>
          </cell>
        </row>
        <row r="270">
          <cell r="D270">
            <v>13321235</v>
          </cell>
          <cell r="E270" t="str">
            <v>伯希和/PELLIOT</v>
          </cell>
          <cell r="F270" t="str">
            <v>童装-儿童上装-防晒衣</v>
          </cell>
          <cell r="G270" t="str">
            <v>一品一商</v>
          </cell>
          <cell r="H270" t="str">
            <v>品牌直发</v>
          </cell>
          <cell r="I270">
            <v>0</v>
          </cell>
        </row>
        <row r="271">
          <cell r="D271">
            <v>13221245</v>
          </cell>
          <cell r="E271" t="str">
            <v>伯希和/PELLIOT</v>
          </cell>
          <cell r="F271" t="str">
            <v>童装-儿童上装-防晒衣</v>
          </cell>
          <cell r="G271" t="str">
            <v>一品一商</v>
          </cell>
          <cell r="H271" t="str">
            <v>品牌直发</v>
          </cell>
          <cell r="I271">
            <v>0</v>
          </cell>
        </row>
        <row r="272">
          <cell r="D272">
            <v>13031113</v>
          </cell>
          <cell r="E272" t="str">
            <v>伯希和/PELLIOT</v>
          </cell>
          <cell r="F272" t="str">
            <v>童装-儿童下装-针织运动裤</v>
          </cell>
          <cell r="G272" t="str">
            <v>一品一商</v>
          </cell>
          <cell r="H272" t="str">
            <v>品牌直发</v>
          </cell>
          <cell r="I272">
            <v>0</v>
          </cell>
        </row>
        <row r="273">
          <cell r="D273">
            <v>13121436</v>
          </cell>
          <cell r="E273" t="str">
            <v>伯希和/PELLIOT</v>
          </cell>
          <cell r="F273" t="str">
            <v>童装-儿童下装-针织运动裤</v>
          </cell>
          <cell r="G273" t="str">
            <v>一品多商</v>
          </cell>
          <cell r="H273" t="str">
            <v>品牌直发</v>
          </cell>
          <cell r="I273">
            <v>0</v>
          </cell>
        </row>
        <row r="274">
          <cell r="D274">
            <v>112031026</v>
          </cell>
          <cell r="E274" t="str">
            <v>伯希和/PELLIOT</v>
          </cell>
          <cell r="F274" t="str">
            <v>女装-户外运动服-抓绒衣</v>
          </cell>
          <cell r="G274" t="str">
            <v>一品一商</v>
          </cell>
          <cell r="H274" t="str">
            <v>品牌直发</v>
          </cell>
          <cell r="I274">
            <v>0</v>
          </cell>
        </row>
        <row r="275">
          <cell r="D275">
            <v>12140128</v>
          </cell>
          <cell r="E275" t="str">
            <v>伯希和/PELLIOT</v>
          </cell>
          <cell r="F275" t="str">
            <v>女装-外套-冲锋衣</v>
          </cell>
          <cell r="G275" t="str">
            <v>一品一商</v>
          </cell>
          <cell r="H275" t="str">
            <v>品牌直发</v>
          </cell>
          <cell r="I275">
            <v>0</v>
          </cell>
        </row>
        <row r="276">
          <cell r="D276">
            <v>12121418</v>
          </cell>
          <cell r="E276" t="str">
            <v>伯希和/PELLIOT</v>
          </cell>
          <cell r="F276" t="str">
            <v>女装-长裤-针织运动裤</v>
          </cell>
          <cell r="G276" t="str">
            <v>一品一商</v>
          </cell>
          <cell r="H276" t="str">
            <v>品牌直发</v>
          </cell>
          <cell r="I276">
            <v>0</v>
          </cell>
        </row>
        <row r="277">
          <cell r="D277">
            <v>12221402</v>
          </cell>
          <cell r="E277" t="str">
            <v>伯希和/PELLIOT</v>
          </cell>
          <cell r="F277" t="str">
            <v>女装-户外运动服-速干裤</v>
          </cell>
          <cell r="G277" t="str">
            <v>一品一商</v>
          </cell>
          <cell r="H277" t="str">
            <v>品牌直发</v>
          </cell>
          <cell r="I277">
            <v>0</v>
          </cell>
        </row>
        <row r="278">
          <cell r="D278">
            <v>112321408</v>
          </cell>
          <cell r="E278" t="str">
            <v>伯希和/PELLIOT</v>
          </cell>
          <cell r="F278" t="str">
            <v>女装-户外运动服-速干裤</v>
          </cell>
          <cell r="G278" t="str">
            <v>一品多商</v>
          </cell>
          <cell r="H278" t="str">
            <v>品牌直发</v>
          </cell>
          <cell r="I278">
            <v>0</v>
          </cell>
        </row>
        <row r="279">
          <cell r="D279">
            <v>124408280</v>
          </cell>
          <cell r="E279" t="str">
            <v>伯希和/PELLIOT</v>
          </cell>
          <cell r="F279" t="str">
            <v>女装-外套-羽绒服</v>
          </cell>
          <cell r="G279" t="str">
            <v>一品多商</v>
          </cell>
          <cell r="H279" t="str">
            <v>品牌直发</v>
          </cell>
          <cell r="I279">
            <v>0</v>
          </cell>
        </row>
        <row r="280">
          <cell r="D280">
            <v>111021401</v>
          </cell>
          <cell r="E280" t="str">
            <v>伯希和/PELLIOT</v>
          </cell>
          <cell r="F280" t="str">
            <v>服装-短裤-休闲短裤</v>
          </cell>
          <cell r="G280" t="str">
            <v>一品多商</v>
          </cell>
          <cell r="H280" t="str">
            <v>品牌直发</v>
          </cell>
          <cell r="I280">
            <v>0</v>
          </cell>
        </row>
        <row r="281">
          <cell r="D281">
            <v>12940130</v>
          </cell>
          <cell r="E281" t="str">
            <v>伯希和/PELLIOT</v>
          </cell>
          <cell r="F281" t="str">
            <v>女装-外套-冲锋衣</v>
          </cell>
          <cell r="G281" t="str">
            <v>一品一商</v>
          </cell>
          <cell r="H281" t="str">
            <v>品牌直发</v>
          </cell>
          <cell r="I281">
            <v>0</v>
          </cell>
        </row>
        <row r="282">
          <cell r="D282">
            <v>12321502</v>
          </cell>
          <cell r="E282" t="str">
            <v>伯希和/PELLIOT</v>
          </cell>
          <cell r="F282" t="str">
            <v>女装-上衣-Polo衫</v>
          </cell>
          <cell r="G282" t="str">
            <v>一品一商</v>
          </cell>
          <cell r="H282" t="str">
            <v>品牌直发</v>
          </cell>
          <cell r="I282">
            <v>0</v>
          </cell>
        </row>
        <row r="283">
          <cell r="D283">
            <v>12130710</v>
          </cell>
          <cell r="E283" t="str">
            <v>伯希和/PELLIOT</v>
          </cell>
          <cell r="F283" t="str">
            <v>女装-长裤-软壳裤</v>
          </cell>
          <cell r="G283" t="str">
            <v>一品一商</v>
          </cell>
          <cell r="H283" t="str">
            <v>品牌直发</v>
          </cell>
          <cell r="I283">
            <v>0</v>
          </cell>
        </row>
        <row r="284">
          <cell r="D284">
            <v>11130701</v>
          </cell>
          <cell r="E284" t="str">
            <v>伯希和/PELLIOT</v>
          </cell>
          <cell r="F284" t="str">
            <v>服装-长裤-软壳裤</v>
          </cell>
          <cell r="G284" t="str">
            <v>一品多商</v>
          </cell>
          <cell r="H284" t="str">
            <v>品牌直发</v>
          </cell>
          <cell r="I284">
            <v>0</v>
          </cell>
        </row>
        <row r="285">
          <cell r="D285">
            <v>11231103</v>
          </cell>
          <cell r="E285" t="str">
            <v>伯希和/PELLIOT</v>
          </cell>
          <cell r="F285" t="str">
            <v>服装-户外运动服-抓绒裤</v>
          </cell>
          <cell r="G285" t="str">
            <v>一品一商</v>
          </cell>
          <cell r="H285" t="str">
            <v>品牌直发</v>
          </cell>
          <cell r="I285">
            <v>0</v>
          </cell>
        </row>
        <row r="286">
          <cell r="D286">
            <v>12830708</v>
          </cell>
          <cell r="E286" t="str">
            <v>伯希和/PELLIOT</v>
          </cell>
          <cell r="F286" t="str">
            <v>女装-长裤-软壳裤</v>
          </cell>
          <cell r="G286" t="str">
            <v>一品多商</v>
          </cell>
          <cell r="H286" t="str">
            <v>品牌直发</v>
          </cell>
          <cell r="I286">
            <v>0</v>
          </cell>
        </row>
        <row r="287">
          <cell r="D287">
            <v>12321402</v>
          </cell>
          <cell r="E287" t="str">
            <v>伯希和/PELLIOT</v>
          </cell>
          <cell r="F287" t="str">
            <v>女装-户外运动服-速干裤</v>
          </cell>
          <cell r="G287" t="str">
            <v>一品一商</v>
          </cell>
          <cell r="H287" t="str">
            <v>品牌直发</v>
          </cell>
          <cell r="I287">
            <v>0</v>
          </cell>
        </row>
        <row r="288">
          <cell r="D288">
            <v>12221514</v>
          </cell>
          <cell r="E288" t="str">
            <v>伯希和/PELLIOT</v>
          </cell>
          <cell r="F288" t="str">
            <v>女装-上衣-Polo衫</v>
          </cell>
          <cell r="G288" t="str">
            <v>一品一商</v>
          </cell>
          <cell r="H288" t="str">
            <v>品牌直发</v>
          </cell>
          <cell r="I288">
            <v>0</v>
          </cell>
        </row>
        <row r="289">
          <cell r="D289">
            <v>12231104</v>
          </cell>
          <cell r="E289" t="str">
            <v>伯希和/PELLIOT</v>
          </cell>
          <cell r="F289" t="str">
            <v>女装-户外运动服-抓绒裤</v>
          </cell>
          <cell r="G289" t="str">
            <v>一品一商</v>
          </cell>
          <cell r="H289" t="str">
            <v>品牌直发</v>
          </cell>
          <cell r="I289">
            <v>0</v>
          </cell>
        </row>
        <row r="290">
          <cell r="D290">
            <v>115107016</v>
          </cell>
          <cell r="E290" t="str">
            <v>伯希和/PELLIOT</v>
          </cell>
          <cell r="F290" t="str">
            <v>服装-长裤-软壳裤</v>
          </cell>
          <cell r="G290" t="str">
            <v>一品多商</v>
          </cell>
          <cell r="H290" t="str">
            <v>品牌直发</v>
          </cell>
          <cell r="I290">
            <v>0</v>
          </cell>
        </row>
        <row r="291">
          <cell r="D291">
            <v>11321401</v>
          </cell>
          <cell r="E291" t="str">
            <v>伯希和/PELLIOT</v>
          </cell>
          <cell r="F291" t="str">
            <v>服装-户外运动服-速干裤</v>
          </cell>
          <cell r="G291" t="str">
            <v>一品一商</v>
          </cell>
          <cell r="H291" t="str">
            <v>品牌直发</v>
          </cell>
          <cell r="I291">
            <v>0</v>
          </cell>
        </row>
        <row r="292">
          <cell r="D292">
            <v>11830603</v>
          </cell>
          <cell r="E292" t="str">
            <v>伯希和/PELLIOT</v>
          </cell>
          <cell r="F292" t="str">
            <v>服装-外套-软壳衣</v>
          </cell>
          <cell r="G292" t="str">
            <v>一品多商</v>
          </cell>
          <cell r="H292" t="str">
            <v>品牌直发</v>
          </cell>
          <cell r="I292">
            <v>0</v>
          </cell>
        </row>
        <row r="293">
          <cell r="D293">
            <v>12830604</v>
          </cell>
          <cell r="E293" t="str">
            <v>伯希和/PELLIOT</v>
          </cell>
          <cell r="F293" t="str">
            <v>女装-外套-软壳衣</v>
          </cell>
          <cell r="G293" t="str">
            <v>一品多商</v>
          </cell>
          <cell r="H293" t="str">
            <v>品牌直发</v>
          </cell>
          <cell r="I293">
            <v>0</v>
          </cell>
        </row>
        <row r="294">
          <cell r="D294">
            <v>12321406</v>
          </cell>
          <cell r="E294" t="str">
            <v>伯希和/PELLIOT</v>
          </cell>
          <cell r="F294" t="str">
            <v>女装-户外运动服-速干裤</v>
          </cell>
          <cell r="G294" t="str">
            <v>一品一商</v>
          </cell>
          <cell r="H294" t="str">
            <v>品牌直发</v>
          </cell>
          <cell r="I294">
            <v>0</v>
          </cell>
        </row>
        <row r="295">
          <cell r="D295">
            <v>11021509</v>
          </cell>
          <cell r="E295" t="str">
            <v>伯希和/PELLIOT</v>
          </cell>
          <cell r="F295" t="str">
            <v>服装-上衣-T恤</v>
          </cell>
          <cell r="G295" t="str">
            <v>一品一商</v>
          </cell>
          <cell r="H295" t="str">
            <v>品牌直发</v>
          </cell>
          <cell r="I295">
            <v>0</v>
          </cell>
        </row>
        <row r="296">
          <cell r="D296">
            <v>12213804</v>
          </cell>
          <cell r="E296" t="str">
            <v>伯希和/PELLIOT</v>
          </cell>
          <cell r="F296" t="str">
            <v>女装-长裤-休闲裤</v>
          </cell>
          <cell r="G296" t="str">
            <v>一品一商</v>
          </cell>
          <cell r="H296" t="str">
            <v>品牌直发</v>
          </cell>
          <cell r="I296">
            <v>0</v>
          </cell>
        </row>
        <row r="297">
          <cell r="D297">
            <v>12230702</v>
          </cell>
          <cell r="E297" t="str">
            <v>伯希和/PELLIOT</v>
          </cell>
          <cell r="F297" t="str">
            <v>女装-长裤-软壳裤</v>
          </cell>
          <cell r="G297" t="str">
            <v>一品多商</v>
          </cell>
          <cell r="H297" t="str">
            <v>品牌直发</v>
          </cell>
          <cell r="I297">
            <v>0</v>
          </cell>
        </row>
        <row r="298">
          <cell r="D298">
            <v>12033806</v>
          </cell>
          <cell r="E298" t="str">
            <v>伯希和/PELLIOT</v>
          </cell>
          <cell r="F298" t="str">
            <v>女装-长裤-休闲裤</v>
          </cell>
          <cell r="G298" t="str">
            <v>一品一商</v>
          </cell>
          <cell r="H298" t="str">
            <v>品牌直发</v>
          </cell>
          <cell r="I298">
            <v>0</v>
          </cell>
        </row>
        <row r="299">
          <cell r="D299">
            <v>112040112</v>
          </cell>
          <cell r="E299" t="str">
            <v>伯希和/PELLIOT</v>
          </cell>
          <cell r="F299" t="str">
            <v>女装-外套-冲锋衣</v>
          </cell>
          <cell r="G299" t="str">
            <v>一品一商</v>
          </cell>
          <cell r="H299" t="str">
            <v>品牌直发</v>
          </cell>
          <cell r="I299">
            <v>0</v>
          </cell>
        </row>
        <row r="300">
          <cell r="D300">
            <v>11230701</v>
          </cell>
          <cell r="E300" t="str">
            <v>伯希和/PELLIOT</v>
          </cell>
          <cell r="F300" t="str">
            <v>服装-长裤-软壳裤</v>
          </cell>
          <cell r="G300" t="str">
            <v>一品多商</v>
          </cell>
          <cell r="H300" t="str">
            <v>品牌直发</v>
          </cell>
          <cell r="I300">
            <v>0</v>
          </cell>
        </row>
        <row r="301">
          <cell r="D301">
            <v>11231443</v>
          </cell>
          <cell r="E301" t="str">
            <v>伯希和/PELLIOT</v>
          </cell>
          <cell r="F301" t="str">
            <v>服装-户外运动服-速干裤</v>
          </cell>
          <cell r="G301" t="str">
            <v>一品一商</v>
          </cell>
          <cell r="H301" t="str">
            <v>品牌直发</v>
          </cell>
          <cell r="I301">
            <v>0</v>
          </cell>
        </row>
        <row r="302">
          <cell r="D302">
            <v>12215104</v>
          </cell>
          <cell r="E302" t="str">
            <v>伯希和/PELLIOT</v>
          </cell>
          <cell r="F302" t="str">
            <v>女装-外套-夹克</v>
          </cell>
          <cell r="G302" t="str">
            <v>一品一商</v>
          </cell>
          <cell r="H302" t="str">
            <v>品牌直发</v>
          </cell>
          <cell r="I302">
            <v>0</v>
          </cell>
        </row>
        <row r="303">
          <cell r="D303">
            <v>112213710</v>
          </cell>
          <cell r="E303" t="str">
            <v>伯希和/PELLIOT</v>
          </cell>
          <cell r="F303" t="str">
            <v>服装-上衣-卫衣</v>
          </cell>
          <cell r="G303" t="str">
            <v>一品一商</v>
          </cell>
          <cell r="H303" t="str">
            <v>品牌直发</v>
          </cell>
          <cell r="I303">
            <v>0</v>
          </cell>
        </row>
        <row r="304">
          <cell r="D304">
            <v>111240115</v>
          </cell>
          <cell r="E304" t="str">
            <v>伯希和/PELLIOT</v>
          </cell>
          <cell r="F304" t="str">
            <v>服装-外套-冲锋衣</v>
          </cell>
          <cell r="G304" t="str">
            <v>一品一商</v>
          </cell>
          <cell r="H304" t="str">
            <v>品牌直发</v>
          </cell>
          <cell r="I304">
            <v>0</v>
          </cell>
        </row>
        <row r="305">
          <cell r="D305">
            <v>12321204</v>
          </cell>
          <cell r="E305" t="str">
            <v>伯希和/PELLIOT</v>
          </cell>
          <cell r="F305" t="str">
            <v>女装-外套-防晒服</v>
          </cell>
          <cell r="G305" t="str">
            <v>一品一商</v>
          </cell>
          <cell r="H305" t="str">
            <v>品牌直发</v>
          </cell>
          <cell r="I305">
            <v>0</v>
          </cell>
        </row>
        <row r="306">
          <cell r="D306">
            <v>11240203</v>
          </cell>
          <cell r="E306" t="str">
            <v>伯希和/PELLIOT</v>
          </cell>
          <cell r="F306" t="str">
            <v>服装-长裤-冲锋裤</v>
          </cell>
          <cell r="G306" t="str">
            <v>一品多商</v>
          </cell>
          <cell r="H306" t="str">
            <v>品牌直发</v>
          </cell>
          <cell r="I306">
            <v>0</v>
          </cell>
        </row>
        <row r="307">
          <cell r="D307">
            <v>11040107</v>
          </cell>
          <cell r="E307" t="str">
            <v>伯希和/PELLIOT</v>
          </cell>
          <cell r="F307" t="str">
            <v>服装-外套-冲锋衣</v>
          </cell>
          <cell r="G307" t="str">
            <v>一品多商</v>
          </cell>
          <cell r="H307" t="str">
            <v>品牌直发</v>
          </cell>
          <cell r="I307">
            <v>0</v>
          </cell>
        </row>
        <row r="308">
          <cell r="D308">
            <v>12221522</v>
          </cell>
          <cell r="E308" t="str">
            <v>伯希和/PELLIOT</v>
          </cell>
          <cell r="F308" t="str">
            <v>女装-户外运动服-跑步T恤</v>
          </cell>
          <cell r="G308" t="str">
            <v>一品一商</v>
          </cell>
          <cell r="H308" t="str">
            <v>品牌直发</v>
          </cell>
          <cell r="I308">
            <v>0</v>
          </cell>
        </row>
        <row r="309">
          <cell r="D309">
            <v>12230618</v>
          </cell>
          <cell r="E309" t="str">
            <v>伯希和/PELLIOT</v>
          </cell>
          <cell r="F309" t="str">
            <v>女装-外套-软壳衣</v>
          </cell>
          <cell r="G309" t="str">
            <v>一品一商</v>
          </cell>
          <cell r="H309" t="str">
            <v>品牌直发</v>
          </cell>
          <cell r="I309">
            <v>0</v>
          </cell>
        </row>
        <row r="310">
          <cell r="D310">
            <v>12130608</v>
          </cell>
          <cell r="E310" t="str">
            <v>伯希和/PELLIOT</v>
          </cell>
          <cell r="F310" t="str">
            <v>女装-外套-软壳衣</v>
          </cell>
          <cell r="G310" t="str">
            <v>一品多商</v>
          </cell>
          <cell r="H310" t="str">
            <v>品牌直发</v>
          </cell>
          <cell r="I310">
            <v>0</v>
          </cell>
        </row>
        <row r="311">
          <cell r="D311">
            <v>12313706</v>
          </cell>
          <cell r="E311" t="str">
            <v>伯希和/PELLIOT</v>
          </cell>
          <cell r="F311" t="str">
            <v>女装-上衣-卫衣</v>
          </cell>
          <cell r="G311" t="str">
            <v>一品一商</v>
          </cell>
          <cell r="H311" t="str">
            <v>品牌直发</v>
          </cell>
          <cell r="I311">
            <v>0</v>
          </cell>
        </row>
        <row r="312">
          <cell r="D312">
            <v>11213803</v>
          </cell>
          <cell r="E312" t="str">
            <v>伯希和/PELLIOT</v>
          </cell>
          <cell r="F312" t="str">
            <v>服装-长裤-针织运动裤</v>
          </cell>
          <cell r="G312" t="str">
            <v>一品一商</v>
          </cell>
          <cell r="H312" t="str">
            <v>品牌直发</v>
          </cell>
          <cell r="I312">
            <v>0</v>
          </cell>
        </row>
        <row r="313">
          <cell r="D313">
            <v>12221504</v>
          </cell>
          <cell r="E313" t="str">
            <v>伯希和/PELLIOT</v>
          </cell>
          <cell r="F313" t="str">
            <v>女装-上衣-T恤</v>
          </cell>
          <cell r="G313" t="str">
            <v>一品一商</v>
          </cell>
          <cell r="H313" t="str">
            <v>品牌直发</v>
          </cell>
          <cell r="I313">
            <v>0</v>
          </cell>
        </row>
        <row r="314">
          <cell r="D314">
            <v>12031016</v>
          </cell>
          <cell r="E314" t="str">
            <v>伯希和/PELLIOT</v>
          </cell>
          <cell r="F314" t="str">
            <v>女装-户外运动服-抓绒衣</v>
          </cell>
          <cell r="G314" t="str">
            <v>一品一商</v>
          </cell>
          <cell r="H314" t="str">
            <v>品牌直发</v>
          </cell>
          <cell r="I314">
            <v>0</v>
          </cell>
        </row>
        <row r="315">
          <cell r="D315">
            <v>12131022</v>
          </cell>
          <cell r="E315" t="str">
            <v>伯希和/PELLIOT</v>
          </cell>
          <cell r="F315" t="str">
            <v>女装-户外运动服-抓绒衣</v>
          </cell>
          <cell r="G315" t="str">
            <v>一品一商</v>
          </cell>
          <cell r="H315" t="str">
            <v>品牌直发</v>
          </cell>
          <cell r="I315">
            <v>0</v>
          </cell>
        </row>
        <row r="316">
          <cell r="D316">
            <v>112140110</v>
          </cell>
          <cell r="E316" t="str">
            <v>伯希和/PELLIOT</v>
          </cell>
          <cell r="F316" t="str">
            <v>女装-外套-冲锋衣</v>
          </cell>
          <cell r="G316" t="str">
            <v>一品一商</v>
          </cell>
          <cell r="H316" t="str">
            <v>品牌直发</v>
          </cell>
          <cell r="I316">
            <v>0</v>
          </cell>
        </row>
        <row r="317">
          <cell r="D317">
            <v>12121218</v>
          </cell>
          <cell r="E317" t="str">
            <v>伯希和/PELLIOT</v>
          </cell>
          <cell r="F317" t="str">
            <v>女装-外套-防晒服</v>
          </cell>
          <cell r="G317" t="str">
            <v>一品一商</v>
          </cell>
          <cell r="H317" t="str">
            <v>品牌直发</v>
          </cell>
          <cell r="I317">
            <v>0</v>
          </cell>
        </row>
        <row r="318">
          <cell r="D318">
            <v>12321224</v>
          </cell>
          <cell r="E318" t="str">
            <v>伯希和/PELLIOT</v>
          </cell>
          <cell r="F318" t="str">
            <v>服装-外套-防晒服</v>
          </cell>
          <cell r="G318" t="str">
            <v>一品一商</v>
          </cell>
          <cell r="H318" t="str">
            <v>品牌直发</v>
          </cell>
          <cell r="I318">
            <v>0</v>
          </cell>
        </row>
        <row r="319">
          <cell r="D319">
            <v>16804501</v>
          </cell>
          <cell r="E319" t="str">
            <v>伯希和/PELLIOT</v>
          </cell>
          <cell r="F319" t="str">
            <v>户外装备-露营/野炊装备-秋千</v>
          </cell>
          <cell r="G319" t="str">
            <v>一品多商</v>
          </cell>
          <cell r="H319" t="str">
            <v>普通现货</v>
          </cell>
          <cell r="I319">
            <v>0</v>
          </cell>
        </row>
        <row r="320">
          <cell r="D320">
            <v>11221203</v>
          </cell>
          <cell r="E320" t="str">
            <v>伯希和/PELLIOT</v>
          </cell>
          <cell r="F320" t="str">
            <v>服装-外套-防晒服</v>
          </cell>
          <cell r="G320" t="str">
            <v>一品一商</v>
          </cell>
          <cell r="H320" t="str">
            <v>品牌直发</v>
          </cell>
          <cell r="I320">
            <v>0</v>
          </cell>
        </row>
        <row r="321">
          <cell r="D321">
            <v>12221202</v>
          </cell>
          <cell r="E321" t="str">
            <v>伯希和/PELLIOT</v>
          </cell>
          <cell r="F321" t="str">
            <v>女装-外套-防晒服</v>
          </cell>
          <cell r="G321" t="str">
            <v>一品多商</v>
          </cell>
          <cell r="H321" t="str">
            <v>品牌直发</v>
          </cell>
          <cell r="I321">
            <v>0</v>
          </cell>
        </row>
        <row r="322">
          <cell r="D322">
            <v>12215102</v>
          </cell>
          <cell r="E322" t="str">
            <v>伯希和/PELLIOT</v>
          </cell>
          <cell r="F322" t="str">
            <v>女装-外套-夹克</v>
          </cell>
          <cell r="G322" t="str">
            <v>一品一商</v>
          </cell>
          <cell r="H322" t="str">
            <v>品牌直发</v>
          </cell>
          <cell r="I322">
            <v>0</v>
          </cell>
        </row>
        <row r="323">
          <cell r="D323">
            <v>11321207</v>
          </cell>
          <cell r="E323" t="str">
            <v>伯希和/PELLIOT</v>
          </cell>
          <cell r="F323" t="str">
            <v>服装-外套-防晒服</v>
          </cell>
          <cell r="G323" t="str">
            <v>一品多商</v>
          </cell>
          <cell r="H323" t="str">
            <v>品牌直发</v>
          </cell>
          <cell r="I323">
            <v>0</v>
          </cell>
        </row>
        <row r="324">
          <cell r="D324">
            <v>12121412</v>
          </cell>
          <cell r="E324" t="str">
            <v>伯希和/PELLIOT</v>
          </cell>
          <cell r="F324" t="str">
            <v>女装-户外运动服-速干裤</v>
          </cell>
          <cell r="G324" t="str">
            <v>一品多商</v>
          </cell>
          <cell r="H324" t="str">
            <v>品牌直发</v>
          </cell>
          <cell r="I324">
            <v>0</v>
          </cell>
        </row>
        <row r="325">
          <cell r="D325">
            <v>12231006</v>
          </cell>
          <cell r="E325" t="str">
            <v>伯希和/PELLIOT</v>
          </cell>
          <cell r="F325" t="str">
            <v>女装-户外运动服-抓绒衣</v>
          </cell>
          <cell r="G325" t="str">
            <v>一品一商</v>
          </cell>
          <cell r="H325" t="str">
            <v>品牌直发</v>
          </cell>
          <cell r="I325">
            <v>0</v>
          </cell>
        </row>
        <row r="326">
          <cell r="D326">
            <v>12231004</v>
          </cell>
          <cell r="E326" t="str">
            <v>伯希和/PELLIOT</v>
          </cell>
          <cell r="F326" t="str">
            <v>女装-户外运动服-抓绒衣</v>
          </cell>
          <cell r="G326" t="str">
            <v>一品一商</v>
          </cell>
          <cell r="H326" t="str">
            <v>品牌直发</v>
          </cell>
          <cell r="I326">
            <v>0</v>
          </cell>
        </row>
        <row r="327">
          <cell r="D327">
            <v>12130702</v>
          </cell>
          <cell r="E327" t="str">
            <v>伯希和/PELLIOT</v>
          </cell>
          <cell r="F327" t="str">
            <v>女装-长裤-软壳裤</v>
          </cell>
          <cell r="G327" t="str">
            <v>一品多商</v>
          </cell>
          <cell r="H327" t="str">
            <v>品牌直发</v>
          </cell>
          <cell r="I327">
            <v>0</v>
          </cell>
        </row>
        <row r="328">
          <cell r="D328">
            <v>12321222</v>
          </cell>
          <cell r="E328" t="str">
            <v>伯希和/PELLIOT</v>
          </cell>
          <cell r="F328" t="str">
            <v>女装-外套-防晒服</v>
          </cell>
          <cell r="G328" t="str">
            <v>一品多商</v>
          </cell>
          <cell r="H328" t="str">
            <v>品牌直发</v>
          </cell>
          <cell r="I328">
            <v>0</v>
          </cell>
        </row>
        <row r="329">
          <cell r="D329">
            <v>12131006</v>
          </cell>
          <cell r="E329" t="str">
            <v>伯希和/PELLIOT</v>
          </cell>
          <cell r="F329" t="str">
            <v>女装-户外运动服-抓绒衣</v>
          </cell>
          <cell r="G329" t="str">
            <v>一品一商</v>
          </cell>
          <cell r="H329" t="str">
            <v>普通现货</v>
          </cell>
          <cell r="I329">
            <v>0</v>
          </cell>
        </row>
        <row r="330">
          <cell r="D330">
            <v>12230706</v>
          </cell>
          <cell r="E330" t="str">
            <v>伯希和/PELLIOT</v>
          </cell>
          <cell r="F330" t="str">
            <v>女装-长裤-软壳裤</v>
          </cell>
          <cell r="G330" t="str">
            <v>一品多商</v>
          </cell>
          <cell r="H330" t="str">
            <v>品牌直发</v>
          </cell>
          <cell r="I330">
            <v>0</v>
          </cell>
        </row>
        <row r="331">
          <cell r="D331">
            <v>11240121</v>
          </cell>
          <cell r="E331" t="str">
            <v>伯希和/PELLIOT</v>
          </cell>
          <cell r="F331" t="str">
            <v>服装-外套-冲锋衣</v>
          </cell>
          <cell r="G331" t="str">
            <v>一品一商</v>
          </cell>
          <cell r="H331" t="str">
            <v>品牌直发</v>
          </cell>
          <cell r="I331">
            <v>0</v>
          </cell>
        </row>
        <row r="332">
          <cell r="D332">
            <v>12231016</v>
          </cell>
          <cell r="E332" t="str">
            <v>伯希和/PELLIOT</v>
          </cell>
          <cell r="F332" t="str">
            <v>女装-户外运动服-抓绒衣</v>
          </cell>
          <cell r="G332" t="str">
            <v>一品一商</v>
          </cell>
          <cell r="H332" t="str">
            <v>品牌直发</v>
          </cell>
          <cell r="I332">
            <v>0</v>
          </cell>
        </row>
        <row r="333">
          <cell r="D333">
            <v>12231032</v>
          </cell>
          <cell r="E333" t="str">
            <v>伯希和/PELLIOT</v>
          </cell>
          <cell r="F333" t="str">
            <v>女装-户外运动服-抓绒衣</v>
          </cell>
          <cell r="G333" t="str">
            <v>一品一商</v>
          </cell>
          <cell r="H333" t="str">
            <v>品牌直发</v>
          </cell>
          <cell r="I333">
            <v>0</v>
          </cell>
        </row>
        <row r="334">
          <cell r="D334">
            <v>12231802</v>
          </cell>
          <cell r="E334" t="str">
            <v>伯希和/PELLIOT</v>
          </cell>
          <cell r="F334" t="str">
            <v>内衣-内衣裤-保暖套装</v>
          </cell>
          <cell r="G334" t="str">
            <v>一品一商</v>
          </cell>
          <cell r="H334" t="str">
            <v>品牌直发</v>
          </cell>
          <cell r="I334">
            <v>0</v>
          </cell>
        </row>
        <row r="335">
          <cell r="D335">
            <v>12240834</v>
          </cell>
          <cell r="E335" t="str">
            <v>伯希和/PELLIOT</v>
          </cell>
          <cell r="F335" t="str">
            <v>女装-外套-羽绒服</v>
          </cell>
          <cell r="G335" t="str">
            <v>一品多商</v>
          </cell>
          <cell r="H335" t="str">
            <v>品牌直发</v>
          </cell>
          <cell r="I335">
            <v>0</v>
          </cell>
        </row>
        <row r="336">
          <cell r="D336">
            <v>11140809</v>
          </cell>
          <cell r="E336" t="str">
            <v>伯希和/PELLIOT</v>
          </cell>
          <cell r="F336" t="str">
            <v>服装-外套-羽绒服</v>
          </cell>
          <cell r="G336" t="str">
            <v>一品多商</v>
          </cell>
          <cell r="H336" t="str">
            <v>品牌直发</v>
          </cell>
          <cell r="I336">
            <v>0</v>
          </cell>
        </row>
        <row r="337">
          <cell r="D337">
            <v>11230601</v>
          </cell>
          <cell r="E337" t="str">
            <v>伯希和/PELLIOT</v>
          </cell>
          <cell r="F337" t="str">
            <v>服装-外套-软壳衣</v>
          </cell>
          <cell r="G337" t="str">
            <v>一品多商</v>
          </cell>
          <cell r="H337" t="str">
            <v>品牌直发</v>
          </cell>
          <cell r="I337">
            <v>0</v>
          </cell>
        </row>
        <row r="338">
          <cell r="D338">
            <v>12140810</v>
          </cell>
          <cell r="E338" t="str">
            <v>伯希和/PELLIOT</v>
          </cell>
          <cell r="F338" t="str">
            <v>女装-外套-羽绒服</v>
          </cell>
          <cell r="G338" t="str">
            <v>一品多商</v>
          </cell>
          <cell r="H338" t="str">
            <v>品牌直发</v>
          </cell>
          <cell r="I338">
            <v>0</v>
          </cell>
        </row>
        <row r="339">
          <cell r="D339">
            <v>12740808</v>
          </cell>
          <cell r="E339" t="str">
            <v>伯希和/PELLIOT</v>
          </cell>
          <cell r="F339" t="str">
            <v>服装-外套-羽绒服</v>
          </cell>
          <cell r="G339" t="str">
            <v>一品一商</v>
          </cell>
          <cell r="H339" t="str">
            <v>品牌直发</v>
          </cell>
          <cell r="I339">
            <v>0</v>
          </cell>
        </row>
        <row r="340">
          <cell r="D340">
            <v>11140813</v>
          </cell>
          <cell r="E340" t="str">
            <v>伯希和/PELLIOT</v>
          </cell>
          <cell r="F340" t="str">
            <v>服装-外套-羽绒服</v>
          </cell>
          <cell r="G340" t="str">
            <v>一品多商</v>
          </cell>
          <cell r="H340" t="str">
            <v>品牌直发</v>
          </cell>
          <cell r="I340">
            <v>0</v>
          </cell>
        </row>
        <row r="341">
          <cell r="D341">
            <v>11240301</v>
          </cell>
          <cell r="E341" t="str">
            <v>伯希和/PELLIOT</v>
          </cell>
          <cell r="F341" t="str">
            <v>服装-外套-棉服</v>
          </cell>
          <cell r="G341" t="str">
            <v>一品多商</v>
          </cell>
          <cell r="H341" t="str">
            <v>品牌直发</v>
          </cell>
          <cell r="I341">
            <v>0</v>
          </cell>
        </row>
        <row r="342">
          <cell r="D342">
            <v>12140814</v>
          </cell>
          <cell r="E342" t="str">
            <v>伯希和/PELLIOT</v>
          </cell>
          <cell r="F342" t="str">
            <v>女装-外套-羽绒服</v>
          </cell>
          <cell r="G342" t="str">
            <v>一品多商</v>
          </cell>
          <cell r="H342" t="str">
            <v>品牌直发</v>
          </cell>
          <cell r="I342">
            <v>0</v>
          </cell>
        </row>
        <row r="343">
          <cell r="D343">
            <v>12140804</v>
          </cell>
          <cell r="E343" t="str">
            <v>伯希和/PELLIOT</v>
          </cell>
          <cell r="F343" t="str">
            <v>女装-外套-羽绒服</v>
          </cell>
          <cell r="G343" t="str">
            <v>一品一商</v>
          </cell>
          <cell r="H343" t="str">
            <v>品牌直发</v>
          </cell>
          <cell r="I343">
            <v>0</v>
          </cell>
        </row>
        <row r="344">
          <cell r="D344">
            <v>12131802</v>
          </cell>
          <cell r="E344" t="str">
            <v>伯希和/PELLIOT</v>
          </cell>
          <cell r="F344" t="str">
            <v>内衣-内衣裤-保暖套装</v>
          </cell>
          <cell r="G344" t="str">
            <v>一品一商</v>
          </cell>
          <cell r="H344" t="str">
            <v>品牌直发</v>
          </cell>
          <cell r="I344">
            <v>0</v>
          </cell>
        </row>
        <row r="345">
          <cell r="D345">
            <v>11240823</v>
          </cell>
          <cell r="E345" t="str">
            <v>伯希和/PELLIOT</v>
          </cell>
          <cell r="F345" t="str">
            <v>服装-外套-羽绒服</v>
          </cell>
          <cell r="G345" t="str">
            <v>一品多商</v>
          </cell>
          <cell r="H345" t="str">
            <v>品牌直发</v>
          </cell>
          <cell r="I345">
            <v>0</v>
          </cell>
        </row>
        <row r="346">
          <cell r="D346">
            <v>11140101</v>
          </cell>
          <cell r="E346" t="str">
            <v>伯希和/PELLIOT</v>
          </cell>
          <cell r="F346" t="str">
            <v>服装-外套-冲锋衣</v>
          </cell>
          <cell r="G346" t="str">
            <v>一品多商</v>
          </cell>
          <cell r="H346" t="str">
            <v>品牌直发</v>
          </cell>
          <cell r="I346">
            <v>0</v>
          </cell>
        </row>
        <row r="347">
          <cell r="D347">
            <v>12140102</v>
          </cell>
          <cell r="E347" t="str">
            <v>伯希和/PELLIOT</v>
          </cell>
          <cell r="F347" t="str">
            <v>女装-外套-冲锋衣</v>
          </cell>
          <cell r="G347" t="str">
            <v>一品多商</v>
          </cell>
          <cell r="H347" t="str">
            <v>品牌直发</v>
          </cell>
          <cell r="I347">
            <v>0</v>
          </cell>
        </row>
        <row r="348">
          <cell r="D348">
            <v>11140121</v>
          </cell>
          <cell r="E348" t="str">
            <v>伯希和/PELLIOT</v>
          </cell>
          <cell r="F348" t="str">
            <v>服装-外套-冲锋衣</v>
          </cell>
          <cell r="G348" t="str">
            <v>一品一商</v>
          </cell>
          <cell r="H348" t="str">
            <v>品牌直发</v>
          </cell>
          <cell r="I348">
            <v>0</v>
          </cell>
        </row>
        <row r="349">
          <cell r="D349">
            <v>11240828</v>
          </cell>
          <cell r="E349" t="str">
            <v>伯希和/PELLIOT</v>
          </cell>
          <cell r="F349" t="str">
            <v>女装-外套-羽绒服</v>
          </cell>
          <cell r="G349" t="str">
            <v>一品一商</v>
          </cell>
          <cell r="H349" t="str">
            <v>品牌直发</v>
          </cell>
          <cell r="I349">
            <v>0</v>
          </cell>
        </row>
        <row r="350">
          <cell r="D350">
            <v>114408279</v>
          </cell>
          <cell r="E350" t="str">
            <v>伯希和/PELLIOT</v>
          </cell>
          <cell r="F350" t="str">
            <v>服装-外套-羽绒服</v>
          </cell>
          <cell r="G350" t="str">
            <v>一品多商</v>
          </cell>
          <cell r="H350" t="str">
            <v>品牌直发</v>
          </cell>
          <cell r="I350">
            <v>0</v>
          </cell>
        </row>
        <row r="351">
          <cell r="D351">
            <v>12240822</v>
          </cell>
          <cell r="E351" t="str">
            <v>伯希和/PELLIOT</v>
          </cell>
          <cell r="F351" t="str">
            <v>女装-外套-羽绒服</v>
          </cell>
          <cell r="G351" t="str">
            <v>一品多商</v>
          </cell>
          <cell r="H351" t="str">
            <v>品牌直发</v>
          </cell>
          <cell r="I351">
            <v>0</v>
          </cell>
        </row>
        <row r="352">
          <cell r="D352">
            <v>12231022</v>
          </cell>
          <cell r="E352" t="str">
            <v>伯希和/PELLIOT</v>
          </cell>
          <cell r="F352" t="str">
            <v>服装-户外运动服-抓绒衣</v>
          </cell>
          <cell r="G352" t="str">
            <v>一品一商</v>
          </cell>
          <cell r="H352" t="str">
            <v>品牌直发</v>
          </cell>
          <cell r="I352">
            <v>0</v>
          </cell>
        </row>
        <row r="353">
          <cell r="D353">
            <v>12231024</v>
          </cell>
          <cell r="E353" t="str">
            <v>伯希和/PELLIOT</v>
          </cell>
          <cell r="F353" t="str">
            <v>服装-户外运动服-抓绒衣</v>
          </cell>
          <cell r="G353" t="str">
            <v>一品一商</v>
          </cell>
          <cell r="H353" t="str">
            <v>品牌直发</v>
          </cell>
          <cell r="I353">
            <v>0</v>
          </cell>
        </row>
        <row r="354">
          <cell r="D354">
            <v>11240821</v>
          </cell>
          <cell r="E354" t="str">
            <v>伯希和/PELLIOT</v>
          </cell>
          <cell r="F354" t="str">
            <v>服装-外套-羽绒服</v>
          </cell>
          <cell r="G354" t="str">
            <v>一品多商</v>
          </cell>
          <cell r="H354" t="str">
            <v>品牌直发</v>
          </cell>
          <cell r="I354">
            <v>0</v>
          </cell>
        </row>
        <row r="355">
          <cell r="D355">
            <v>12240112</v>
          </cell>
          <cell r="E355" t="str">
            <v>伯希和/PELLIOT</v>
          </cell>
          <cell r="F355" t="str">
            <v>女装-外套-冲锋衣</v>
          </cell>
          <cell r="G355" t="str">
            <v>一品多商</v>
          </cell>
          <cell r="H355" t="str">
            <v>品牌直发</v>
          </cell>
          <cell r="I355">
            <v>0</v>
          </cell>
        </row>
        <row r="356">
          <cell r="D356">
            <v>11240129</v>
          </cell>
          <cell r="E356" t="str">
            <v>伯希和/PELLIOT</v>
          </cell>
          <cell r="F356" t="str">
            <v>服装-外套-冲锋衣</v>
          </cell>
          <cell r="G356" t="str">
            <v>一品多商</v>
          </cell>
          <cell r="H356" t="str">
            <v>品牌直发</v>
          </cell>
          <cell r="I356">
            <v>0</v>
          </cell>
        </row>
        <row r="357">
          <cell r="D357">
            <v>11040139</v>
          </cell>
          <cell r="E357" t="str">
            <v>伯希和/PELLIOT</v>
          </cell>
          <cell r="F357" t="str">
            <v>服装-外套-冲锋衣</v>
          </cell>
          <cell r="G357" t="str">
            <v>一品一商</v>
          </cell>
          <cell r="H357" t="str">
            <v>品牌直发</v>
          </cell>
          <cell r="I357">
            <v>0</v>
          </cell>
        </row>
        <row r="358">
          <cell r="D358">
            <v>11231031</v>
          </cell>
          <cell r="E358" t="str">
            <v>伯希和/PELLIOT</v>
          </cell>
          <cell r="F358" t="str">
            <v>服装-户外运动服-抓绒衣</v>
          </cell>
          <cell r="G358" t="str">
            <v>一品一商</v>
          </cell>
          <cell r="H358" t="str">
            <v>品牌直发</v>
          </cell>
          <cell r="I358">
            <v>0</v>
          </cell>
        </row>
        <row r="359">
          <cell r="D359">
            <v>112240824</v>
          </cell>
          <cell r="E359" t="str">
            <v>伯希和/PELLIOT</v>
          </cell>
          <cell r="F359" t="str">
            <v>服装-外套-羽绒马甲</v>
          </cell>
          <cell r="G359" t="str">
            <v>一品一商</v>
          </cell>
          <cell r="H359" t="str">
            <v>品牌直发</v>
          </cell>
          <cell r="I359">
            <v>0</v>
          </cell>
        </row>
        <row r="360">
          <cell r="D360">
            <v>112240128</v>
          </cell>
          <cell r="E360" t="str">
            <v>伯希和/PELLIOT</v>
          </cell>
          <cell r="F360" t="str">
            <v>服装-外套-冲锋衣</v>
          </cell>
          <cell r="G360" t="str">
            <v>一品多商</v>
          </cell>
          <cell r="H360" t="str">
            <v>品牌直发</v>
          </cell>
          <cell r="I360">
            <v>0</v>
          </cell>
        </row>
        <row r="361">
          <cell r="D361">
            <v>111230705</v>
          </cell>
          <cell r="E361" t="str">
            <v>伯希和/PELLIOT</v>
          </cell>
          <cell r="F361" t="str">
            <v>服装-长裤-冲锋裤</v>
          </cell>
          <cell r="G361" t="str">
            <v>一品多商</v>
          </cell>
          <cell r="H361" t="str">
            <v>品牌直发</v>
          </cell>
          <cell r="I361">
            <v>0</v>
          </cell>
        </row>
        <row r="362">
          <cell r="D362">
            <v>12040134</v>
          </cell>
          <cell r="E362" t="str">
            <v>伯希和/PELLIOT</v>
          </cell>
          <cell r="F362" t="str">
            <v>女装-外套-冲锋衣</v>
          </cell>
          <cell r="G362" t="str">
            <v>一品一商</v>
          </cell>
          <cell r="H362" t="str">
            <v>品牌直发</v>
          </cell>
          <cell r="I362">
            <v>0</v>
          </cell>
        </row>
        <row r="363">
          <cell r="D363">
            <v>11133703</v>
          </cell>
          <cell r="E363" t="str">
            <v>伯希和/PELLIOT</v>
          </cell>
          <cell r="F363" t="str">
            <v>服装-上衣-卫衣</v>
          </cell>
          <cell r="G363" t="str">
            <v>一品一商</v>
          </cell>
          <cell r="H363" t="str">
            <v>品牌直发</v>
          </cell>
          <cell r="I363">
            <v>0</v>
          </cell>
        </row>
        <row r="364">
          <cell r="D364">
            <v>12221528</v>
          </cell>
          <cell r="E364" t="str">
            <v>伯希和/PELLIOT</v>
          </cell>
          <cell r="F364" t="str">
            <v>女装-上衣-T恤</v>
          </cell>
          <cell r="G364" t="str">
            <v>一品一商</v>
          </cell>
          <cell r="H364" t="str">
            <v>品牌直发</v>
          </cell>
          <cell r="I364">
            <v>0</v>
          </cell>
        </row>
        <row r="365">
          <cell r="D365">
            <v>12140112</v>
          </cell>
          <cell r="E365" t="str">
            <v>伯希和/PELLIOT</v>
          </cell>
          <cell r="F365" t="str">
            <v>女装-外套-冲锋衣</v>
          </cell>
          <cell r="G365" t="str">
            <v>一品多商</v>
          </cell>
          <cell r="H365" t="str">
            <v>品牌直发</v>
          </cell>
          <cell r="I365">
            <v>0</v>
          </cell>
        </row>
        <row r="366">
          <cell r="D366">
            <v>11130709</v>
          </cell>
          <cell r="E366" t="str">
            <v>伯希和/PELLIOT</v>
          </cell>
          <cell r="F366" t="str">
            <v>服装-长裤-软壳裤</v>
          </cell>
          <cell r="G366" t="str">
            <v>一品一商</v>
          </cell>
          <cell r="H366" t="str">
            <v>品牌直发</v>
          </cell>
          <cell r="I366">
            <v>0</v>
          </cell>
        </row>
        <row r="367">
          <cell r="D367">
            <v>11121269</v>
          </cell>
          <cell r="E367" t="str">
            <v>伯希和/PELLIOT</v>
          </cell>
          <cell r="F367" t="str">
            <v>服装-外套-防晒服</v>
          </cell>
          <cell r="G367" t="str">
            <v>一品一商</v>
          </cell>
          <cell r="H367" t="str">
            <v>品牌直发</v>
          </cell>
          <cell r="I367">
            <v>0</v>
          </cell>
        </row>
        <row r="368">
          <cell r="D368">
            <v>11221219</v>
          </cell>
          <cell r="E368" t="str">
            <v>伯希和/PELLIOT</v>
          </cell>
          <cell r="F368" t="str">
            <v>服装-外套-防晒服</v>
          </cell>
          <cell r="G368" t="str">
            <v>一品多商</v>
          </cell>
          <cell r="H368" t="str">
            <v>品牌直发</v>
          </cell>
          <cell r="I368">
            <v>0</v>
          </cell>
        </row>
        <row r="369">
          <cell r="D369">
            <v>12321248</v>
          </cell>
          <cell r="E369" t="str">
            <v>伯希和/PELLIOT</v>
          </cell>
          <cell r="F369" t="str">
            <v>女装-外套-防晒服</v>
          </cell>
          <cell r="G369" t="str">
            <v>一品多商</v>
          </cell>
          <cell r="H369" t="str">
            <v>品牌直发</v>
          </cell>
          <cell r="I369">
            <v>0</v>
          </cell>
        </row>
        <row r="370">
          <cell r="D370">
            <v>12121262</v>
          </cell>
          <cell r="E370" t="str">
            <v>伯希和/PELLIOT</v>
          </cell>
          <cell r="F370" t="str">
            <v>女装-外套-防晒服</v>
          </cell>
          <cell r="G370" t="str">
            <v>一品多商</v>
          </cell>
          <cell r="H370" t="str">
            <v>品牌直发</v>
          </cell>
          <cell r="I370">
            <v>0</v>
          </cell>
        </row>
        <row r="371">
          <cell r="D371">
            <v>12221440</v>
          </cell>
          <cell r="E371" t="str">
            <v>伯希和/PELLIOT</v>
          </cell>
          <cell r="F371" t="str">
            <v>女装-户外运动服-速干裤</v>
          </cell>
          <cell r="G371" t="str">
            <v>一品一商</v>
          </cell>
          <cell r="H371" t="str">
            <v>品牌直发</v>
          </cell>
          <cell r="I371">
            <v>0</v>
          </cell>
        </row>
        <row r="372">
          <cell r="D372">
            <v>112221430</v>
          </cell>
          <cell r="E372" t="str">
            <v>伯希和/PELLIOT</v>
          </cell>
          <cell r="F372" t="str">
            <v>服装-户外运动服-速干裤</v>
          </cell>
          <cell r="G372" t="str">
            <v>一品一商</v>
          </cell>
          <cell r="H372" t="str">
            <v>品牌直发</v>
          </cell>
          <cell r="I372">
            <v>0</v>
          </cell>
        </row>
        <row r="373">
          <cell r="D373">
            <v>112221530</v>
          </cell>
          <cell r="E373" t="str">
            <v>伯希和/PELLIOT</v>
          </cell>
          <cell r="F373" t="str">
            <v>服装-上衣-T恤</v>
          </cell>
          <cell r="G373" t="str">
            <v>一品多商</v>
          </cell>
          <cell r="H373" t="str">
            <v>品牌直发</v>
          </cell>
          <cell r="I373">
            <v>0</v>
          </cell>
        </row>
        <row r="374">
          <cell r="D374">
            <v>125382008</v>
          </cell>
          <cell r="E374" t="str">
            <v>伯希和/PELLIOT</v>
          </cell>
          <cell r="F374" t="str">
            <v>鞋-运动鞋-登山鞋/徒步鞋</v>
          </cell>
          <cell r="G374" t="str">
            <v>一品多商</v>
          </cell>
          <cell r="H374" t="str">
            <v>品牌直发</v>
          </cell>
          <cell r="I374">
            <v>0</v>
          </cell>
        </row>
        <row r="375">
          <cell r="D375" t="str">
            <v>16403641-2025</v>
          </cell>
          <cell r="E375" t="str">
            <v>伯希和/PELLIOT</v>
          </cell>
          <cell r="F375" t="str">
            <v>户外装备-徒步/攀登-登山杖/手杖</v>
          </cell>
          <cell r="G375" t="str">
            <v>一品一商</v>
          </cell>
          <cell r="H375" t="str">
            <v>品牌直发</v>
          </cell>
          <cell r="I375">
            <v>0</v>
          </cell>
        </row>
        <row r="376">
          <cell r="D376" t="str">
            <v>16003601-2025</v>
          </cell>
          <cell r="E376" t="str">
            <v>伯希和/PELLIOT</v>
          </cell>
          <cell r="F376" t="str">
            <v>户外装备-徒步/攀登-登山杖/手杖</v>
          </cell>
          <cell r="G376" t="str">
            <v>一品一商</v>
          </cell>
          <cell r="H376" t="str">
            <v>品牌直发</v>
          </cell>
          <cell r="I376">
            <v>0</v>
          </cell>
        </row>
        <row r="377">
          <cell r="D377" t="str">
            <v>16303650-2025</v>
          </cell>
          <cell r="E377" t="str">
            <v>伯希和/PELLIOT</v>
          </cell>
          <cell r="F377" t="str">
            <v>户外装备-徒步/攀登-登山杖/手杖</v>
          </cell>
          <cell r="G377" t="str">
            <v>一品一商</v>
          </cell>
          <cell r="H377" t="str">
            <v>普通现货</v>
          </cell>
          <cell r="I377">
            <v>0</v>
          </cell>
        </row>
        <row r="378">
          <cell r="D378">
            <v>115408005</v>
          </cell>
          <cell r="E378" t="str">
            <v>伯希和/PELLIOT</v>
          </cell>
          <cell r="F378" t="str">
            <v>服装-外套-羽绒服</v>
          </cell>
          <cell r="G378" t="str">
            <v>一品多商</v>
          </cell>
          <cell r="H378" t="str">
            <v>普通现货</v>
          </cell>
          <cell r="I378">
            <v>0</v>
          </cell>
        </row>
        <row r="379">
          <cell r="D379">
            <v>115376009</v>
          </cell>
          <cell r="E379" t="str">
            <v>伯希和/PELLIOT</v>
          </cell>
          <cell r="F379" t="str">
            <v>服装-外套-棉服</v>
          </cell>
          <cell r="G379" t="str">
            <v>一品多商</v>
          </cell>
          <cell r="H379" t="str">
            <v>普通现货</v>
          </cell>
          <cell r="I379">
            <v>0</v>
          </cell>
        </row>
        <row r="380">
          <cell r="D380" t="str">
            <v>16403602-2025</v>
          </cell>
          <cell r="E380" t="str">
            <v>伯希和/PELLIOT</v>
          </cell>
          <cell r="F380" t="str">
            <v>户外装备-徒步/攀登-登山杖/手杖</v>
          </cell>
          <cell r="G380" t="str">
            <v>一品一商</v>
          </cell>
          <cell r="H380" t="str">
            <v>品牌直发</v>
          </cell>
          <cell r="I380">
            <v>0</v>
          </cell>
        </row>
        <row r="381">
          <cell r="D381">
            <v>125408006</v>
          </cell>
          <cell r="E381" t="str">
            <v>伯希和/PELLIOT</v>
          </cell>
          <cell r="F381" t="str">
            <v>女装-外套-羽绒服</v>
          </cell>
          <cell r="G381" t="str">
            <v>一品多商</v>
          </cell>
          <cell r="H381" t="str">
            <v>品牌直发</v>
          </cell>
          <cell r="I381">
            <v>0</v>
          </cell>
        </row>
        <row r="382">
          <cell r="D382" t="str">
            <v>16403644-2025</v>
          </cell>
          <cell r="E382" t="str">
            <v>伯希和/PELLIOT</v>
          </cell>
          <cell r="F382" t="str">
            <v>户外装备-徒步/攀登-登山杖/手杖</v>
          </cell>
          <cell r="G382" t="str">
            <v>一品一商</v>
          </cell>
          <cell r="H382" t="str">
            <v>品牌直发</v>
          </cell>
          <cell r="I382">
            <v>0</v>
          </cell>
        </row>
        <row r="383">
          <cell r="D383" t="str">
            <v>16105717-2025</v>
          </cell>
          <cell r="E383" t="str">
            <v>伯希和/PELLIOT</v>
          </cell>
          <cell r="F383" t="str">
            <v>户外装备-露营/野炊装备-户外折叠椅/凳</v>
          </cell>
          <cell r="G383" t="str">
            <v>一品一商</v>
          </cell>
          <cell r="H383" t="str">
            <v>品牌直发</v>
          </cell>
          <cell r="I383">
            <v>0</v>
          </cell>
        </row>
        <row r="384">
          <cell r="D384">
            <v>105025023</v>
          </cell>
          <cell r="E384" t="str">
            <v>伯希和/PELLIOT</v>
          </cell>
          <cell r="F384" t="str">
            <v>箱包-包袋-双肩包</v>
          </cell>
          <cell r="G384" t="str">
            <v>一品一商</v>
          </cell>
          <cell r="H384" t="str">
            <v>品牌直发</v>
          </cell>
          <cell r="I384">
            <v>0</v>
          </cell>
        </row>
        <row r="385">
          <cell r="D385">
            <v>165025027</v>
          </cell>
          <cell r="E385" t="str">
            <v>伯希和/PELLIOT</v>
          </cell>
          <cell r="F385" t="str">
            <v>箱包-包袋-户外包</v>
          </cell>
          <cell r="G385" t="str">
            <v>一品一商</v>
          </cell>
          <cell r="H385" t="str">
            <v>品牌直发</v>
          </cell>
          <cell r="I385">
            <v>0</v>
          </cell>
        </row>
        <row r="386">
          <cell r="D386" t="str">
            <v>16302602-2025</v>
          </cell>
          <cell r="E386" t="str">
            <v>伯希和/PELLIOT</v>
          </cell>
          <cell r="F386" t="str">
            <v>箱包-包袋-手机包</v>
          </cell>
          <cell r="G386" t="str">
            <v>一品一商</v>
          </cell>
          <cell r="H386" t="str">
            <v>品牌直发</v>
          </cell>
          <cell r="I386">
            <v>0</v>
          </cell>
        </row>
        <row r="387">
          <cell r="D387" t="str">
            <v>125307006-2025</v>
          </cell>
          <cell r="E387" t="str">
            <v>伯希和/PELLIOT</v>
          </cell>
          <cell r="F387" t="str">
            <v>女装-长裤-软壳裤</v>
          </cell>
          <cell r="G387" t="str">
            <v>一品多商</v>
          </cell>
          <cell r="H387" t="str">
            <v>普通现货</v>
          </cell>
          <cell r="I387">
            <v>0</v>
          </cell>
        </row>
        <row r="388">
          <cell r="D388">
            <v>125316033</v>
          </cell>
          <cell r="E388" t="str">
            <v>伯希和/PELLIOT</v>
          </cell>
          <cell r="F388" t="str">
            <v>女装-上衣-T恤</v>
          </cell>
          <cell r="G388" t="str">
            <v>一品多商</v>
          </cell>
          <cell r="H388" t="str">
            <v>品牌直发</v>
          </cell>
          <cell r="I388">
            <v>0</v>
          </cell>
        </row>
        <row r="389">
          <cell r="D389" t="str">
            <v>124301006-2025</v>
          </cell>
          <cell r="E389" t="str">
            <v>伯希和/PELLIOT</v>
          </cell>
          <cell r="F389" t="str">
            <v>女装-外套-冲锋衣</v>
          </cell>
          <cell r="G389" t="str">
            <v>一品一商</v>
          </cell>
          <cell r="H389" t="str">
            <v>品牌直发</v>
          </cell>
          <cell r="I389">
            <v>0</v>
          </cell>
        </row>
        <row r="390">
          <cell r="D390" t="str">
            <v>124101048-2025</v>
          </cell>
          <cell r="E390" t="str">
            <v>伯希和/PELLIOT</v>
          </cell>
          <cell r="F390" t="str">
            <v>女装-外套-冲锋衣</v>
          </cell>
          <cell r="G390" t="str">
            <v>一品多商</v>
          </cell>
          <cell r="H390" t="str">
            <v>品牌直发</v>
          </cell>
          <cell r="I390">
            <v>0</v>
          </cell>
        </row>
        <row r="391">
          <cell r="D391" t="str">
            <v>124301070-2025</v>
          </cell>
          <cell r="E391" t="str">
            <v>伯希和/PELLIOT</v>
          </cell>
          <cell r="F391" t="str">
            <v>女装-外套-冲锋衣</v>
          </cell>
          <cell r="G391" t="str">
            <v>一品多商</v>
          </cell>
          <cell r="H391" t="str">
            <v>品牌直发</v>
          </cell>
          <cell r="I391">
            <v>0</v>
          </cell>
        </row>
        <row r="392">
          <cell r="D392">
            <v>115306017</v>
          </cell>
          <cell r="E392" t="str">
            <v>伯希和/PELLIOT</v>
          </cell>
          <cell r="F392" t="str">
            <v>服装-外套-软壳衣</v>
          </cell>
          <cell r="G392" t="str">
            <v>一品多商</v>
          </cell>
          <cell r="H392" t="str">
            <v>品牌直发</v>
          </cell>
          <cell r="I392">
            <v>0</v>
          </cell>
        </row>
        <row r="393">
          <cell r="D393">
            <v>125306018</v>
          </cell>
          <cell r="E393" t="str">
            <v>伯希和/PELLIOT</v>
          </cell>
          <cell r="F393" t="str">
            <v>女装-外套-软壳衣</v>
          </cell>
          <cell r="G393" t="str">
            <v>一品多商</v>
          </cell>
          <cell r="H393" t="str">
            <v>品牌直发</v>
          </cell>
          <cell r="I393">
            <v>0</v>
          </cell>
        </row>
        <row r="394">
          <cell r="D394">
            <v>105101023</v>
          </cell>
          <cell r="E394" t="str">
            <v>伯希和/PELLIOT</v>
          </cell>
          <cell r="F394" t="str">
            <v>服装-外套-冲锋衣</v>
          </cell>
          <cell r="G394" t="str">
            <v>一品多商</v>
          </cell>
          <cell r="H394" t="str">
            <v>品牌直发</v>
          </cell>
          <cell r="I394">
            <v>0</v>
          </cell>
        </row>
        <row r="395">
          <cell r="D395">
            <v>125302004</v>
          </cell>
          <cell r="E395" t="str">
            <v>伯希和/PELLIOT</v>
          </cell>
          <cell r="F395" t="str">
            <v>女装-长裤-冲锋裤</v>
          </cell>
          <cell r="G395" t="str">
            <v>一品多商</v>
          </cell>
          <cell r="H395" t="str">
            <v>品牌直发</v>
          </cell>
          <cell r="I395">
            <v>0</v>
          </cell>
        </row>
        <row r="396">
          <cell r="D396" t="str">
            <v>125301055-新加色</v>
          </cell>
          <cell r="E396" t="str">
            <v>伯希和/PELLIOT</v>
          </cell>
          <cell r="F396" t="str">
            <v>女装-外套-冲锋衣</v>
          </cell>
          <cell r="G396" t="str">
            <v>一品多商</v>
          </cell>
          <cell r="H396" t="str">
            <v>品牌直发</v>
          </cell>
          <cell r="I396">
            <v>0</v>
          </cell>
        </row>
        <row r="397">
          <cell r="D397" t="str">
            <v>115301054-新加色</v>
          </cell>
          <cell r="E397" t="str">
            <v>伯希和/PELLIOT</v>
          </cell>
          <cell r="F397" t="str">
            <v>服装-外套-冲锋衣</v>
          </cell>
          <cell r="G397" t="str">
            <v>一品多商</v>
          </cell>
          <cell r="H397" t="str">
            <v>品牌直发</v>
          </cell>
          <cell r="I397">
            <v>0</v>
          </cell>
        </row>
        <row r="398">
          <cell r="D398" t="str">
            <v>12040106-新加色</v>
          </cell>
          <cell r="E398" t="str">
            <v>伯希和/PELLIOT</v>
          </cell>
          <cell r="F398" t="str">
            <v>女装-外套-冲锋衣</v>
          </cell>
          <cell r="G398" t="str">
            <v>一品一商</v>
          </cell>
          <cell r="H398" t="str">
            <v>品牌直发</v>
          </cell>
          <cell r="I398">
            <v>0</v>
          </cell>
        </row>
        <row r="399">
          <cell r="D399">
            <v>125220002</v>
          </cell>
          <cell r="E399" t="str">
            <v>伯希和/PELLIOT</v>
          </cell>
          <cell r="F399" t="str">
            <v>鞋-凉鞋/拖鞋-溯溪鞋</v>
          </cell>
          <cell r="G399" t="str">
            <v>一品一商</v>
          </cell>
          <cell r="H399" t="str">
            <v>品牌直发</v>
          </cell>
          <cell r="I399">
            <v>0</v>
          </cell>
        </row>
        <row r="400">
          <cell r="D400">
            <v>115106014</v>
          </cell>
          <cell r="E400" t="str">
            <v>伯希和/PELLIOT</v>
          </cell>
          <cell r="F400" t="str">
            <v>服装-外套-软壳衣</v>
          </cell>
          <cell r="G400" t="str">
            <v>一品多商</v>
          </cell>
          <cell r="H400" t="str">
            <v>品牌直发</v>
          </cell>
          <cell r="I400">
            <v>0</v>
          </cell>
        </row>
        <row r="401">
          <cell r="D401">
            <v>135101016</v>
          </cell>
          <cell r="E401" t="str">
            <v>伯希和/PELLIOT</v>
          </cell>
          <cell r="F401" t="str">
            <v>童装-儿童上装-冲锋衣</v>
          </cell>
          <cell r="G401" t="str">
            <v>一品一商</v>
          </cell>
          <cell r="H401" t="str">
            <v>品牌直发</v>
          </cell>
          <cell r="I401">
            <v>0</v>
          </cell>
        </row>
        <row r="402">
          <cell r="D402">
            <v>125251019</v>
          </cell>
          <cell r="E402" t="str">
            <v>伯希和/PELLIOT</v>
          </cell>
          <cell r="F402" t="str">
            <v>女装-外套-夹克</v>
          </cell>
          <cell r="G402" t="str">
            <v>一品多商</v>
          </cell>
          <cell r="H402" t="str">
            <v>品牌直发</v>
          </cell>
          <cell r="I402">
            <v>0</v>
          </cell>
        </row>
        <row r="403">
          <cell r="D403">
            <v>115251018</v>
          </cell>
          <cell r="E403" t="str">
            <v>伯希和/PELLIOT</v>
          </cell>
          <cell r="F403" t="str">
            <v>服装-外套-夹克</v>
          </cell>
          <cell r="G403" t="str">
            <v>一品多商</v>
          </cell>
          <cell r="H403" t="str">
            <v>品牌直发</v>
          </cell>
          <cell r="I403">
            <v>0</v>
          </cell>
        </row>
        <row r="404">
          <cell r="D404">
            <v>105101076</v>
          </cell>
          <cell r="E404" t="str">
            <v>伯希和/PELLIOT</v>
          </cell>
          <cell r="F404" t="str">
            <v>服装-外套-冲锋衣</v>
          </cell>
          <cell r="G404" t="str">
            <v>一品多商</v>
          </cell>
          <cell r="H404" t="str">
            <v>品牌直发</v>
          </cell>
          <cell r="I404">
            <v>0</v>
          </cell>
        </row>
        <row r="405">
          <cell r="D405">
            <v>135178022</v>
          </cell>
          <cell r="E405" t="str">
            <v>伯希和/PELLIOT</v>
          </cell>
          <cell r="F405" t="str">
            <v>童装-儿童下装-儿童运动裤</v>
          </cell>
          <cell r="G405" t="str">
            <v>一品一商</v>
          </cell>
          <cell r="H405" t="str">
            <v>品牌直发</v>
          </cell>
          <cell r="I405">
            <v>0</v>
          </cell>
        </row>
        <row r="406">
          <cell r="D406">
            <v>125119030</v>
          </cell>
          <cell r="E406" t="str">
            <v>伯希和/PELLIOT</v>
          </cell>
          <cell r="F406" t="str">
            <v>鞋-运动鞋-越野跑鞋</v>
          </cell>
          <cell r="G406" t="str">
            <v>一品多商</v>
          </cell>
          <cell r="H406" t="str">
            <v>品牌直发</v>
          </cell>
          <cell r="I406">
            <v>0</v>
          </cell>
        </row>
        <row r="407">
          <cell r="D407">
            <v>125181002</v>
          </cell>
          <cell r="E407" t="str">
            <v>伯希和/PELLIOT</v>
          </cell>
          <cell r="F407" t="str">
            <v>鞋-运动鞋-登山鞋/徒步鞋</v>
          </cell>
          <cell r="G407" t="str">
            <v>一品多商</v>
          </cell>
          <cell r="H407" t="str">
            <v>品牌直发</v>
          </cell>
          <cell r="I407">
            <v>0</v>
          </cell>
        </row>
        <row r="408">
          <cell r="D408">
            <v>115151007</v>
          </cell>
          <cell r="E408" t="str">
            <v>伯希和/PELLIOT</v>
          </cell>
          <cell r="F408" t="str">
            <v>服装-外套-夹克</v>
          </cell>
          <cell r="G408" t="str">
            <v>一品多商</v>
          </cell>
          <cell r="H408" t="str">
            <v>品牌直发</v>
          </cell>
          <cell r="I408">
            <v>0</v>
          </cell>
        </row>
        <row r="409">
          <cell r="D409">
            <v>115215009</v>
          </cell>
          <cell r="E409" t="str">
            <v>伯希和/PELLIOT</v>
          </cell>
          <cell r="F409" t="str">
            <v>服装-上衣-Polo衫</v>
          </cell>
          <cell r="G409" t="str">
            <v>一品一商</v>
          </cell>
          <cell r="H409" t="str">
            <v>品牌直发</v>
          </cell>
          <cell r="I409">
            <v>0</v>
          </cell>
        </row>
        <row r="410">
          <cell r="D410">
            <v>115122023</v>
          </cell>
          <cell r="E410" t="str">
            <v>伯希和/PELLIOT</v>
          </cell>
          <cell r="F410" t="str">
            <v>鞋-运动鞋-登山鞋/徒步鞋</v>
          </cell>
          <cell r="G410" t="str">
            <v>一品一商</v>
          </cell>
          <cell r="H410" t="str">
            <v>品牌直发</v>
          </cell>
          <cell r="I410">
            <v>0</v>
          </cell>
        </row>
        <row r="411">
          <cell r="D411">
            <v>125122024</v>
          </cell>
          <cell r="E411" t="str">
            <v>伯希和/PELLIOT</v>
          </cell>
          <cell r="F411" t="str">
            <v>鞋-运动鞋-登山鞋/徒步鞋</v>
          </cell>
          <cell r="G411" t="str">
            <v>一品一商</v>
          </cell>
          <cell r="H411" t="str">
            <v>品牌直发</v>
          </cell>
          <cell r="I411">
            <v>0</v>
          </cell>
        </row>
        <row r="412">
          <cell r="D412">
            <v>125215048</v>
          </cell>
          <cell r="E412" t="str">
            <v>伯希和/PELLIOT</v>
          </cell>
          <cell r="F412" t="str">
            <v>女装-户外运动服-速干T恤</v>
          </cell>
          <cell r="G412" t="str">
            <v>一品一商</v>
          </cell>
          <cell r="H412" t="str">
            <v>品牌直发</v>
          </cell>
          <cell r="I412">
            <v>0</v>
          </cell>
        </row>
        <row r="413">
          <cell r="D413">
            <v>125214016</v>
          </cell>
          <cell r="E413" t="str">
            <v>伯希和/PELLIOT</v>
          </cell>
          <cell r="F413" t="str">
            <v>女装-短裙-休闲短裙</v>
          </cell>
          <cell r="G413" t="str">
            <v>一品一商</v>
          </cell>
          <cell r="H413" t="str">
            <v>品牌直发</v>
          </cell>
          <cell r="I413">
            <v>0</v>
          </cell>
        </row>
        <row r="414">
          <cell r="D414">
            <v>135212024</v>
          </cell>
          <cell r="E414" t="str">
            <v>伯希和/PELLIOT</v>
          </cell>
          <cell r="F414" t="str">
            <v>童装-儿童上装-防晒衣</v>
          </cell>
          <cell r="G414" t="str">
            <v>一品多商</v>
          </cell>
          <cell r="H414" t="str">
            <v>品牌直发</v>
          </cell>
          <cell r="I414">
            <v>0</v>
          </cell>
        </row>
        <row r="415">
          <cell r="D415">
            <v>125214019</v>
          </cell>
          <cell r="E415" t="str">
            <v>伯希和/PELLIOT</v>
          </cell>
          <cell r="F415" t="str">
            <v>女装-长裙-休闲长裙</v>
          </cell>
          <cell r="G415" t="str">
            <v>一品多商</v>
          </cell>
          <cell r="H415" t="str">
            <v>品牌直发</v>
          </cell>
          <cell r="I415">
            <v>0</v>
          </cell>
        </row>
        <row r="416">
          <cell r="D416">
            <v>135215036</v>
          </cell>
          <cell r="E416" t="str">
            <v>伯希和/PELLIOT</v>
          </cell>
          <cell r="F416" t="str">
            <v>童装-儿童上装-T恤</v>
          </cell>
          <cell r="G416" t="str">
            <v>一品一商</v>
          </cell>
          <cell r="H416" t="str">
            <v>品牌直发</v>
          </cell>
          <cell r="I416">
            <v>0</v>
          </cell>
        </row>
        <row r="417">
          <cell r="D417">
            <v>135214018</v>
          </cell>
          <cell r="E417" t="str">
            <v>伯希和/PELLIOT</v>
          </cell>
          <cell r="F417" t="str">
            <v>童装-儿童下装-儿童速干裤</v>
          </cell>
          <cell r="G417" t="str">
            <v>一品多商</v>
          </cell>
          <cell r="H417" t="str">
            <v>品牌直发</v>
          </cell>
          <cell r="I417">
            <v>0</v>
          </cell>
        </row>
        <row r="418">
          <cell r="D418">
            <v>115215005</v>
          </cell>
          <cell r="E418" t="str">
            <v>伯希和/PELLIOT</v>
          </cell>
          <cell r="F418" t="str">
            <v>服装-户外运动服-速干T恤</v>
          </cell>
          <cell r="G418" t="str">
            <v>一品多商</v>
          </cell>
          <cell r="H418" t="str">
            <v>品牌直发</v>
          </cell>
          <cell r="I418">
            <v>0</v>
          </cell>
        </row>
        <row r="419">
          <cell r="D419">
            <v>125119028</v>
          </cell>
          <cell r="E419" t="str">
            <v>伯希和/PELLIOT</v>
          </cell>
          <cell r="F419" t="str">
            <v>鞋-运动鞋-登山鞋/徒步鞋</v>
          </cell>
          <cell r="G419" t="str">
            <v>一品一商</v>
          </cell>
          <cell r="H419" t="str">
            <v>品牌直发</v>
          </cell>
          <cell r="I419">
            <v>0</v>
          </cell>
        </row>
        <row r="420">
          <cell r="D420">
            <v>115215037</v>
          </cell>
          <cell r="E420" t="str">
            <v>伯希和/PELLIOT</v>
          </cell>
          <cell r="F420" t="str">
            <v>服装-上衣-Polo衫</v>
          </cell>
          <cell r="G420" t="str">
            <v>一品一商</v>
          </cell>
          <cell r="H420" t="str">
            <v>品牌直发</v>
          </cell>
          <cell r="I420">
            <v>0</v>
          </cell>
        </row>
        <row r="421">
          <cell r="D421">
            <v>125215046</v>
          </cell>
          <cell r="E421" t="str">
            <v>伯希和/PELLIOT</v>
          </cell>
          <cell r="F421" t="str">
            <v>女装-上衣-T恤</v>
          </cell>
          <cell r="G421" t="str">
            <v>一品一商</v>
          </cell>
          <cell r="H421" t="str">
            <v>品牌直发</v>
          </cell>
          <cell r="I421">
            <v>0</v>
          </cell>
        </row>
        <row r="422">
          <cell r="D422">
            <v>115119027</v>
          </cell>
          <cell r="E422" t="str">
            <v>伯希和/PELLIOT</v>
          </cell>
          <cell r="F422" t="str">
            <v>鞋-运动鞋-越野跑鞋</v>
          </cell>
          <cell r="G422" t="str">
            <v>一品多商</v>
          </cell>
          <cell r="H422" t="str">
            <v>品牌直发</v>
          </cell>
          <cell r="I422">
            <v>0</v>
          </cell>
        </row>
        <row r="423">
          <cell r="D423">
            <v>105101011</v>
          </cell>
          <cell r="E423" t="str">
            <v>伯希和/PELLIOT</v>
          </cell>
          <cell r="F423" t="str">
            <v>服装-外套-冲锋衣</v>
          </cell>
          <cell r="G423" t="str">
            <v>一品多商</v>
          </cell>
          <cell r="H423" t="str">
            <v>品牌直发</v>
          </cell>
          <cell r="I423">
            <v>0</v>
          </cell>
        </row>
        <row r="424">
          <cell r="D424">
            <v>125215038</v>
          </cell>
          <cell r="E424" t="str">
            <v>伯希和/PELLIOT</v>
          </cell>
          <cell r="F424" t="str">
            <v>女装-上衣-Polo衫</v>
          </cell>
          <cell r="G424" t="str">
            <v>一品一商</v>
          </cell>
          <cell r="H424" t="str">
            <v>品牌直发</v>
          </cell>
          <cell r="I424">
            <v>0</v>
          </cell>
        </row>
        <row r="425">
          <cell r="D425">
            <v>115215021</v>
          </cell>
          <cell r="E425" t="str">
            <v>伯希和/PELLIOT</v>
          </cell>
          <cell r="F425" t="str">
            <v>服装-上衣-T恤</v>
          </cell>
          <cell r="G425" t="str">
            <v>一品一商</v>
          </cell>
          <cell r="H425" t="str">
            <v>品牌直发</v>
          </cell>
          <cell r="I425">
            <v>0</v>
          </cell>
        </row>
        <row r="426">
          <cell r="D426">
            <v>125215022</v>
          </cell>
          <cell r="E426" t="str">
            <v>伯希和/PELLIOT</v>
          </cell>
          <cell r="F426" t="str">
            <v>女装-户外运动服-跑步T恤</v>
          </cell>
          <cell r="G426" t="str">
            <v>一品一商</v>
          </cell>
          <cell r="H426" t="str">
            <v>品牌直发</v>
          </cell>
          <cell r="I426">
            <v>0</v>
          </cell>
        </row>
        <row r="427">
          <cell r="D427">
            <v>105025008</v>
          </cell>
          <cell r="E427" t="str">
            <v>伯希和/PELLIOT</v>
          </cell>
          <cell r="F427" t="str">
            <v>箱包-包袋-户外包</v>
          </cell>
          <cell r="G427" t="str">
            <v>一品多商</v>
          </cell>
          <cell r="H427" t="str">
            <v>品牌直发</v>
          </cell>
          <cell r="I427">
            <v>0</v>
          </cell>
        </row>
        <row r="428">
          <cell r="D428">
            <v>125220022</v>
          </cell>
          <cell r="E428" t="str">
            <v>伯希和/PELLIOT</v>
          </cell>
          <cell r="F428" t="str">
            <v>鞋-凉鞋/拖鞋-溯溪鞋</v>
          </cell>
          <cell r="G428" t="str">
            <v>一品多商</v>
          </cell>
          <cell r="H428" t="str">
            <v>品牌直发</v>
          </cell>
          <cell r="I428">
            <v>0</v>
          </cell>
        </row>
        <row r="429">
          <cell r="D429">
            <v>125215024</v>
          </cell>
          <cell r="E429" t="str">
            <v>伯希和/PELLIOT</v>
          </cell>
          <cell r="F429" t="str">
            <v>女装-户外运动服-速干T恤</v>
          </cell>
          <cell r="G429" t="str">
            <v>一品多商</v>
          </cell>
          <cell r="H429" t="str">
            <v>品牌直发</v>
          </cell>
          <cell r="I429">
            <v>0</v>
          </cell>
        </row>
        <row r="430">
          <cell r="D430">
            <v>125215018</v>
          </cell>
          <cell r="E430" t="str">
            <v>伯希和/PELLIOT</v>
          </cell>
          <cell r="F430" t="str">
            <v>女装-户外运动服-速干T恤</v>
          </cell>
          <cell r="G430" t="str">
            <v>一品一商</v>
          </cell>
          <cell r="H430" t="str">
            <v>品牌直发</v>
          </cell>
          <cell r="I430">
            <v>0</v>
          </cell>
        </row>
        <row r="431">
          <cell r="D431">
            <v>125215008</v>
          </cell>
          <cell r="E431" t="str">
            <v>伯希和/PELLIOT</v>
          </cell>
          <cell r="F431" t="str">
            <v>女装-上衣-Polo衫</v>
          </cell>
          <cell r="G431" t="str">
            <v>一品一商</v>
          </cell>
          <cell r="H431" t="str">
            <v>品牌直发</v>
          </cell>
          <cell r="I431">
            <v>0</v>
          </cell>
        </row>
        <row r="432">
          <cell r="D432">
            <v>115215017</v>
          </cell>
          <cell r="E432" t="str">
            <v>伯希和/PELLIOT</v>
          </cell>
          <cell r="F432" t="str">
            <v>服装-上衣-T恤</v>
          </cell>
          <cell r="G432" t="str">
            <v>一品一商</v>
          </cell>
          <cell r="H432" t="str">
            <v>品牌直发</v>
          </cell>
          <cell r="I432">
            <v>0</v>
          </cell>
        </row>
        <row r="433">
          <cell r="D433">
            <v>115215039</v>
          </cell>
          <cell r="E433" t="str">
            <v>伯希和/PELLIOT</v>
          </cell>
          <cell r="F433" t="str">
            <v>服装-上衣-Polo衫</v>
          </cell>
          <cell r="G433" t="str">
            <v>一品多商</v>
          </cell>
          <cell r="H433" t="str">
            <v>品牌直发</v>
          </cell>
          <cell r="I433">
            <v>0</v>
          </cell>
        </row>
        <row r="434">
          <cell r="D434">
            <v>115278007</v>
          </cell>
          <cell r="E434" t="str">
            <v>伯希和/PELLIOT</v>
          </cell>
          <cell r="F434" t="str">
            <v>服装-长裤-休闲裤</v>
          </cell>
          <cell r="G434" t="str">
            <v>一品一商</v>
          </cell>
          <cell r="H434" t="str">
            <v>品牌直发</v>
          </cell>
          <cell r="I434">
            <v>0</v>
          </cell>
        </row>
        <row r="435">
          <cell r="D435">
            <v>115212005</v>
          </cell>
          <cell r="E435" t="str">
            <v>伯希和/PELLIOT</v>
          </cell>
          <cell r="F435" t="str">
            <v>服装-外套-防晒服</v>
          </cell>
          <cell r="G435" t="str">
            <v>一品多商</v>
          </cell>
          <cell r="H435" t="str">
            <v>品牌直发</v>
          </cell>
          <cell r="I435">
            <v>0</v>
          </cell>
        </row>
        <row r="436">
          <cell r="D436" t="str">
            <v>PE125215026</v>
          </cell>
          <cell r="E436" t="str">
            <v>伯希和/PELLIOT</v>
          </cell>
          <cell r="F436" t="str">
            <v>女装-户外运动服-速干T恤</v>
          </cell>
          <cell r="G436" t="str">
            <v>一品一商</v>
          </cell>
          <cell r="H436" t="str">
            <v>品牌直发</v>
          </cell>
          <cell r="I436">
            <v>0</v>
          </cell>
        </row>
        <row r="437">
          <cell r="D437">
            <v>115151005</v>
          </cell>
          <cell r="E437" t="str">
            <v>伯希和/PELLIOT</v>
          </cell>
          <cell r="F437" t="str">
            <v>服装-外套-夹克</v>
          </cell>
          <cell r="G437" t="str">
            <v>一品一商</v>
          </cell>
          <cell r="H437" t="str">
            <v>品牌直发</v>
          </cell>
          <cell r="I437">
            <v>0</v>
          </cell>
        </row>
        <row r="438">
          <cell r="D438">
            <v>115114001</v>
          </cell>
          <cell r="E438" t="str">
            <v>伯希和/PELLIOT</v>
          </cell>
          <cell r="F438" t="str">
            <v>服装-户外运动服-速干裤</v>
          </cell>
          <cell r="G438" t="str">
            <v>一品一商</v>
          </cell>
          <cell r="H438" t="str">
            <v>品牌直发</v>
          </cell>
          <cell r="I438">
            <v>0</v>
          </cell>
        </row>
        <row r="439">
          <cell r="D439">
            <v>125106002</v>
          </cell>
          <cell r="E439" t="str">
            <v>伯希和/PELLIOT</v>
          </cell>
          <cell r="F439" t="str">
            <v>女装-外套-软壳衣</v>
          </cell>
          <cell r="G439" t="str">
            <v>一品一商</v>
          </cell>
          <cell r="H439" t="str">
            <v>品牌直发</v>
          </cell>
          <cell r="I439">
            <v>0</v>
          </cell>
        </row>
        <row r="440">
          <cell r="D440" t="str">
            <v>PE125107004</v>
          </cell>
          <cell r="E440" t="str">
            <v>伯希和/PELLIOT</v>
          </cell>
          <cell r="F440" t="str">
            <v>女装-长裤-软壳裤</v>
          </cell>
          <cell r="G440" t="str">
            <v>一品多商</v>
          </cell>
          <cell r="H440" t="str">
            <v>品牌直发</v>
          </cell>
          <cell r="I440">
            <v>0</v>
          </cell>
        </row>
        <row r="441">
          <cell r="D441">
            <v>115107001</v>
          </cell>
          <cell r="E441" t="str">
            <v>伯希和/PELLIOT</v>
          </cell>
          <cell r="F441" t="str">
            <v>服装-长裤-软壳裤</v>
          </cell>
          <cell r="G441" t="str">
            <v>一品多商</v>
          </cell>
          <cell r="H441" t="str">
            <v>品牌直发</v>
          </cell>
          <cell r="I441">
            <v>0</v>
          </cell>
        </row>
        <row r="442">
          <cell r="D442">
            <v>115106003</v>
          </cell>
          <cell r="E442" t="str">
            <v>伯希和/PELLIOT</v>
          </cell>
          <cell r="F442" t="str">
            <v>服装-外套-软壳衣</v>
          </cell>
          <cell r="G442" t="str">
            <v>一品多商</v>
          </cell>
          <cell r="H442" t="str">
            <v>品牌直发</v>
          </cell>
          <cell r="I442">
            <v>0</v>
          </cell>
        </row>
        <row r="443">
          <cell r="D443">
            <v>125119036</v>
          </cell>
          <cell r="E443" t="str">
            <v>伯希和/PELLIOT</v>
          </cell>
          <cell r="F443" t="str">
            <v>鞋-运动鞋-登山鞋/徒步鞋</v>
          </cell>
          <cell r="G443" t="str">
            <v>一品多商</v>
          </cell>
          <cell r="H443" t="str">
            <v>品牌直发</v>
          </cell>
          <cell r="I443">
            <v>0</v>
          </cell>
        </row>
        <row r="444">
          <cell r="D444">
            <v>135101017</v>
          </cell>
          <cell r="E444" t="str">
            <v>伯希和/PELLIOT</v>
          </cell>
          <cell r="F444" t="str">
            <v>童装-儿童上装-冲锋衣</v>
          </cell>
          <cell r="G444" t="str">
            <v>一品多商</v>
          </cell>
          <cell r="H444" t="str">
            <v>品牌直发</v>
          </cell>
          <cell r="I444">
            <v>0</v>
          </cell>
        </row>
        <row r="445">
          <cell r="D445">
            <v>125212014</v>
          </cell>
          <cell r="E445" t="str">
            <v>伯希和/PELLIOT</v>
          </cell>
          <cell r="F445" t="str">
            <v>女装-外套-防晒服</v>
          </cell>
          <cell r="G445" t="str">
            <v>一品一商</v>
          </cell>
          <cell r="H445" t="str">
            <v>品牌直发</v>
          </cell>
          <cell r="I445">
            <v>0</v>
          </cell>
        </row>
        <row r="446">
          <cell r="D446" t="str">
            <v>125102002-新</v>
          </cell>
          <cell r="E446" t="str">
            <v>伯希和/PELLIOT</v>
          </cell>
          <cell r="F446" t="str">
            <v>女装-长裤-冲锋裤</v>
          </cell>
          <cell r="G446" t="str">
            <v>一品一商</v>
          </cell>
          <cell r="H446" t="str">
            <v>品牌直发</v>
          </cell>
          <cell r="I446">
            <v>0</v>
          </cell>
        </row>
        <row r="447">
          <cell r="D447">
            <v>105112021</v>
          </cell>
          <cell r="E447" t="str">
            <v>伯希和/PELLIOT</v>
          </cell>
          <cell r="F447" t="str">
            <v>服装-外套-防晒服</v>
          </cell>
          <cell r="G447" t="str">
            <v>一品多商</v>
          </cell>
          <cell r="H447" t="str">
            <v>品牌直发</v>
          </cell>
          <cell r="I447">
            <v>0</v>
          </cell>
        </row>
        <row r="448">
          <cell r="D448">
            <v>1105212020</v>
          </cell>
          <cell r="E448" t="str">
            <v>伯希和/PELLIOT</v>
          </cell>
          <cell r="F448" t="str">
            <v>服装-外套-防晒服</v>
          </cell>
          <cell r="G448" t="str">
            <v>一品一商</v>
          </cell>
          <cell r="H448" t="str">
            <v>品牌直发</v>
          </cell>
          <cell r="I448">
            <v>0</v>
          </cell>
        </row>
        <row r="449">
          <cell r="D449">
            <v>115102001</v>
          </cell>
          <cell r="E449" t="str">
            <v>伯希和/PELLIOT</v>
          </cell>
          <cell r="F449" t="str">
            <v>服装-长裤-冲锋裤</v>
          </cell>
          <cell r="G449" t="str">
            <v>一品多商</v>
          </cell>
          <cell r="H449" t="str">
            <v>品牌直发</v>
          </cell>
          <cell r="I449">
            <v>0</v>
          </cell>
        </row>
        <row r="450">
          <cell r="D450">
            <v>125301055</v>
          </cell>
          <cell r="E450" t="str">
            <v>伯希和/PELLIOT</v>
          </cell>
          <cell r="F450" t="str">
            <v>女装-外套-冲锋衣</v>
          </cell>
          <cell r="G450" t="str">
            <v>一品多商</v>
          </cell>
          <cell r="H450" t="str">
            <v>品牌直发</v>
          </cell>
          <cell r="I450">
            <v>0</v>
          </cell>
        </row>
        <row r="451">
          <cell r="D451">
            <v>115101019</v>
          </cell>
          <cell r="E451" t="str">
            <v>伯希和/PELLIOT</v>
          </cell>
          <cell r="F451" t="str">
            <v>服装-外套-冲锋衣</v>
          </cell>
          <cell r="G451" t="str">
            <v>一品多商</v>
          </cell>
          <cell r="H451" t="str">
            <v>品牌直发</v>
          </cell>
          <cell r="I451">
            <v>0</v>
          </cell>
        </row>
        <row r="452">
          <cell r="D452">
            <v>135116010</v>
          </cell>
          <cell r="E452" t="str">
            <v>伯希和/PELLIOT</v>
          </cell>
          <cell r="F452" t="str">
            <v>童装-儿童上装-T恤</v>
          </cell>
          <cell r="G452" t="str">
            <v>一品多商</v>
          </cell>
          <cell r="H452" t="str">
            <v>品牌直发</v>
          </cell>
          <cell r="I452">
            <v>0</v>
          </cell>
        </row>
        <row r="453">
          <cell r="D453" t="str">
            <v>PE125119032</v>
          </cell>
          <cell r="E453" t="str">
            <v>伯希和/PELLIOT</v>
          </cell>
          <cell r="F453" t="str">
            <v>鞋-运动鞋-登山鞋/徒步鞋</v>
          </cell>
          <cell r="G453" t="str">
            <v>一品多商</v>
          </cell>
          <cell r="H453" t="str">
            <v>品牌直发</v>
          </cell>
          <cell r="I453">
            <v>0</v>
          </cell>
        </row>
        <row r="454">
          <cell r="D454" t="str">
            <v>PE125119026</v>
          </cell>
          <cell r="E454" t="str">
            <v>伯希和/PELLIOT</v>
          </cell>
          <cell r="F454" t="str">
            <v>鞋-运动鞋-跑步鞋</v>
          </cell>
          <cell r="G454" t="str">
            <v>一品多商</v>
          </cell>
          <cell r="H454" t="str">
            <v>品牌直发</v>
          </cell>
          <cell r="I454">
            <v>0</v>
          </cell>
        </row>
        <row r="455">
          <cell r="D455">
            <v>115101007</v>
          </cell>
          <cell r="E455" t="str">
            <v>伯希和/PELLIOT</v>
          </cell>
          <cell r="F455" t="str">
            <v>服装-外套-冲锋衣</v>
          </cell>
          <cell r="G455" t="str">
            <v>一品多商</v>
          </cell>
          <cell r="H455" t="str">
            <v>品牌直发</v>
          </cell>
          <cell r="I455">
            <v>0</v>
          </cell>
        </row>
        <row r="456">
          <cell r="D456">
            <v>1125107002</v>
          </cell>
          <cell r="E456" t="str">
            <v>伯希和/PELLIOT</v>
          </cell>
          <cell r="F456" t="str">
            <v>女装-长裤-软壳裤</v>
          </cell>
          <cell r="G456" t="str">
            <v>一品一商</v>
          </cell>
          <cell r="H456" t="str">
            <v>品牌直发</v>
          </cell>
          <cell r="I456">
            <v>0</v>
          </cell>
        </row>
        <row r="457">
          <cell r="D457">
            <v>1125116008</v>
          </cell>
          <cell r="E457" t="str">
            <v>伯希和/PELLIOT</v>
          </cell>
          <cell r="F457" t="str">
            <v>女装-户外运动服-跑步T恤</v>
          </cell>
          <cell r="G457" t="str">
            <v>一品一商</v>
          </cell>
          <cell r="H457" t="str">
            <v>品牌直发</v>
          </cell>
          <cell r="I457">
            <v>0</v>
          </cell>
        </row>
        <row r="458">
          <cell r="D458">
            <v>1115116007</v>
          </cell>
          <cell r="E458" t="str">
            <v>伯希和/PELLIOT</v>
          </cell>
          <cell r="F458" t="str">
            <v>服装-上衣-T恤</v>
          </cell>
          <cell r="G458" t="str">
            <v>一品多商</v>
          </cell>
          <cell r="H458" t="str">
            <v>品牌直发</v>
          </cell>
          <cell r="I458">
            <v>0</v>
          </cell>
        </row>
        <row r="459">
          <cell r="D459">
            <v>125151008</v>
          </cell>
          <cell r="E459" t="str">
            <v>伯希和/PELLIOT</v>
          </cell>
          <cell r="F459" t="str">
            <v>女装-外套-夹克</v>
          </cell>
          <cell r="G459" t="str">
            <v>一品一商</v>
          </cell>
          <cell r="H459" t="str">
            <v>品牌直发</v>
          </cell>
          <cell r="I459">
            <v>0</v>
          </cell>
        </row>
        <row r="460">
          <cell r="D460">
            <v>1125178002</v>
          </cell>
          <cell r="E460" t="str">
            <v>伯希和/PELLIOT</v>
          </cell>
          <cell r="F460" t="str">
            <v>女装-长裤-休闲裤</v>
          </cell>
          <cell r="G460" t="str">
            <v>一品一商</v>
          </cell>
          <cell r="H460" t="str">
            <v>品牌直发</v>
          </cell>
          <cell r="I460">
            <v>0</v>
          </cell>
        </row>
        <row r="461">
          <cell r="D461">
            <v>115151009</v>
          </cell>
          <cell r="E461" t="str">
            <v>伯希和/PELLIOT</v>
          </cell>
          <cell r="F461" t="str">
            <v>服装-外套-夹克</v>
          </cell>
          <cell r="G461" t="str">
            <v>一品一商</v>
          </cell>
          <cell r="H461" t="str">
            <v>品牌直发</v>
          </cell>
          <cell r="I461">
            <v>0</v>
          </cell>
        </row>
        <row r="462">
          <cell r="D462">
            <v>1125101020</v>
          </cell>
          <cell r="E462" t="str">
            <v>伯希和/PELLIOT</v>
          </cell>
          <cell r="F462" t="str">
            <v>女装-外套-冲锋衣</v>
          </cell>
          <cell r="G462" t="str">
            <v>一品多商</v>
          </cell>
          <cell r="H462" t="str">
            <v>品牌直发</v>
          </cell>
          <cell r="I462">
            <v>0</v>
          </cell>
        </row>
        <row r="463">
          <cell r="D463">
            <v>1125101008</v>
          </cell>
          <cell r="E463" t="str">
            <v>伯希和/PELLIOT</v>
          </cell>
          <cell r="F463" t="str">
            <v>女装-外套-冲锋衣</v>
          </cell>
          <cell r="G463" t="str">
            <v>一品多商</v>
          </cell>
          <cell r="H463" t="str">
            <v>品牌直发</v>
          </cell>
          <cell r="I463">
            <v>0</v>
          </cell>
        </row>
        <row r="464">
          <cell r="D464" t="str">
            <v>PE105151011</v>
          </cell>
          <cell r="E464" t="str">
            <v>伯希和/PELLIOT</v>
          </cell>
          <cell r="F464" t="str">
            <v>服装-外套-夹克</v>
          </cell>
          <cell r="G464" t="str">
            <v>一品一商</v>
          </cell>
          <cell r="H464" t="str">
            <v>品牌直发</v>
          </cell>
          <cell r="I464">
            <v>0</v>
          </cell>
        </row>
        <row r="465">
          <cell r="D465" t="str">
            <v>PE114310205</v>
          </cell>
          <cell r="E465" t="str">
            <v>伯希和/PELLIOT</v>
          </cell>
          <cell r="F465" t="str">
            <v>服装-户外运动服-抓绒衣</v>
          </cell>
          <cell r="G465" t="str">
            <v>一品一商</v>
          </cell>
          <cell r="H465" t="str">
            <v>品牌直发</v>
          </cell>
          <cell r="I465">
            <v>0</v>
          </cell>
        </row>
        <row r="466">
          <cell r="D466" t="str">
            <v>PE124310206</v>
          </cell>
          <cell r="E466" t="str">
            <v>伯希和/PELLIOT</v>
          </cell>
          <cell r="F466" t="str">
            <v>女装-上衣-T恤</v>
          </cell>
          <cell r="G466" t="str">
            <v>一品一商</v>
          </cell>
          <cell r="H466" t="str">
            <v>品牌直发</v>
          </cell>
          <cell r="I466">
            <v>0</v>
          </cell>
        </row>
        <row r="467">
          <cell r="D467">
            <v>1115214009</v>
          </cell>
          <cell r="E467" t="str">
            <v>伯希和/PELLIOT</v>
          </cell>
          <cell r="F467" t="str">
            <v>服装-户外运动服-速干裤</v>
          </cell>
          <cell r="G467" t="str">
            <v>一品多商</v>
          </cell>
          <cell r="H467" t="str">
            <v>品牌直发</v>
          </cell>
          <cell r="I467">
            <v>0</v>
          </cell>
        </row>
        <row r="468">
          <cell r="D468">
            <v>124310206</v>
          </cell>
          <cell r="E468" t="str">
            <v>伯希和/PELLIOT</v>
          </cell>
          <cell r="F468" t="str">
            <v>女装-户外运动服-抓绒衣</v>
          </cell>
          <cell r="G468" t="str">
            <v>一品一商</v>
          </cell>
          <cell r="H468" t="str">
            <v>品牌直发</v>
          </cell>
          <cell r="I468">
            <v>0</v>
          </cell>
        </row>
        <row r="469">
          <cell r="D469">
            <v>114310205</v>
          </cell>
          <cell r="E469" t="str">
            <v>伯希和/PELLIOT</v>
          </cell>
          <cell r="F469" t="str">
            <v>内衣-内衣裤-保暖上装</v>
          </cell>
          <cell r="G469" t="str">
            <v>一品多商</v>
          </cell>
          <cell r="H469" t="str">
            <v>品牌直发</v>
          </cell>
          <cell r="I469">
            <v>0</v>
          </cell>
        </row>
        <row r="470">
          <cell r="D470">
            <v>105025005</v>
          </cell>
          <cell r="E470" t="str">
            <v>伯希和/PELLIOT</v>
          </cell>
          <cell r="F470" t="str">
            <v>箱包-包袋-户外包</v>
          </cell>
          <cell r="G470" t="str">
            <v>一品一商</v>
          </cell>
          <cell r="H470" t="str">
            <v>普通现货</v>
          </cell>
          <cell r="I470">
            <v>0</v>
          </cell>
        </row>
        <row r="471">
          <cell r="D471">
            <v>11340303</v>
          </cell>
          <cell r="E471" t="str">
            <v>伯希和/PELLIOT</v>
          </cell>
          <cell r="F471" t="str">
            <v>服装-外套-棉服</v>
          </cell>
          <cell r="G471" t="str">
            <v>一品多商</v>
          </cell>
          <cell r="H471" t="str">
            <v>品牌直发</v>
          </cell>
          <cell r="I471">
            <v>0</v>
          </cell>
        </row>
        <row r="472">
          <cell r="D472">
            <v>105025003</v>
          </cell>
          <cell r="E472" t="str">
            <v>伯希和/PELLIOT</v>
          </cell>
          <cell r="F472" t="str">
            <v>箱包-包袋-户外包</v>
          </cell>
          <cell r="G472" t="str">
            <v>一品一商</v>
          </cell>
          <cell r="H472" t="str">
            <v>品牌直发</v>
          </cell>
          <cell r="I472">
            <v>0</v>
          </cell>
        </row>
        <row r="473">
          <cell r="D473">
            <v>16123410</v>
          </cell>
          <cell r="E473" t="str">
            <v>伯希和/PELLIOT</v>
          </cell>
          <cell r="F473" t="str">
            <v>流行饰品/眼镜/服配-防晒服配-防晒帽</v>
          </cell>
          <cell r="G473" t="str">
            <v>一品一商</v>
          </cell>
          <cell r="H473" t="str">
            <v>品牌直发</v>
          </cell>
          <cell r="I473">
            <v>0</v>
          </cell>
        </row>
        <row r="474">
          <cell r="D474">
            <v>16223409</v>
          </cell>
          <cell r="E474" t="str">
            <v>伯希和/PELLIOT</v>
          </cell>
          <cell r="F474" t="str">
            <v>流行饰品/眼镜/服配-防晒服配-防晒帽</v>
          </cell>
          <cell r="G474" t="str">
            <v>一品一商</v>
          </cell>
          <cell r="H474" t="str">
            <v>品牌直发</v>
          </cell>
          <cell r="I474">
            <v>0</v>
          </cell>
        </row>
        <row r="475">
          <cell r="D475">
            <v>16123407</v>
          </cell>
          <cell r="E475" t="str">
            <v>伯希和/PELLIOT</v>
          </cell>
          <cell r="F475" t="str">
            <v>流行饰品/眼镜/服配-防晒服配-防晒帽</v>
          </cell>
          <cell r="G475" t="str">
            <v>一品一商</v>
          </cell>
          <cell r="H475" t="str">
            <v>普通现货</v>
          </cell>
          <cell r="I475">
            <v>0</v>
          </cell>
        </row>
        <row r="476">
          <cell r="D476">
            <v>16423417</v>
          </cell>
          <cell r="E476" t="str">
            <v>伯希和/PELLIOT</v>
          </cell>
          <cell r="F476" t="str">
            <v>流行饰品/眼镜/服配-防晒服配-防晒帽</v>
          </cell>
          <cell r="G476" t="str">
            <v>一品一商</v>
          </cell>
          <cell r="H476" t="str">
            <v>品牌直发</v>
          </cell>
          <cell r="I476">
            <v>0</v>
          </cell>
        </row>
        <row r="477">
          <cell r="D477">
            <v>16123409</v>
          </cell>
          <cell r="E477" t="str">
            <v>伯希和/PELLIOT</v>
          </cell>
          <cell r="F477" t="str">
            <v>流行饰品/眼镜/服配-防晒服配-防晒帽</v>
          </cell>
          <cell r="G477" t="str">
            <v>一品一商</v>
          </cell>
          <cell r="H477" t="str">
            <v>品牌直发</v>
          </cell>
          <cell r="I477">
            <v>0</v>
          </cell>
        </row>
        <row r="478">
          <cell r="D478">
            <v>16123403</v>
          </cell>
          <cell r="E478" t="str">
            <v>伯希和/PELLIOT</v>
          </cell>
          <cell r="F478" t="str">
            <v>流行饰品/眼镜/服配-帽子-渔夫帽</v>
          </cell>
          <cell r="G478" t="str">
            <v>一品一商</v>
          </cell>
          <cell r="H478" t="str">
            <v>品牌直发</v>
          </cell>
          <cell r="I478">
            <v>0</v>
          </cell>
        </row>
        <row r="479">
          <cell r="D479">
            <v>16223101</v>
          </cell>
          <cell r="E479" t="str">
            <v>伯希和/PELLIOT</v>
          </cell>
          <cell r="F479" t="str">
            <v>流行饰品/眼镜/服配-防晒服配-防晒手套</v>
          </cell>
          <cell r="G479" t="str">
            <v>一品一商</v>
          </cell>
          <cell r="H479" t="str">
            <v>品牌直发</v>
          </cell>
          <cell r="I479">
            <v>0</v>
          </cell>
        </row>
        <row r="480">
          <cell r="D480">
            <v>16043428</v>
          </cell>
          <cell r="E480" t="str">
            <v>伯希和/PELLIOT</v>
          </cell>
          <cell r="F480" t="str">
            <v>流行饰品/眼镜/服配-帽子-渔夫帽</v>
          </cell>
          <cell r="G480" t="str">
            <v>一品一商</v>
          </cell>
          <cell r="H480" t="str">
            <v>品牌直发</v>
          </cell>
          <cell r="I480">
            <v>0</v>
          </cell>
        </row>
        <row r="481">
          <cell r="D481">
            <v>16423418</v>
          </cell>
          <cell r="E481" t="str">
            <v>伯希和/PELLIOT</v>
          </cell>
          <cell r="F481" t="str">
            <v>流行饰品/眼镜/服配-帽子-鸭舌帽</v>
          </cell>
          <cell r="G481" t="str">
            <v>一品一商</v>
          </cell>
          <cell r="H481" t="str">
            <v>品牌直发</v>
          </cell>
          <cell r="I481">
            <v>0</v>
          </cell>
        </row>
        <row r="482">
          <cell r="D482">
            <v>16143205</v>
          </cell>
          <cell r="E482" t="str">
            <v>伯希和/PELLIOT</v>
          </cell>
          <cell r="F482" t="str">
            <v>流行饰品/眼镜/服配-围巾-围脖</v>
          </cell>
          <cell r="G482" t="str">
            <v>一品一商</v>
          </cell>
          <cell r="H482" t="str">
            <v>品牌直发</v>
          </cell>
          <cell r="I482">
            <v>0</v>
          </cell>
        </row>
        <row r="483">
          <cell r="D483">
            <v>16323402</v>
          </cell>
          <cell r="E483" t="str">
            <v>伯希和/PELLIOT</v>
          </cell>
          <cell r="F483" t="str">
            <v>流行饰品/眼镜/服配-防晒服配-防晒帽</v>
          </cell>
          <cell r="G483" t="str">
            <v>一品一商</v>
          </cell>
          <cell r="H483" t="str">
            <v>品牌直发</v>
          </cell>
          <cell r="I483">
            <v>0</v>
          </cell>
        </row>
        <row r="484">
          <cell r="D484">
            <v>16243103</v>
          </cell>
          <cell r="E484" t="str">
            <v>伯希和/PELLIOT</v>
          </cell>
          <cell r="F484" t="str">
            <v>流行饰品/眼镜/服配-手套-其他手套</v>
          </cell>
          <cell r="G484" t="str">
            <v>一品一商</v>
          </cell>
          <cell r="H484" t="str">
            <v>品牌直发</v>
          </cell>
          <cell r="I484">
            <v>0</v>
          </cell>
        </row>
        <row r="485">
          <cell r="D485">
            <v>16343418</v>
          </cell>
          <cell r="E485" t="str">
            <v>伯希和/PELLIOT</v>
          </cell>
          <cell r="F485" t="str">
            <v>流行饰品/眼镜/服配-帽子-其他帽子</v>
          </cell>
          <cell r="G485" t="str">
            <v>一品一商</v>
          </cell>
          <cell r="H485" t="str">
            <v>品牌直发</v>
          </cell>
          <cell r="I485">
            <v>0</v>
          </cell>
        </row>
        <row r="486">
          <cell r="D486">
            <v>16323204</v>
          </cell>
          <cell r="E486" t="str">
            <v>伯希和/PELLIOT</v>
          </cell>
          <cell r="F486" t="str">
            <v>流行饰品/眼镜/服配-防晒服配-防晒脖套</v>
          </cell>
          <cell r="G486" t="str">
            <v>一品一商</v>
          </cell>
          <cell r="H486" t="str">
            <v>品牌直发</v>
          </cell>
          <cell r="I486">
            <v>0</v>
          </cell>
        </row>
        <row r="487">
          <cell r="D487">
            <v>1124310184</v>
          </cell>
          <cell r="E487" t="str">
            <v>伯希和/PELLIOT</v>
          </cell>
          <cell r="F487" t="str">
            <v>女装-户外运动服-抓绒衣</v>
          </cell>
          <cell r="G487" t="str">
            <v>一品一商</v>
          </cell>
          <cell r="H487" t="str">
            <v>品牌直发</v>
          </cell>
          <cell r="I487">
            <v>0</v>
          </cell>
        </row>
        <row r="488">
          <cell r="D488">
            <v>124401056</v>
          </cell>
          <cell r="E488" t="str">
            <v>伯希和/PELLIOT</v>
          </cell>
          <cell r="F488" t="str">
            <v>服装-外套-冲锋衣</v>
          </cell>
          <cell r="G488" t="str">
            <v>一品一商</v>
          </cell>
          <cell r="H488" t="str">
            <v>品牌直发</v>
          </cell>
          <cell r="I488">
            <v>0</v>
          </cell>
        </row>
        <row r="489">
          <cell r="D489">
            <v>114408263</v>
          </cell>
          <cell r="E489" t="str">
            <v>伯希和/PELLIOT</v>
          </cell>
          <cell r="F489" t="str">
            <v>服装-外套-羽绒服</v>
          </cell>
          <cell r="G489" t="str">
            <v>一品多商</v>
          </cell>
          <cell r="H489" t="str">
            <v>品牌直发</v>
          </cell>
          <cell r="I489">
            <v>0</v>
          </cell>
        </row>
        <row r="490">
          <cell r="D490">
            <v>114401077</v>
          </cell>
          <cell r="E490" t="str">
            <v>伯希和/PELLIOT</v>
          </cell>
          <cell r="F490" t="str">
            <v>服装-外套-冲锋衣</v>
          </cell>
          <cell r="G490" t="str">
            <v>一品多商</v>
          </cell>
          <cell r="H490" t="str">
            <v>品牌直发</v>
          </cell>
          <cell r="I490">
            <v>0</v>
          </cell>
        </row>
        <row r="491">
          <cell r="D491" t="str">
            <v>PE124423019</v>
          </cell>
          <cell r="E491" t="str">
            <v>伯希和/PELLIOT</v>
          </cell>
          <cell r="F491" t="str">
            <v>鞋-靴子-雪地靴</v>
          </cell>
          <cell r="G491" t="str">
            <v>一品一商</v>
          </cell>
          <cell r="H491" t="str">
            <v>品牌直发</v>
          </cell>
          <cell r="I491">
            <v>0</v>
          </cell>
        </row>
        <row r="492">
          <cell r="D492">
            <v>114315397</v>
          </cell>
          <cell r="E492" t="str">
            <v>伯希和/PELLIOT</v>
          </cell>
          <cell r="F492" t="str">
            <v>服装-上衣-T恤</v>
          </cell>
          <cell r="G492" t="str">
            <v>一品一商</v>
          </cell>
          <cell r="H492" t="str">
            <v>品牌直发</v>
          </cell>
          <cell r="I492">
            <v>0</v>
          </cell>
        </row>
        <row r="493">
          <cell r="D493">
            <v>124310204</v>
          </cell>
          <cell r="E493" t="str">
            <v>伯希和/PELLIOT</v>
          </cell>
          <cell r="F493" t="str">
            <v>女装-户外运动服-抓绒衣</v>
          </cell>
          <cell r="G493" t="str">
            <v>一品一商</v>
          </cell>
          <cell r="H493" t="str">
            <v>品牌直发</v>
          </cell>
          <cell r="I493">
            <v>0</v>
          </cell>
        </row>
        <row r="494">
          <cell r="D494" t="str">
            <v>PE114315381</v>
          </cell>
          <cell r="E494" t="str">
            <v>伯希和/PELLIOT</v>
          </cell>
          <cell r="F494" t="str">
            <v>服装-上衣-T恤</v>
          </cell>
          <cell r="G494" t="str">
            <v>一品一商</v>
          </cell>
          <cell r="H494" t="str">
            <v>品牌直发</v>
          </cell>
          <cell r="I494">
            <v>0</v>
          </cell>
        </row>
        <row r="495">
          <cell r="D495">
            <v>124409342</v>
          </cell>
          <cell r="E495" t="str">
            <v>伯希和/PELLIOT</v>
          </cell>
          <cell r="F495" t="str">
            <v>女装-长裤-羽绒裤</v>
          </cell>
          <cell r="G495" t="str">
            <v>一品多商</v>
          </cell>
          <cell r="H495" t="str">
            <v>品牌直发</v>
          </cell>
          <cell r="I495">
            <v>0</v>
          </cell>
        </row>
        <row r="496">
          <cell r="D496">
            <v>124306144</v>
          </cell>
          <cell r="E496" t="str">
            <v>伯希和/PELLIOT</v>
          </cell>
          <cell r="F496" t="str">
            <v>女装-外套-软壳衣</v>
          </cell>
          <cell r="G496" t="str">
            <v>一品多商</v>
          </cell>
          <cell r="H496" t="str">
            <v>品牌直发</v>
          </cell>
          <cell r="I496">
            <v>0</v>
          </cell>
        </row>
        <row r="497">
          <cell r="D497" t="str">
            <v>PE114377365</v>
          </cell>
          <cell r="E497" t="str">
            <v>伯希和/PELLIOT</v>
          </cell>
          <cell r="F497" t="str">
            <v>服装-健身服-运动长裤</v>
          </cell>
          <cell r="G497" t="str">
            <v>一品多商</v>
          </cell>
          <cell r="H497" t="str">
            <v>品牌直发</v>
          </cell>
          <cell r="I497">
            <v>0</v>
          </cell>
        </row>
        <row r="498">
          <cell r="D498">
            <v>114376411</v>
          </cell>
          <cell r="E498" t="str">
            <v>伯希和/PELLIOT</v>
          </cell>
          <cell r="F498" t="str">
            <v>服装-外套-棉服</v>
          </cell>
          <cell r="G498" t="str">
            <v>一品一商</v>
          </cell>
          <cell r="H498" t="str">
            <v>品牌直发</v>
          </cell>
          <cell r="I498">
            <v>0</v>
          </cell>
        </row>
        <row r="499">
          <cell r="D499" t="str">
            <v>PE124408264</v>
          </cell>
          <cell r="E499" t="str">
            <v>伯希和/PELLIOT</v>
          </cell>
          <cell r="F499" t="str">
            <v>服装-外套-羽绒服</v>
          </cell>
          <cell r="G499" t="str">
            <v>一品多商</v>
          </cell>
          <cell r="H499" t="str">
            <v>品牌直发</v>
          </cell>
          <cell r="I499">
            <v>0</v>
          </cell>
        </row>
        <row r="500">
          <cell r="D500">
            <v>114401061</v>
          </cell>
          <cell r="E500" t="str">
            <v>伯希和/PELLIOT</v>
          </cell>
          <cell r="F500" t="str">
            <v>服装-外套-冲锋衣</v>
          </cell>
          <cell r="G500" t="str">
            <v>一品一商</v>
          </cell>
          <cell r="H500" t="str">
            <v>品牌直发</v>
          </cell>
          <cell r="I500">
            <v>0</v>
          </cell>
        </row>
        <row r="501">
          <cell r="D501">
            <v>114408259</v>
          </cell>
          <cell r="E501" t="str">
            <v>伯希和/PELLIOT</v>
          </cell>
          <cell r="F501" t="str">
            <v>服装-外套-羽绒服</v>
          </cell>
          <cell r="G501" t="str">
            <v>一品多商</v>
          </cell>
          <cell r="H501" t="str">
            <v>品牌直发</v>
          </cell>
          <cell r="I501">
            <v>0</v>
          </cell>
        </row>
        <row r="502">
          <cell r="D502">
            <v>114408257</v>
          </cell>
          <cell r="E502" t="str">
            <v>伯希和/PELLIOT</v>
          </cell>
          <cell r="F502" t="str">
            <v>服装-外套-羽绒服</v>
          </cell>
          <cell r="G502" t="str">
            <v>一品多商</v>
          </cell>
          <cell r="H502" t="str">
            <v>品牌直发</v>
          </cell>
          <cell r="I502">
            <v>0</v>
          </cell>
        </row>
        <row r="503">
          <cell r="D503">
            <v>124301066</v>
          </cell>
          <cell r="E503" t="str">
            <v>伯希和/PELLIOT</v>
          </cell>
          <cell r="F503" t="str">
            <v>女装-外套-冲锋衣</v>
          </cell>
          <cell r="G503" t="str">
            <v>一品一商</v>
          </cell>
          <cell r="H503" t="str">
            <v>品牌直发</v>
          </cell>
          <cell r="I503">
            <v>0</v>
          </cell>
        </row>
        <row r="504">
          <cell r="D504">
            <v>124408254</v>
          </cell>
          <cell r="E504" t="str">
            <v>伯希和/PELLIOT</v>
          </cell>
          <cell r="F504" t="str">
            <v>服装-外套-羽绒服</v>
          </cell>
          <cell r="G504" t="str">
            <v>一品多商</v>
          </cell>
          <cell r="H504" t="str">
            <v>品牌直发</v>
          </cell>
          <cell r="I504">
            <v>0</v>
          </cell>
        </row>
        <row r="505">
          <cell r="D505">
            <v>124403128</v>
          </cell>
          <cell r="E505" t="str">
            <v>伯希和/PELLIOT</v>
          </cell>
          <cell r="F505" t="str">
            <v>服装-户外运动服-滑雪衣</v>
          </cell>
          <cell r="G505" t="str">
            <v>一品多商</v>
          </cell>
          <cell r="H505" t="str">
            <v>品牌直发</v>
          </cell>
          <cell r="I505">
            <v>0</v>
          </cell>
        </row>
        <row r="506">
          <cell r="D506">
            <v>114301071</v>
          </cell>
          <cell r="E506" t="str">
            <v>伯希和/PELLIOT</v>
          </cell>
          <cell r="F506" t="str">
            <v>服装-外套-冲锋衣</v>
          </cell>
          <cell r="G506" t="str">
            <v>一品多商</v>
          </cell>
          <cell r="H506" t="str">
            <v>品牌直发</v>
          </cell>
          <cell r="I506">
            <v>0</v>
          </cell>
        </row>
        <row r="507">
          <cell r="D507">
            <v>114408277</v>
          </cell>
          <cell r="E507" t="str">
            <v>伯希和/PELLIOT</v>
          </cell>
          <cell r="F507" t="str">
            <v>服装-外套-羽绒服</v>
          </cell>
          <cell r="G507" t="str">
            <v>一品多商</v>
          </cell>
          <cell r="H507" t="str">
            <v>品牌直发</v>
          </cell>
          <cell r="I507">
            <v>0</v>
          </cell>
        </row>
        <row r="508">
          <cell r="D508">
            <v>134401045</v>
          </cell>
          <cell r="E508" t="str">
            <v>伯希和/PELLIOT</v>
          </cell>
          <cell r="F508" t="str">
            <v>童装-儿童上装-冲锋衣</v>
          </cell>
          <cell r="G508" t="str">
            <v>一品一商</v>
          </cell>
          <cell r="H508" t="str">
            <v>品牌直发</v>
          </cell>
          <cell r="I508">
            <v>0</v>
          </cell>
        </row>
        <row r="509">
          <cell r="D509">
            <v>124403126</v>
          </cell>
          <cell r="E509" t="str">
            <v>伯希和/PELLIOT</v>
          </cell>
          <cell r="F509" t="str">
            <v>服装-户外运动服-滑雪衣</v>
          </cell>
          <cell r="G509" t="str">
            <v>一品一商</v>
          </cell>
          <cell r="H509" t="str">
            <v>品牌直发</v>
          </cell>
          <cell r="I509">
            <v>0</v>
          </cell>
        </row>
        <row r="510">
          <cell r="D510">
            <v>114408273</v>
          </cell>
          <cell r="E510" t="str">
            <v>伯希和/PELLIOT</v>
          </cell>
          <cell r="F510" t="str">
            <v>服装-外套-羽绒服</v>
          </cell>
          <cell r="G510" t="str">
            <v>一品多商</v>
          </cell>
          <cell r="H510" t="str">
            <v>品牌直发</v>
          </cell>
          <cell r="I510">
            <v>0</v>
          </cell>
        </row>
        <row r="511">
          <cell r="D511">
            <v>134408270</v>
          </cell>
          <cell r="E511" t="str">
            <v>伯希和/PELLIOT</v>
          </cell>
          <cell r="F511" t="str">
            <v>童装-儿童上装-羽绒服</v>
          </cell>
          <cell r="G511" t="str">
            <v>一品一商</v>
          </cell>
          <cell r="H511" t="str">
            <v>品牌直发</v>
          </cell>
          <cell r="I511">
            <v>0</v>
          </cell>
        </row>
        <row r="512">
          <cell r="D512" t="str">
            <v>PE124408260</v>
          </cell>
          <cell r="E512" t="str">
            <v>伯希和/PELLIOT</v>
          </cell>
          <cell r="F512" t="str">
            <v>女装-外套-羽绒服</v>
          </cell>
          <cell r="G512" t="str">
            <v>一品多商</v>
          </cell>
          <cell r="H512" t="str">
            <v>品牌直发</v>
          </cell>
          <cell r="I512">
            <v>0</v>
          </cell>
        </row>
        <row r="513">
          <cell r="D513">
            <v>124408240</v>
          </cell>
          <cell r="E513" t="str">
            <v>伯希和/PELLIOT</v>
          </cell>
          <cell r="F513" t="str">
            <v>服装-外套-羽绒服</v>
          </cell>
          <cell r="G513" t="str">
            <v>一品多商</v>
          </cell>
          <cell r="H513" t="str">
            <v>品牌直发</v>
          </cell>
          <cell r="I513">
            <v>0</v>
          </cell>
        </row>
        <row r="514">
          <cell r="D514" t="str">
            <v>PE114401055</v>
          </cell>
          <cell r="E514" t="str">
            <v>伯希和/PELLIOT</v>
          </cell>
          <cell r="F514" t="str">
            <v>服装-外套-冲锋衣</v>
          </cell>
          <cell r="G514" t="str">
            <v>一品一商</v>
          </cell>
          <cell r="H514" t="str">
            <v>品牌直发</v>
          </cell>
          <cell r="I514">
            <v>0</v>
          </cell>
        </row>
        <row r="515">
          <cell r="D515" t="str">
            <v>PE124408278</v>
          </cell>
          <cell r="E515" t="str">
            <v>伯希和/PELLIOT</v>
          </cell>
          <cell r="F515" t="str">
            <v>女装-外套-羽绒服</v>
          </cell>
          <cell r="G515" t="str">
            <v>一品多商</v>
          </cell>
          <cell r="H515" t="str">
            <v>品牌直发</v>
          </cell>
          <cell r="I515">
            <v>0</v>
          </cell>
        </row>
        <row r="516">
          <cell r="D516">
            <v>134301043</v>
          </cell>
          <cell r="E516" t="str">
            <v>伯希和/PELLIOT</v>
          </cell>
          <cell r="F516" t="str">
            <v>童装-儿童上装-冲锋衣</v>
          </cell>
          <cell r="G516" t="str">
            <v>一品一商</v>
          </cell>
          <cell r="H516" t="str">
            <v>品牌直发</v>
          </cell>
          <cell r="I516">
            <v>0</v>
          </cell>
        </row>
        <row r="517">
          <cell r="D517" t="str">
            <v>PE124315434</v>
          </cell>
          <cell r="E517" t="str">
            <v>伯希和/PELLIOT</v>
          </cell>
          <cell r="F517" t="str">
            <v>女装-上衣-T恤</v>
          </cell>
          <cell r="G517" t="str">
            <v>一品一商</v>
          </cell>
          <cell r="H517" t="str">
            <v>品牌直发</v>
          </cell>
          <cell r="I517">
            <v>0</v>
          </cell>
        </row>
        <row r="518">
          <cell r="D518" t="str">
            <v>PE114315433</v>
          </cell>
          <cell r="E518" t="str">
            <v>伯希和/PELLIOT</v>
          </cell>
          <cell r="F518" t="str">
            <v>服装-户外运动服-抓绒衣</v>
          </cell>
          <cell r="G518" t="str">
            <v>一品一商</v>
          </cell>
          <cell r="H518" t="str">
            <v>品牌直发</v>
          </cell>
          <cell r="I518">
            <v>0</v>
          </cell>
        </row>
        <row r="519">
          <cell r="D519">
            <v>134409343</v>
          </cell>
          <cell r="E519" t="str">
            <v>伯希和/PELLIOT</v>
          </cell>
          <cell r="F519" t="str">
            <v>童装-儿童下装-儿童运动裤</v>
          </cell>
          <cell r="G519" t="str">
            <v>一品一商</v>
          </cell>
          <cell r="H519" t="str">
            <v>品牌直发</v>
          </cell>
          <cell r="I519">
            <v>0</v>
          </cell>
        </row>
        <row r="520">
          <cell r="D520">
            <v>114311235</v>
          </cell>
          <cell r="E520" t="str">
            <v>伯希和/PELLIOT</v>
          </cell>
          <cell r="F520" t="str">
            <v>服装-长裤-休闲裤</v>
          </cell>
          <cell r="G520" t="str">
            <v>一品一商</v>
          </cell>
          <cell r="H520" t="str">
            <v>品牌直发</v>
          </cell>
          <cell r="I520">
            <v>0</v>
          </cell>
        </row>
        <row r="521">
          <cell r="D521">
            <v>134301049</v>
          </cell>
          <cell r="E521" t="str">
            <v>伯希和/PELLIOT</v>
          </cell>
          <cell r="F521" t="str">
            <v>童装-儿童上装-冲锋衣</v>
          </cell>
          <cell r="G521" t="str">
            <v>一品一商</v>
          </cell>
          <cell r="H521" t="str">
            <v>品牌直发</v>
          </cell>
          <cell r="I521">
            <v>0</v>
          </cell>
        </row>
        <row r="522">
          <cell r="D522">
            <v>134408267</v>
          </cell>
          <cell r="E522" t="str">
            <v>伯希和/PELLIOT</v>
          </cell>
          <cell r="F522" t="str">
            <v>童装-儿童上装-羽绒服</v>
          </cell>
          <cell r="G522" t="str">
            <v>一品一商</v>
          </cell>
          <cell r="H522" t="str">
            <v>品牌直发</v>
          </cell>
          <cell r="I522">
            <v>0</v>
          </cell>
        </row>
        <row r="523">
          <cell r="D523">
            <v>134306146</v>
          </cell>
          <cell r="E523" t="str">
            <v>伯希和/PELLIOT</v>
          </cell>
          <cell r="F523" t="str">
            <v>童装-儿童上装-夹克</v>
          </cell>
          <cell r="G523" t="str">
            <v>一品多商</v>
          </cell>
          <cell r="H523" t="str">
            <v>品牌直发</v>
          </cell>
          <cell r="I523">
            <v>0</v>
          </cell>
        </row>
        <row r="524">
          <cell r="D524">
            <v>114408265</v>
          </cell>
          <cell r="E524" t="str">
            <v>伯希和/PELLIOT</v>
          </cell>
          <cell r="F524" t="str">
            <v>服装-外套-羽绒服</v>
          </cell>
          <cell r="G524" t="str">
            <v>一品多商</v>
          </cell>
          <cell r="H524" t="str">
            <v>品牌直发</v>
          </cell>
          <cell r="I524">
            <v>0</v>
          </cell>
        </row>
        <row r="525">
          <cell r="D525">
            <v>114319017</v>
          </cell>
          <cell r="E525" t="str">
            <v>伯希和/PELLIOT</v>
          </cell>
          <cell r="F525" t="str">
            <v>鞋-运动鞋-登山鞋/徒步鞋</v>
          </cell>
          <cell r="G525" t="str">
            <v>一品一商</v>
          </cell>
          <cell r="H525" t="str">
            <v>品牌直发</v>
          </cell>
          <cell r="I525">
            <v>0</v>
          </cell>
        </row>
        <row r="526">
          <cell r="D526" t="str">
            <v>PE124408256</v>
          </cell>
          <cell r="E526" t="str">
            <v>伯希和/PELLIOT</v>
          </cell>
          <cell r="F526" t="str">
            <v>女装-外套-羽绒服</v>
          </cell>
          <cell r="G526" t="str">
            <v>一品多商</v>
          </cell>
          <cell r="H526" t="str">
            <v>品牌直发</v>
          </cell>
          <cell r="I526">
            <v>0</v>
          </cell>
        </row>
        <row r="527">
          <cell r="D527">
            <v>114408255</v>
          </cell>
          <cell r="E527" t="str">
            <v>伯希和/PELLIOT</v>
          </cell>
          <cell r="F527" t="str">
            <v>服装-外套-羽绒服</v>
          </cell>
          <cell r="G527" t="str">
            <v>一品多商</v>
          </cell>
          <cell r="H527" t="str">
            <v>品牌直发</v>
          </cell>
          <cell r="I527">
            <v>0</v>
          </cell>
        </row>
        <row r="528">
          <cell r="D528">
            <v>124408258</v>
          </cell>
          <cell r="E528" t="str">
            <v>伯希和/PELLIOT</v>
          </cell>
          <cell r="F528" t="str">
            <v>女装-外套-羽绒服</v>
          </cell>
          <cell r="G528" t="str">
            <v>一品多商</v>
          </cell>
          <cell r="H528" t="str">
            <v>品牌直发</v>
          </cell>
          <cell r="I528">
            <v>0</v>
          </cell>
        </row>
        <row r="529">
          <cell r="D529">
            <v>114401069</v>
          </cell>
          <cell r="E529" t="str">
            <v>伯希和/PELLIOT</v>
          </cell>
          <cell r="F529" t="str">
            <v>服装-外套-冲锋衣</v>
          </cell>
          <cell r="G529" t="str">
            <v>一品一商</v>
          </cell>
          <cell r="H529" t="str">
            <v>品牌直发</v>
          </cell>
          <cell r="I529">
            <v>0</v>
          </cell>
        </row>
        <row r="530">
          <cell r="D530">
            <v>114301015</v>
          </cell>
          <cell r="E530" t="str">
            <v>伯希和/PELLIOT</v>
          </cell>
          <cell r="F530" t="str">
            <v>服装-外套-冲锋衣</v>
          </cell>
          <cell r="G530" t="str">
            <v>一品多商</v>
          </cell>
          <cell r="H530" t="str">
            <v>品牌直发</v>
          </cell>
          <cell r="I530">
            <v>0</v>
          </cell>
        </row>
        <row r="531">
          <cell r="D531">
            <v>124311236</v>
          </cell>
          <cell r="E531" t="str">
            <v>伯希和/PELLIOT</v>
          </cell>
          <cell r="F531" t="str">
            <v>女装-户外运动服-抓绒裤</v>
          </cell>
          <cell r="G531" t="str">
            <v>一品一商</v>
          </cell>
          <cell r="H531" t="str">
            <v>品牌直发</v>
          </cell>
          <cell r="I531">
            <v>0</v>
          </cell>
        </row>
        <row r="532">
          <cell r="D532">
            <v>114408251</v>
          </cell>
          <cell r="E532" t="str">
            <v>伯希和/PELLIOT</v>
          </cell>
          <cell r="F532" t="str">
            <v>服装-外套-羽绒服</v>
          </cell>
          <cell r="G532" t="str">
            <v>一品一商</v>
          </cell>
          <cell r="H532" t="str">
            <v>品牌直发</v>
          </cell>
          <cell r="I532">
            <v>0</v>
          </cell>
        </row>
        <row r="533">
          <cell r="D533" t="str">
            <v>PE124408250</v>
          </cell>
          <cell r="E533" t="str">
            <v>伯希和/PELLIOT</v>
          </cell>
          <cell r="F533" t="str">
            <v>女装-外套-羽绒服</v>
          </cell>
          <cell r="G533" t="str">
            <v>一品一商</v>
          </cell>
          <cell r="H533" t="str">
            <v>品牌直发</v>
          </cell>
          <cell r="I533">
            <v>0</v>
          </cell>
        </row>
        <row r="534">
          <cell r="D534">
            <v>114409341</v>
          </cell>
          <cell r="E534" t="str">
            <v>伯希和/PELLIOT</v>
          </cell>
          <cell r="F534" t="str">
            <v>服装-长裤-羽绒裤</v>
          </cell>
          <cell r="G534" t="str">
            <v>一品多商</v>
          </cell>
          <cell r="H534" t="str">
            <v>品牌直发</v>
          </cell>
          <cell r="I534">
            <v>0</v>
          </cell>
        </row>
        <row r="535">
          <cell r="D535">
            <v>124304118</v>
          </cell>
          <cell r="E535" t="str">
            <v>伯希和/PELLIOT</v>
          </cell>
          <cell r="F535" t="str">
            <v>服装-户外运动服-滑雪裤</v>
          </cell>
          <cell r="G535" t="str">
            <v>一品多商</v>
          </cell>
          <cell r="H535" t="str">
            <v>品牌直发</v>
          </cell>
          <cell r="I535">
            <v>0</v>
          </cell>
        </row>
        <row r="536">
          <cell r="D536" t="str">
            <v>PE124404116</v>
          </cell>
          <cell r="E536" t="str">
            <v>伯希和/PELLIOT</v>
          </cell>
          <cell r="F536" t="str">
            <v>服装-户外运动服-滑雪裤</v>
          </cell>
          <cell r="G536" t="str">
            <v>一品多商</v>
          </cell>
          <cell r="H536" t="str">
            <v>品牌直发</v>
          </cell>
          <cell r="I536">
            <v>0</v>
          </cell>
        </row>
        <row r="537">
          <cell r="D537">
            <v>114301079</v>
          </cell>
          <cell r="E537" t="str">
            <v>伯希和/PELLIOT</v>
          </cell>
          <cell r="F537" t="str">
            <v>服装-外套-冲锋衣</v>
          </cell>
          <cell r="G537" t="str">
            <v>一品多商</v>
          </cell>
          <cell r="H537" t="str">
            <v>品牌直发</v>
          </cell>
          <cell r="I537">
            <v>0</v>
          </cell>
        </row>
        <row r="538">
          <cell r="D538" t="str">
            <v>124319016曜石黑</v>
          </cell>
          <cell r="E538" t="str">
            <v>伯希和/PELLIOT</v>
          </cell>
          <cell r="F538" t="str">
            <v>鞋-运动鞋-登山鞋/徒步鞋</v>
          </cell>
          <cell r="G538" t="str">
            <v>一品一商</v>
          </cell>
          <cell r="H538" t="str">
            <v>品牌直发</v>
          </cell>
          <cell r="I538">
            <v>0</v>
          </cell>
        </row>
        <row r="539">
          <cell r="D539" t="str">
            <v>PE124310194</v>
          </cell>
          <cell r="E539" t="str">
            <v>伯希和/PELLIOT</v>
          </cell>
          <cell r="F539" t="str">
            <v>女装-户外运动服-抓绒衣</v>
          </cell>
          <cell r="G539" t="str">
            <v>一品一商</v>
          </cell>
          <cell r="H539" t="str">
            <v>品牌直发</v>
          </cell>
          <cell r="I539">
            <v>0</v>
          </cell>
        </row>
        <row r="540">
          <cell r="D540">
            <v>124408252</v>
          </cell>
          <cell r="E540" t="str">
            <v>伯希和/PELLIOT</v>
          </cell>
          <cell r="F540" t="str">
            <v>女装-外套-羽绒服</v>
          </cell>
          <cell r="G540" t="str">
            <v>一品多商</v>
          </cell>
          <cell r="H540" t="str">
            <v>品牌直发</v>
          </cell>
          <cell r="I540">
            <v>0</v>
          </cell>
        </row>
        <row r="541">
          <cell r="D541">
            <v>124310184</v>
          </cell>
          <cell r="E541" t="str">
            <v>伯希和/PELLIOT</v>
          </cell>
          <cell r="F541" t="str">
            <v>女装-上衣-卫衣</v>
          </cell>
          <cell r="G541" t="str">
            <v>一品一商</v>
          </cell>
          <cell r="H541" t="str">
            <v>品牌直发</v>
          </cell>
          <cell r="I541">
            <v>0</v>
          </cell>
        </row>
        <row r="542">
          <cell r="D542">
            <v>124377366</v>
          </cell>
          <cell r="E542" t="str">
            <v>伯希和/PELLIOT</v>
          </cell>
          <cell r="F542" t="str">
            <v>内衣-内衣裤-保暖裤</v>
          </cell>
          <cell r="G542" t="str">
            <v>一品一商</v>
          </cell>
          <cell r="H542" t="str">
            <v>品牌直发</v>
          </cell>
          <cell r="I542">
            <v>0</v>
          </cell>
        </row>
        <row r="543">
          <cell r="D543">
            <v>114315395</v>
          </cell>
          <cell r="E543" t="str">
            <v>伯希和/PELLIOT</v>
          </cell>
          <cell r="F543" t="str">
            <v>服装-户外运动服-速干衣</v>
          </cell>
          <cell r="G543" t="str">
            <v>一品一商</v>
          </cell>
          <cell r="H543" t="str">
            <v>品牌直发</v>
          </cell>
          <cell r="I543">
            <v>0</v>
          </cell>
        </row>
        <row r="544">
          <cell r="D544">
            <v>164334001</v>
          </cell>
          <cell r="E544" t="str">
            <v>伯希和/PELLIOT</v>
          </cell>
          <cell r="F544" t="str">
            <v>流行饰品/眼镜/服配-帽子-其他帽子</v>
          </cell>
          <cell r="G544" t="str">
            <v>一品一商</v>
          </cell>
          <cell r="H544" t="str">
            <v>品牌直发</v>
          </cell>
          <cell r="I544">
            <v>0</v>
          </cell>
        </row>
        <row r="545">
          <cell r="D545">
            <v>124315398</v>
          </cell>
          <cell r="E545" t="str">
            <v>伯希和/PELLIOT</v>
          </cell>
          <cell r="F545" t="str">
            <v>女装-上衣-T恤</v>
          </cell>
          <cell r="G545" t="str">
            <v>一品多商</v>
          </cell>
          <cell r="H545" t="str">
            <v>品牌直发</v>
          </cell>
          <cell r="I545">
            <v>0</v>
          </cell>
        </row>
        <row r="546">
          <cell r="D546">
            <v>124301080</v>
          </cell>
          <cell r="E546" t="str">
            <v>伯希和/PELLIOT</v>
          </cell>
          <cell r="F546" t="str">
            <v>女装-外套-冲锋衣</v>
          </cell>
          <cell r="G546" t="str">
            <v>一品多商</v>
          </cell>
          <cell r="H546" t="str">
            <v>品牌直发</v>
          </cell>
          <cell r="I546">
            <v>0</v>
          </cell>
        </row>
        <row r="547">
          <cell r="D547" t="str">
            <v>PE124306152</v>
          </cell>
          <cell r="E547" t="str">
            <v>伯希和/PELLIOT</v>
          </cell>
          <cell r="F547" t="str">
            <v>女装-外套-软壳衣</v>
          </cell>
          <cell r="G547" t="str">
            <v>一品多商</v>
          </cell>
          <cell r="H547" t="str">
            <v>品牌直发</v>
          </cell>
          <cell r="I547">
            <v>0</v>
          </cell>
        </row>
        <row r="548">
          <cell r="D548">
            <v>124311234</v>
          </cell>
          <cell r="E548" t="str">
            <v>伯希和/PELLIOT</v>
          </cell>
          <cell r="F548" t="str">
            <v>女装-户外运动服-抓绒裤</v>
          </cell>
          <cell r="G548" t="str">
            <v>一品多商</v>
          </cell>
          <cell r="H548" t="str">
            <v>品牌直发</v>
          </cell>
          <cell r="I548">
            <v>0</v>
          </cell>
        </row>
        <row r="549">
          <cell r="D549">
            <v>124408246</v>
          </cell>
          <cell r="E549" t="str">
            <v>伯希和/PELLIOT</v>
          </cell>
          <cell r="F549" t="str">
            <v>女装-外套-羽绒服</v>
          </cell>
          <cell r="G549" t="str">
            <v>一品多商</v>
          </cell>
          <cell r="H549" t="str">
            <v>品牌直发</v>
          </cell>
          <cell r="I549">
            <v>0</v>
          </cell>
        </row>
        <row r="550">
          <cell r="D550" t="str">
            <v>PE114401009</v>
          </cell>
          <cell r="E550" t="str">
            <v>伯希和/PELLIOT</v>
          </cell>
          <cell r="F550" t="str">
            <v>服装-外套-冲锋衣</v>
          </cell>
          <cell r="G550" t="str">
            <v>一品多商</v>
          </cell>
          <cell r="H550" t="str">
            <v>品牌直发</v>
          </cell>
          <cell r="I550">
            <v>0</v>
          </cell>
        </row>
        <row r="551">
          <cell r="D551">
            <v>114408249</v>
          </cell>
          <cell r="E551" t="str">
            <v>伯希和/PELLIOT</v>
          </cell>
          <cell r="F551" t="str">
            <v>服装-外套-羽绒服</v>
          </cell>
          <cell r="G551" t="str">
            <v>一品多商</v>
          </cell>
          <cell r="H551" t="str">
            <v>品牌直发</v>
          </cell>
          <cell r="I551">
            <v>0</v>
          </cell>
        </row>
        <row r="552">
          <cell r="D552" t="str">
            <v>124419010经典黑</v>
          </cell>
          <cell r="E552" t="str">
            <v>伯希和/PELLIOT</v>
          </cell>
          <cell r="F552" t="str">
            <v>鞋-运动鞋-登山鞋/徒步鞋</v>
          </cell>
          <cell r="G552" t="str">
            <v>一品一商</v>
          </cell>
          <cell r="H552" t="str">
            <v>品牌直发</v>
          </cell>
          <cell r="I552">
            <v>0</v>
          </cell>
        </row>
        <row r="553">
          <cell r="D553">
            <v>124318426</v>
          </cell>
          <cell r="E553" t="str">
            <v>伯希和/PELLIOT</v>
          </cell>
          <cell r="F553" t="str">
            <v>内衣-内衣裤-保暖套装</v>
          </cell>
          <cell r="G553" t="str">
            <v>一品一商</v>
          </cell>
          <cell r="H553" t="str">
            <v>普通现货</v>
          </cell>
          <cell r="I553">
            <v>0</v>
          </cell>
        </row>
        <row r="554">
          <cell r="D554">
            <v>124408244</v>
          </cell>
          <cell r="E554" t="str">
            <v>伯希和/PELLIOT</v>
          </cell>
          <cell r="F554" t="str">
            <v>服装-外套-羽绒服</v>
          </cell>
          <cell r="G554" t="str">
            <v>一品多商</v>
          </cell>
          <cell r="H554" t="str">
            <v>品牌直发</v>
          </cell>
          <cell r="I554">
            <v>0</v>
          </cell>
        </row>
        <row r="555">
          <cell r="D555">
            <v>114306151</v>
          </cell>
          <cell r="E555" t="str">
            <v>伯希和/PELLIOT</v>
          </cell>
          <cell r="F555" t="str">
            <v>服装-外套-软壳衣</v>
          </cell>
          <cell r="G555" t="str">
            <v>一品多商</v>
          </cell>
          <cell r="H555" t="str">
            <v>品牌直发</v>
          </cell>
          <cell r="I555">
            <v>0</v>
          </cell>
        </row>
        <row r="556">
          <cell r="D556" t="str">
            <v>11421551-SG51</v>
          </cell>
          <cell r="E556" t="str">
            <v>伯希和/PELLIOT</v>
          </cell>
          <cell r="F556" t="str">
            <v>服装-上衣-Polo衫</v>
          </cell>
          <cell r="G556" t="str">
            <v>一品一商</v>
          </cell>
          <cell r="H556" t="str">
            <v>品牌直发</v>
          </cell>
          <cell r="I556">
            <v>0</v>
          </cell>
        </row>
        <row r="557">
          <cell r="D557">
            <v>124376410</v>
          </cell>
          <cell r="E557" t="str">
            <v>伯希和/PELLIOT</v>
          </cell>
          <cell r="F557" t="str">
            <v>服装-外套-棉服</v>
          </cell>
          <cell r="G557" t="str">
            <v>一品多商</v>
          </cell>
          <cell r="H557" t="str">
            <v>品牌直发</v>
          </cell>
          <cell r="I557">
            <v>0</v>
          </cell>
        </row>
        <row r="558">
          <cell r="D558">
            <v>124419012</v>
          </cell>
          <cell r="E558" t="str">
            <v>伯希和/PELLIOT</v>
          </cell>
          <cell r="F558" t="str">
            <v>鞋-运动鞋-登山鞋/徒步鞋</v>
          </cell>
          <cell r="G558" t="str">
            <v>一品一商</v>
          </cell>
          <cell r="H558" t="str">
            <v>品牌直发</v>
          </cell>
          <cell r="I558">
            <v>0</v>
          </cell>
        </row>
        <row r="559">
          <cell r="D559">
            <v>114419011</v>
          </cell>
          <cell r="E559" t="str">
            <v>伯希和/PELLIOT</v>
          </cell>
          <cell r="F559" t="str">
            <v>鞋-运动鞋-登山鞋/徒步鞋</v>
          </cell>
          <cell r="G559" t="str">
            <v>一品一商</v>
          </cell>
          <cell r="H559" t="str">
            <v>品牌直发</v>
          </cell>
          <cell r="I559">
            <v>0</v>
          </cell>
        </row>
        <row r="560">
          <cell r="D560">
            <v>114408241</v>
          </cell>
          <cell r="E560" t="str">
            <v>伯希和/PELLIOT</v>
          </cell>
          <cell r="F560" t="str">
            <v>服装-外套-羽绒马甲</v>
          </cell>
          <cell r="G560" t="str">
            <v>一品多商</v>
          </cell>
          <cell r="H560" t="str">
            <v>品牌直发</v>
          </cell>
          <cell r="I560">
            <v>0</v>
          </cell>
        </row>
        <row r="561">
          <cell r="D561">
            <v>134408269</v>
          </cell>
          <cell r="E561" t="str">
            <v>伯希和/PELLIOT</v>
          </cell>
          <cell r="F561" t="str">
            <v>童装-儿童上装-羽绒服</v>
          </cell>
          <cell r="G561" t="str">
            <v>一品一商</v>
          </cell>
          <cell r="H561" t="str">
            <v>品牌直发</v>
          </cell>
          <cell r="I561">
            <v>0</v>
          </cell>
        </row>
        <row r="562">
          <cell r="D562">
            <v>124408268</v>
          </cell>
          <cell r="E562" t="str">
            <v>伯希和/PELLIOT</v>
          </cell>
          <cell r="F562" t="str">
            <v>女装-外套-羽绒服</v>
          </cell>
          <cell r="G562" t="str">
            <v>一品多商</v>
          </cell>
          <cell r="H562" t="str">
            <v>品牌直发</v>
          </cell>
          <cell r="I562">
            <v>0</v>
          </cell>
        </row>
        <row r="563">
          <cell r="D563">
            <v>114408245</v>
          </cell>
          <cell r="E563" t="str">
            <v>伯希和/PELLIOT</v>
          </cell>
          <cell r="F563" t="str">
            <v>服装-外套-羽绒马甲</v>
          </cell>
          <cell r="G563" t="str">
            <v>一品多商</v>
          </cell>
          <cell r="H563" t="str">
            <v>品牌直发</v>
          </cell>
          <cell r="I563">
            <v>0</v>
          </cell>
        </row>
        <row r="564">
          <cell r="D564">
            <v>124376130</v>
          </cell>
          <cell r="E564" t="str">
            <v>伯希和/PELLIOT</v>
          </cell>
          <cell r="F564" t="str">
            <v>女装-外套-棉服</v>
          </cell>
          <cell r="G564" t="str">
            <v>一品多商</v>
          </cell>
          <cell r="H564" t="str">
            <v>品牌直发</v>
          </cell>
          <cell r="I564">
            <v>0</v>
          </cell>
        </row>
        <row r="565">
          <cell r="D565">
            <v>114310189</v>
          </cell>
          <cell r="E565" t="str">
            <v>伯希和/PELLIOT</v>
          </cell>
          <cell r="F565" t="str">
            <v>服装-户外运动服-抓绒衣</v>
          </cell>
          <cell r="G565" t="str">
            <v>一品一商</v>
          </cell>
          <cell r="H565" t="str">
            <v>品牌直发</v>
          </cell>
          <cell r="I565">
            <v>0</v>
          </cell>
        </row>
        <row r="566">
          <cell r="D566">
            <v>124420014</v>
          </cell>
          <cell r="E566" t="str">
            <v>伯希和/PELLIOT</v>
          </cell>
          <cell r="F566" t="str">
            <v>鞋-潮流休闲鞋-生活休闲鞋</v>
          </cell>
          <cell r="G566" t="str">
            <v>一品一商</v>
          </cell>
          <cell r="H566" t="str">
            <v>品牌直发</v>
          </cell>
          <cell r="I566">
            <v>0</v>
          </cell>
        </row>
        <row r="567">
          <cell r="D567">
            <v>124315394</v>
          </cell>
          <cell r="E567" t="str">
            <v>伯希和/PELLIOT</v>
          </cell>
          <cell r="F567" t="str">
            <v>女装-上衣-T恤</v>
          </cell>
          <cell r="G567" t="str">
            <v>一品一商</v>
          </cell>
          <cell r="H567" t="str">
            <v>品牌直发</v>
          </cell>
          <cell r="I567">
            <v>0</v>
          </cell>
        </row>
        <row r="568">
          <cell r="D568">
            <v>124401010</v>
          </cell>
          <cell r="E568" t="str">
            <v>伯希和/PELLIOT</v>
          </cell>
          <cell r="F568" t="str">
            <v>女装-外套-冲锋衣</v>
          </cell>
          <cell r="G568" t="str">
            <v>一品一商</v>
          </cell>
          <cell r="H568" t="str">
            <v>品牌直发</v>
          </cell>
          <cell r="I568">
            <v>0</v>
          </cell>
        </row>
        <row r="569">
          <cell r="D569">
            <v>124307170</v>
          </cell>
          <cell r="E569" t="str">
            <v>伯希和/PELLIOT</v>
          </cell>
          <cell r="F569" t="str">
            <v>女装-长裤-软壳裤</v>
          </cell>
          <cell r="G569" t="str">
            <v>一品多商</v>
          </cell>
          <cell r="H569" t="str">
            <v>品牌直发</v>
          </cell>
          <cell r="I569">
            <v>0</v>
          </cell>
        </row>
        <row r="570">
          <cell r="D570">
            <v>114315393</v>
          </cell>
          <cell r="E570" t="str">
            <v>伯希和/PELLIOT</v>
          </cell>
          <cell r="F570" t="str">
            <v>服装-上衣-T恤</v>
          </cell>
          <cell r="G570" t="str">
            <v>一品多商</v>
          </cell>
          <cell r="H570" t="str">
            <v>品牌直发</v>
          </cell>
          <cell r="I570">
            <v>0</v>
          </cell>
        </row>
        <row r="571">
          <cell r="D571">
            <v>124318424</v>
          </cell>
          <cell r="E571" t="str">
            <v>伯希和/PELLIOT</v>
          </cell>
          <cell r="F571" t="str">
            <v>内衣-内衣裤-保暖套装</v>
          </cell>
          <cell r="G571" t="str">
            <v>一品一商</v>
          </cell>
          <cell r="H571" t="str">
            <v>品牌直发</v>
          </cell>
          <cell r="I571">
            <v>0</v>
          </cell>
        </row>
        <row r="572">
          <cell r="D572">
            <v>134307173</v>
          </cell>
          <cell r="E572" t="str">
            <v>伯希和/PELLIOT</v>
          </cell>
          <cell r="F572" t="str">
            <v>童装-儿童下装-儿童运动裤</v>
          </cell>
          <cell r="G572" t="str">
            <v>一品一商</v>
          </cell>
          <cell r="H572" t="str">
            <v>品牌直发</v>
          </cell>
          <cell r="I572">
            <v>0</v>
          </cell>
        </row>
        <row r="573">
          <cell r="D573">
            <v>134310199</v>
          </cell>
          <cell r="E573" t="str">
            <v>伯希和/PELLIOT</v>
          </cell>
          <cell r="F573" t="str">
            <v>童装-儿童上装-卫衣</v>
          </cell>
          <cell r="G573" t="str">
            <v>一品一商</v>
          </cell>
          <cell r="H573" t="str">
            <v>品牌直发</v>
          </cell>
          <cell r="I573">
            <v>0</v>
          </cell>
        </row>
        <row r="574">
          <cell r="D574">
            <v>124307162</v>
          </cell>
          <cell r="E574" t="str">
            <v>伯希和/PELLIOT</v>
          </cell>
          <cell r="F574" t="str">
            <v>女装-长裤-软壳裤</v>
          </cell>
          <cell r="G574" t="str">
            <v>一品多商</v>
          </cell>
          <cell r="H574" t="str">
            <v>品牌直发</v>
          </cell>
          <cell r="I574">
            <v>0</v>
          </cell>
        </row>
        <row r="575">
          <cell r="D575">
            <v>114376129</v>
          </cell>
          <cell r="E575" t="str">
            <v>伯希和/PELLIOT</v>
          </cell>
          <cell r="F575" t="str">
            <v>服装-外套-棉服</v>
          </cell>
          <cell r="G575" t="str">
            <v>一品多商</v>
          </cell>
          <cell r="H575" t="str">
            <v>品牌直发</v>
          </cell>
          <cell r="I575">
            <v>0</v>
          </cell>
        </row>
        <row r="576">
          <cell r="D576">
            <v>114301065</v>
          </cell>
          <cell r="E576" t="str">
            <v>伯希和/PELLIOT</v>
          </cell>
          <cell r="F576" t="str">
            <v>服装-外套-冲锋衣</v>
          </cell>
          <cell r="G576" t="str">
            <v>一品一商</v>
          </cell>
          <cell r="H576" t="str">
            <v>品牌直发</v>
          </cell>
          <cell r="I576">
            <v>0</v>
          </cell>
        </row>
        <row r="577">
          <cell r="D577">
            <v>134310200</v>
          </cell>
          <cell r="E577" t="str">
            <v>伯希和/PELLIOT</v>
          </cell>
          <cell r="F577" t="str">
            <v>童装-儿童上装-夹克</v>
          </cell>
          <cell r="G577" t="str">
            <v>一品一商</v>
          </cell>
          <cell r="H577" t="str">
            <v>品牌直发</v>
          </cell>
          <cell r="I577">
            <v>0</v>
          </cell>
        </row>
        <row r="578">
          <cell r="D578">
            <v>114307175</v>
          </cell>
          <cell r="E578" t="str">
            <v>伯希和/PELLIOT</v>
          </cell>
          <cell r="F578" t="str">
            <v>服装-长裤-软壳裤</v>
          </cell>
          <cell r="G578" t="str">
            <v>一品多商</v>
          </cell>
          <cell r="H578" t="str">
            <v>品牌直发</v>
          </cell>
          <cell r="I578">
            <v>0</v>
          </cell>
        </row>
        <row r="579">
          <cell r="D579">
            <v>114310201</v>
          </cell>
          <cell r="E579" t="str">
            <v>伯希和/PELLIOT</v>
          </cell>
          <cell r="F579" t="str">
            <v>服装-户外运动服-抓绒衣</v>
          </cell>
          <cell r="G579" t="str">
            <v>一品多商</v>
          </cell>
          <cell r="H579" t="str">
            <v>品牌直发</v>
          </cell>
          <cell r="I579">
            <v>0</v>
          </cell>
        </row>
        <row r="580">
          <cell r="D580">
            <v>11340305</v>
          </cell>
          <cell r="E580" t="str">
            <v>伯希和/PELLIOT</v>
          </cell>
          <cell r="F580" t="str">
            <v>服装-外套-棉服</v>
          </cell>
          <cell r="G580" t="str">
            <v>一品多商</v>
          </cell>
          <cell r="H580" t="str">
            <v>品牌直发</v>
          </cell>
          <cell r="I580">
            <v>0</v>
          </cell>
        </row>
        <row r="581">
          <cell r="D581">
            <v>114315385</v>
          </cell>
          <cell r="E581" t="str">
            <v>伯希和/PELLIOT</v>
          </cell>
          <cell r="F581" t="str">
            <v>服装-上衣-T恤</v>
          </cell>
          <cell r="G581" t="str">
            <v>一品多商</v>
          </cell>
          <cell r="H581" t="str">
            <v>品牌直发</v>
          </cell>
          <cell r="I581">
            <v>0</v>
          </cell>
        </row>
        <row r="582">
          <cell r="D582">
            <v>124315390</v>
          </cell>
          <cell r="E582" t="str">
            <v>伯希和/PELLIOT</v>
          </cell>
          <cell r="F582" t="str">
            <v>服装-户外运动服-速干衣</v>
          </cell>
          <cell r="G582" t="str">
            <v>一品一商</v>
          </cell>
          <cell r="H582" t="str">
            <v>品牌直发</v>
          </cell>
          <cell r="I582">
            <v>0</v>
          </cell>
        </row>
        <row r="583">
          <cell r="D583">
            <v>114314377</v>
          </cell>
          <cell r="E583" t="str">
            <v>伯希和/PELLIOT</v>
          </cell>
          <cell r="F583" t="str">
            <v>服装-长裤-软壳裤</v>
          </cell>
          <cell r="G583" t="str">
            <v>一品多商</v>
          </cell>
          <cell r="H583" t="str">
            <v>品牌直发</v>
          </cell>
          <cell r="I583">
            <v>0</v>
          </cell>
        </row>
        <row r="584">
          <cell r="D584">
            <v>124315386</v>
          </cell>
          <cell r="E584" t="str">
            <v>伯希和/PELLIOT</v>
          </cell>
          <cell r="F584" t="str">
            <v>女装-上衣-T恤</v>
          </cell>
          <cell r="G584" t="str">
            <v>一品一商</v>
          </cell>
          <cell r="H584" t="str">
            <v>品牌直发</v>
          </cell>
          <cell r="I584">
            <v>0</v>
          </cell>
        </row>
        <row r="585">
          <cell r="D585">
            <v>134301031</v>
          </cell>
          <cell r="E585" t="str">
            <v>伯希和/PELLIOT</v>
          </cell>
          <cell r="F585" t="str">
            <v>童装-儿童上装-冲锋衣</v>
          </cell>
          <cell r="G585" t="str">
            <v>一品一商</v>
          </cell>
          <cell r="H585" t="str">
            <v>品牌直发</v>
          </cell>
          <cell r="I585">
            <v>0</v>
          </cell>
        </row>
        <row r="586">
          <cell r="D586">
            <v>114307161</v>
          </cell>
          <cell r="E586" t="str">
            <v>伯希和/PELLIOT</v>
          </cell>
          <cell r="F586" t="str">
            <v>服装-长裤-软壳裤</v>
          </cell>
          <cell r="G586" t="str">
            <v>一品一商</v>
          </cell>
          <cell r="H586" t="str">
            <v>品牌直发</v>
          </cell>
          <cell r="I586">
            <v>0</v>
          </cell>
        </row>
        <row r="587">
          <cell r="D587" t="str">
            <v>PE114307167</v>
          </cell>
          <cell r="E587" t="str">
            <v>伯希和/PELLIOT</v>
          </cell>
          <cell r="F587" t="str">
            <v>服装-长裤-软壳裤</v>
          </cell>
          <cell r="G587" t="str">
            <v>一品多商</v>
          </cell>
          <cell r="H587" t="str">
            <v>品牌直发</v>
          </cell>
          <cell r="I587">
            <v>0</v>
          </cell>
        </row>
        <row r="588">
          <cell r="D588">
            <v>114307169</v>
          </cell>
          <cell r="E588" t="str">
            <v>伯希和/PELLIOT</v>
          </cell>
          <cell r="F588" t="str">
            <v>服装-长裤-软壳裤</v>
          </cell>
          <cell r="G588" t="str">
            <v>一品多商</v>
          </cell>
          <cell r="H588" t="str">
            <v>品牌直发</v>
          </cell>
          <cell r="I588">
            <v>0</v>
          </cell>
        </row>
        <row r="589">
          <cell r="D589" t="str">
            <v>PE124306150</v>
          </cell>
          <cell r="E589" t="str">
            <v>伯希和/PELLIOT</v>
          </cell>
          <cell r="F589" t="str">
            <v>女装-外套-软壳衣</v>
          </cell>
          <cell r="G589" t="str">
            <v>一品一商</v>
          </cell>
          <cell r="H589" t="str">
            <v>品牌直发</v>
          </cell>
          <cell r="I589">
            <v>0</v>
          </cell>
        </row>
        <row r="590">
          <cell r="D590">
            <v>12421552</v>
          </cell>
          <cell r="E590" t="str">
            <v>伯希和/PELLIOT</v>
          </cell>
          <cell r="F590" t="str">
            <v>女装-上衣-Polo衫</v>
          </cell>
          <cell r="G590" t="str">
            <v>一品一商</v>
          </cell>
          <cell r="H590" t="str">
            <v>品牌直发</v>
          </cell>
          <cell r="I590">
            <v>0</v>
          </cell>
        </row>
        <row r="591">
          <cell r="D591">
            <v>114306149</v>
          </cell>
          <cell r="E591" t="str">
            <v>伯希和/PELLIOT</v>
          </cell>
          <cell r="F591" t="str">
            <v>服装-外套-软壳衣</v>
          </cell>
          <cell r="G591" t="str">
            <v>一品多商</v>
          </cell>
          <cell r="H591" t="str">
            <v>品牌直发</v>
          </cell>
          <cell r="I591">
            <v>0</v>
          </cell>
        </row>
        <row r="592">
          <cell r="D592">
            <v>164334406</v>
          </cell>
          <cell r="E592" t="str">
            <v>伯希和/PELLIOT</v>
          </cell>
          <cell r="F592" t="str">
            <v>流行饰品/眼镜/服配-帽子-其他帽子</v>
          </cell>
          <cell r="G592" t="str">
            <v>一品一商</v>
          </cell>
          <cell r="H592" t="str">
            <v>品牌直发</v>
          </cell>
          <cell r="I592">
            <v>0</v>
          </cell>
        </row>
        <row r="593">
          <cell r="D593" t="str">
            <v>PE124301004</v>
          </cell>
          <cell r="E593" t="str">
            <v>伯希和/PELLIOT</v>
          </cell>
          <cell r="F593" t="str">
            <v>服装-外套-冲锋衣</v>
          </cell>
          <cell r="G593" t="str">
            <v>一品多商</v>
          </cell>
          <cell r="H593" t="str">
            <v>品牌直发</v>
          </cell>
          <cell r="I593">
            <v>0</v>
          </cell>
        </row>
        <row r="594">
          <cell r="D594" t="str">
            <v>PE124302082</v>
          </cell>
          <cell r="E594" t="str">
            <v>伯希和/PELLIOT</v>
          </cell>
          <cell r="F594" t="str">
            <v>女装-长裤-冲锋裤</v>
          </cell>
          <cell r="G594" t="str">
            <v>一品多商</v>
          </cell>
          <cell r="H594" t="str">
            <v>品牌直发</v>
          </cell>
          <cell r="I594">
            <v>0</v>
          </cell>
        </row>
        <row r="595">
          <cell r="D595" t="str">
            <v>PE114376127</v>
          </cell>
          <cell r="E595" t="str">
            <v>伯希和/PELLIOT</v>
          </cell>
          <cell r="F595" t="str">
            <v>服装-外套-马甲</v>
          </cell>
          <cell r="G595" t="str">
            <v>一品多商</v>
          </cell>
          <cell r="H595" t="str">
            <v>品牌直发</v>
          </cell>
          <cell r="I595">
            <v>0</v>
          </cell>
        </row>
        <row r="596">
          <cell r="D596" t="str">
            <v>PE114310183</v>
          </cell>
          <cell r="E596" t="str">
            <v>伯希和/PELLIOT</v>
          </cell>
          <cell r="F596" t="str">
            <v>服装-户外运动服-抓绒衣</v>
          </cell>
          <cell r="G596" t="str">
            <v>一品一商</v>
          </cell>
          <cell r="H596" t="str">
            <v>品牌直发</v>
          </cell>
          <cell r="I596">
            <v>0</v>
          </cell>
        </row>
        <row r="597">
          <cell r="D597" t="str">
            <v>PE124315382</v>
          </cell>
          <cell r="E597" t="str">
            <v>伯希和/PELLIOT</v>
          </cell>
          <cell r="F597" t="str">
            <v>女装-上衣-T恤</v>
          </cell>
          <cell r="G597" t="str">
            <v>一品一商</v>
          </cell>
          <cell r="H597" t="str">
            <v>品牌直发</v>
          </cell>
          <cell r="I597">
            <v>0</v>
          </cell>
        </row>
        <row r="598">
          <cell r="D598" t="str">
            <v>PE114301013</v>
          </cell>
          <cell r="E598" t="str">
            <v>伯希和/PELLIOT</v>
          </cell>
          <cell r="F598" t="str">
            <v>服装-外套-冲锋衣</v>
          </cell>
          <cell r="G598" t="str">
            <v>一品多商</v>
          </cell>
          <cell r="H598" t="str">
            <v>品牌直发</v>
          </cell>
          <cell r="I598">
            <v>0</v>
          </cell>
        </row>
        <row r="599">
          <cell r="D599" t="str">
            <v>PE114301011</v>
          </cell>
          <cell r="E599" t="str">
            <v>伯希和/PELLIOT</v>
          </cell>
          <cell r="F599" t="str">
            <v>服装-外套-冲锋衣</v>
          </cell>
          <cell r="G599" t="str">
            <v>一品多商</v>
          </cell>
          <cell r="H599" t="str">
            <v>品牌直发</v>
          </cell>
          <cell r="I599">
            <v>0</v>
          </cell>
        </row>
        <row r="600">
          <cell r="D600" t="str">
            <v>PE114302081</v>
          </cell>
          <cell r="E600" t="str">
            <v>伯希和/PELLIOT</v>
          </cell>
          <cell r="F600" t="str">
            <v>服装-长裤-冲锋裤</v>
          </cell>
          <cell r="G600" t="str">
            <v>一品多商</v>
          </cell>
          <cell r="H600" t="str">
            <v>品牌直发</v>
          </cell>
          <cell r="I600">
            <v>0</v>
          </cell>
        </row>
        <row r="601">
          <cell r="D601" t="str">
            <v>PE114351093</v>
          </cell>
          <cell r="E601" t="str">
            <v>伯希和/PELLIOT</v>
          </cell>
          <cell r="F601" t="str">
            <v>服装-外套-夹克</v>
          </cell>
          <cell r="G601" t="str">
            <v>一品多商</v>
          </cell>
          <cell r="H601" t="str">
            <v>品牌直发</v>
          </cell>
          <cell r="I601">
            <v>0</v>
          </cell>
        </row>
        <row r="602">
          <cell r="D602" t="str">
            <v>PE124319002</v>
          </cell>
          <cell r="E602" t="str">
            <v>伯希和/PELLIOT</v>
          </cell>
          <cell r="F602" t="str">
            <v>鞋-运动鞋-越野跑鞋</v>
          </cell>
          <cell r="G602" t="str">
            <v>一品多商</v>
          </cell>
          <cell r="H602" t="str">
            <v>品牌直发</v>
          </cell>
          <cell r="I602">
            <v>0</v>
          </cell>
        </row>
        <row r="603">
          <cell r="D603">
            <v>16402502</v>
          </cell>
          <cell r="E603" t="str">
            <v>伯希和/PELLIOT</v>
          </cell>
          <cell r="F603" t="str">
            <v>箱包-包袋-户外包</v>
          </cell>
          <cell r="G603" t="str">
            <v>一品一商</v>
          </cell>
          <cell r="H603" t="str">
            <v>品牌直发</v>
          </cell>
          <cell r="I603">
            <v>0</v>
          </cell>
        </row>
        <row r="604">
          <cell r="D604" t="str">
            <v>114419005女款</v>
          </cell>
          <cell r="E604" t="str">
            <v>伯希和/PELLIOT</v>
          </cell>
          <cell r="F604" t="str">
            <v>鞋-运动鞋-登山鞋/徒步鞋</v>
          </cell>
          <cell r="G604" t="str">
            <v>一品一商</v>
          </cell>
          <cell r="H604" t="str">
            <v>品牌直发</v>
          </cell>
          <cell r="I604">
            <v>0</v>
          </cell>
        </row>
        <row r="605">
          <cell r="D605" t="str">
            <v>114419005男款</v>
          </cell>
          <cell r="E605" t="str">
            <v>伯希和/PELLIOT</v>
          </cell>
          <cell r="F605" t="str">
            <v>鞋-运动鞋-登山鞋/徒步鞋</v>
          </cell>
          <cell r="G605" t="str">
            <v>一品一商</v>
          </cell>
          <cell r="H605" t="str">
            <v>品牌直发</v>
          </cell>
          <cell r="I605">
            <v>0</v>
          </cell>
        </row>
        <row r="606">
          <cell r="D606">
            <v>164035001</v>
          </cell>
          <cell r="E606" t="str">
            <v>伯希和/PELLIOT</v>
          </cell>
          <cell r="F606" t="str">
            <v>内衣-袜子-高筒袜</v>
          </cell>
          <cell r="G606" t="str">
            <v>一品一商</v>
          </cell>
          <cell r="H606" t="str">
            <v>品牌直发</v>
          </cell>
          <cell r="I606">
            <v>0</v>
          </cell>
        </row>
        <row r="607">
          <cell r="D607" t="str">
            <v>PE124314372</v>
          </cell>
          <cell r="E607" t="str">
            <v>伯希和/PELLIOT</v>
          </cell>
          <cell r="F607" t="str">
            <v>女装-户外运动服-速干裤</v>
          </cell>
          <cell r="G607" t="str">
            <v>一品一商</v>
          </cell>
          <cell r="H607" t="str">
            <v>品牌直发</v>
          </cell>
          <cell r="I607">
            <v>0</v>
          </cell>
        </row>
        <row r="608">
          <cell r="D608">
            <v>124351094</v>
          </cell>
          <cell r="E608" t="str">
            <v>伯希和/PELLIOT</v>
          </cell>
          <cell r="F608" t="str">
            <v>女装-外套-夹克</v>
          </cell>
          <cell r="G608" t="str">
            <v>一品一商</v>
          </cell>
          <cell r="H608" t="str">
            <v>品牌直发</v>
          </cell>
          <cell r="I608">
            <v>0</v>
          </cell>
        </row>
        <row r="609">
          <cell r="D609" t="str">
            <v>ys124101048</v>
          </cell>
          <cell r="E609" t="str">
            <v>伯希和/PELLIOT</v>
          </cell>
          <cell r="F609" t="str">
            <v>服装-外套-冲锋衣</v>
          </cell>
          <cell r="G609" t="str">
            <v>一品多商</v>
          </cell>
          <cell r="H609" t="str">
            <v>品牌直发</v>
          </cell>
          <cell r="I609">
            <v>0</v>
          </cell>
        </row>
        <row r="610">
          <cell r="D610">
            <v>114314375</v>
          </cell>
          <cell r="E610" t="str">
            <v>伯希和/PELLIOT</v>
          </cell>
          <cell r="F610" t="str">
            <v>服装-户外运动服-速干裤</v>
          </cell>
          <cell r="G610" t="str">
            <v>一品多商</v>
          </cell>
          <cell r="H610" t="str">
            <v>品牌直发</v>
          </cell>
          <cell r="I610">
            <v>0</v>
          </cell>
        </row>
        <row r="611">
          <cell r="D611">
            <v>164334405</v>
          </cell>
          <cell r="E611" t="str">
            <v>伯希和/PELLIOT</v>
          </cell>
          <cell r="F611" t="str">
            <v>流行饰品/眼镜/服配-帽子-绒线帽</v>
          </cell>
          <cell r="G611" t="str">
            <v>一品一商</v>
          </cell>
          <cell r="H611" t="str">
            <v>品牌直发</v>
          </cell>
          <cell r="I611">
            <v>0</v>
          </cell>
        </row>
        <row r="612">
          <cell r="D612">
            <v>124310190</v>
          </cell>
          <cell r="E612" t="str">
            <v>伯希和/PELLIOT</v>
          </cell>
          <cell r="F612" t="str">
            <v>女装-户外运动服-抓绒衣</v>
          </cell>
          <cell r="G612" t="str">
            <v>一品一商</v>
          </cell>
          <cell r="H612" t="str">
            <v>品牌直发</v>
          </cell>
          <cell r="I612">
            <v>0</v>
          </cell>
        </row>
        <row r="613">
          <cell r="D613">
            <v>124307168</v>
          </cell>
          <cell r="E613" t="str">
            <v>伯希和/PELLIOT</v>
          </cell>
          <cell r="F613" t="str">
            <v>女装-长裤-软壳裤</v>
          </cell>
          <cell r="G613" t="str">
            <v>一品一商</v>
          </cell>
          <cell r="H613" t="str">
            <v>品牌直发</v>
          </cell>
          <cell r="I613">
            <v>0</v>
          </cell>
        </row>
        <row r="614">
          <cell r="D614">
            <v>124351092</v>
          </cell>
          <cell r="E614" t="str">
            <v>伯希和/PELLIOT</v>
          </cell>
          <cell r="F614" t="str">
            <v>女装-外套-软壳衣</v>
          </cell>
          <cell r="G614" t="str">
            <v>一品多商</v>
          </cell>
          <cell r="H614" t="str">
            <v>品牌直发</v>
          </cell>
          <cell r="I614">
            <v>0</v>
          </cell>
        </row>
        <row r="615">
          <cell r="D615">
            <v>114301039</v>
          </cell>
          <cell r="E615" t="str">
            <v>伯希和/PELLIOT</v>
          </cell>
          <cell r="F615" t="str">
            <v>服装-外套-冲锋衣</v>
          </cell>
          <cell r="G615" t="str">
            <v>一品一商</v>
          </cell>
          <cell r="H615" t="str">
            <v>品牌直发</v>
          </cell>
          <cell r="I615">
            <v>0</v>
          </cell>
        </row>
        <row r="616">
          <cell r="D616">
            <v>114306147</v>
          </cell>
          <cell r="E616" t="str">
            <v>伯希和/PELLIOT</v>
          </cell>
          <cell r="F616" t="str">
            <v>服装-外套-软壳衣</v>
          </cell>
          <cell r="G616" t="str">
            <v>一品多商</v>
          </cell>
          <cell r="H616" t="str">
            <v>品牌直发</v>
          </cell>
          <cell r="I616">
            <v>0</v>
          </cell>
        </row>
        <row r="617">
          <cell r="D617">
            <v>124314374</v>
          </cell>
          <cell r="E617" t="str">
            <v>伯希和/PELLIOT</v>
          </cell>
          <cell r="F617" t="str">
            <v>女装-长裤-软壳裤</v>
          </cell>
          <cell r="G617" t="str">
            <v>一品一商</v>
          </cell>
          <cell r="H617" t="str">
            <v>品牌直发</v>
          </cell>
          <cell r="I617">
            <v>0</v>
          </cell>
        </row>
        <row r="618">
          <cell r="D618" t="str">
            <v>PE124301012</v>
          </cell>
          <cell r="E618" t="str">
            <v>伯希和/PELLIOT</v>
          </cell>
          <cell r="F618" t="str">
            <v>女装-外套-冲锋衣</v>
          </cell>
          <cell r="G618" t="str">
            <v>一品一商</v>
          </cell>
          <cell r="H618" t="str">
            <v>品牌直发</v>
          </cell>
          <cell r="I618">
            <v>0</v>
          </cell>
        </row>
        <row r="619">
          <cell r="D619" t="str">
            <v>PE124301014</v>
          </cell>
          <cell r="E619" t="str">
            <v>伯希和/PELLIOT</v>
          </cell>
          <cell r="F619" t="str">
            <v>女装-外套-冲锋衣</v>
          </cell>
          <cell r="G619" t="str">
            <v>一品多商</v>
          </cell>
          <cell r="H619" t="str">
            <v>品牌直发</v>
          </cell>
          <cell r="I619">
            <v>0</v>
          </cell>
        </row>
        <row r="620">
          <cell r="D620">
            <v>134334002</v>
          </cell>
          <cell r="E620" t="str">
            <v>伯希和/PELLIOT</v>
          </cell>
          <cell r="F620" t="str">
            <v>流行饰品/眼镜/服配-帽子-雷锋帽</v>
          </cell>
          <cell r="G620" t="str">
            <v>一品一商</v>
          </cell>
          <cell r="H620" t="str">
            <v>品牌直发</v>
          </cell>
          <cell r="I620">
            <v>0</v>
          </cell>
        </row>
        <row r="621">
          <cell r="D621">
            <v>116243501</v>
          </cell>
          <cell r="E621" t="str">
            <v>伯希和/PELLIOT</v>
          </cell>
          <cell r="F621" t="str">
            <v>内衣-袜子-中筒袜</v>
          </cell>
          <cell r="G621" t="str">
            <v>一品一商</v>
          </cell>
          <cell r="H621" t="str">
            <v>品牌直发</v>
          </cell>
          <cell r="I621">
            <v>0</v>
          </cell>
        </row>
        <row r="622">
          <cell r="D622">
            <v>164025003</v>
          </cell>
          <cell r="E622" t="str">
            <v>伯希和/PELLIOT</v>
          </cell>
          <cell r="F622" t="str">
            <v>箱包-包袋-户外包</v>
          </cell>
          <cell r="G622" t="str">
            <v>一品一商</v>
          </cell>
          <cell r="H622" t="str">
            <v>品牌直发</v>
          </cell>
          <cell r="I622">
            <v>0</v>
          </cell>
        </row>
        <row r="623">
          <cell r="D623">
            <v>164334402</v>
          </cell>
          <cell r="E623" t="str">
            <v>伯希和/PELLIOT</v>
          </cell>
          <cell r="F623" t="str">
            <v>流行饰品/眼镜/服配-帽子-绒线帽</v>
          </cell>
          <cell r="G623" t="str">
            <v>一品一商</v>
          </cell>
          <cell r="H623" t="str">
            <v>品牌直发</v>
          </cell>
          <cell r="I623">
            <v>0</v>
          </cell>
        </row>
        <row r="624">
          <cell r="D624">
            <v>114314373</v>
          </cell>
          <cell r="E624" t="str">
            <v>伯希和/PELLIOT</v>
          </cell>
          <cell r="F624" t="str">
            <v>服装-户外运动服-速干裤</v>
          </cell>
          <cell r="G624" t="str">
            <v>一品一商</v>
          </cell>
          <cell r="H624" t="str">
            <v>品牌直发</v>
          </cell>
          <cell r="I624">
            <v>0</v>
          </cell>
        </row>
        <row r="625">
          <cell r="D625">
            <v>124307166</v>
          </cell>
          <cell r="E625" t="str">
            <v>伯希和/PELLIOT</v>
          </cell>
          <cell r="F625" t="str">
            <v>女装-长裤-软壳裤</v>
          </cell>
          <cell r="G625" t="str">
            <v>一品多商</v>
          </cell>
          <cell r="H625" t="str">
            <v>品牌直发</v>
          </cell>
          <cell r="I625">
            <v>0</v>
          </cell>
        </row>
        <row r="626">
          <cell r="D626">
            <v>114310203</v>
          </cell>
          <cell r="E626" t="str">
            <v>伯希和/PELLIOT</v>
          </cell>
          <cell r="F626" t="str">
            <v>服装-户外运动服-抓绒衣</v>
          </cell>
          <cell r="G626" t="str">
            <v>一品多商</v>
          </cell>
          <cell r="H626" t="str">
            <v>品牌直发</v>
          </cell>
          <cell r="I626">
            <v>0</v>
          </cell>
        </row>
        <row r="627">
          <cell r="D627">
            <v>114306143</v>
          </cell>
          <cell r="E627" t="str">
            <v>伯希和/PELLIOT</v>
          </cell>
          <cell r="F627" t="str">
            <v>服装-外套-软壳衣</v>
          </cell>
          <cell r="G627" t="str">
            <v>一品一商</v>
          </cell>
          <cell r="H627" t="str">
            <v>品牌直发</v>
          </cell>
          <cell r="I627">
            <v>0</v>
          </cell>
        </row>
        <row r="628">
          <cell r="D628">
            <v>114302083</v>
          </cell>
          <cell r="E628" t="str">
            <v>伯希和/PELLIOT</v>
          </cell>
          <cell r="F628" t="str">
            <v>服装-长裤-冲锋裤</v>
          </cell>
          <cell r="G628" t="str">
            <v>一品多商</v>
          </cell>
          <cell r="H628" t="str">
            <v>品牌直发</v>
          </cell>
          <cell r="I628">
            <v>0</v>
          </cell>
        </row>
        <row r="629">
          <cell r="D629">
            <v>114307165</v>
          </cell>
          <cell r="E629" t="str">
            <v>伯希和/PELLIOT</v>
          </cell>
          <cell r="F629" t="str">
            <v>服装-长裤-软壳裤</v>
          </cell>
          <cell r="G629" t="str">
            <v>一品一商</v>
          </cell>
          <cell r="H629" t="str">
            <v>品牌直发</v>
          </cell>
          <cell r="I629">
            <v>0</v>
          </cell>
        </row>
        <row r="630">
          <cell r="D630">
            <v>114307163</v>
          </cell>
          <cell r="E630" t="str">
            <v>伯希和/PELLIOT</v>
          </cell>
          <cell r="F630" t="str">
            <v>服装-长裤-软壳裤</v>
          </cell>
          <cell r="G630" t="str">
            <v>一品多商</v>
          </cell>
          <cell r="H630" t="str">
            <v>品牌直发</v>
          </cell>
          <cell r="I630">
            <v>0</v>
          </cell>
        </row>
        <row r="631">
          <cell r="D631">
            <v>124307164</v>
          </cell>
          <cell r="E631" t="str">
            <v>伯希和/PELLIOT</v>
          </cell>
          <cell r="F631" t="str">
            <v>女装-长裤-软壳裤</v>
          </cell>
          <cell r="G631" t="str">
            <v>一品一商</v>
          </cell>
          <cell r="H631" t="str">
            <v>品牌直发</v>
          </cell>
          <cell r="I631">
            <v>0</v>
          </cell>
        </row>
        <row r="632">
          <cell r="D632">
            <v>124319004</v>
          </cell>
          <cell r="E632" t="str">
            <v>伯希和/PELLIOT</v>
          </cell>
          <cell r="F632" t="str">
            <v>鞋-运动鞋-登山鞋/徒步鞋</v>
          </cell>
          <cell r="G632" t="str">
            <v>一品一商</v>
          </cell>
          <cell r="H632" t="str">
            <v>品牌直发</v>
          </cell>
          <cell r="I632">
            <v>0</v>
          </cell>
        </row>
        <row r="633">
          <cell r="D633">
            <v>114311231</v>
          </cell>
          <cell r="E633" t="str">
            <v>伯希和/PELLIOT</v>
          </cell>
          <cell r="F633" t="str">
            <v>服装-长裤-休闲裤</v>
          </cell>
          <cell r="G633" t="str">
            <v>一品一商</v>
          </cell>
          <cell r="H633" t="str">
            <v>品牌直发</v>
          </cell>
          <cell r="I633">
            <v>0</v>
          </cell>
        </row>
        <row r="634">
          <cell r="D634">
            <v>16843502</v>
          </cell>
          <cell r="E634" t="str">
            <v>伯希和/PELLIOT</v>
          </cell>
          <cell r="F634" t="str">
            <v>内衣-袜子-中筒袜</v>
          </cell>
          <cell r="G634" t="str">
            <v>一品一商</v>
          </cell>
          <cell r="H634" t="str">
            <v>品牌直发</v>
          </cell>
          <cell r="I634">
            <v>0</v>
          </cell>
        </row>
        <row r="635">
          <cell r="D635">
            <v>12421414</v>
          </cell>
          <cell r="E635" t="str">
            <v>伯希和/PELLIOT</v>
          </cell>
          <cell r="F635" t="str">
            <v>女装-户外运动服-速干裤</v>
          </cell>
          <cell r="G635" t="str">
            <v>一品多商</v>
          </cell>
          <cell r="H635" t="str">
            <v>品牌直发</v>
          </cell>
          <cell r="I635">
            <v>0</v>
          </cell>
        </row>
        <row r="636">
          <cell r="D636">
            <v>12421512</v>
          </cell>
          <cell r="E636" t="str">
            <v>伯希和/PELLIOT</v>
          </cell>
          <cell r="F636" t="str">
            <v>女装-户外运动服-速干T恤</v>
          </cell>
          <cell r="G636" t="str">
            <v>一品一商</v>
          </cell>
          <cell r="H636" t="str">
            <v>品牌直发</v>
          </cell>
          <cell r="I636">
            <v>0</v>
          </cell>
        </row>
        <row r="637">
          <cell r="D637">
            <v>12421510</v>
          </cell>
          <cell r="E637" t="str">
            <v>伯希和/PELLIOT</v>
          </cell>
          <cell r="F637" t="str">
            <v>女装-上衣-T恤</v>
          </cell>
          <cell r="G637" t="str">
            <v>一品一商</v>
          </cell>
          <cell r="H637" t="str">
            <v>品牌直发</v>
          </cell>
          <cell r="I637">
            <v>0</v>
          </cell>
        </row>
        <row r="638">
          <cell r="D638">
            <v>124311232</v>
          </cell>
          <cell r="E638" t="str">
            <v>伯希和/PELLIOT</v>
          </cell>
          <cell r="F638" t="str">
            <v>女装-户外运动服-抓绒裤</v>
          </cell>
          <cell r="G638" t="str">
            <v>一品一商</v>
          </cell>
          <cell r="H638" t="str">
            <v>品牌直发</v>
          </cell>
          <cell r="I638">
            <v>0</v>
          </cell>
        </row>
        <row r="639">
          <cell r="D639">
            <v>16402506</v>
          </cell>
          <cell r="E639" t="str">
            <v>伯希和/PELLIOT</v>
          </cell>
          <cell r="F639" t="str">
            <v>箱包-包袋-户外包</v>
          </cell>
          <cell r="G639" t="str">
            <v>一品多商</v>
          </cell>
          <cell r="H639" t="str">
            <v>品牌直发</v>
          </cell>
          <cell r="I639">
            <v>0</v>
          </cell>
        </row>
        <row r="640">
          <cell r="D640" t="str">
            <v>PE13415145</v>
          </cell>
          <cell r="E640" t="str">
            <v>伯希和/PELLIOT</v>
          </cell>
          <cell r="F640" t="str">
            <v>童装-儿童上装-其他上装</v>
          </cell>
          <cell r="G640" t="str">
            <v>一品一商</v>
          </cell>
          <cell r="H640" t="str">
            <v>品牌直发</v>
          </cell>
          <cell r="I640">
            <v>0</v>
          </cell>
        </row>
        <row r="641">
          <cell r="D641" t="str">
            <v>PE13421430</v>
          </cell>
          <cell r="E641" t="str">
            <v>伯希和/PELLIOT</v>
          </cell>
          <cell r="F641" t="str">
            <v>童装-儿童下装-卫裤</v>
          </cell>
          <cell r="G641" t="str">
            <v>一品一商</v>
          </cell>
          <cell r="H641" t="str">
            <v>品牌直发</v>
          </cell>
          <cell r="I641">
            <v>0</v>
          </cell>
        </row>
        <row r="642">
          <cell r="D642" t="str">
            <v>PE13421431</v>
          </cell>
          <cell r="E642" t="str">
            <v>伯希和/PELLIOT</v>
          </cell>
          <cell r="F642" t="str">
            <v>童装-儿童下装-短裤</v>
          </cell>
          <cell r="G642" t="str">
            <v>一品一商</v>
          </cell>
          <cell r="H642" t="str">
            <v>品牌直发</v>
          </cell>
          <cell r="I642">
            <v>0</v>
          </cell>
        </row>
        <row r="643">
          <cell r="D643">
            <v>13421235</v>
          </cell>
          <cell r="E643" t="str">
            <v>伯希和/PELLIOT</v>
          </cell>
          <cell r="F643" t="str">
            <v>童装-儿童上装-防晒衣</v>
          </cell>
          <cell r="G643" t="str">
            <v>一品一商</v>
          </cell>
          <cell r="H643" t="str">
            <v>品牌直发</v>
          </cell>
          <cell r="I643">
            <v>0</v>
          </cell>
        </row>
        <row r="644">
          <cell r="D644">
            <v>164026422</v>
          </cell>
          <cell r="E644" t="str">
            <v>伯希和/PELLIOT</v>
          </cell>
          <cell r="F644" t="str">
            <v>箱包-包袋-户外包</v>
          </cell>
          <cell r="G644" t="str">
            <v>一品一商</v>
          </cell>
          <cell r="H644" t="str">
            <v>品牌直发</v>
          </cell>
          <cell r="I644">
            <v>0</v>
          </cell>
        </row>
        <row r="645">
          <cell r="D645">
            <v>124222002</v>
          </cell>
          <cell r="E645" t="str">
            <v>伯希和/PELLIOT</v>
          </cell>
          <cell r="F645" t="str">
            <v>鞋-运动鞋-登山鞋/徒步鞋</v>
          </cell>
          <cell r="G645" t="str">
            <v>一品一商</v>
          </cell>
          <cell r="H645" t="str">
            <v>品牌直发</v>
          </cell>
          <cell r="I645">
            <v>0</v>
          </cell>
        </row>
        <row r="646">
          <cell r="D646">
            <v>13421546</v>
          </cell>
          <cell r="E646" t="str">
            <v>伯希和/PELLIOT</v>
          </cell>
          <cell r="F646" t="str">
            <v>童装-儿童上装-T恤</v>
          </cell>
          <cell r="G646" t="str">
            <v>一品一商</v>
          </cell>
          <cell r="H646" t="str">
            <v>品牌直发</v>
          </cell>
          <cell r="I646">
            <v>0</v>
          </cell>
        </row>
        <row r="647">
          <cell r="D647">
            <v>164026416</v>
          </cell>
          <cell r="E647" t="str">
            <v>伯希和/PELLIOT</v>
          </cell>
          <cell r="F647" t="str">
            <v>箱包-包袋-户外包</v>
          </cell>
          <cell r="G647" t="str">
            <v>一品一商</v>
          </cell>
          <cell r="H647" t="str">
            <v>品牌直发</v>
          </cell>
          <cell r="I647">
            <v>0</v>
          </cell>
        </row>
        <row r="648">
          <cell r="D648">
            <v>124301032</v>
          </cell>
          <cell r="E648" t="str">
            <v>伯希和/PELLIOT</v>
          </cell>
          <cell r="F648" t="str">
            <v>女装-外套-冲锋衣</v>
          </cell>
          <cell r="G648" t="str">
            <v>一品多商</v>
          </cell>
          <cell r="H648" t="str">
            <v>品牌直发</v>
          </cell>
          <cell r="I648">
            <v>0</v>
          </cell>
        </row>
        <row r="649">
          <cell r="D649">
            <v>124301034</v>
          </cell>
          <cell r="E649" t="str">
            <v>伯希和/PELLIOT</v>
          </cell>
          <cell r="F649" t="str">
            <v>女装-外套-冲锋衣</v>
          </cell>
          <cell r="G649" t="str">
            <v>一品一商</v>
          </cell>
          <cell r="H649" t="str">
            <v>品牌直发</v>
          </cell>
          <cell r="I649">
            <v>0</v>
          </cell>
        </row>
        <row r="650">
          <cell r="D650">
            <v>114301033</v>
          </cell>
          <cell r="E650" t="str">
            <v>伯希和/PELLIOT</v>
          </cell>
          <cell r="F650" t="str">
            <v>服装-外套-冲锋衣</v>
          </cell>
          <cell r="G650" t="str">
            <v>一品多商</v>
          </cell>
          <cell r="H650" t="str">
            <v>品牌直发</v>
          </cell>
          <cell r="I650">
            <v>0</v>
          </cell>
        </row>
        <row r="651">
          <cell r="D651">
            <v>124301030</v>
          </cell>
          <cell r="E651" t="str">
            <v>伯希和/PELLIOT</v>
          </cell>
          <cell r="F651" t="str">
            <v>女装-外套-冲锋衣</v>
          </cell>
          <cell r="G651" t="str">
            <v>一品多商</v>
          </cell>
          <cell r="H651" t="str">
            <v>品牌直发</v>
          </cell>
          <cell r="I651">
            <v>0</v>
          </cell>
        </row>
        <row r="652">
          <cell r="D652" t="str">
            <v>PE124101060</v>
          </cell>
          <cell r="E652" t="str">
            <v>伯希和/PELLIOT</v>
          </cell>
          <cell r="F652" t="str">
            <v>女装-外套-冲锋衣</v>
          </cell>
          <cell r="G652" t="str">
            <v>一品一商</v>
          </cell>
          <cell r="H652" t="str">
            <v>品牌直发</v>
          </cell>
          <cell r="I652">
            <v>0</v>
          </cell>
        </row>
        <row r="653">
          <cell r="D653">
            <v>114101059</v>
          </cell>
          <cell r="E653" t="str">
            <v>伯希和/PELLIOT</v>
          </cell>
          <cell r="F653" t="str">
            <v>服装-外套-冲锋衣</v>
          </cell>
          <cell r="G653" t="str">
            <v>一品一商</v>
          </cell>
          <cell r="H653" t="str">
            <v>品牌直发</v>
          </cell>
          <cell r="I653">
            <v>0</v>
          </cell>
        </row>
        <row r="654">
          <cell r="D654">
            <v>114301037</v>
          </cell>
          <cell r="E654" t="str">
            <v>伯希和/PELLIOT</v>
          </cell>
          <cell r="F654" t="str">
            <v>服装-外套-冲锋衣</v>
          </cell>
          <cell r="G654" t="str">
            <v>一品多商</v>
          </cell>
          <cell r="H654" t="str">
            <v>品牌直发</v>
          </cell>
          <cell r="I654">
            <v>0</v>
          </cell>
        </row>
        <row r="655">
          <cell r="D655">
            <v>112321516</v>
          </cell>
          <cell r="E655" t="str">
            <v>伯希和/PELLIOT</v>
          </cell>
          <cell r="F655" t="str">
            <v>女装-上衣-Polo衫</v>
          </cell>
          <cell r="G655" t="str">
            <v>一品一商</v>
          </cell>
          <cell r="H655" t="str">
            <v>品牌直发</v>
          </cell>
          <cell r="I655">
            <v>0</v>
          </cell>
        </row>
        <row r="656">
          <cell r="D656">
            <v>113240815</v>
          </cell>
          <cell r="E656" t="str">
            <v>伯希和/PELLIOT</v>
          </cell>
          <cell r="F656" t="str">
            <v>童装-儿童上装-羽绒服</v>
          </cell>
          <cell r="G656" t="str">
            <v>一品一商</v>
          </cell>
          <cell r="H656" t="str">
            <v>品牌直发</v>
          </cell>
          <cell r="I656">
            <v>0</v>
          </cell>
        </row>
        <row r="657">
          <cell r="D657">
            <v>114301087</v>
          </cell>
          <cell r="E657" t="str">
            <v>伯希和/PELLIOT</v>
          </cell>
          <cell r="F657" t="str">
            <v>服装-外套-冲锋衣</v>
          </cell>
          <cell r="G657" t="str">
            <v>一品多商</v>
          </cell>
          <cell r="H657" t="str">
            <v>品牌直发</v>
          </cell>
          <cell r="I657">
            <v>0</v>
          </cell>
        </row>
        <row r="658">
          <cell r="D658">
            <v>124301038</v>
          </cell>
          <cell r="E658" t="str">
            <v>伯希和/PELLIOT</v>
          </cell>
          <cell r="F658" t="str">
            <v>女装-外套-冲锋衣</v>
          </cell>
          <cell r="G658" t="str">
            <v>一品多商</v>
          </cell>
          <cell r="H658" t="str">
            <v>品牌直发</v>
          </cell>
          <cell r="I658">
            <v>0</v>
          </cell>
        </row>
        <row r="659">
          <cell r="D659">
            <v>111040303</v>
          </cell>
          <cell r="E659" t="str">
            <v>伯希和/PELLIOT</v>
          </cell>
          <cell r="F659" t="str">
            <v>服装-户外运动服-登山服</v>
          </cell>
          <cell r="G659" t="str">
            <v>一品一商</v>
          </cell>
          <cell r="H659" t="str">
            <v>品牌直发</v>
          </cell>
          <cell r="I659">
            <v>0</v>
          </cell>
        </row>
        <row r="660">
          <cell r="D660">
            <v>112340158</v>
          </cell>
          <cell r="E660" t="str">
            <v>伯希和/PELLIOT</v>
          </cell>
          <cell r="F660" t="str">
            <v>女装-外套-冲锋衣</v>
          </cell>
          <cell r="G660" t="str">
            <v>一品一商</v>
          </cell>
          <cell r="H660" t="str">
            <v>品牌直发</v>
          </cell>
          <cell r="I660">
            <v>0</v>
          </cell>
        </row>
        <row r="661">
          <cell r="D661">
            <v>16702609</v>
          </cell>
          <cell r="E661" t="str">
            <v>伯希和/PELLIOT</v>
          </cell>
          <cell r="F661" t="str">
            <v>箱包-包袋-手机包</v>
          </cell>
          <cell r="G661" t="str">
            <v>一品一商</v>
          </cell>
          <cell r="H661" t="str">
            <v>品牌直发</v>
          </cell>
          <cell r="I661">
            <v>0</v>
          </cell>
        </row>
        <row r="662">
          <cell r="D662">
            <v>16702618</v>
          </cell>
          <cell r="E662" t="str">
            <v>伯希和/PELLIOT</v>
          </cell>
          <cell r="F662" t="str">
            <v>箱包-包袋-出行收纳包</v>
          </cell>
          <cell r="G662" t="str">
            <v>一品一商</v>
          </cell>
          <cell r="H662" t="str">
            <v>品牌直发</v>
          </cell>
          <cell r="I662">
            <v>0</v>
          </cell>
        </row>
        <row r="663">
          <cell r="D663">
            <v>113140132</v>
          </cell>
          <cell r="E663" t="str">
            <v>伯希和/PELLIOT</v>
          </cell>
          <cell r="F663" t="str">
            <v>童装-儿童上装-冲锋衣</v>
          </cell>
          <cell r="G663" t="str">
            <v>一品一商</v>
          </cell>
          <cell r="H663" t="str">
            <v>品牌直发</v>
          </cell>
          <cell r="I663">
            <v>0</v>
          </cell>
        </row>
        <row r="664">
          <cell r="D664">
            <v>114301029</v>
          </cell>
          <cell r="E664" t="str">
            <v>伯希和/PELLIOT</v>
          </cell>
          <cell r="F664" t="str">
            <v>服装-外套-冲锋衣</v>
          </cell>
          <cell r="G664" t="str">
            <v>一品多商</v>
          </cell>
          <cell r="H664" t="str">
            <v>品牌直发</v>
          </cell>
          <cell r="I664">
            <v>0</v>
          </cell>
        </row>
        <row r="665">
          <cell r="D665">
            <v>124301002</v>
          </cell>
          <cell r="E665" t="str">
            <v>伯希和/PELLIOT</v>
          </cell>
          <cell r="F665" t="str">
            <v>女装-外套-冲锋衣</v>
          </cell>
          <cell r="G665" t="str">
            <v>一品多商</v>
          </cell>
          <cell r="H665" t="str">
            <v>品牌直发</v>
          </cell>
          <cell r="I665">
            <v>0</v>
          </cell>
        </row>
        <row r="666">
          <cell r="D666">
            <v>114301001</v>
          </cell>
          <cell r="E666" t="str">
            <v>伯希和/PELLIOT</v>
          </cell>
          <cell r="F666" t="str">
            <v>服装-外套-冲锋衣</v>
          </cell>
          <cell r="G666" t="str">
            <v>一品多商</v>
          </cell>
          <cell r="H666" t="str">
            <v>品牌直发</v>
          </cell>
          <cell r="I666">
            <v>0</v>
          </cell>
        </row>
        <row r="667">
          <cell r="D667">
            <v>124301024</v>
          </cell>
          <cell r="E667" t="str">
            <v>伯希和/PELLIOT</v>
          </cell>
          <cell r="F667" t="str">
            <v>女装-外套-冲锋衣</v>
          </cell>
          <cell r="G667" t="str">
            <v>一品多商</v>
          </cell>
          <cell r="H667" t="str">
            <v>品牌直发</v>
          </cell>
          <cell r="I667">
            <v>0</v>
          </cell>
        </row>
        <row r="668">
          <cell r="D668">
            <v>114301023</v>
          </cell>
          <cell r="E668" t="str">
            <v>伯希和/PELLIOT</v>
          </cell>
          <cell r="F668" t="str">
            <v>服装-外套-冲锋衣</v>
          </cell>
          <cell r="G668" t="str">
            <v>一品多商</v>
          </cell>
          <cell r="H668" t="str">
            <v>品牌直发</v>
          </cell>
          <cell r="I668">
            <v>0</v>
          </cell>
        </row>
        <row r="669">
          <cell r="D669">
            <v>112331010</v>
          </cell>
          <cell r="E669" t="str">
            <v>伯希和/PELLIOT</v>
          </cell>
          <cell r="F669" t="str">
            <v>女装-户外运动服-抓绒衣</v>
          </cell>
          <cell r="G669" t="str">
            <v>一品一商</v>
          </cell>
          <cell r="H669" t="str">
            <v>品牌直发</v>
          </cell>
          <cell r="I669">
            <v>0</v>
          </cell>
        </row>
        <row r="670">
          <cell r="D670">
            <v>111331805</v>
          </cell>
          <cell r="E670" t="str">
            <v>伯希和/PELLIOT</v>
          </cell>
          <cell r="F670" t="str">
            <v>内衣-内衣裤-保暖套装</v>
          </cell>
          <cell r="G670" t="str">
            <v>一品一商</v>
          </cell>
          <cell r="H670" t="str">
            <v>品牌直发</v>
          </cell>
          <cell r="I670">
            <v>0</v>
          </cell>
        </row>
        <row r="671">
          <cell r="D671">
            <v>112331026</v>
          </cell>
          <cell r="E671" t="str">
            <v>伯希和/PELLIOT</v>
          </cell>
          <cell r="F671" t="str">
            <v>女装-户外运动服-抓绒衣</v>
          </cell>
          <cell r="G671" t="str">
            <v>一品一商</v>
          </cell>
          <cell r="H671" t="str">
            <v>品牌直发</v>
          </cell>
          <cell r="I671">
            <v>0</v>
          </cell>
        </row>
        <row r="672">
          <cell r="D672">
            <v>111421301</v>
          </cell>
          <cell r="E672" t="str">
            <v>伯希和/PELLIOT</v>
          </cell>
          <cell r="F672" t="str">
            <v>服装-上衣-衬衫</v>
          </cell>
          <cell r="G672" t="str">
            <v>一品一商</v>
          </cell>
          <cell r="H672" t="str">
            <v>品牌直发</v>
          </cell>
          <cell r="I672">
            <v>0</v>
          </cell>
        </row>
        <row r="673">
          <cell r="D673">
            <v>12415104</v>
          </cell>
          <cell r="E673" t="str">
            <v>伯希和/PELLIOT</v>
          </cell>
          <cell r="F673" t="str">
            <v>女装-外套-软壳衣</v>
          </cell>
          <cell r="G673" t="str">
            <v>一品一商</v>
          </cell>
          <cell r="H673" t="str">
            <v>品牌直发</v>
          </cell>
          <cell r="I673">
            <v>0</v>
          </cell>
        </row>
        <row r="674">
          <cell r="D674">
            <v>11415103</v>
          </cell>
          <cell r="E674" t="str">
            <v>伯希和/PELLIOT</v>
          </cell>
          <cell r="F674" t="str">
            <v>服装-户外运动服-风壳</v>
          </cell>
          <cell r="G674" t="str">
            <v>一品多商</v>
          </cell>
          <cell r="H674" t="str">
            <v>品牌直发</v>
          </cell>
          <cell r="I674">
            <v>0</v>
          </cell>
        </row>
        <row r="675">
          <cell r="D675">
            <v>12421216</v>
          </cell>
          <cell r="E675" t="str">
            <v>伯希和/PELLIOT</v>
          </cell>
          <cell r="F675" t="str">
            <v>女装-外套-防晒服</v>
          </cell>
          <cell r="G675" t="str">
            <v>一品多商</v>
          </cell>
          <cell r="H675" t="str">
            <v>品牌直发</v>
          </cell>
          <cell r="I675">
            <v>0</v>
          </cell>
        </row>
        <row r="676">
          <cell r="D676">
            <v>12421428</v>
          </cell>
          <cell r="E676" t="str">
            <v>伯希和/PELLIOT</v>
          </cell>
          <cell r="F676" t="str">
            <v>服装-长裤-工装裤</v>
          </cell>
          <cell r="G676" t="str">
            <v>一品一商</v>
          </cell>
          <cell r="H676" t="str">
            <v>品牌直发</v>
          </cell>
          <cell r="I676">
            <v>0</v>
          </cell>
        </row>
        <row r="677">
          <cell r="D677">
            <v>11421419</v>
          </cell>
          <cell r="E677" t="str">
            <v>伯希和/PELLIOT</v>
          </cell>
          <cell r="F677" t="str">
            <v>服装-健身服-运动短裤</v>
          </cell>
          <cell r="G677" t="str">
            <v>一品一商</v>
          </cell>
          <cell r="H677" t="str">
            <v>品牌直发</v>
          </cell>
          <cell r="I677">
            <v>0</v>
          </cell>
        </row>
        <row r="678">
          <cell r="D678">
            <v>11421301</v>
          </cell>
          <cell r="E678" t="str">
            <v>伯希和/PELLIOT</v>
          </cell>
          <cell r="F678" t="str">
            <v>服装-上衣-衬衫</v>
          </cell>
          <cell r="G678" t="str">
            <v>一品一商</v>
          </cell>
          <cell r="H678" t="str">
            <v>品牌直发</v>
          </cell>
          <cell r="I678">
            <v>0</v>
          </cell>
        </row>
        <row r="679">
          <cell r="D679">
            <v>165025069</v>
          </cell>
          <cell r="E679" t="str">
            <v>伯希和/PELLIOT</v>
          </cell>
          <cell r="F679" t="str">
            <v>箱包-包袋-户外包</v>
          </cell>
          <cell r="G679" t="str">
            <v>一品一商</v>
          </cell>
          <cell r="H679" t="str">
            <v>品牌直发</v>
          </cell>
          <cell r="I679">
            <v>0</v>
          </cell>
        </row>
        <row r="680">
          <cell r="D680">
            <v>16402504</v>
          </cell>
          <cell r="E680" t="str">
            <v>伯希和/PELLIOT</v>
          </cell>
          <cell r="F680" t="str">
            <v>箱包-包袋-户外包</v>
          </cell>
          <cell r="G680" t="str">
            <v>一品一商</v>
          </cell>
          <cell r="H680" t="str">
            <v>品牌直发</v>
          </cell>
          <cell r="I680">
            <v>0</v>
          </cell>
        </row>
        <row r="681">
          <cell r="D681">
            <v>16402608</v>
          </cell>
          <cell r="E681" t="str">
            <v>伯希和/PELLIOT</v>
          </cell>
          <cell r="F681" t="str">
            <v>箱包-包袋-手拿包</v>
          </cell>
          <cell r="G681" t="str">
            <v>一品一商</v>
          </cell>
          <cell r="H681" t="str">
            <v>品牌直发</v>
          </cell>
          <cell r="I681">
            <v>0</v>
          </cell>
        </row>
        <row r="682">
          <cell r="D682">
            <v>12331902</v>
          </cell>
          <cell r="E682" t="str">
            <v>伯希和/PELLIOT</v>
          </cell>
          <cell r="F682" t="str">
            <v>鞋-运动鞋-登山鞋/徒步鞋</v>
          </cell>
          <cell r="G682" t="str">
            <v>一品一商</v>
          </cell>
          <cell r="H682" t="str">
            <v>品牌直发</v>
          </cell>
          <cell r="I682">
            <v>0</v>
          </cell>
        </row>
        <row r="683">
          <cell r="D683">
            <v>11111905</v>
          </cell>
          <cell r="E683" t="str">
            <v>伯希和/PELLIOT</v>
          </cell>
          <cell r="F683" t="str">
            <v>鞋-运动鞋-跑步鞋</v>
          </cell>
          <cell r="G683" t="str">
            <v>一品一商</v>
          </cell>
          <cell r="H683" t="str">
            <v>品牌直发</v>
          </cell>
          <cell r="I683">
            <v>0</v>
          </cell>
        </row>
        <row r="684">
          <cell r="D684">
            <v>12422004</v>
          </cell>
          <cell r="E684" t="str">
            <v>伯希和/PELLIOT</v>
          </cell>
          <cell r="F684" t="str">
            <v>鞋-运动鞋-户外功能鞋</v>
          </cell>
          <cell r="G684" t="str">
            <v>一品一商</v>
          </cell>
          <cell r="H684" t="str">
            <v>品牌直发</v>
          </cell>
          <cell r="I684">
            <v>0</v>
          </cell>
        </row>
        <row r="685">
          <cell r="D685">
            <v>11011901</v>
          </cell>
          <cell r="E685" t="str">
            <v>伯希和/PELLIOT</v>
          </cell>
          <cell r="F685" t="str">
            <v>鞋-运动鞋-跑步鞋</v>
          </cell>
          <cell r="G685" t="str">
            <v>一品一商</v>
          </cell>
          <cell r="H685" t="str">
            <v>品牌直发</v>
          </cell>
          <cell r="I685">
            <v>0</v>
          </cell>
        </row>
        <row r="686">
          <cell r="D686">
            <v>12022104</v>
          </cell>
          <cell r="E686" t="str">
            <v>伯希和/PELLIOT</v>
          </cell>
          <cell r="F686" t="str">
            <v>鞋-运动鞋-户外功能鞋</v>
          </cell>
          <cell r="G686" t="str">
            <v>一品一商</v>
          </cell>
          <cell r="H686" t="str">
            <v>品牌直发</v>
          </cell>
          <cell r="I686">
            <v>0</v>
          </cell>
        </row>
        <row r="687">
          <cell r="D687">
            <v>16123406</v>
          </cell>
          <cell r="E687" t="str">
            <v>伯希和/PELLIOT</v>
          </cell>
          <cell r="F687" t="str">
            <v>流行饰品/眼镜/服配-帽子-鸭舌帽</v>
          </cell>
          <cell r="G687" t="str">
            <v>一品一商</v>
          </cell>
          <cell r="H687" t="str">
            <v>品牌直发</v>
          </cell>
          <cell r="I687">
            <v>0</v>
          </cell>
        </row>
        <row r="688">
          <cell r="D688">
            <v>1116023410</v>
          </cell>
          <cell r="E688" t="str">
            <v>伯希和/PELLIOT</v>
          </cell>
          <cell r="F688" t="str">
            <v>流行饰品/眼镜/服配-防晒服配-防晒帽</v>
          </cell>
          <cell r="G688" t="str">
            <v>一品一商</v>
          </cell>
          <cell r="H688" t="str">
            <v>品牌直发</v>
          </cell>
          <cell r="I688">
            <v>0</v>
          </cell>
        </row>
        <row r="689">
          <cell r="D689">
            <v>16325602</v>
          </cell>
          <cell r="E689" t="str">
            <v>伯希和/PELLIOT</v>
          </cell>
          <cell r="F689" t="str">
            <v>流行饰品/眼镜/服配-配饰-口罩</v>
          </cell>
          <cell r="G689" t="str">
            <v>一品一商</v>
          </cell>
          <cell r="H689" t="str">
            <v>品牌直发</v>
          </cell>
          <cell r="I689">
            <v>0</v>
          </cell>
        </row>
        <row r="690">
          <cell r="D690">
            <v>12421410</v>
          </cell>
          <cell r="E690" t="str">
            <v>伯希和/PELLIOT</v>
          </cell>
          <cell r="F690" t="str">
            <v>女装-户外运动服-速干裤</v>
          </cell>
          <cell r="G690" t="str">
            <v>一品一商</v>
          </cell>
          <cell r="H690" t="str">
            <v>品牌直发</v>
          </cell>
          <cell r="I690">
            <v>0</v>
          </cell>
        </row>
        <row r="691">
          <cell r="D691">
            <v>12411402</v>
          </cell>
          <cell r="E691" t="str">
            <v>伯希和/PELLIOT</v>
          </cell>
          <cell r="F691" t="str">
            <v>女装-长裤-软壳裤</v>
          </cell>
          <cell r="G691" t="str">
            <v>一品一商</v>
          </cell>
          <cell r="H691" t="str">
            <v>品牌直发</v>
          </cell>
          <cell r="I691">
            <v>0</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sheet1"/>
    </sheetNames>
    <sheetDataSet>
      <sheetData sheetId="0">
        <row r="1">
          <cell r="D1" t="str">
            <v>商品货号</v>
          </cell>
          <cell r="E1" t="str">
            <v>品牌名称</v>
          </cell>
          <cell r="F1" t="str">
            <v>类目名称</v>
          </cell>
          <cell r="G1" t="str">
            <v>商品类型</v>
          </cell>
          <cell r="H1" t="str">
            <v>出价渠道</v>
          </cell>
          <cell r="I1" t="str">
            <v>支付金额</v>
          </cell>
        </row>
        <row r="2">
          <cell r="D2">
            <v>11421507</v>
          </cell>
          <cell r="E2" t="str">
            <v>伯希和/PELLIOT</v>
          </cell>
          <cell r="F2" t="str">
            <v>服装-上衣-Polo衫</v>
          </cell>
          <cell r="G2" t="str">
            <v>一品多商</v>
          </cell>
          <cell r="H2" t="str">
            <v>品牌直发</v>
          </cell>
          <cell r="I2">
            <v>12387.4</v>
          </cell>
        </row>
        <row r="3">
          <cell r="D3">
            <v>11421509</v>
          </cell>
          <cell r="E3" t="str">
            <v>伯希和/PELLIOT</v>
          </cell>
          <cell r="F3" t="str">
            <v>服装-上衣-T恤</v>
          </cell>
          <cell r="G3" t="str">
            <v>一品多商</v>
          </cell>
          <cell r="H3" t="str">
            <v>品牌直发</v>
          </cell>
          <cell r="I3">
            <v>3484.45</v>
          </cell>
        </row>
        <row r="4">
          <cell r="D4">
            <v>115214024</v>
          </cell>
          <cell r="E4" t="str">
            <v>伯希和/PELLIOT</v>
          </cell>
          <cell r="F4" t="str">
            <v>服装-户外运动服-速干裤</v>
          </cell>
          <cell r="G4" t="str">
            <v>一品多商</v>
          </cell>
          <cell r="H4" t="str">
            <v>品牌直发</v>
          </cell>
          <cell r="I4">
            <v>5220</v>
          </cell>
        </row>
        <row r="5">
          <cell r="D5">
            <v>11421415</v>
          </cell>
          <cell r="E5" t="str">
            <v>伯希和/PELLIOT</v>
          </cell>
          <cell r="F5" t="str">
            <v>服装-户外运动服-速干裤</v>
          </cell>
          <cell r="G5" t="str">
            <v>一品多商</v>
          </cell>
          <cell r="H5" t="str">
            <v>品牌直发</v>
          </cell>
          <cell r="I5">
            <v>4269</v>
          </cell>
        </row>
        <row r="6">
          <cell r="D6">
            <v>16402503</v>
          </cell>
          <cell r="E6" t="str">
            <v>伯希和/PELLIOT</v>
          </cell>
          <cell r="F6" t="str">
            <v>箱包-包袋-户外包</v>
          </cell>
          <cell r="G6" t="str">
            <v>一品多商</v>
          </cell>
          <cell r="H6" t="str">
            <v>品牌直发</v>
          </cell>
          <cell r="I6">
            <v>4493</v>
          </cell>
        </row>
        <row r="7">
          <cell r="D7">
            <v>115215019</v>
          </cell>
          <cell r="E7" t="str">
            <v>伯希和/PELLIOT</v>
          </cell>
          <cell r="F7" t="str">
            <v>服装-上衣-Polo衫</v>
          </cell>
          <cell r="G7" t="str">
            <v>一品多商</v>
          </cell>
          <cell r="H7" t="str">
            <v>品牌直发</v>
          </cell>
          <cell r="I7">
            <v>2204</v>
          </cell>
        </row>
        <row r="8">
          <cell r="D8">
            <v>115214021</v>
          </cell>
          <cell r="E8" t="str">
            <v>伯希和/PELLIOT</v>
          </cell>
          <cell r="F8" t="str">
            <v>服装-户外运动服-速干裤</v>
          </cell>
          <cell r="G8" t="str">
            <v>一品多商</v>
          </cell>
          <cell r="H8" t="str">
            <v>品牌直发</v>
          </cell>
          <cell r="I8">
            <v>2963</v>
          </cell>
        </row>
        <row r="9">
          <cell r="D9">
            <v>12421220</v>
          </cell>
          <cell r="E9" t="str">
            <v>伯希和/PELLIOT</v>
          </cell>
          <cell r="F9" t="str">
            <v>服装-外套-防晒服</v>
          </cell>
          <cell r="G9" t="str">
            <v>一品多商</v>
          </cell>
          <cell r="H9" t="str">
            <v>品牌直发</v>
          </cell>
          <cell r="I9">
            <v>3323</v>
          </cell>
        </row>
        <row r="10">
          <cell r="D10">
            <v>115215025</v>
          </cell>
          <cell r="E10" t="str">
            <v>伯希和/PELLIOT</v>
          </cell>
          <cell r="F10" t="str">
            <v>服装-户外运动服-速干T恤</v>
          </cell>
          <cell r="G10" t="str">
            <v>一品多商</v>
          </cell>
          <cell r="H10" t="str">
            <v>品牌直发</v>
          </cell>
          <cell r="I10">
            <v>2940.64</v>
          </cell>
        </row>
        <row r="11">
          <cell r="D11">
            <v>115214025</v>
          </cell>
          <cell r="E11" t="str">
            <v>伯希和/PELLIOT</v>
          </cell>
          <cell r="F11" t="str">
            <v>服装-户外运动服-速干裤</v>
          </cell>
          <cell r="G11" t="str">
            <v>一品多商</v>
          </cell>
          <cell r="H11" t="str">
            <v>品牌直发</v>
          </cell>
          <cell r="I11">
            <v>2551</v>
          </cell>
        </row>
        <row r="12">
          <cell r="D12">
            <v>11321405</v>
          </cell>
          <cell r="E12" t="str">
            <v>伯希和/PELLIOT</v>
          </cell>
          <cell r="F12" t="str">
            <v>服装-户外运动服-速干裤</v>
          </cell>
          <cell r="G12" t="str">
            <v>一品多商</v>
          </cell>
          <cell r="H12" t="str">
            <v>品牌直发</v>
          </cell>
          <cell r="I12">
            <v>2607</v>
          </cell>
        </row>
        <row r="13">
          <cell r="D13" t="str">
            <v>x1622</v>
          </cell>
          <cell r="E13" t="str">
            <v>伯希和/PELLIOT</v>
          </cell>
          <cell r="F13" t="str">
            <v>流行饰品/眼镜/服配-帽子-渔夫帽</v>
          </cell>
          <cell r="G13" t="str">
            <v>一品一商</v>
          </cell>
          <cell r="H13" t="str">
            <v>品牌直发</v>
          </cell>
          <cell r="I13">
            <v>805</v>
          </cell>
        </row>
        <row r="14">
          <cell r="D14">
            <v>12340106</v>
          </cell>
          <cell r="E14" t="str">
            <v>伯希和/PELLIOT</v>
          </cell>
          <cell r="F14" t="str">
            <v>女装-外套-冲锋衣</v>
          </cell>
          <cell r="G14" t="str">
            <v>一品多商</v>
          </cell>
          <cell r="H14" t="str">
            <v>品牌直发</v>
          </cell>
          <cell r="I14">
            <v>4772</v>
          </cell>
        </row>
        <row r="15">
          <cell r="D15">
            <v>115181001</v>
          </cell>
          <cell r="E15" t="str">
            <v>伯希和/PELLIOT</v>
          </cell>
          <cell r="F15" t="str">
            <v>鞋-运动鞋-登山鞋/徒步鞋</v>
          </cell>
          <cell r="G15" t="str">
            <v>一品多商</v>
          </cell>
          <cell r="H15" t="str">
            <v>品牌直发</v>
          </cell>
          <cell r="I15">
            <v>5217</v>
          </cell>
        </row>
        <row r="16">
          <cell r="D16">
            <v>115215047</v>
          </cell>
          <cell r="E16" t="str">
            <v>伯希和/PELLIOT</v>
          </cell>
          <cell r="F16" t="str">
            <v>服装-上衣-T恤</v>
          </cell>
          <cell r="G16" t="str">
            <v>一品一商</v>
          </cell>
          <cell r="H16" t="str">
            <v>品牌直发</v>
          </cell>
          <cell r="I16">
            <v>875</v>
          </cell>
        </row>
        <row r="17">
          <cell r="D17">
            <v>12421440</v>
          </cell>
          <cell r="E17" t="str">
            <v>伯希和/PELLIOT</v>
          </cell>
          <cell r="F17" t="str">
            <v>服装-健身服-运动短裤</v>
          </cell>
          <cell r="G17" t="str">
            <v>一品多商</v>
          </cell>
          <cell r="H17" t="str">
            <v>品牌直发</v>
          </cell>
          <cell r="I17">
            <v>1389</v>
          </cell>
        </row>
        <row r="18">
          <cell r="D18">
            <v>115301054</v>
          </cell>
          <cell r="E18" t="str">
            <v>伯希和/PELLIOT</v>
          </cell>
          <cell r="F18" t="str">
            <v>服装-外套-冲锋衣</v>
          </cell>
          <cell r="G18" t="str">
            <v>一品多商</v>
          </cell>
          <cell r="H18" t="str">
            <v>品牌直发</v>
          </cell>
          <cell r="I18">
            <v>4627.69</v>
          </cell>
        </row>
        <row r="19">
          <cell r="D19" t="str">
            <v>11340105-新加色</v>
          </cell>
          <cell r="E19" t="str">
            <v>伯希和/PELLIOT</v>
          </cell>
          <cell r="F19" t="str">
            <v>服装-外套-冲锋衣</v>
          </cell>
          <cell r="G19" t="str">
            <v>一品多商</v>
          </cell>
          <cell r="H19" t="str">
            <v>品牌直发</v>
          </cell>
          <cell r="I19">
            <v>4244</v>
          </cell>
        </row>
        <row r="20">
          <cell r="D20">
            <v>115215045</v>
          </cell>
          <cell r="E20" t="str">
            <v>伯希和/PELLIOT</v>
          </cell>
          <cell r="F20" t="str">
            <v>服装-上衣-T恤</v>
          </cell>
          <cell r="G20" t="str">
            <v>一品一商</v>
          </cell>
          <cell r="H20" t="str">
            <v>品牌直发</v>
          </cell>
          <cell r="I20">
            <v>936</v>
          </cell>
        </row>
        <row r="21">
          <cell r="D21">
            <v>16403404</v>
          </cell>
          <cell r="E21" t="str">
            <v>伯希和/PELLIOT</v>
          </cell>
          <cell r="F21" t="str">
            <v>流行饰品/眼镜/服配-帽子-鸭舌帽</v>
          </cell>
          <cell r="G21" t="str">
            <v>一品一商</v>
          </cell>
          <cell r="H21" t="str">
            <v>品牌直发</v>
          </cell>
          <cell r="I21">
            <v>351</v>
          </cell>
        </row>
        <row r="22">
          <cell r="D22">
            <v>12421534</v>
          </cell>
          <cell r="E22" t="str">
            <v>伯希和/PELLIOT</v>
          </cell>
          <cell r="F22" t="str">
            <v>女装-上衣-Polo衫</v>
          </cell>
          <cell r="G22" t="str">
            <v>一品多商</v>
          </cell>
          <cell r="H22" t="str">
            <v>品牌直发</v>
          </cell>
          <cell r="I22">
            <v>1573</v>
          </cell>
        </row>
        <row r="23">
          <cell r="D23">
            <v>116202507</v>
          </cell>
          <cell r="E23" t="str">
            <v>伯希和/PELLIOT</v>
          </cell>
          <cell r="F23" t="str">
            <v>箱包-包袋-户外包</v>
          </cell>
          <cell r="G23" t="str">
            <v>一品多商</v>
          </cell>
          <cell r="H23" t="str">
            <v>品牌直发</v>
          </cell>
          <cell r="I23">
            <v>2040</v>
          </cell>
        </row>
        <row r="24">
          <cell r="D24">
            <v>16202612</v>
          </cell>
          <cell r="E24" t="str">
            <v>伯希和/PELLIOT</v>
          </cell>
          <cell r="F24" t="str">
            <v>箱包-包袋-户外包</v>
          </cell>
          <cell r="G24" t="str">
            <v>一品一商</v>
          </cell>
          <cell r="H24" t="str">
            <v>品牌直发</v>
          </cell>
          <cell r="I24">
            <v>245</v>
          </cell>
        </row>
        <row r="25">
          <cell r="D25">
            <v>12421250</v>
          </cell>
          <cell r="E25" t="str">
            <v>伯希和/PELLIOT</v>
          </cell>
          <cell r="F25" t="str">
            <v>女装-外套-防晒服</v>
          </cell>
          <cell r="G25" t="str">
            <v>一品多商</v>
          </cell>
          <cell r="H25" t="str">
            <v>品牌直发</v>
          </cell>
          <cell r="I25">
            <v>1179</v>
          </cell>
        </row>
        <row r="26">
          <cell r="D26">
            <v>11340105</v>
          </cell>
          <cell r="E26" t="str">
            <v>伯希和/PELLIOT</v>
          </cell>
          <cell r="F26" t="str">
            <v>服装-外套-冲锋衣</v>
          </cell>
          <cell r="G26" t="str">
            <v>一品多商</v>
          </cell>
          <cell r="H26" t="str">
            <v>品牌直发</v>
          </cell>
          <cell r="I26">
            <v>2398</v>
          </cell>
        </row>
        <row r="27">
          <cell r="D27">
            <v>135101022</v>
          </cell>
          <cell r="E27" t="str">
            <v>伯希和/PELLIOT</v>
          </cell>
          <cell r="F27" t="str">
            <v>童装-儿童上装-冲锋衣</v>
          </cell>
          <cell r="G27" t="str">
            <v>一品一商</v>
          </cell>
          <cell r="H27" t="str">
            <v>品牌直发</v>
          </cell>
          <cell r="I27">
            <v>1674</v>
          </cell>
        </row>
        <row r="28">
          <cell r="D28" t="str">
            <v>PE124314376</v>
          </cell>
          <cell r="E28" t="str">
            <v>伯希和/PELLIOT</v>
          </cell>
          <cell r="F28" t="str">
            <v>服装-户外运动服-速干裤</v>
          </cell>
          <cell r="G28" t="str">
            <v>一品多商</v>
          </cell>
          <cell r="H28" t="str">
            <v>品牌直发</v>
          </cell>
          <cell r="I28">
            <v>1673</v>
          </cell>
        </row>
        <row r="29">
          <cell r="D29">
            <v>114301033</v>
          </cell>
          <cell r="E29" t="str">
            <v>伯希和/PELLIOT</v>
          </cell>
          <cell r="F29" t="str">
            <v>服装-外套-冲锋衣</v>
          </cell>
          <cell r="G29" t="str">
            <v>一品多商</v>
          </cell>
          <cell r="H29" t="str">
            <v>品牌直发</v>
          </cell>
          <cell r="I29">
            <v>2534</v>
          </cell>
        </row>
        <row r="30">
          <cell r="D30">
            <v>12421508</v>
          </cell>
          <cell r="E30" t="str">
            <v>伯希和/PELLIOT</v>
          </cell>
          <cell r="F30" t="str">
            <v>女装-上衣-Polo衫</v>
          </cell>
          <cell r="G30" t="str">
            <v>一品多商</v>
          </cell>
          <cell r="H30" t="str">
            <v>品牌直发</v>
          </cell>
          <cell r="I30">
            <v>585</v>
          </cell>
        </row>
        <row r="31">
          <cell r="D31">
            <v>11121411</v>
          </cell>
          <cell r="E31" t="str">
            <v>伯希和/PELLIOT</v>
          </cell>
          <cell r="F31" t="str">
            <v>服装-户外运动服-速干裤</v>
          </cell>
          <cell r="G31" t="str">
            <v>一品多商</v>
          </cell>
          <cell r="H31" t="str">
            <v>品牌直发</v>
          </cell>
          <cell r="I31">
            <v>578</v>
          </cell>
        </row>
        <row r="32">
          <cell r="D32">
            <v>115116021</v>
          </cell>
          <cell r="E32" t="str">
            <v>伯希和/PELLIOT</v>
          </cell>
          <cell r="F32" t="str">
            <v>服装-上衣-T恤</v>
          </cell>
          <cell r="G32" t="str">
            <v>一品多商</v>
          </cell>
          <cell r="H32" t="str">
            <v>品牌直发</v>
          </cell>
          <cell r="I32">
            <v>551</v>
          </cell>
        </row>
        <row r="33">
          <cell r="D33">
            <v>12321224</v>
          </cell>
          <cell r="E33" t="str">
            <v>伯希和/PELLIOT</v>
          </cell>
          <cell r="F33" t="str">
            <v>服装-外套-防晒服</v>
          </cell>
          <cell r="G33" t="str">
            <v>一品一商</v>
          </cell>
          <cell r="H33" t="str">
            <v>品牌直发</v>
          </cell>
          <cell r="I33">
            <v>1525</v>
          </cell>
        </row>
        <row r="34">
          <cell r="D34">
            <v>11340303</v>
          </cell>
          <cell r="E34" t="str">
            <v>伯希和/PELLIOT</v>
          </cell>
          <cell r="F34" t="str">
            <v>服装-外套-棉服</v>
          </cell>
          <cell r="G34" t="str">
            <v>一品多商</v>
          </cell>
          <cell r="H34" t="str">
            <v>品牌直发</v>
          </cell>
          <cell r="I34">
            <v>2489</v>
          </cell>
        </row>
        <row r="35">
          <cell r="D35" t="str">
            <v>PE1124101048</v>
          </cell>
          <cell r="E35" t="str">
            <v>伯希和/PELLIOT</v>
          </cell>
          <cell r="F35" t="str">
            <v>服装-外套-冲锋衣</v>
          </cell>
          <cell r="G35" t="str">
            <v>一品多商</v>
          </cell>
          <cell r="H35" t="str">
            <v>品牌直发</v>
          </cell>
          <cell r="I35">
            <v>2711</v>
          </cell>
        </row>
        <row r="36">
          <cell r="D36">
            <v>11421519</v>
          </cell>
          <cell r="E36" t="str">
            <v>伯希和/PELLIOT</v>
          </cell>
          <cell r="F36" t="str">
            <v>服装-上衣-Polo衫</v>
          </cell>
          <cell r="G36" t="str">
            <v>一品一商</v>
          </cell>
          <cell r="H36" t="str">
            <v>品牌直发</v>
          </cell>
          <cell r="I36">
            <v>807</v>
          </cell>
        </row>
        <row r="37">
          <cell r="D37">
            <v>11421201</v>
          </cell>
          <cell r="E37" t="str">
            <v>伯希和/PELLIOT</v>
          </cell>
          <cell r="F37" t="str">
            <v>服装-外套-防晒服</v>
          </cell>
          <cell r="G37" t="str">
            <v>一品多商</v>
          </cell>
          <cell r="H37" t="str">
            <v>品牌直发</v>
          </cell>
          <cell r="I37">
            <v>627</v>
          </cell>
        </row>
        <row r="38">
          <cell r="D38">
            <v>115107016</v>
          </cell>
          <cell r="E38" t="str">
            <v>伯希和/PELLIOT</v>
          </cell>
          <cell r="F38" t="str">
            <v>服装-长裤-软壳裤</v>
          </cell>
          <cell r="G38" t="str">
            <v>一品多商</v>
          </cell>
          <cell r="H38" t="str">
            <v>品牌直发</v>
          </cell>
          <cell r="I38">
            <v>819</v>
          </cell>
        </row>
        <row r="39">
          <cell r="D39">
            <v>11230601</v>
          </cell>
          <cell r="E39" t="str">
            <v>伯希和/PELLIOT</v>
          </cell>
          <cell r="F39" t="str">
            <v>服装-外套-软壳衣</v>
          </cell>
          <cell r="G39" t="str">
            <v>一品多商</v>
          </cell>
          <cell r="H39" t="str">
            <v>品牌直发</v>
          </cell>
          <cell r="I39">
            <v>991</v>
          </cell>
        </row>
        <row r="40">
          <cell r="D40">
            <v>115110021</v>
          </cell>
          <cell r="E40" t="str">
            <v>伯希和/PELLIOT</v>
          </cell>
          <cell r="F40" t="str">
            <v>服装-户外运动服-抓绒衣</v>
          </cell>
          <cell r="G40" t="str">
            <v>一品多商</v>
          </cell>
          <cell r="H40" t="str">
            <v>品牌直发</v>
          </cell>
          <cell r="I40">
            <v>575</v>
          </cell>
        </row>
        <row r="41">
          <cell r="D41">
            <v>112240128</v>
          </cell>
          <cell r="E41" t="str">
            <v>伯希和/PELLIOT</v>
          </cell>
          <cell r="F41" t="str">
            <v>服装-外套-冲锋衣</v>
          </cell>
          <cell r="G41" t="str">
            <v>一品多商</v>
          </cell>
          <cell r="H41" t="str">
            <v>品牌直发</v>
          </cell>
          <cell r="I41">
            <v>2694</v>
          </cell>
        </row>
        <row r="42">
          <cell r="D42">
            <v>115302003</v>
          </cell>
          <cell r="E42" t="str">
            <v>伯希和/PELLIOT</v>
          </cell>
          <cell r="F42" t="str">
            <v>服装-长裤-冲锋裤</v>
          </cell>
          <cell r="G42" t="str">
            <v>一品多商</v>
          </cell>
          <cell r="H42" t="str">
            <v>品牌直发</v>
          </cell>
          <cell r="I42">
            <v>1825</v>
          </cell>
        </row>
        <row r="43">
          <cell r="D43">
            <v>125302008</v>
          </cell>
          <cell r="E43" t="str">
            <v>伯希和/PELLIOT</v>
          </cell>
          <cell r="F43" t="str">
            <v>女装-长裤-冲锋裤</v>
          </cell>
          <cell r="G43" t="str">
            <v>一品多商</v>
          </cell>
          <cell r="H43" t="str">
            <v>品牌直发</v>
          </cell>
          <cell r="I43">
            <v>1542</v>
          </cell>
        </row>
        <row r="44">
          <cell r="D44">
            <v>115215030</v>
          </cell>
          <cell r="E44" t="str">
            <v>伯希和/PELLIOT</v>
          </cell>
          <cell r="F44" t="str">
            <v>服装-上衣-T恤</v>
          </cell>
          <cell r="G44" t="str">
            <v>一品一商</v>
          </cell>
          <cell r="H44" t="str">
            <v>品牌直发</v>
          </cell>
          <cell r="I44">
            <v>461</v>
          </cell>
        </row>
        <row r="45">
          <cell r="D45">
            <v>115214005</v>
          </cell>
          <cell r="E45" t="str">
            <v>伯希和/PELLIOT</v>
          </cell>
          <cell r="F45" t="str">
            <v>服装-户外运动服-速干裤</v>
          </cell>
          <cell r="G45" t="str">
            <v>一品多商</v>
          </cell>
          <cell r="H45" t="str">
            <v>品牌直发</v>
          </cell>
          <cell r="I45">
            <v>713</v>
          </cell>
        </row>
        <row r="46">
          <cell r="D46">
            <v>115107003</v>
          </cell>
          <cell r="E46" t="str">
            <v>伯希和/PELLIOT</v>
          </cell>
          <cell r="F46" t="str">
            <v>服装-长裤-软壳裤</v>
          </cell>
          <cell r="G46" t="str">
            <v>一品多商</v>
          </cell>
          <cell r="H46" t="str">
            <v>品牌直发</v>
          </cell>
          <cell r="I46">
            <v>1518</v>
          </cell>
        </row>
        <row r="47">
          <cell r="D47">
            <v>114319003</v>
          </cell>
          <cell r="E47" t="str">
            <v>伯希和/PELLIOT</v>
          </cell>
          <cell r="F47" t="str">
            <v>鞋-运动鞋-登山鞋/徒步鞋</v>
          </cell>
          <cell r="G47" t="str">
            <v>一品多商</v>
          </cell>
          <cell r="H47" t="str">
            <v>品牌直发</v>
          </cell>
          <cell r="I47">
            <v>929</v>
          </cell>
        </row>
        <row r="48">
          <cell r="D48">
            <v>11421241</v>
          </cell>
          <cell r="E48" t="str">
            <v>伯希和/PELLIOT</v>
          </cell>
          <cell r="F48" t="str">
            <v>服装-外套-防晒服</v>
          </cell>
          <cell r="G48" t="str">
            <v>一品多商</v>
          </cell>
          <cell r="H48" t="str">
            <v>品牌直发</v>
          </cell>
          <cell r="I48">
            <v>364</v>
          </cell>
        </row>
        <row r="49">
          <cell r="D49">
            <v>16325602</v>
          </cell>
          <cell r="E49" t="str">
            <v>伯希和/PELLIOT</v>
          </cell>
          <cell r="F49" t="str">
            <v>流行饰品/眼镜/服配-配饰-口罩</v>
          </cell>
          <cell r="G49" t="str">
            <v>一品一商</v>
          </cell>
          <cell r="H49" t="str">
            <v>品牌直发</v>
          </cell>
          <cell r="I49">
            <v>51</v>
          </cell>
        </row>
        <row r="50">
          <cell r="D50">
            <v>11421533</v>
          </cell>
          <cell r="E50" t="str">
            <v>伯希和/PELLIOT</v>
          </cell>
          <cell r="F50" t="str">
            <v>服装-上衣-Polo衫</v>
          </cell>
          <cell r="G50" t="str">
            <v>一品多商</v>
          </cell>
          <cell r="H50" t="str">
            <v>品牌直发</v>
          </cell>
          <cell r="I50">
            <v>484</v>
          </cell>
        </row>
        <row r="51">
          <cell r="D51">
            <v>12421254</v>
          </cell>
          <cell r="E51" t="str">
            <v>伯希和/PELLIOT</v>
          </cell>
          <cell r="F51" t="str">
            <v>女装-外套-防晒服</v>
          </cell>
          <cell r="G51" t="str">
            <v>一品多商</v>
          </cell>
          <cell r="H51" t="str">
            <v>品牌直发</v>
          </cell>
          <cell r="I51">
            <v>416</v>
          </cell>
        </row>
        <row r="52">
          <cell r="D52">
            <v>114408281</v>
          </cell>
          <cell r="E52" t="str">
            <v>伯希和/PELLIOT</v>
          </cell>
          <cell r="F52" t="str">
            <v>服装-外套-羽绒服</v>
          </cell>
          <cell r="G52" t="str">
            <v>一品多商</v>
          </cell>
          <cell r="H52" t="str">
            <v>品牌直发</v>
          </cell>
          <cell r="I52">
            <v>1358.77</v>
          </cell>
        </row>
        <row r="53">
          <cell r="D53">
            <v>12221514</v>
          </cell>
          <cell r="E53" t="str">
            <v>伯希和/PELLIOT</v>
          </cell>
          <cell r="F53" t="str">
            <v>女装-上衣-Polo衫</v>
          </cell>
          <cell r="G53" t="str">
            <v>一品一商</v>
          </cell>
          <cell r="H53" t="str">
            <v>品牌直发</v>
          </cell>
          <cell r="I53">
            <v>231</v>
          </cell>
        </row>
        <row r="54">
          <cell r="D54">
            <v>12040106</v>
          </cell>
          <cell r="E54" t="str">
            <v>伯希和/PELLIOT</v>
          </cell>
          <cell r="F54" t="str">
            <v>女装-外套-冲锋衣</v>
          </cell>
          <cell r="G54" t="str">
            <v>一品多商</v>
          </cell>
          <cell r="H54" t="str">
            <v>品牌直发</v>
          </cell>
          <cell r="I54">
            <v>1019</v>
          </cell>
        </row>
        <row r="55">
          <cell r="D55">
            <v>12121262</v>
          </cell>
          <cell r="E55" t="str">
            <v>伯希和/PELLIOT</v>
          </cell>
          <cell r="F55" t="str">
            <v>女装-外套-防晒服</v>
          </cell>
          <cell r="G55" t="str">
            <v>一品多商</v>
          </cell>
          <cell r="H55" t="str">
            <v>品牌直发</v>
          </cell>
          <cell r="I55">
            <v>321</v>
          </cell>
        </row>
        <row r="56">
          <cell r="D56" t="str">
            <v>16003601-2025</v>
          </cell>
          <cell r="E56" t="str">
            <v>伯希和/PELLIOT</v>
          </cell>
          <cell r="F56" t="str">
            <v>户外装备-徒步/攀登-登山杖/手杖</v>
          </cell>
          <cell r="G56" t="str">
            <v>一品一商</v>
          </cell>
          <cell r="H56" t="str">
            <v>品牌直发</v>
          </cell>
          <cell r="I56">
            <v>48</v>
          </cell>
        </row>
        <row r="57">
          <cell r="D57" t="str">
            <v>16403644-2025</v>
          </cell>
          <cell r="E57" t="str">
            <v>伯希和/PELLIOT</v>
          </cell>
          <cell r="F57" t="str">
            <v>户外装备-徒步/攀登-登山杖/手杖</v>
          </cell>
          <cell r="G57" t="str">
            <v>一品一商</v>
          </cell>
          <cell r="H57" t="str">
            <v>品牌直发</v>
          </cell>
          <cell r="I57">
            <v>434</v>
          </cell>
        </row>
        <row r="58">
          <cell r="D58">
            <v>115302007</v>
          </cell>
          <cell r="E58" t="str">
            <v>伯希和/PELLIOT</v>
          </cell>
          <cell r="F58" t="str">
            <v>服装-长裤-冲锋裤</v>
          </cell>
          <cell r="G58" t="str">
            <v>一品多商</v>
          </cell>
          <cell r="H58" t="str">
            <v>品牌直发</v>
          </cell>
          <cell r="I58">
            <v>1028</v>
          </cell>
        </row>
        <row r="59">
          <cell r="D59">
            <v>165041001</v>
          </cell>
          <cell r="E59" t="str">
            <v>伯希和/PELLIOT</v>
          </cell>
          <cell r="F59" t="str">
            <v>流行饰品/眼镜/服配-防晒服配-防晒脖套</v>
          </cell>
          <cell r="G59" t="str">
            <v>一品一商</v>
          </cell>
          <cell r="H59" t="str">
            <v>品牌直发</v>
          </cell>
          <cell r="I59">
            <v>41</v>
          </cell>
        </row>
        <row r="60">
          <cell r="D60">
            <v>125215020</v>
          </cell>
          <cell r="E60" t="str">
            <v>伯希和/PELLIOT</v>
          </cell>
          <cell r="F60" t="str">
            <v>女装-上衣-Polo衫</v>
          </cell>
          <cell r="G60" t="str">
            <v>一品多商</v>
          </cell>
          <cell r="H60" t="str">
            <v>品牌直发</v>
          </cell>
          <cell r="I60">
            <v>346</v>
          </cell>
        </row>
        <row r="61">
          <cell r="D61">
            <v>115215007</v>
          </cell>
          <cell r="E61" t="str">
            <v>伯希和/PELLIOT</v>
          </cell>
          <cell r="F61" t="str">
            <v>服装-上衣-Polo衫</v>
          </cell>
          <cell r="G61" t="str">
            <v>一品多商</v>
          </cell>
          <cell r="H61" t="str">
            <v>品牌直发</v>
          </cell>
          <cell r="I61">
            <v>506</v>
          </cell>
        </row>
        <row r="62">
          <cell r="D62">
            <v>115214015</v>
          </cell>
          <cell r="E62" t="str">
            <v>伯希和/PELLIOT</v>
          </cell>
          <cell r="F62" t="str">
            <v>服装-户外运动服-速干裤</v>
          </cell>
          <cell r="G62" t="str">
            <v>一品一商</v>
          </cell>
          <cell r="H62" t="str">
            <v>品牌直发</v>
          </cell>
          <cell r="I62">
            <v>419</v>
          </cell>
        </row>
        <row r="63">
          <cell r="D63">
            <v>115212003</v>
          </cell>
          <cell r="E63" t="str">
            <v>伯希和/PELLIOT</v>
          </cell>
          <cell r="F63" t="str">
            <v>服装-外套-防晒服</v>
          </cell>
          <cell r="G63" t="str">
            <v>一品多商</v>
          </cell>
          <cell r="H63" t="str">
            <v>品牌直发</v>
          </cell>
          <cell r="I63">
            <v>466</v>
          </cell>
        </row>
        <row r="64">
          <cell r="D64">
            <v>115220021</v>
          </cell>
          <cell r="E64" t="str">
            <v>伯希和/PELLIOT</v>
          </cell>
          <cell r="F64" t="str">
            <v>鞋-凉鞋/拖鞋-溯溪鞋</v>
          </cell>
          <cell r="G64" t="str">
            <v>一品一商</v>
          </cell>
          <cell r="H64" t="str">
            <v>品牌直发</v>
          </cell>
          <cell r="I64">
            <v>845</v>
          </cell>
        </row>
        <row r="65">
          <cell r="D65">
            <v>115215001</v>
          </cell>
          <cell r="E65" t="str">
            <v>伯希和/PELLIOT</v>
          </cell>
          <cell r="F65" t="str">
            <v>服装-上衣-T恤</v>
          </cell>
          <cell r="G65" t="str">
            <v>一品多商</v>
          </cell>
          <cell r="H65" t="str">
            <v>品牌直发</v>
          </cell>
          <cell r="I65">
            <v>362</v>
          </cell>
        </row>
        <row r="66">
          <cell r="D66">
            <v>125212004</v>
          </cell>
          <cell r="E66" t="str">
            <v>伯希和/PELLIOT</v>
          </cell>
          <cell r="F66" t="str">
            <v>女装-外套-防晒服</v>
          </cell>
          <cell r="G66" t="str">
            <v>一品多商</v>
          </cell>
          <cell r="H66" t="str">
            <v>品牌直发</v>
          </cell>
          <cell r="I66">
            <v>502</v>
          </cell>
        </row>
        <row r="67">
          <cell r="D67">
            <v>114401041</v>
          </cell>
          <cell r="E67" t="str">
            <v>伯希和/PELLIOT</v>
          </cell>
          <cell r="F67" t="str">
            <v>服装-外套-冲锋衣</v>
          </cell>
          <cell r="G67" t="str">
            <v>一品多商</v>
          </cell>
          <cell r="H67" t="str">
            <v>品牌直发</v>
          </cell>
          <cell r="I67">
            <v>1781</v>
          </cell>
        </row>
        <row r="68">
          <cell r="D68">
            <v>124419008</v>
          </cell>
          <cell r="E68" t="str">
            <v>伯希和/PELLIOT</v>
          </cell>
          <cell r="F68" t="str">
            <v>鞋-运动鞋-登山鞋/徒步鞋</v>
          </cell>
          <cell r="G68" t="str">
            <v>一品一商</v>
          </cell>
          <cell r="H68" t="str">
            <v>品牌直发</v>
          </cell>
          <cell r="I68">
            <v>917</v>
          </cell>
        </row>
        <row r="69">
          <cell r="D69">
            <v>11340305</v>
          </cell>
          <cell r="E69" t="str">
            <v>伯希和/PELLIOT</v>
          </cell>
          <cell r="F69" t="str">
            <v>服装-外套-棉服</v>
          </cell>
          <cell r="G69" t="str">
            <v>一品多商</v>
          </cell>
          <cell r="H69" t="str">
            <v>品牌直发</v>
          </cell>
          <cell r="I69">
            <v>1208</v>
          </cell>
        </row>
        <row r="70">
          <cell r="D70" t="str">
            <v>PE114307167</v>
          </cell>
          <cell r="E70" t="str">
            <v>伯希和/PELLIOT</v>
          </cell>
          <cell r="F70" t="str">
            <v>服装-长裤-软壳裤</v>
          </cell>
          <cell r="G70" t="str">
            <v>一品多商</v>
          </cell>
          <cell r="H70" t="str">
            <v>品牌直发</v>
          </cell>
          <cell r="I70">
            <v>744</v>
          </cell>
        </row>
        <row r="71">
          <cell r="D71">
            <v>124301070</v>
          </cell>
          <cell r="E71" t="str">
            <v>伯希和/PELLIOT</v>
          </cell>
          <cell r="F71" t="str">
            <v>服装-外套-冲锋衣</v>
          </cell>
          <cell r="G71" t="str">
            <v>一品多商</v>
          </cell>
          <cell r="H71" t="str">
            <v>品牌直发</v>
          </cell>
          <cell r="I71">
            <v>1344</v>
          </cell>
        </row>
        <row r="72">
          <cell r="D72">
            <v>114301037</v>
          </cell>
          <cell r="E72" t="str">
            <v>伯希和/PELLIOT</v>
          </cell>
          <cell r="F72" t="str">
            <v>服装-外套-冲锋衣</v>
          </cell>
          <cell r="G72" t="str">
            <v>一品多商</v>
          </cell>
          <cell r="H72" t="str">
            <v>品牌直发</v>
          </cell>
          <cell r="I72">
            <v>1052</v>
          </cell>
        </row>
        <row r="73">
          <cell r="D73">
            <v>124301006</v>
          </cell>
          <cell r="E73" t="str">
            <v>伯希和/PELLIOT</v>
          </cell>
          <cell r="F73" t="str">
            <v>服装-外套-冲锋衣</v>
          </cell>
          <cell r="G73" t="str">
            <v>一品多商</v>
          </cell>
          <cell r="H73" t="str">
            <v>品牌直发</v>
          </cell>
          <cell r="I73">
            <v>1421</v>
          </cell>
        </row>
        <row r="74">
          <cell r="D74">
            <v>11421429</v>
          </cell>
          <cell r="E74" t="str">
            <v>伯希和/PELLIOT</v>
          </cell>
          <cell r="F74" t="str">
            <v>服装-短裤-休闲短裤</v>
          </cell>
          <cell r="G74" t="str">
            <v>一品一商</v>
          </cell>
          <cell r="H74" t="str">
            <v>品牌直发</v>
          </cell>
          <cell r="I74">
            <v>412</v>
          </cell>
        </row>
        <row r="75">
          <cell r="D75" t="str">
            <v>11340105-CF05</v>
          </cell>
          <cell r="E75" t="str">
            <v>伯希和/PELLIOT</v>
          </cell>
          <cell r="F75" t="str">
            <v>服装-外套-冲锋衣</v>
          </cell>
          <cell r="G75" t="str">
            <v>一品多商</v>
          </cell>
          <cell r="H75" t="str">
            <v>品牌直发</v>
          </cell>
          <cell r="I75">
            <v>993</v>
          </cell>
        </row>
        <row r="76">
          <cell r="D76" t="str">
            <v>112340164-271037</v>
          </cell>
          <cell r="E76" t="str">
            <v>伯希和/PELLIOT</v>
          </cell>
          <cell r="F76" t="str">
            <v>服装-外套-冲锋衣</v>
          </cell>
          <cell r="G76" t="str">
            <v>一品多商</v>
          </cell>
          <cell r="H76" t="str">
            <v>品牌直发</v>
          </cell>
          <cell r="I76">
            <v>678</v>
          </cell>
        </row>
        <row r="77">
          <cell r="D77">
            <v>116423401</v>
          </cell>
          <cell r="E77" t="str">
            <v>伯希和/PELLIOT</v>
          </cell>
          <cell r="F77" t="str">
            <v>流行饰品/眼镜/服配-帽子-渔夫帽</v>
          </cell>
          <cell r="G77" t="str">
            <v>一品一商</v>
          </cell>
          <cell r="H77" t="str">
            <v>品牌直发</v>
          </cell>
          <cell r="I77">
            <v>74</v>
          </cell>
        </row>
        <row r="78">
          <cell r="D78">
            <v>16425601</v>
          </cell>
          <cell r="E78" t="str">
            <v>伯希和/PELLIOT</v>
          </cell>
          <cell r="F78" t="str">
            <v>流行饰品/眼镜/服配-防晒服配-防晒面罩</v>
          </cell>
          <cell r="G78" t="str">
            <v>一品一商</v>
          </cell>
          <cell r="H78" t="str">
            <v>品牌直发</v>
          </cell>
          <cell r="I78">
            <v>44</v>
          </cell>
        </row>
        <row r="79">
          <cell r="D79">
            <v>12421426</v>
          </cell>
          <cell r="E79" t="str">
            <v>伯希和/PELLIOT</v>
          </cell>
          <cell r="F79" t="str">
            <v>女装-户外运动服-速干裤</v>
          </cell>
          <cell r="G79" t="str">
            <v>一品多商</v>
          </cell>
          <cell r="H79" t="str">
            <v>品牌直发</v>
          </cell>
          <cell r="I79">
            <v>166</v>
          </cell>
        </row>
        <row r="80">
          <cell r="D80">
            <v>6902507</v>
          </cell>
          <cell r="E80" t="str">
            <v>伯希和/PELLIOT</v>
          </cell>
          <cell r="F80" t="str">
            <v>箱包-包袋-户外包</v>
          </cell>
          <cell r="G80" t="str">
            <v>一品一商</v>
          </cell>
          <cell r="H80" t="str">
            <v>品牌直发</v>
          </cell>
          <cell r="I80">
            <v>250</v>
          </cell>
        </row>
        <row r="81">
          <cell r="D81" t="str">
            <v>12340164-新加色</v>
          </cell>
          <cell r="E81" t="str">
            <v>伯希和/PELLIOT</v>
          </cell>
          <cell r="F81" t="str">
            <v>服装-外套-冲锋衣</v>
          </cell>
          <cell r="G81" t="str">
            <v>一品多商</v>
          </cell>
          <cell r="H81" t="str">
            <v>品牌直发</v>
          </cell>
          <cell r="I81">
            <v>622</v>
          </cell>
        </row>
        <row r="82">
          <cell r="D82">
            <v>11331801</v>
          </cell>
          <cell r="E82" t="str">
            <v>伯希和/PELLIOT</v>
          </cell>
          <cell r="F82" t="str">
            <v>内衣-内衣裤-保暖套装</v>
          </cell>
          <cell r="G82" t="str">
            <v>一品多商</v>
          </cell>
          <cell r="H82" t="str">
            <v>品牌直发</v>
          </cell>
          <cell r="I82">
            <v>243</v>
          </cell>
        </row>
        <row r="83">
          <cell r="D83">
            <v>11410201</v>
          </cell>
          <cell r="E83" t="str">
            <v>伯希和/PELLIOT</v>
          </cell>
          <cell r="F83" t="str">
            <v>服装-长裤-冲锋裤</v>
          </cell>
          <cell r="G83" t="str">
            <v>一品多商</v>
          </cell>
          <cell r="H83" t="str">
            <v>品牌直发</v>
          </cell>
          <cell r="I83">
            <v>433</v>
          </cell>
        </row>
        <row r="84">
          <cell r="D84">
            <v>11340821</v>
          </cell>
          <cell r="E84" t="str">
            <v>伯希和/PELLIOT</v>
          </cell>
          <cell r="F84" t="str">
            <v>服装-外套-羽绒服</v>
          </cell>
          <cell r="G84" t="str">
            <v>一品多商</v>
          </cell>
          <cell r="H84" t="str">
            <v>品牌直发</v>
          </cell>
          <cell r="I84">
            <v>569</v>
          </cell>
        </row>
        <row r="85">
          <cell r="D85">
            <v>11331011</v>
          </cell>
          <cell r="E85" t="str">
            <v>伯希和/PELLIOT</v>
          </cell>
          <cell r="F85" t="str">
            <v>服装-户外运动服-抓绒衣</v>
          </cell>
          <cell r="G85" t="str">
            <v>一品多商</v>
          </cell>
          <cell r="H85" t="str">
            <v>品牌直发</v>
          </cell>
          <cell r="I85">
            <v>139</v>
          </cell>
        </row>
        <row r="86">
          <cell r="D86">
            <v>112230602</v>
          </cell>
          <cell r="E86" t="str">
            <v>伯希和/PELLIOT</v>
          </cell>
          <cell r="F86" t="str">
            <v>女装-外套-软壳衣</v>
          </cell>
          <cell r="G86" t="str">
            <v>一品一商</v>
          </cell>
          <cell r="H86" t="str">
            <v>品牌直发</v>
          </cell>
          <cell r="I86">
            <v>339</v>
          </cell>
        </row>
        <row r="87">
          <cell r="D87">
            <v>12221536</v>
          </cell>
          <cell r="E87" t="str">
            <v>伯希和/PELLIOT</v>
          </cell>
          <cell r="F87" t="str">
            <v>女装-户外运动服-速干T恤</v>
          </cell>
          <cell r="G87" t="str">
            <v>一品一商</v>
          </cell>
          <cell r="H87" t="str">
            <v>品牌直发</v>
          </cell>
          <cell r="I87">
            <v>84</v>
          </cell>
        </row>
        <row r="88">
          <cell r="D88">
            <v>12321414</v>
          </cell>
          <cell r="E88" t="str">
            <v>伯希和/PELLIOT</v>
          </cell>
          <cell r="F88" t="str">
            <v>女装-户外运动服-速干裤</v>
          </cell>
          <cell r="G88" t="str">
            <v>一品一商</v>
          </cell>
          <cell r="H88" t="str">
            <v>品牌直发</v>
          </cell>
          <cell r="I88">
            <v>129</v>
          </cell>
        </row>
        <row r="89">
          <cell r="D89">
            <v>11321207</v>
          </cell>
          <cell r="E89" t="str">
            <v>伯希和/PELLIOT</v>
          </cell>
          <cell r="F89" t="str">
            <v>服装-外套-防晒服</v>
          </cell>
          <cell r="G89" t="str">
            <v>一品多商</v>
          </cell>
          <cell r="H89" t="str">
            <v>品牌直发</v>
          </cell>
          <cell r="I89">
            <v>147</v>
          </cell>
        </row>
        <row r="90">
          <cell r="D90">
            <v>11240823</v>
          </cell>
          <cell r="E90" t="str">
            <v>伯希和/PELLIOT</v>
          </cell>
          <cell r="F90" t="str">
            <v>服装-外套-羽绒服</v>
          </cell>
          <cell r="G90" t="str">
            <v>一品多商</v>
          </cell>
          <cell r="H90" t="str">
            <v>品牌直发</v>
          </cell>
          <cell r="I90">
            <v>1627</v>
          </cell>
        </row>
        <row r="91">
          <cell r="D91">
            <v>12231024</v>
          </cell>
          <cell r="E91" t="str">
            <v>伯希和/PELLIOT</v>
          </cell>
          <cell r="F91" t="str">
            <v>服装-户外运动服-抓绒衣</v>
          </cell>
          <cell r="G91" t="str">
            <v>一品一商</v>
          </cell>
          <cell r="H91" t="str">
            <v>品牌直发</v>
          </cell>
          <cell r="I91">
            <v>379</v>
          </cell>
        </row>
        <row r="92">
          <cell r="D92">
            <v>12240112</v>
          </cell>
          <cell r="E92" t="str">
            <v>伯希和/PELLIOT</v>
          </cell>
          <cell r="F92" t="str">
            <v>女装-外套-冲锋衣</v>
          </cell>
          <cell r="G92" t="str">
            <v>一品多商</v>
          </cell>
          <cell r="H92" t="str">
            <v>品牌直发</v>
          </cell>
          <cell r="I92">
            <v>519</v>
          </cell>
        </row>
        <row r="93">
          <cell r="D93">
            <v>125110022</v>
          </cell>
          <cell r="E93" t="str">
            <v>伯希和/PELLIOT</v>
          </cell>
          <cell r="F93" t="str">
            <v>女装-户外运动服-抓绒衣</v>
          </cell>
          <cell r="G93" t="str">
            <v>一品多商</v>
          </cell>
          <cell r="H93" t="str">
            <v>品牌直发</v>
          </cell>
          <cell r="I93">
            <v>221</v>
          </cell>
        </row>
        <row r="94">
          <cell r="D94">
            <v>12321248</v>
          </cell>
          <cell r="E94" t="str">
            <v>伯希和/PELLIOT</v>
          </cell>
          <cell r="F94" t="str">
            <v>女装-外套-防晒服</v>
          </cell>
          <cell r="G94" t="str">
            <v>一品多商</v>
          </cell>
          <cell r="H94" t="str">
            <v>品牌直发</v>
          </cell>
          <cell r="I94">
            <v>187</v>
          </cell>
        </row>
        <row r="95">
          <cell r="D95">
            <v>112121202</v>
          </cell>
          <cell r="E95" t="str">
            <v>伯希和/PELLIOT</v>
          </cell>
          <cell r="F95" t="str">
            <v>女装-外套-防晒服</v>
          </cell>
          <cell r="G95" t="str">
            <v>一品一商</v>
          </cell>
          <cell r="H95" t="str">
            <v>品牌直发</v>
          </cell>
          <cell r="I95">
            <v>127</v>
          </cell>
        </row>
        <row r="96">
          <cell r="D96">
            <v>125382008</v>
          </cell>
          <cell r="E96" t="str">
            <v>伯希和/PELLIOT</v>
          </cell>
          <cell r="F96" t="str">
            <v>鞋-运动鞋-登山鞋/徒步鞋</v>
          </cell>
          <cell r="G96" t="str">
            <v>一品多商</v>
          </cell>
          <cell r="H96" t="str">
            <v>品牌直发</v>
          </cell>
          <cell r="I96">
            <v>792</v>
          </cell>
        </row>
        <row r="97">
          <cell r="D97" t="str">
            <v>16403641-2025</v>
          </cell>
          <cell r="E97" t="str">
            <v>伯希和/PELLIOT</v>
          </cell>
          <cell r="F97" t="str">
            <v>户外装备-徒步/攀登-登山杖/手杖</v>
          </cell>
          <cell r="G97" t="str">
            <v>一品一商</v>
          </cell>
          <cell r="H97" t="str">
            <v>品牌直发</v>
          </cell>
          <cell r="I97">
            <v>47</v>
          </cell>
        </row>
        <row r="98">
          <cell r="D98" t="str">
            <v>16303650-2025</v>
          </cell>
          <cell r="E98" t="str">
            <v>伯希和/PELLIOT</v>
          </cell>
          <cell r="F98" t="str">
            <v>户外装备-徒步/攀登-登山杖/手杖</v>
          </cell>
          <cell r="G98" t="str">
            <v>一品一商</v>
          </cell>
          <cell r="H98" t="str">
            <v>普通现货</v>
          </cell>
          <cell r="I98">
            <v>80</v>
          </cell>
        </row>
        <row r="99">
          <cell r="D99">
            <v>125316033</v>
          </cell>
          <cell r="E99" t="str">
            <v>伯希和/PELLIOT</v>
          </cell>
          <cell r="F99" t="str">
            <v>女装-上衣-T恤</v>
          </cell>
          <cell r="G99" t="str">
            <v>一品多商</v>
          </cell>
          <cell r="H99" t="str">
            <v>品牌直发</v>
          </cell>
          <cell r="I99">
            <v>213</v>
          </cell>
        </row>
        <row r="100">
          <cell r="D100" t="str">
            <v>105301056-2025</v>
          </cell>
          <cell r="E100" t="str">
            <v>伯希和/PELLIOT</v>
          </cell>
          <cell r="F100" t="str">
            <v>女装-外套-冲锋衣</v>
          </cell>
          <cell r="G100" t="str">
            <v>一品多商</v>
          </cell>
          <cell r="H100" t="str">
            <v>品牌直发</v>
          </cell>
          <cell r="I100">
            <v>972</v>
          </cell>
        </row>
        <row r="101">
          <cell r="D101">
            <v>105301059</v>
          </cell>
          <cell r="E101" t="str">
            <v>伯希和/PELLIOT</v>
          </cell>
          <cell r="F101" t="str">
            <v>服装-外套-冲锋衣</v>
          </cell>
          <cell r="G101" t="str">
            <v>一品多商</v>
          </cell>
          <cell r="H101" t="str">
            <v>品牌直发</v>
          </cell>
          <cell r="I101">
            <v>792</v>
          </cell>
        </row>
        <row r="102">
          <cell r="D102" t="str">
            <v>115301054-新加色</v>
          </cell>
          <cell r="E102" t="str">
            <v>伯希和/PELLIOT</v>
          </cell>
          <cell r="F102" t="str">
            <v>服装-外套-冲锋衣</v>
          </cell>
          <cell r="G102" t="str">
            <v>一品多商</v>
          </cell>
          <cell r="H102" t="str">
            <v>品牌直发</v>
          </cell>
          <cell r="I102">
            <v>470</v>
          </cell>
        </row>
        <row r="103">
          <cell r="D103">
            <v>115220001</v>
          </cell>
          <cell r="E103" t="str">
            <v>伯希和/PELLIOT</v>
          </cell>
          <cell r="F103" t="str">
            <v>鞋-凉鞋/拖鞋-溯溪鞋</v>
          </cell>
          <cell r="G103" t="str">
            <v>一品多商</v>
          </cell>
          <cell r="H103" t="str">
            <v>品牌直发</v>
          </cell>
          <cell r="I103">
            <v>478</v>
          </cell>
        </row>
        <row r="104">
          <cell r="D104">
            <v>105301056</v>
          </cell>
          <cell r="E104" t="str">
            <v>伯希和/PELLIOT</v>
          </cell>
          <cell r="F104" t="str">
            <v>服装-外套-冲锋衣</v>
          </cell>
          <cell r="G104" t="str">
            <v>一品多商</v>
          </cell>
          <cell r="H104" t="str">
            <v>品牌直发</v>
          </cell>
          <cell r="I104">
            <v>972</v>
          </cell>
        </row>
        <row r="105">
          <cell r="D105">
            <v>1124301070</v>
          </cell>
          <cell r="E105" t="str">
            <v>伯希和/PELLIOT</v>
          </cell>
          <cell r="F105" t="str">
            <v>服装-外套-冲锋衣</v>
          </cell>
          <cell r="G105" t="str">
            <v>一品多商</v>
          </cell>
          <cell r="H105" t="str">
            <v>品牌直发</v>
          </cell>
          <cell r="I105">
            <v>750.21</v>
          </cell>
        </row>
        <row r="106">
          <cell r="D106">
            <v>125215048</v>
          </cell>
          <cell r="E106" t="str">
            <v>伯希和/PELLIOT</v>
          </cell>
          <cell r="F106" t="str">
            <v>女装-户外运动服-速干T恤</v>
          </cell>
          <cell r="G106" t="str">
            <v>一品一商</v>
          </cell>
          <cell r="H106" t="str">
            <v>品牌直发</v>
          </cell>
          <cell r="I106">
            <v>95</v>
          </cell>
        </row>
        <row r="107">
          <cell r="D107">
            <v>125214019</v>
          </cell>
          <cell r="E107" t="str">
            <v>伯希和/PELLIOT</v>
          </cell>
          <cell r="F107" t="str">
            <v>女装-长裙-休闲长裙</v>
          </cell>
          <cell r="G107" t="str">
            <v>一品多商</v>
          </cell>
          <cell r="H107" t="str">
            <v>品牌直发</v>
          </cell>
          <cell r="I107">
            <v>257</v>
          </cell>
        </row>
        <row r="108">
          <cell r="D108">
            <v>135212023</v>
          </cell>
          <cell r="E108" t="str">
            <v>伯希和/PELLIOT</v>
          </cell>
          <cell r="F108" t="str">
            <v>童装-儿童上装-防晒衣</v>
          </cell>
          <cell r="G108" t="str">
            <v>一品多商</v>
          </cell>
          <cell r="H108" t="str">
            <v>品牌直发</v>
          </cell>
          <cell r="I108">
            <v>191</v>
          </cell>
        </row>
        <row r="109">
          <cell r="D109">
            <v>125215022</v>
          </cell>
          <cell r="E109" t="str">
            <v>伯希和/PELLIOT</v>
          </cell>
          <cell r="F109" t="str">
            <v>女装-户外运动服-跑步T恤</v>
          </cell>
          <cell r="G109" t="str">
            <v>一品一商</v>
          </cell>
          <cell r="H109" t="str">
            <v>品牌直发</v>
          </cell>
          <cell r="I109">
            <v>173.9</v>
          </cell>
        </row>
        <row r="110">
          <cell r="D110">
            <v>125214022</v>
          </cell>
          <cell r="E110" t="str">
            <v>伯希和/PELLIOT</v>
          </cell>
          <cell r="F110" t="str">
            <v>女装-户外运动服-速干裤</v>
          </cell>
          <cell r="G110" t="str">
            <v>一品一商</v>
          </cell>
          <cell r="H110" t="str">
            <v>品牌直发</v>
          </cell>
          <cell r="I110">
            <v>242</v>
          </cell>
        </row>
        <row r="111">
          <cell r="D111">
            <v>115215023</v>
          </cell>
          <cell r="E111" t="str">
            <v>伯希和/PELLIOT</v>
          </cell>
          <cell r="F111" t="str">
            <v>服装-上衣-T恤</v>
          </cell>
          <cell r="G111" t="str">
            <v>一品多商</v>
          </cell>
          <cell r="H111" t="str">
            <v>品牌直发</v>
          </cell>
          <cell r="I111">
            <v>174</v>
          </cell>
        </row>
        <row r="112">
          <cell r="D112" t="str">
            <v>PE125215026</v>
          </cell>
          <cell r="E112" t="str">
            <v>伯希和/PELLIOT</v>
          </cell>
          <cell r="F112" t="str">
            <v>女装-户外运动服-速干T恤</v>
          </cell>
          <cell r="G112" t="str">
            <v>一品一商</v>
          </cell>
          <cell r="H112" t="str">
            <v>品牌直发</v>
          </cell>
          <cell r="I112">
            <v>254</v>
          </cell>
        </row>
        <row r="113">
          <cell r="D113">
            <v>115106003</v>
          </cell>
          <cell r="E113" t="str">
            <v>伯希和/PELLIOT</v>
          </cell>
          <cell r="F113" t="str">
            <v>服装-外套-软壳衣</v>
          </cell>
          <cell r="G113" t="str">
            <v>一品多商</v>
          </cell>
          <cell r="H113" t="str">
            <v>品牌直发</v>
          </cell>
          <cell r="I113">
            <v>559</v>
          </cell>
        </row>
        <row r="114">
          <cell r="D114">
            <v>135101017</v>
          </cell>
          <cell r="E114" t="str">
            <v>伯希和/PELLIOT</v>
          </cell>
          <cell r="F114" t="str">
            <v>童装-儿童上装-冲锋衣</v>
          </cell>
          <cell r="G114" t="str">
            <v>一品多商</v>
          </cell>
          <cell r="H114" t="str">
            <v>品牌直发</v>
          </cell>
          <cell r="I114">
            <v>504</v>
          </cell>
        </row>
        <row r="115">
          <cell r="D115">
            <v>115102001</v>
          </cell>
          <cell r="E115" t="str">
            <v>伯希和/PELLIOT</v>
          </cell>
          <cell r="F115" t="str">
            <v>服装-长裤-冲锋裤</v>
          </cell>
          <cell r="G115" t="str">
            <v>一品多商</v>
          </cell>
          <cell r="H115" t="str">
            <v>品牌直发</v>
          </cell>
          <cell r="I115">
            <v>714</v>
          </cell>
        </row>
        <row r="116">
          <cell r="D116">
            <v>125301055</v>
          </cell>
          <cell r="E116" t="str">
            <v>伯希和/PELLIOT</v>
          </cell>
          <cell r="F116" t="str">
            <v>女装-外套-冲锋衣</v>
          </cell>
          <cell r="G116" t="str">
            <v>一品多商</v>
          </cell>
          <cell r="H116" t="str">
            <v>品牌直发</v>
          </cell>
          <cell r="I116">
            <v>523</v>
          </cell>
        </row>
        <row r="117">
          <cell r="D117">
            <v>105212020</v>
          </cell>
          <cell r="E117" t="str">
            <v>伯希和/PELLIOT</v>
          </cell>
          <cell r="F117" t="str">
            <v>服装-外套-防晒服</v>
          </cell>
          <cell r="G117" t="str">
            <v>一品多商</v>
          </cell>
          <cell r="H117" t="str">
            <v>品牌直发</v>
          </cell>
          <cell r="I117">
            <v>263</v>
          </cell>
        </row>
        <row r="118">
          <cell r="D118">
            <v>115119025</v>
          </cell>
          <cell r="E118" t="str">
            <v>伯希和/PELLIOT</v>
          </cell>
          <cell r="F118" t="str">
            <v>鞋-运动鞋-越野跑鞋</v>
          </cell>
          <cell r="G118" t="str">
            <v>一品多商</v>
          </cell>
          <cell r="H118" t="str">
            <v>品牌直发</v>
          </cell>
          <cell r="I118">
            <v>362</v>
          </cell>
        </row>
        <row r="119">
          <cell r="D119" t="str">
            <v>124101048-新加色</v>
          </cell>
          <cell r="E119" t="str">
            <v>伯希和/PELLIOT</v>
          </cell>
          <cell r="F119" t="str">
            <v>服装-外套-冲锋衣</v>
          </cell>
          <cell r="G119" t="str">
            <v>一品多商</v>
          </cell>
          <cell r="H119" t="str">
            <v>品牌直发</v>
          </cell>
          <cell r="I119">
            <v>690</v>
          </cell>
        </row>
        <row r="120">
          <cell r="D120">
            <v>115151009</v>
          </cell>
          <cell r="E120" t="str">
            <v>伯希和/PELLIOT</v>
          </cell>
          <cell r="F120" t="str">
            <v>服装-外套-夹克</v>
          </cell>
          <cell r="G120" t="str">
            <v>一品一商</v>
          </cell>
          <cell r="H120" t="str">
            <v>品牌直发</v>
          </cell>
          <cell r="I120">
            <v>372</v>
          </cell>
        </row>
        <row r="121">
          <cell r="D121">
            <v>124306142</v>
          </cell>
          <cell r="E121" t="str">
            <v>伯希和/PELLIOT</v>
          </cell>
          <cell r="F121" t="str">
            <v>女装-外套-软壳衣</v>
          </cell>
          <cell r="G121" t="str">
            <v>一品多商</v>
          </cell>
          <cell r="H121" t="str">
            <v>品牌直发</v>
          </cell>
          <cell r="I121">
            <v>424</v>
          </cell>
        </row>
        <row r="122">
          <cell r="D122">
            <v>114301079</v>
          </cell>
          <cell r="E122" t="str">
            <v>伯希和/PELLIOT</v>
          </cell>
          <cell r="F122" t="str">
            <v>服装-外套-冲锋衣</v>
          </cell>
          <cell r="G122" t="str">
            <v>一品多商</v>
          </cell>
          <cell r="H122" t="str">
            <v>品牌直发</v>
          </cell>
          <cell r="I122">
            <v>892</v>
          </cell>
        </row>
        <row r="123">
          <cell r="D123">
            <v>124408252</v>
          </cell>
          <cell r="E123" t="str">
            <v>伯希和/PELLIOT</v>
          </cell>
          <cell r="F123" t="str">
            <v>女装-外套-羽绒服</v>
          </cell>
          <cell r="G123" t="str">
            <v>一品多商</v>
          </cell>
          <cell r="H123" t="str">
            <v>品牌直发</v>
          </cell>
          <cell r="I123">
            <v>481</v>
          </cell>
        </row>
        <row r="124">
          <cell r="D124">
            <v>124311234</v>
          </cell>
          <cell r="E124" t="str">
            <v>伯希和/PELLIOT</v>
          </cell>
          <cell r="F124" t="str">
            <v>女装-户外运动服-抓绒裤</v>
          </cell>
          <cell r="G124" t="str">
            <v>一品多商</v>
          </cell>
          <cell r="H124" t="str">
            <v>品牌直发</v>
          </cell>
          <cell r="I124">
            <v>254</v>
          </cell>
        </row>
        <row r="125">
          <cell r="D125">
            <v>114306151</v>
          </cell>
          <cell r="E125" t="str">
            <v>伯希和/PELLIOT</v>
          </cell>
          <cell r="F125" t="str">
            <v>服装-外套-软壳衣</v>
          </cell>
          <cell r="G125" t="str">
            <v>一品多商</v>
          </cell>
          <cell r="H125" t="str">
            <v>品牌直发</v>
          </cell>
          <cell r="I125">
            <v>574</v>
          </cell>
        </row>
        <row r="126">
          <cell r="D126">
            <v>114311233</v>
          </cell>
          <cell r="E126" t="str">
            <v>伯希和/PELLIOT</v>
          </cell>
          <cell r="F126" t="str">
            <v>服装-户外运动服-抓绒裤</v>
          </cell>
          <cell r="G126" t="str">
            <v>一品多商</v>
          </cell>
          <cell r="H126" t="str">
            <v>品牌直发</v>
          </cell>
          <cell r="I126">
            <v>272</v>
          </cell>
        </row>
        <row r="127">
          <cell r="D127">
            <v>114376129</v>
          </cell>
          <cell r="E127" t="str">
            <v>伯希和/PELLIOT</v>
          </cell>
          <cell r="F127" t="str">
            <v>服装-外套-棉服</v>
          </cell>
          <cell r="G127" t="str">
            <v>一品多商</v>
          </cell>
          <cell r="H127" t="str">
            <v>品牌直发</v>
          </cell>
          <cell r="I127">
            <v>711</v>
          </cell>
        </row>
        <row r="128">
          <cell r="D128">
            <v>114314377</v>
          </cell>
          <cell r="E128" t="str">
            <v>伯希和/PELLIOT</v>
          </cell>
          <cell r="F128" t="str">
            <v>服装-长裤-软壳裤</v>
          </cell>
          <cell r="G128" t="str">
            <v>一品多商</v>
          </cell>
          <cell r="H128" t="str">
            <v>品牌直发</v>
          </cell>
          <cell r="I128">
            <v>264</v>
          </cell>
        </row>
        <row r="129">
          <cell r="D129">
            <v>114307161</v>
          </cell>
          <cell r="E129" t="str">
            <v>伯希和/PELLIOT</v>
          </cell>
          <cell r="F129" t="str">
            <v>服装-长裤-软壳裤</v>
          </cell>
          <cell r="G129" t="str">
            <v>一品一商</v>
          </cell>
          <cell r="H129" t="str">
            <v>品牌直发</v>
          </cell>
          <cell r="I129">
            <v>322</v>
          </cell>
        </row>
        <row r="130">
          <cell r="D130">
            <v>114306149</v>
          </cell>
          <cell r="E130" t="str">
            <v>伯希和/PELLIOT</v>
          </cell>
          <cell r="F130" t="str">
            <v>服装-外套-软壳衣</v>
          </cell>
          <cell r="G130" t="str">
            <v>一品多商</v>
          </cell>
          <cell r="H130" t="str">
            <v>品牌直发</v>
          </cell>
          <cell r="I130">
            <v>394</v>
          </cell>
        </row>
        <row r="131">
          <cell r="D131" t="str">
            <v>PE114310183</v>
          </cell>
          <cell r="E131" t="str">
            <v>伯希和/PELLIOT</v>
          </cell>
          <cell r="F131" t="str">
            <v>服装-户外运动服-抓绒衣</v>
          </cell>
          <cell r="G131" t="str">
            <v>一品一商</v>
          </cell>
          <cell r="H131" t="str">
            <v>品牌直发</v>
          </cell>
          <cell r="I131">
            <v>254</v>
          </cell>
        </row>
        <row r="132">
          <cell r="D132" t="str">
            <v>PE114302081</v>
          </cell>
          <cell r="E132" t="str">
            <v>伯希和/PELLIOT</v>
          </cell>
          <cell r="F132" t="str">
            <v>服装-长裤-冲锋裤</v>
          </cell>
          <cell r="G132" t="str">
            <v>一品多商</v>
          </cell>
          <cell r="H132" t="str">
            <v>品牌直发</v>
          </cell>
          <cell r="I132">
            <v>454</v>
          </cell>
        </row>
        <row r="133">
          <cell r="D133">
            <v>114306147</v>
          </cell>
          <cell r="E133" t="str">
            <v>伯希和/PELLIOT</v>
          </cell>
          <cell r="F133" t="str">
            <v>服装-外套-软壳衣</v>
          </cell>
          <cell r="G133" t="str">
            <v>一品多商</v>
          </cell>
          <cell r="H133" t="str">
            <v>品牌直发</v>
          </cell>
          <cell r="I133">
            <v>454</v>
          </cell>
        </row>
        <row r="134">
          <cell r="D134">
            <v>164334403</v>
          </cell>
          <cell r="E134" t="str">
            <v>伯希和/PELLIOT</v>
          </cell>
          <cell r="F134" t="str">
            <v>流行饰品/眼镜/服配-帽子-绒线帽</v>
          </cell>
          <cell r="G134" t="str">
            <v>一品一商</v>
          </cell>
          <cell r="H134" t="str">
            <v>品牌直发</v>
          </cell>
          <cell r="I134">
            <v>64</v>
          </cell>
        </row>
        <row r="135">
          <cell r="D135">
            <v>124319004</v>
          </cell>
          <cell r="E135" t="str">
            <v>伯希和/PELLIOT</v>
          </cell>
          <cell r="F135" t="str">
            <v>鞋-运动鞋-登山鞋/徒步鞋</v>
          </cell>
          <cell r="G135" t="str">
            <v>一品一商</v>
          </cell>
          <cell r="H135" t="str">
            <v>品牌直发</v>
          </cell>
          <cell r="I135">
            <v>324</v>
          </cell>
        </row>
        <row r="136">
          <cell r="D136">
            <v>165025069</v>
          </cell>
          <cell r="E136" t="str">
            <v>伯希和/PELLIOT</v>
          </cell>
          <cell r="F136" t="str">
            <v>箱包-包袋-户外包</v>
          </cell>
          <cell r="G136" t="str">
            <v>一品一商</v>
          </cell>
          <cell r="H136" t="str">
            <v>品牌直发</v>
          </cell>
          <cell r="I136">
            <v>104</v>
          </cell>
        </row>
        <row r="137">
          <cell r="D137">
            <v>11411909</v>
          </cell>
          <cell r="E137" t="str">
            <v>伯希和/PELLIOT</v>
          </cell>
          <cell r="F137" t="str">
            <v>鞋-运动鞋-登山鞋/徒步鞋</v>
          </cell>
          <cell r="G137" t="str">
            <v>一品多商</v>
          </cell>
          <cell r="H137" t="str">
            <v>品牌直发</v>
          </cell>
          <cell r="I137">
            <v>330</v>
          </cell>
        </row>
        <row r="138">
          <cell r="D138">
            <v>11411401</v>
          </cell>
          <cell r="E138" t="str">
            <v>伯希和/PELLIOT</v>
          </cell>
          <cell r="F138" t="str">
            <v>服装-长裤-软壳裤</v>
          </cell>
          <cell r="G138" t="str">
            <v>一品多商</v>
          </cell>
          <cell r="H138" t="str">
            <v>品牌直发</v>
          </cell>
          <cell r="I138">
            <v>0</v>
          </cell>
        </row>
        <row r="139">
          <cell r="D139">
            <v>12421252</v>
          </cell>
          <cell r="E139" t="str">
            <v>伯希和/PELLIOT</v>
          </cell>
          <cell r="F139" t="str">
            <v>女装-外套-防晒服</v>
          </cell>
          <cell r="G139" t="str">
            <v>一品多商</v>
          </cell>
          <cell r="H139" t="str">
            <v>品牌直发</v>
          </cell>
          <cell r="I139">
            <v>0</v>
          </cell>
        </row>
        <row r="140">
          <cell r="D140">
            <v>12421230</v>
          </cell>
          <cell r="E140" t="str">
            <v>伯希和/PELLIOT</v>
          </cell>
          <cell r="F140" t="str">
            <v>女装-外套-防晒服</v>
          </cell>
          <cell r="G140" t="str">
            <v>一品多商</v>
          </cell>
          <cell r="H140" t="str">
            <v>品牌直发</v>
          </cell>
          <cell r="I140">
            <v>0</v>
          </cell>
        </row>
        <row r="141">
          <cell r="D141">
            <v>12421212</v>
          </cell>
          <cell r="E141" t="str">
            <v>伯希和/PELLIOT</v>
          </cell>
          <cell r="F141" t="str">
            <v>女装-外套-防晒服</v>
          </cell>
          <cell r="G141" t="str">
            <v>一品多商</v>
          </cell>
          <cell r="H141" t="str">
            <v>品牌直发</v>
          </cell>
          <cell r="I141">
            <v>0</v>
          </cell>
        </row>
        <row r="142">
          <cell r="D142">
            <v>11421411</v>
          </cell>
          <cell r="E142" t="str">
            <v>伯希和/PELLIOT</v>
          </cell>
          <cell r="F142" t="str">
            <v>服装-户外运动服-速干裤</v>
          </cell>
          <cell r="G142" t="str">
            <v>一品多商</v>
          </cell>
          <cell r="H142" t="str">
            <v>品牌直发</v>
          </cell>
          <cell r="I142">
            <v>0</v>
          </cell>
        </row>
        <row r="143">
          <cell r="D143">
            <v>11421409</v>
          </cell>
          <cell r="E143" t="str">
            <v>伯希和/PELLIOT</v>
          </cell>
          <cell r="F143" t="str">
            <v>服装-户外运动服-速干裤</v>
          </cell>
          <cell r="G143" t="str">
            <v>一品多商</v>
          </cell>
          <cell r="H143" t="str">
            <v>品牌直发</v>
          </cell>
          <cell r="I143">
            <v>0</v>
          </cell>
        </row>
        <row r="144">
          <cell r="D144">
            <v>11411405</v>
          </cell>
          <cell r="E144" t="str">
            <v>伯希和/PELLIOT</v>
          </cell>
          <cell r="F144" t="str">
            <v>服装-长裤-软壳裤</v>
          </cell>
          <cell r="G144" t="str">
            <v>一品一商</v>
          </cell>
          <cell r="H144" t="str">
            <v>品牌直发</v>
          </cell>
          <cell r="I144">
            <v>0</v>
          </cell>
        </row>
        <row r="145">
          <cell r="D145">
            <v>11421211</v>
          </cell>
          <cell r="E145" t="str">
            <v>伯希和/PELLIOT</v>
          </cell>
          <cell r="F145" t="str">
            <v>服装-外套-防晒服</v>
          </cell>
          <cell r="G145" t="str">
            <v>一品多商</v>
          </cell>
          <cell r="H145" t="str">
            <v>品牌直发</v>
          </cell>
          <cell r="I145">
            <v>0</v>
          </cell>
        </row>
        <row r="146">
          <cell r="D146">
            <v>12421538</v>
          </cell>
          <cell r="E146" t="str">
            <v>伯希和/PELLIOT</v>
          </cell>
          <cell r="F146" t="str">
            <v>女装-户外运动服-跑步T恤</v>
          </cell>
          <cell r="G146" t="str">
            <v>一品一商</v>
          </cell>
          <cell r="H146" t="str">
            <v>品牌直发</v>
          </cell>
          <cell r="I146">
            <v>0</v>
          </cell>
        </row>
        <row r="147">
          <cell r="D147">
            <v>16423433</v>
          </cell>
          <cell r="E147" t="str">
            <v>伯希和/PELLIOT</v>
          </cell>
          <cell r="F147" t="str">
            <v>流行饰品/眼镜/服配-防晒服配-防晒帽</v>
          </cell>
          <cell r="G147" t="str">
            <v>一品一商</v>
          </cell>
          <cell r="H147" t="str">
            <v>品牌直发</v>
          </cell>
          <cell r="I147">
            <v>0</v>
          </cell>
        </row>
        <row r="148">
          <cell r="D148">
            <v>11421503</v>
          </cell>
          <cell r="E148" t="str">
            <v>伯希和/PELLIOT</v>
          </cell>
          <cell r="F148" t="str">
            <v>服装-上衣-Polo衫</v>
          </cell>
          <cell r="G148" t="str">
            <v>一品多商</v>
          </cell>
          <cell r="H148" t="str">
            <v>品牌直发</v>
          </cell>
          <cell r="I148">
            <v>0</v>
          </cell>
        </row>
        <row r="149">
          <cell r="D149">
            <v>11421215</v>
          </cell>
          <cell r="E149" t="str">
            <v>伯希和/PELLIOT</v>
          </cell>
          <cell r="F149" t="str">
            <v>服装-外套-防晒服</v>
          </cell>
          <cell r="G149" t="str">
            <v>一品多商</v>
          </cell>
          <cell r="H149" t="str">
            <v>品牌直发</v>
          </cell>
          <cell r="I149">
            <v>0</v>
          </cell>
        </row>
        <row r="150">
          <cell r="D150">
            <v>12421226</v>
          </cell>
          <cell r="E150" t="str">
            <v>伯希和/PELLIOT</v>
          </cell>
          <cell r="F150" t="str">
            <v>女装-外套-防晒服</v>
          </cell>
          <cell r="G150" t="str">
            <v>一品一商</v>
          </cell>
          <cell r="H150" t="str">
            <v>品牌直发</v>
          </cell>
          <cell r="I150">
            <v>0</v>
          </cell>
        </row>
        <row r="151">
          <cell r="D151">
            <v>12421228</v>
          </cell>
          <cell r="E151" t="str">
            <v>伯希和/PELLIOT</v>
          </cell>
          <cell r="F151" t="str">
            <v>女装-外套-防晒服</v>
          </cell>
          <cell r="G151" t="str">
            <v>一品多商</v>
          </cell>
          <cell r="H151" t="str">
            <v>品牌直发</v>
          </cell>
          <cell r="I151">
            <v>0</v>
          </cell>
        </row>
        <row r="152">
          <cell r="D152">
            <v>12410306</v>
          </cell>
          <cell r="E152" t="str">
            <v>伯希和/PELLIOT</v>
          </cell>
          <cell r="F152" t="str">
            <v>女装-户外运动服-滑雪衣</v>
          </cell>
          <cell r="G152" t="str">
            <v>一品多商</v>
          </cell>
          <cell r="H152" t="str">
            <v>品牌直发</v>
          </cell>
          <cell r="I152">
            <v>0</v>
          </cell>
        </row>
        <row r="153">
          <cell r="D153">
            <v>11340157</v>
          </cell>
          <cell r="E153" t="str">
            <v>伯希和/PELLIOT</v>
          </cell>
          <cell r="F153" t="str">
            <v>服装-外套-冲锋衣</v>
          </cell>
          <cell r="G153" t="str">
            <v>一品一商</v>
          </cell>
          <cell r="H153" t="str">
            <v>品牌直发</v>
          </cell>
          <cell r="I153">
            <v>0</v>
          </cell>
        </row>
        <row r="154">
          <cell r="D154">
            <v>12421502</v>
          </cell>
          <cell r="E154" t="str">
            <v>伯希和/PELLIOT</v>
          </cell>
          <cell r="F154" t="str">
            <v>女装-户外运动服-速干衣</v>
          </cell>
          <cell r="G154" t="str">
            <v>一品多商</v>
          </cell>
          <cell r="H154" t="str">
            <v>品牌直发</v>
          </cell>
          <cell r="I154">
            <v>0</v>
          </cell>
        </row>
        <row r="155">
          <cell r="D155">
            <v>11421501</v>
          </cell>
          <cell r="E155" t="str">
            <v>伯希和/PELLIOT</v>
          </cell>
          <cell r="F155" t="str">
            <v>服装-上衣-T恤</v>
          </cell>
          <cell r="G155" t="str">
            <v>一品多商</v>
          </cell>
          <cell r="H155" t="str">
            <v>品牌直发</v>
          </cell>
          <cell r="I155">
            <v>0</v>
          </cell>
        </row>
        <row r="156">
          <cell r="D156">
            <v>16423408</v>
          </cell>
          <cell r="E156" t="str">
            <v>伯希和/PELLIOT</v>
          </cell>
          <cell r="F156" t="str">
            <v>流行饰品/眼镜/服配-防晒服配-防晒帽</v>
          </cell>
          <cell r="G156" t="str">
            <v>一品一商</v>
          </cell>
          <cell r="H156" t="str">
            <v>品牌直发</v>
          </cell>
          <cell r="I156">
            <v>0</v>
          </cell>
        </row>
        <row r="157">
          <cell r="D157">
            <v>16423407</v>
          </cell>
          <cell r="E157" t="str">
            <v>伯希和/PELLIOT</v>
          </cell>
          <cell r="F157" t="str">
            <v>流行饰品/眼镜/服配-防晒服配-防晒帽</v>
          </cell>
          <cell r="G157" t="str">
            <v>一品一商</v>
          </cell>
          <cell r="H157" t="str">
            <v>品牌直发</v>
          </cell>
          <cell r="I157">
            <v>0</v>
          </cell>
        </row>
        <row r="158">
          <cell r="D158">
            <v>164332401</v>
          </cell>
          <cell r="E158" t="str">
            <v>伯希和/PELLIOT</v>
          </cell>
          <cell r="F158" t="str">
            <v>流行饰品/眼镜/服配-围巾-绒线围巾</v>
          </cell>
          <cell r="G158" t="str">
            <v>一品一商</v>
          </cell>
          <cell r="H158" t="str">
            <v>品牌直发</v>
          </cell>
          <cell r="I158">
            <v>0</v>
          </cell>
        </row>
        <row r="159">
          <cell r="D159">
            <v>16424601</v>
          </cell>
          <cell r="E159" t="str">
            <v>伯希和/PELLIOT</v>
          </cell>
          <cell r="F159" t="str">
            <v>流行饰品/眼镜/服配-防晒服配-防晒袖</v>
          </cell>
          <cell r="G159" t="str">
            <v>一品一商</v>
          </cell>
          <cell r="H159" t="str">
            <v>品牌直发</v>
          </cell>
          <cell r="I159">
            <v>0</v>
          </cell>
        </row>
        <row r="160">
          <cell r="D160">
            <v>12425112</v>
          </cell>
          <cell r="E160" t="str">
            <v>伯希和/PELLIOT</v>
          </cell>
          <cell r="F160" t="str">
            <v>女装-外套-防晒服</v>
          </cell>
          <cell r="G160" t="str">
            <v>一品多商</v>
          </cell>
          <cell r="H160" t="str">
            <v>品牌直发</v>
          </cell>
          <cell r="I160">
            <v>0</v>
          </cell>
        </row>
        <row r="161">
          <cell r="D161">
            <v>11410305</v>
          </cell>
          <cell r="E161" t="str">
            <v>伯希和/PELLIOT</v>
          </cell>
          <cell r="F161" t="str">
            <v>服装-户外运动服-滑雪衣</v>
          </cell>
          <cell r="G161" t="str">
            <v>一品多商</v>
          </cell>
          <cell r="H161" t="str">
            <v>品牌直发</v>
          </cell>
          <cell r="I161">
            <v>0</v>
          </cell>
        </row>
        <row r="162">
          <cell r="D162">
            <v>11410303</v>
          </cell>
          <cell r="E162" t="str">
            <v>伯希和/PELLIOT</v>
          </cell>
          <cell r="F162" t="str">
            <v>服装-外套-棉服</v>
          </cell>
          <cell r="G162" t="str">
            <v>一品多商</v>
          </cell>
          <cell r="H162" t="str">
            <v>品牌直发</v>
          </cell>
          <cell r="I162">
            <v>0</v>
          </cell>
        </row>
        <row r="163">
          <cell r="D163">
            <v>116123408</v>
          </cell>
          <cell r="E163" t="str">
            <v>伯希和/PELLIOT</v>
          </cell>
          <cell r="F163" t="str">
            <v>流行饰品/眼镜/服配-防晒服配-防晒帽</v>
          </cell>
          <cell r="G163" t="str">
            <v>一品一商</v>
          </cell>
          <cell r="H163" t="str">
            <v>品牌直发</v>
          </cell>
          <cell r="I163">
            <v>0</v>
          </cell>
        </row>
        <row r="164">
          <cell r="D164">
            <v>16223401</v>
          </cell>
          <cell r="E164" t="str">
            <v>伯希和/PELLIOT</v>
          </cell>
          <cell r="F164" t="str">
            <v>流行饰品/眼镜/服配-防晒服配-防晒帽</v>
          </cell>
          <cell r="G164" t="str">
            <v>一品一商</v>
          </cell>
          <cell r="H164" t="str">
            <v>品牌直发</v>
          </cell>
          <cell r="I164">
            <v>0</v>
          </cell>
        </row>
        <row r="165">
          <cell r="D165">
            <v>116223402</v>
          </cell>
          <cell r="E165" t="str">
            <v>伯希和/PELLIOT</v>
          </cell>
          <cell r="F165" t="str">
            <v>流行饰品/眼镜/服配-防晒服配-防晒帽</v>
          </cell>
          <cell r="G165" t="str">
            <v>一品一商</v>
          </cell>
          <cell r="H165" t="str">
            <v>品牌直发</v>
          </cell>
          <cell r="I165">
            <v>0</v>
          </cell>
        </row>
        <row r="166">
          <cell r="D166">
            <v>16225604</v>
          </cell>
          <cell r="E166" t="str">
            <v>伯希和/PELLIOT</v>
          </cell>
          <cell r="F166" t="str">
            <v>流行饰品/眼镜/服配-防晒服配-防晒面罩</v>
          </cell>
          <cell r="G166" t="str">
            <v>一品一商</v>
          </cell>
          <cell r="H166" t="str">
            <v>品牌直发</v>
          </cell>
          <cell r="I166">
            <v>0</v>
          </cell>
        </row>
        <row r="167">
          <cell r="D167">
            <v>16423401</v>
          </cell>
          <cell r="E167" t="str">
            <v>伯希和/PELLIOT</v>
          </cell>
          <cell r="F167" t="str">
            <v>流行饰品/眼镜/服配-帽子-渔夫帽</v>
          </cell>
          <cell r="G167" t="str">
            <v>一品一商</v>
          </cell>
          <cell r="H167" t="str">
            <v>品牌直发</v>
          </cell>
          <cell r="I167">
            <v>0</v>
          </cell>
        </row>
        <row r="168">
          <cell r="D168">
            <v>16423406</v>
          </cell>
          <cell r="E168" t="str">
            <v>伯希和/PELLIOT</v>
          </cell>
          <cell r="F168" t="str">
            <v>流行饰品/眼镜/服配-防晒服配-防晒帽</v>
          </cell>
          <cell r="G168" t="str">
            <v>一品一商</v>
          </cell>
          <cell r="H168" t="str">
            <v>品牌直发</v>
          </cell>
          <cell r="I168">
            <v>0</v>
          </cell>
        </row>
        <row r="169">
          <cell r="D169">
            <v>12421214</v>
          </cell>
          <cell r="E169" t="str">
            <v>伯希和/PELLIOT</v>
          </cell>
          <cell r="F169" t="str">
            <v>女装-外套-防晒服</v>
          </cell>
          <cell r="G169" t="str">
            <v>一品一商</v>
          </cell>
          <cell r="H169" t="str">
            <v>品牌直发</v>
          </cell>
          <cell r="I169">
            <v>0</v>
          </cell>
        </row>
        <row r="170">
          <cell r="D170">
            <v>16023203</v>
          </cell>
          <cell r="E170" t="str">
            <v>伯希和/PELLIOT</v>
          </cell>
          <cell r="F170" t="str">
            <v>流行饰品/眼镜/服配-防晒服配-防晒脖套</v>
          </cell>
          <cell r="G170" t="str">
            <v>一品一商</v>
          </cell>
          <cell r="H170" t="str">
            <v>品牌直发</v>
          </cell>
          <cell r="I170">
            <v>0</v>
          </cell>
        </row>
        <row r="171">
          <cell r="D171">
            <v>16943407</v>
          </cell>
          <cell r="E171" t="str">
            <v>伯希和/PELLIOT</v>
          </cell>
          <cell r="F171" t="str">
            <v>流行饰品/眼镜/服配-帽子-绒线帽</v>
          </cell>
          <cell r="G171" t="str">
            <v>一品一商</v>
          </cell>
          <cell r="H171" t="str">
            <v>品牌直发</v>
          </cell>
          <cell r="I171">
            <v>0</v>
          </cell>
        </row>
        <row r="172">
          <cell r="D172">
            <v>11421425</v>
          </cell>
          <cell r="E172" t="str">
            <v>伯希和/PELLIOT</v>
          </cell>
          <cell r="F172" t="str">
            <v>服装-长裤-针织运动裤</v>
          </cell>
          <cell r="G172" t="str">
            <v>一品多商</v>
          </cell>
          <cell r="H172" t="str">
            <v>品牌直发</v>
          </cell>
          <cell r="I172">
            <v>0</v>
          </cell>
        </row>
        <row r="173">
          <cell r="D173">
            <v>16903501</v>
          </cell>
          <cell r="E173" t="str">
            <v>伯希和/PELLIOT</v>
          </cell>
          <cell r="F173" t="str">
            <v>内衣-袜子-短袜</v>
          </cell>
          <cell r="G173" t="str">
            <v>一品一商</v>
          </cell>
          <cell r="H173" t="str">
            <v>品牌直发</v>
          </cell>
          <cell r="I173">
            <v>0</v>
          </cell>
        </row>
        <row r="174">
          <cell r="D174">
            <v>16023101</v>
          </cell>
          <cell r="E174" t="str">
            <v>伯希和/PELLIOT</v>
          </cell>
          <cell r="F174" t="str">
            <v>流行饰品/眼镜/服配-防晒服配-防晒手套</v>
          </cell>
          <cell r="G174" t="str">
            <v>一品一商</v>
          </cell>
          <cell r="H174" t="str">
            <v>品牌直发</v>
          </cell>
          <cell r="I174">
            <v>0</v>
          </cell>
        </row>
        <row r="175">
          <cell r="D175">
            <v>6623405</v>
          </cell>
          <cell r="E175" t="str">
            <v>伯希和/PELLIOT</v>
          </cell>
          <cell r="F175" t="str">
            <v>流行饰品/眼镜/服配-帽子-鸭舌帽</v>
          </cell>
          <cell r="G175" t="str">
            <v>一品一商</v>
          </cell>
          <cell r="H175" t="str">
            <v>品牌直发</v>
          </cell>
          <cell r="I175">
            <v>0</v>
          </cell>
        </row>
        <row r="176">
          <cell r="D176">
            <v>12421412</v>
          </cell>
          <cell r="E176" t="str">
            <v>伯希和/PELLIOT</v>
          </cell>
          <cell r="F176" t="str">
            <v>女装-户外运动服-速干裤</v>
          </cell>
          <cell r="G176" t="str">
            <v>一品多商</v>
          </cell>
          <cell r="H176" t="str">
            <v>品牌直发</v>
          </cell>
          <cell r="I176">
            <v>0</v>
          </cell>
        </row>
        <row r="177">
          <cell r="D177">
            <v>11331905</v>
          </cell>
          <cell r="E177" t="str">
            <v>伯希和/PELLIOT</v>
          </cell>
          <cell r="F177" t="str">
            <v>鞋-运动鞋-跑步鞋</v>
          </cell>
          <cell r="G177" t="str">
            <v>一品一商</v>
          </cell>
          <cell r="H177" t="str">
            <v>品牌直发</v>
          </cell>
          <cell r="I177">
            <v>0</v>
          </cell>
        </row>
        <row r="178">
          <cell r="D178">
            <v>16043429</v>
          </cell>
          <cell r="E178" t="str">
            <v>伯希和/PELLIOT</v>
          </cell>
          <cell r="F178" t="str">
            <v>流行饰品/眼镜/服配-帽子-绒线帽</v>
          </cell>
          <cell r="G178" t="str">
            <v>一品一商</v>
          </cell>
          <cell r="H178" t="str">
            <v>品牌直发</v>
          </cell>
          <cell r="I178">
            <v>0</v>
          </cell>
        </row>
        <row r="179">
          <cell r="D179">
            <v>16302836</v>
          </cell>
          <cell r="E179" t="str">
            <v>伯希和/PELLIOT</v>
          </cell>
          <cell r="F179" t="str">
            <v>户外装备-露营/野炊装备-户外充气床</v>
          </cell>
          <cell r="G179" t="str">
            <v>一品一商</v>
          </cell>
          <cell r="H179" t="str">
            <v>普通现货</v>
          </cell>
          <cell r="I179">
            <v>0</v>
          </cell>
        </row>
        <row r="180">
          <cell r="D180">
            <v>11325109</v>
          </cell>
          <cell r="E180" t="str">
            <v>伯希和/PELLIOT</v>
          </cell>
          <cell r="F180" t="str">
            <v>服装-外套-夹克</v>
          </cell>
          <cell r="G180" t="str">
            <v>一品一商</v>
          </cell>
          <cell r="H180" t="str">
            <v>品牌直发</v>
          </cell>
          <cell r="I180">
            <v>0</v>
          </cell>
        </row>
        <row r="181">
          <cell r="D181" t="str">
            <v>12331902-黑灰色</v>
          </cell>
          <cell r="E181" t="str">
            <v>伯希和/PELLIOT</v>
          </cell>
          <cell r="F181" t="str">
            <v>鞋-运动鞋-跑步鞋</v>
          </cell>
          <cell r="G181" t="str">
            <v>一品一商</v>
          </cell>
          <cell r="H181" t="str">
            <v>品牌直发</v>
          </cell>
          <cell r="I181">
            <v>0</v>
          </cell>
        </row>
        <row r="182">
          <cell r="D182" t="str">
            <v>12331902-浅卡其</v>
          </cell>
          <cell r="E182" t="str">
            <v>伯希和/PELLIOT</v>
          </cell>
          <cell r="F182" t="str">
            <v>鞋-运动鞋-跑步鞋</v>
          </cell>
          <cell r="G182" t="str">
            <v>一品多商</v>
          </cell>
          <cell r="H182" t="str">
            <v>品牌直发</v>
          </cell>
          <cell r="I182">
            <v>0</v>
          </cell>
        </row>
        <row r="183">
          <cell r="D183" t="str">
            <v>12331902-活力红</v>
          </cell>
          <cell r="E183" t="str">
            <v>伯希和/PELLIOT</v>
          </cell>
          <cell r="F183" t="str">
            <v>鞋-运动鞋-跑步鞋</v>
          </cell>
          <cell r="G183" t="str">
            <v>一品一商</v>
          </cell>
          <cell r="H183" t="str">
            <v>品牌直发</v>
          </cell>
          <cell r="I183">
            <v>0</v>
          </cell>
        </row>
        <row r="184">
          <cell r="D184">
            <v>12340820</v>
          </cell>
          <cell r="E184" t="str">
            <v>伯希和/PELLIOT</v>
          </cell>
          <cell r="F184" t="str">
            <v>服装-外套-羽绒服</v>
          </cell>
          <cell r="G184" t="str">
            <v>一品一商</v>
          </cell>
          <cell r="H184" t="str">
            <v>品牌直发</v>
          </cell>
          <cell r="I184">
            <v>0</v>
          </cell>
        </row>
        <row r="185">
          <cell r="D185">
            <v>12331028</v>
          </cell>
          <cell r="E185" t="str">
            <v>伯希和/PELLIOT</v>
          </cell>
          <cell r="F185" t="str">
            <v>服装-户外运动服-抓绒衣</v>
          </cell>
          <cell r="G185" t="str">
            <v>一品一商</v>
          </cell>
          <cell r="H185" t="str">
            <v>品牌直发</v>
          </cell>
          <cell r="I185">
            <v>0</v>
          </cell>
        </row>
        <row r="186">
          <cell r="D186">
            <v>12331032</v>
          </cell>
          <cell r="E186" t="str">
            <v>伯希和/PELLIOT</v>
          </cell>
          <cell r="F186" t="str">
            <v>服装-户外运动服-抓绒衣</v>
          </cell>
          <cell r="G186" t="str">
            <v>一品一商</v>
          </cell>
          <cell r="H186" t="str">
            <v>品牌直发</v>
          </cell>
          <cell r="I186">
            <v>0</v>
          </cell>
        </row>
        <row r="187">
          <cell r="D187">
            <v>12340806</v>
          </cell>
          <cell r="E187" t="str">
            <v>伯希和/PELLIOT</v>
          </cell>
          <cell r="F187" t="str">
            <v>女装-外套-羽绒服</v>
          </cell>
          <cell r="G187" t="str">
            <v>一品多商</v>
          </cell>
          <cell r="H187" t="str">
            <v>品牌直发</v>
          </cell>
          <cell r="I187">
            <v>0</v>
          </cell>
        </row>
        <row r="188">
          <cell r="D188">
            <v>12331030</v>
          </cell>
          <cell r="E188" t="str">
            <v>伯希和/PELLIOT</v>
          </cell>
          <cell r="F188" t="str">
            <v>服装-户外运动服-抓绒衣</v>
          </cell>
          <cell r="G188" t="str">
            <v>一品一商</v>
          </cell>
          <cell r="H188" t="str">
            <v>品牌直发</v>
          </cell>
          <cell r="I188">
            <v>0</v>
          </cell>
        </row>
        <row r="189">
          <cell r="D189">
            <v>11340805</v>
          </cell>
          <cell r="E189" t="str">
            <v>伯希和/PELLIOT</v>
          </cell>
          <cell r="F189" t="str">
            <v>服装-外套-羽绒服</v>
          </cell>
          <cell r="G189" t="str">
            <v>一品多商</v>
          </cell>
          <cell r="H189" t="str">
            <v>品牌直发</v>
          </cell>
          <cell r="I189">
            <v>0</v>
          </cell>
        </row>
        <row r="190">
          <cell r="D190">
            <v>11331021</v>
          </cell>
          <cell r="E190" t="str">
            <v>伯希和/PELLIOT</v>
          </cell>
          <cell r="F190" t="str">
            <v>服装-户外运动服-抓绒衣</v>
          </cell>
          <cell r="G190" t="str">
            <v>一品一商</v>
          </cell>
          <cell r="H190" t="str">
            <v>品牌直发</v>
          </cell>
          <cell r="I190">
            <v>0</v>
          </cell>
        </row>
        <row r="191">
          <cell r="D191">
            <v>11331057</v>
          </cell>
          <cell r="E191" t="str">
            <v>伯希和/PELLIOT</v>
          </cell>
          <cell r="F191" t="str">
            <v>服装-户外运动服-抓绒衣</v>
          </cell>
          <cell r="G191" t="str">
            <v>一品一商</v>
          </cell>
          <cell r="H191" t="str">
            <v>品牌直发</v>
          </cell>
          <cell r="I191">
            <v>0</v>
          </cell>
        </row>
        <row r="192">
          <cell r="D192">
            <v>12340836</v>
          </cell>
          <cell r="E192" t="str">
            <v>伯希和/PELLIOT</v>
          </cell>
          <cell r="F192" t="str">
            <v>服装-外套-羽绒服</v>
          </cell>
          <cell r="G192" t="str">
            <v>一品多商</v>
          </cell>
          <cell r="H192" t="str">
            <v>品牌直发</v>
          </cell>
          <cell r="I192">
            <v>0</v>
          </cell>
        </row>
        <row r="193">
          <cell r="D193">
            <v>12331058</v>
          </cell>
          <cell r="E193" t="str">
            <v>伯希和/PELLIOT</v>
          </cell>
          <cell r="F193" t="str">
            <v>女装-户外运动服-抓绒衣</v>
          </cell>
          <cell r="G193" t="str">
            <v>一品一商</v>
          </cell>
          <cell r="H193" t="str">
            <v>品牌直发</v>
          </cell>
          <cell r="I193">
            <v>0</v>
          </cell>
        </row>
        <row r="194">
          <cell r="D194">
            <v>12340828</v>
          </cell>
          <cell r="E194" t="str">
            <v>伯希和/PELLIOT</v>
          </cell>
          <cell r="F194" t="str">
            <v>服装-外套-羽绒服</v>
          </cell>
          <cell r="G194" t="str">
            <v>一品多商</v>
          </cell>
          <cell r="H194" t="str">
            <v>品牌直发</v>
          </cell>
          <cell r="I194">
            <v>0</v>
          </cell>
        </row>
        <row r="195">
          <cell r="D195">
            <v>12340812</v>
          </cell>
          <cell r="E195" t="str">
            <v>伯希和/PELLIOT</v>
          </cell>
          <cell r="F195" t="str">
            <v>服装-外套-羽绒服</v>
          </cell>
          <cell r="G195" t="str">
            <v>一品多商</v>
          </cell>
          <cell r="H195" t="str">
            <v>品牌直发</v>
          </cell>
          <cell r="I195">
            <v>0</v>
          </cell>
        </row>
        <row r="196">
          <cell r="D196">
            <v>12340134</v>
          </cell>
          <cell r="E196" t="str">
            <v>伯希和/PELLIOT</v>
          </cell>
          <cell r="F196" t="str">
            <v>服装-外套-冲锋衣</v>
          </cell>
          <cell r="G196" t="str">
            <v>一品一商</v>
          </cell>
          <cell r="H196" t="str">
            <v>品牌直发</v>
          </cell>
          <cell r="I196">
            <v>0</v>
          </cell>
        </row>
        <row r="197">
          <cell r="D197">
            <v>12340804</v>
          </cell>
          <cell r="E197" t="str">
            <v>伯希和/PELLIOT</v>
          </cell>
          <cell r="F197" t="str">
            <v>女装-外套-羽绒服</v>
          </cell>
          <cell r="G197" t="str">
            <v>一品多商</v>
          </cell>
          <cell r="H197" t="str">
            <v>品牌直发</v>
          </cell>
          <cell r="I197">
            <v>0</v>
          </cell>
        </row>
        <row r="198">
          <cell r="D198">
            <v>12340814</v>
          </cell>
          <cell r="E198" t="str">
            <v>伯希和/PELLIOT</v>
          </cell>
          <cell r="F198" t="str">
            <v>服装-外套-羽绒服</v>
          </cell>
          <cell r="G198" t="str">
            <v>一品多商</v>
          </cell>
          <cell r="H198" t="str">
            <v>品牌直发</v>
          </cell>
          <cell r="I198">
            <v>0</v>
          </cell>
        </row>
        <row r="199">
          <cell r="D199">
            <v>11340139</v>
          </cell>
          <cell r="E199" t="str">
            <v>伯希和/PELLIOT</v>
          </cell>
          <cell r="F199" t="str">
            <v>服装-外套-冲锋衣</v>
          </cell>
          <cell r="G199" t="str">
            <v>一品多商</v>
          </cell>
          <cell r="H199" t="str">
            <v>品牌直发</v>
          </cell>
          <cell r="I199">
            <v>0</v>
          </cell>
        </row>
        <row r="200">
          <cell r="D200">
            <v>12331018</v>
          </cell>
          <cell r="E200" t="str">
            <v>伯希和/PELLIOT</v>
          </cell>
          <cell r="F200" t="str">
            <v>服装-户外运动服-抓绒衣</v>
          </cell>
          <cell r="G200" t="str">
            <v>一品一商</v>
          </cell>
          <cell r="H200" t="str">
            <v>品牌直发</v>
          </cell>
          <cell r="I200">
            <v>0</v>
          </cell>
        </row>
        <row r="201">
          <cell r="D201">
            <v>12331026</v>
          </cell>
          <cell r="E201" t="str">
            <v>伯希和/PELLIOT</v>
          </cell>
          <cell r="F201" t="str">
            <v>女装-户外运动服-抓绒衣</v>
          </cell>
          <cell r="G201" t="str">
            <v>一品多商</v>
          </cell>
          <cell r="H201" t="str">
            <v>品牌直发</v>
          </cell>
          <cell r="I201">
            <v>0</v>
          </cell>
        </row>
        <row r="202">
          <cell r="D202">
            <v>11331027</v>
          </cell>
          <cell r="E202" t="str">
            <v>伯希和/PELLIOT</v>
          </cell>
          <cell r="F202" t="str">
            <v>服装-户外运动服-抓绒衣</v>
          </cell>
          <cell r="G202" t="str">
            <v>一品一商</v>
          </cell>
          <cell r="H202" t="str">
            <v>品牌直发</v>
          </cell>
          <cell r="I202">
            <v>0</v>
          </cell>
        </row>
        <row r="203">
          <cell r="D203">
            <v>12331008</v>
          </cell>
          <cell r="E203" t="str">
            <v>伯希和/PELLIOT</v>
          </cell>
          <cell r="F203" t="str">
            <v>女装-户外运动服-抓绒衣</v>
          </cell>
          <cell r="G203" t="str">
            <v>一品一商</v>
          </cell>
          <cell r="H203" t="str">
            <v>品牌直发</v>
          </cell>
          <cell r="I203">
            <v>0</v>
          </cell>
        </row>
        <row r="204">
          <cell r="D204">
            <v>12331004</v>
          </cell>
          <cell r="E204" t="str">
            <v>伯希和/PELLIOT</v>
          </cell>
          <cell r="F204" t="str">
            <v>女装-户外运动服-抓绒衣</v>
          </cell>
          <cell r="G204" t="str">
            <v>一品一商</v>
          </cell>
          <cell r="H204" t="str">
            <v>品牌直发</v>
          </cell>
          <cell r="I204">
            <v>0</v>
          </cell>
        </row>
        <row r="205">
          <cell r="D205">
            <v>12331012</v>
          </cell>
          <cell r="E205" t="str">
            <v>伯希和/PELLIOT</v>
          </cell>
          <cell r="F205" t="str">
            <v>女装-户外运动服-抓绒衣</v>
          </cell>
          <cell r="G205" t="str">
            <v>一品多商</v>
          </cell>
          <cell r="H205" t="str">
            <v>品牌直发</v>
          </cell>
          <cell r="I205">
            <v>0</v>
          </cell>
        </row>
        <row r="206">
          <cell r="D206">
            <v>11331003</v>
          </cell>
          <cell r="E206" t="str">
            <v>伯希和/PELLIOT</v>
          </cell>
          <cell r="F206" t="str">
            <v>服装-户外运动服-抓绒衣</v>
          </cell>
          <cell r="G206" t="str">
            <v>一品一商</v>
          </cell>
          <cell r="H206" t="str">
            <v>品牌直发</v>
          </cell>
          <cell r="I206">
            <v>0</v>
          </cell>
        </row>
        <row r="207">
          <cell r="D207">
            <v>12340822</v>
          </cell>
          <cell r="E207" t="str">
            <v>伯希和/PELLIOT</v>
          </cell>
          <cell r="F207" t="str">
            <v>女装-外套-羽绒服</v>
          </cell>
          <cell r="G207" t="str">
            <v>一品多商</v>
          </cell>
          <cell r="H207" t="str">
            <v>品牌直发</v>
          </cell>
          <cell r="I207">
            <v>0</v>
          </cell>
        </row>
        <row r="208">
          <cell r="D208">
            <v>11330601</v>
          </cell>
          <cell r="E208" t="str">
            <v>伯希和/PELLIOT</v>
          </cell>
          <cell r="F208" t="str">
            <v>服装-外套-软壳衣</v>
          </cell>
          <cell r="G208" t="str">
            <v>一品一商</v>
          </cell>
          <cell r="H208" t="str">
            <v>品牌直发</v>
          </cell>
          <cell r="I208">
            <v>0</v>
          </cell>
        </row>
        <row r="209">
          <cell r="D209">
            <v>12330706</v>
          </cell>
          <cell r="E209" t="str">
            <v>伯希和/PELLIOT</v>
          </cell>
          <cell r="F209" t="str">
            <v>女装-长裤-软壳裤</v>
          </cell>
          <cell r="G209" t="str">
            <v>一品一商</v>
          </cell>
          <cell r="H209" t="str">
            <v>品牌直发</v>
          </cell>
          <cell r="I209">
            <v>0</v>
          </cell>
        </row>
        <row r="210">
          <cell r="D210" t="str">
            <v>12815108-yc</v>
          </cell>
          <cell r="E210" t="str">
            <v>伯希和/PELLIOT</v>
          </cell>
          <cell r="F210" t="str">
            <v>服装-外套-防晒服</v>
          </cell>
          <cell r="G210" t="str">
            <v>一品一商</v>
          </cell>
          <cell r="H210" t="str">
            <v>品牌直发</v>
          </cell>
          <cell r="I210">
            <v>0</v>
          </cell>
        </row>
        <row r="211">
          <cell r="D211">
            <v>12933728</v>
          </cell>
          <cell r="E211" t="str">
            <v>伯希和/PELLIOT</v>
          </cell>
          <cell r="F211" t="str">
            <v>女装-上衣-卫衣</v>
          </cell>
          <cell r="G211" t="str">
            <v>一品一商</v>
          </cell>
          <cell r="H211" t="str">
            <v>品牌直发</v>
          </cell>
          <cell r="I211">
            <v>0</v>
          </cell>
        </row>
        <row r="212">
          <cell r="D212">
            <v>114301085</v>
          </cell>
          <cell r="E212" t="str">
            <v>伯希和/PELLIOT</v>
          </cell>
          <cell r="F212" t="str">
            <v>服装-外套-冲锋衣</v>
          </cell>
          <cell r="G212" t="str">
            <v>一品多商</v>
          </cell>
          <cell r="H212" t="str">
            <v>品牌直发</v>
          </cell>
          <cell r="I212">
            <v>0</v>
          </cell>
        </row>
        <row r="213">
          <cell r="D213">
            <v>11235109</v>
          </cell>
          <cell r="E213" t="str">
            <v>伯希和/PELLIOT</v>
          </cell>
          <cell r="F213" t="str">
            <v>服装-外套-夹克</v>
          </cell>
          <cell r="G213" t="str">
            <v>一品一商</v>
          </cell>
          <cell r="H213" t="str">
            <v>品牌直发</v>
          </cell>
          <cell r="I213">
            <v>0</v>
          </cell>
        </row>
        <row r="214">
          <cell r="D214">
            <v>11140127</v>
          </cell>
          <cell r="E214" t="str">
            <v>伯希和/PELLIOT</v>
          </cell>
          <cell r="F214" t="str">
            <v>服装-外套-冲锋衣</v>
          </cell>
          <cell r="G214" t="str">
            <v>一品一商</v>
          </cell>
          <cell r="H214" t="str">
            <v>品牌直发</v>
          </cell>
          <cell r="I214">
            <v>0</v>
          </cell>
        </row>
        <row r="215">
          <cell r="D215">
            <v>12131002</v>
          </cell>
          <cell r="E215" t="str">
            <v>伯希和/PELLIOT</v>
          </cell>
          <cell r="F215" t="str">
            <v>女装-户外运动服-抓绒衣</v>
          </cell>
          <cell r="G215" t="str">
            <v>一品一商</v>
          </cell>
          <cell r="H215" t="str">
            <v>品牌直发</v>
          </cell>
          <cell r="I215">
            <v>0</v>
          </cell>
        </row>
        <row r="216">
          <cell r="D216">
            <v>12330602</v>
          </cell>
          <cell r="E216" t="str">
            <v>伯希和/PELLIOT</v>
          </cell>
          <cell r="F216" t="str">
            <v>女装-外套-软壳衣</v>
          </cell>
          <cell r="G216" t="str">
            <v>一品多商</v>
          </cell>
          <cell r="H216" t="str">
            <v>品牌直发</v>
          </cell>
          <cell r="I216">
            <v>0</v>
          </cell>
        </row>
        <row r="217">
          <cell r="D217">
            <v>12221258</v>
          </cell>
          <cell r="E217" t="str">
            <v>伯希和/PELLIOT</v>
          </cell>
          <cell r="F217" t="str">
            <v>女装-外套-防晒服</v>
          </cell>
          <cell r="G217" t="str">
            <v>一品一商</v>
          </cell>
          <cell r="H217" t="str">
            <v>普通现货</v>
          </cell>
          <cell r="I217">
            <v>0</v>
          </cell>
        </row>
        <row r="218">
          <cell r="D218">
            <v>112221210</v>
          </cell>
          <cell r="E218" t="str">
            <v>伯希和/PELLIOT</v>
          </cell>
          <cell r="F218" t="str">
            <v>女装-外套-防晒服</v>
          </cell>
          <cell r="G218" t="str">
            <v>一品一商</v>
          </cell>
          <cell r="H218" t="str">
            <v>品牌直发</v>
          </cell>
          <cell r="I218">
            <v>0</v>
          </cell>
        </row>
        <row r="219">
          <cell r="D219">
            <v>12133802</v>
          </cell>
          <cell r="E219" t="str">
            <v>伯希和/PELLIOT</v>
          </cell>
          <cell r="F219" t="str">
            <v>女装-长裤-针织运动裤</v>
          </cell>
          <cell r="G219" t="str">
            <v>一品一商</v>
          </cell>
          <cell r="H219" t="str">
            <v>品牌直发</v>
          </cell>
          <cell r="I219">
            <v>0</v>
          </cell>
        </row>
        <row r="220">
          <cell r="D220">
            <v>12340164</v>
          </cell>
          <cell r="E220" t="str">
            <v>伯希和/PELLIOT</v>
          </cell>
          <cell r="F220" t="str">
            <v>服装-外套-冲锋衣</v>
          </cell>
          <cell r="G220" t="str">
            <v>一品多商</v>
          </cell>
          <cell r="H220" t="str">
            <v>品牌直发</v>
          </cell>
          <cell r="I220">
            <v>0</v>
          </cell>
        </row>
        <row r="221">
          <cell r="D221">
            <v>112325110</v>
          </cell>
          <cell r="E221" t="str">
            <v>伯希和/PELLIOT</v>
          </cell>
          <cell r="F221" t="str">
            <v>女装-外套-夹克</v>
          </cell>
          <cell r="G221" t="str">
            <v>一品一商</v>
          </cell>
          <cell r="H221" t="str">
            <v>普通现货</v>
          </cell>
          <cell r="I221">
            <v>0</v>
          </cell>
        </row>
        <row r="222">
          <cell r="D222">
            <v>12340132</v>
          </cell>
          <cell r="E222" t="str">
            <v>伯希和/PELLIOT</v>
          </cell>
          <cell r="F222" t="str">
            <v>服装-外套-冲锋衣</v>
          </cell>
          <cell r="G222" t="str">
            <v>一品一商</v>
          </cell>
          <cell r="H222" t="str">
            <v>品牌直发</v>
          </cell>
          <cell r="I222">
            <v>0</v>
          </cell>
        </row>
        <row r="223">
          <cell r="D223">
            <v>16202509</v>
          </cell>
          <cell r="E223" t="str">
            <v>伯希和/PELLIOT</v>
          </cell>
          <cell r="F223" t="str">
            <v>箱包-包袋-户外包</v>
          </cell>
          <cell r="G223" t="str">
            <v>一品一商</v>
          </cell>
          <cell r="H223" t="str">
            <v>品牌直发</v>
          </cell>
          <cell r="I223">
            <v>0</v>
          </cell>
        </row>
        <row r="224">
          <cell r="D224">
            <v>12340104</v>
          </cell>
          <cell r="E224" t="str">
            <v>伯希和/PELLIOT</v>
          </cell>
          <cell r="F224" t="str">
            <v>女装-外套-冲锋衣</v>
          </cell>
          <cell r="G224" t="str">
            <v>一品多商</v>
          </cell>
          <cell r="H224" t="str">
            <v>品牌直发</v>
          </cell>
          <cell r="I224">
            <v>0</v>
          </cell>
        </row>
        <row r="225">
          <cell r="D225">
            <v>12340130</v>
          </cell>
          <cell r="E225" t="str">
            <v>伯希和/PELLIOT</v>
          </cell>
          <cell r="F225" t="str">
            <v>服装-外套-冲锋衣</v>
          </cell>
          <cell r="G225" t="str">
            <v>一品多商</v>
          </cell>
          <cell r="H225" t="str">
            <v>品牌直发</v>
          </cell>
          <cell r="I225">
            <v>0</v>
          </cell>
        </row>
        <row r="226">
          <cell r="D226" t="str">
            <v>12011902-樱花粉</v>
          </cell>
          <cell r="E226" t="str">
            <v>伯希和/PELLIOT</v>
          </cell>
          <cell r="F226" t="str">
            <v>鞋-运动鞋-跑步鞋</v>
          </cell>
          <cell r="G226" t="str">
            <v>一品一商</v>
          </cell>
          <cell r="H226" t="str">
            <v>品牌直发</v>
          </cell>
          <cell r="I226">
            <v>0</v>
          </cell>
        </row>
        <row r="227">
          <cell r="D227" t="str">
            <v>12211904-经典黑</v>
          </cell>
          <cell r="E227" t="str">
            <v>伯希和/PELLIOT</v>
          </cell>
          <cell r="F227" t="str">
            <v>鞋-运动鞋-跑步鞋</v>
          </cell>
          <cell r="G227" t="str">
            <v>一品一商</v>
          </cell>
          <cell r="H227" t="str">
            <v>品牌直发</v>
          </cell>
          <cell r="I227">
            <v>0</v>
          </cell>
        </row>
        <row r="228">
          <cell r="D228">
            <v>12231034</v>
          </cell>
          <cell r="E228" t="str">
            <v>伯希和/PELLIOT</v>
          </cell>
          <cell r="F228" t="str">
            <v>女装-户外运动服-抓绒衣</v>
          </cell>
          <cell r="G228" t="str">
            <v>一品一商</v>
          </cell>
          <cell r="H228" t="str">
            <v>品牌直发</v>
          </cell>
          <cell r="I228">
            <v>0</v>
          </cell>
        </row>
        <row r="229">
          <cell r="D229">
            <v>12231026</v>
          </cell>
          <cell r="E229" t="str">
            <v>伯希和/PELLIOT</v>
          </cell>
          <cell r="F229" t="str">
            <v>女装-户外运动服-抓绒衣</v>
          </cell>
          <cell r="G229" t="str">
            <v>一品一商</v>
          </cell>
          <cell r="H229" t="str">
            <v>品牌直发</v>
          </cell>
          <cell r="I229">
            <v>0</v>
          </cell>
        </row>
        <row r="230">
          <cell r="D230">
            <v>11813705</v>
          </cell>
          <cell r="E230" t="str">
            <v>伯希和/PELLIOT</v>
          </cell>
          <cell r="F230" t="str">
            <v>服装-上衣-卫衣</v>
          </cell>
          <cell r="G230" t="str">
            <v>一品一商</v>
          </cell>
          <cell r="H230" t="str">
            <v>品牌直发</v>
          </cell>
          <cell r="I230">
            <v>0</v>
          </cell>
        </row>
        <row r="231">
          <cell r="D231">
            <v>11133803</v>
          </cell>
          <cell r="E231" t="str">
            <v>伯希和/PELLIOT</v>
          </cell>
          <cell r="F231" t="str">
            <v>服装-长裤-针织运动裤</v>
          </cell>
          <cell r="G231" t="str">
            <v>一品一商</v>
          </cell>
          <cell r="H231" t="str">
            <v>品牌直发</v>
          </cell>
          <cell r="I231">
            <v>0</v>
          </cell>
        </row>
        <row r="232">
          <cell r="D232">
            <v>13321435</v>
          </cell>
          <cell r="E232" t="str">
            <v>伯希和/PELLIOT</v>
          </cell>
          <cell r="F232" t="str">
            <v>童装-儿童下装-针织运动裤</v>
          </cell>
          <cell r="G232" t="str">
            <v>一品一商</v>
          </cell>
          <cell r="H232" t="str">
            <v>品牌直发</v>
          </cell>
          <cell r="I232">
            <v>0</v>
          </cell>
        </row>
        <row r="233">
          <cell r="D233">
            <v>23930709</v>
          </cell>
          <cell r="E233" t="str">
            <v>伯希和/PELLIOT</v>
          </cell>
          <cell r="F233" t="str">
            <v>童装-儿童下装-儿童软壳裤</v>
          </cell>
          <cell r="G233" t="str">
            <v>一品一商</v>
          </cell>
          <cell r="H233" t="str">
            <v>品牌直发</v>
          </cell>
          <cell r="I233">
            <v>0</v>
          </cell>
        </row>
        <row r="234">
          <cell r="D234">
            <v>12121216</v>
          </cell>
          <cell r="E234" t="str">
            <v>伯希和/PELLIOT</v>
          </cell>
          <cell r="F234" t="str">
            <v>女装-外套-防晒服</v>
          </cell>
          <cell r="G234" t="str">
            <v>一品多商</v>
          </cell>
          <cell r="H234" t="str">
            <v>品牌直发</v>
          </cell>
          <cell r="I234">
            <v>0</v>
          </cell>
        </row>
        <row r="235">
          <cell r="D235">
            <v>13131023</v>
          </cell>
          <cell r="E235" t="str">
            <v>伯希和/PELLIOT</v>
          </cell>
          <cell r="F235" t="str">
            <v>童装-儿童上装-夹克</v>
          </cell>
          <cell r="G235" t="str">
            <v>一品一商</v>
          </cell>
          <cell r="H235" t="str">
            <v>品牌直发</v>
          </cell>
          <cell r="I235">
            <v>0</v>
          </cell>
        </row>
        <row r="236">
          <cell r="D236">
            <v>13231017</v>
          </cell>
          <cell r="E236" t="str">
            <v>伯希和/PELLIOT</v>
          </cell>
          <cell r="F236" t="str">
            <v>童装-儿童上装-其他上装</v>
          </cell>
          <cell r="G236" t="str">
            <v>一品一商</v>
          </cell>
          <cell r="H236" t="str">
            <v>品牌直发</v>
          </cell>
          <cell r="I236">
            <v>0</v>
          </cell>
        </row>
        <row r="237">
          <cell r="D237">
            <v>12131004</v>
          </cell>
          <cell r="E237" t="str">
            <v>伯希和/PELLIOT</v>
          </cell>
          <cell r="F237" t="str">
            <v>女装-户外运动服-抓绒衣</v>
          </cell>
          <cell r="G237" t="str">
            <v>一品一商</v>
          </cell>
          <cell r="H237" t="str">
            <v>品牌直发</v>
          </cell>
          <cell r="I237">
            <v>0</v>
          </cell>
        </row>
        <row r="238">
          <cell r="D238">
            <v>13131026</v>
          </cell>
          <cell r="E238" t="str">
            <v>伯希和/PELLIOT</v>
          </cell>
          <cell r="F238" t="str">
            <v>童装-儿童上装-马甲</v>
          </cell>
          <cell r="G238" t="str">
            <v>一品一商</v>
          </cell>
          <cell r="H238" t="str">
            <v>品牌直发</v>
          </cell>
          <cell r="I238">
            <v>0</v>
          </cell>
        </row>
        <row r="239">
          <cell r="D239">
            <v>13131501</v>
          </cell>
          <cell r="E239" t="str">
            <v>伯希和/PELLIOT</v>
          </cell>
          <cell r="F239" t="str">
            <v>童装-儿童上装-T恤</v>
          </cell>
          <cell r="G239" t="str">
            <v>一品一商</v>
          </cell>
          <cell r="H239" t="str">
            <v>品牌直发</v>
          </cell>
          <cell r="I239">
            <v>0</v>
          </cell>
        </row>
        <row r="240">
          <cell r="D240">
            <v>13221533</v>
          </cell>
          <cell r="E240" t="str">
            <v>伯希和/PELLIOT</v>
          </cell>
          <cell r="F240" t="str">
            <v>童装-儿童上装-T恤</v>
          </cell>
          <cell r="G240" t="str">
            <v>一品一商</v>
          </cell>
          <cell r="H240" t="str">
            <v>品牌直发</v>
          </cell>
          <cell r="I240">
            <v>0</v>
          </cell>
        </row>
        <row r="241">
          <cell r="D241">
            <v>12123812</v>
          </cell>
          <cell r="E241" t="str">
            <v>伯希和/PELLIOT</v>
          </cell>
          <cell r="F241" t="str">
            <v>女装-短裤-休闲短裤</v>
          </cell>
          <cell r="G241" t="str">
            <v>一品一商</v>
          </cell>
          <cell r="H241" t="str">
            <v>品牌直发</v>
          </cell>
          <cell r="I241">
            <v>0</v>
          </cell>
        </row>
        <row r="242">
          <cell r="D242">
            <v>13113706</v>
          </cell>
          <cell r="E242" t="str">
            <v>伯希和/PELLIOT</v>
          </cell>
          <cell r="F242" t="str">
            <v>童装-儿童上装-卫衣</v>
          </cell>
          <cell r="G242" t="str">
            <v>一品一商</v>
          </cell>
          <cell r="H242" t="str">
            <v>品牌直发</v>
          </cell>
          <cell r="I242">
            <v>0</v>
          </cell>
        </row>
        <row r="243">
          <cell r="D243">
            <v>13221525</v>
          </cell>
          <cell r="E243" t="str">
            <v>伯希和/PELLIOT</v>
          </cell>
          <cell r="F243" t="str">
            <v>童装-儿童上装-T恤</v>
          </cell>
          <cell r="G243" t="str">
            <v>一品一商</v>
          </cell>
          <cell r="H243" t="str">
            <v>品牌直发</v>
          </cell>
          <cell r="I243">
            <v>0</v>
          </cell>
        </row>
        <row r="244">
          <cell r="D244">
            <v>113221526</v>
          </cell>
          <cell r="E244" t="str">
            <v>伯希和/PELLIOT</v>
          </cell>
          <cell r="F244" t="str">
            <v>童装-儿童上装-T恤</v>
          </cell>
          <cell r="G244" t="str">
            <v>一品一商</v>
          </cell>
          <cell r="H244" t="str">
            <v>品牌直发</v>
          </cell>
          <cell r="I244">
            <v>0</v>
          </cell>
        </row>
        <row r="245">
          <cell r="D245">
            <v>12133704</v>
          </cell>
          <cell r="E245" t="str">
            <v>伯希和/PELLIOT</v>
          </cell>
          <cell r="F245" t="str">
            <v>女装-上衣-卫衣</v>
          </cell>
          <cell r="G245" t="str">
            <v>一品一商</v>
          </cell>
          <cell r="H245" t="str">
            <v>品牌直发</v>
          </cell>
          <cell r="I245">
            <v>0</v>
          </cell>
        </row>
        <row r="246">
          <cell r="D246">
            <v>11133707</v>
          </cell>
          <cell r="E246" t="str">
            <v>伯希和/PELLIOT</v>
          </cell>
          <cell r="F246" t="str">
            <v>服装-上衣-卫衣</v>
          </cell>
          <cell r="G246" t="str">
            <v>一品一商</v>
          </cell>
          <cell r="H246" t="str">
            <v>品牌直发</v>
          </cell>
          <cell r="I246">
            <v>0</v>
          </cell>
        </row>
        <row r="247">
          <cell r="D247">
            <v>11133805</v>
          </cell>
          <cell r="E247" t="str">
            <v>伯希和/PELLIOT</v>
          </cell>
          <cell r="F247" t="str">
            <v>服装-长裤-针织运动裤</v>
          </cell>
          <cell r="G247" t="str">
            <v>一品一商</v>
          </cell>
          <cell r="H247" t="str">
            <v>品牌直发</v>
          </cell>
          <cell r="I247">
            <v>0</v>
          </cell>
        </row>
        <row r="248">
          <cell r="D248">
            <v>11131105</v>
          </cell>
          <cell r="E248" t="str">
            <v>伯希和/PELLIOT</v>
          </cell>
          <cell r="F248" t="str">
            <v>服装-户外运动服-抓绒裤</v>
          </cell>
          <cell r="G248" t="str">
            <v>一品一商</v>
          </cell>
          <cell r="H248" t="str">
            <v>品牌直发</v>
          </cell>
          <cell r="I248">
            <v>0</v>
          </cell>
        </row>
        <row r="249">
          <cell r="D249">
            <v>112221508</v>
          </cell>
          <cell r="E249" t="str">
            <v>伯希和/PELLIOT</v>
          </cell>
          <cell r="F249" t="str">
            <v>女装-上衣-T恤</v>
          </cell>
          <cell r="G249" t="str">
            <v>一品一商</v>
          </cell>
          <cell r="H249" t="str">
            <v>品牌直发</v>
          </cell>
          <cell r="I249">
            <v>0</v>
          </cell>
        </row>
        <row r="250">
          <cell r="D250">
            <v>13213709</v>
          </cell>
          <cell r="E250" t="str">
            <v>伯希和/PELLIOT</v>
          </cell>
          <cell r="F250" t="str">
            <v>童装-儿童上装-夹克</v>
          </cell>
          <cell r="G250" t="str">
            <v>一品一商</v>
          </cell>
          <cell r="H250" t="str">
            <v>品牌直发</v>
          </cell>
          <cell r="I250">
            <v>0</v>
          </cell>
        </row>
        <row r="251">
          <cell r="D251">
            <v>13121426</v>
          </cell>
          <cell r="E251" t="str">
            <v>伯希和/PELLIOT</v>
          </cell>
          <cell r="F251" t="str">
            <v>童装-儿童下装-针织运动裤</v>
          </cell>
          <cell r="G251" t="str">
            <v>一品一商</v>
          </cell>
          <cell r="H251" t="str">
            <v>品牌直发</v>
          </cell>
          <cell r="I251">
            <v>0</v>
          </cell>
        </row>
        <row r="252">
          <cell r="D252">
            <v>111121427</v>
          </cell>
          <cell r="E252" t="str">
            <v>伯希和/PELLIOT</v>
          </cell>
          <cell r="F252" t="str">
            <v>服装-户外运动服-速干裤</v>
          </cell>
          <cell r="G252" t="str">
            <v>一品一商</v>
          </cell>
          <cell r="H252" t="str">
            <v>品牌直发</v>
          </cell>
          <cell r="I252">
            <v>0</v>
          </cell>
        </row>
        <row r="253">
          <cell r="D253">
            <v>13231018</v>
          </cell>
          <cell r="E253" t="str">
            <v>伯希和/PELLIOT</v>
          </cell>
          <cell r="F253" t="str">
            <v>童装-儿童上装-卫衣</v>
          </cell>
          <cell r="G253" t="str">
            <v>一品一商</v>
          </cell>
          <cell r="H253" t="str">
            <v>品牌直发</v>
          </cell>
          <cell r="I253">
            <v>0</v>
          </cell>
        </row>
        <row r="254">
          <cell r="D254">
            <v>112221424</v>
          </cell>
          <cell r="E254" t="str">
            <v>伯希和/PELLIOT</v>
          </cell>
          <cell r="F254" t="str">
            <v>女装-健身服-运动短裤</v>
          </cell>
          <cell r="G254" t="str">
            <v>一品一商</v>
          </cell>
          <cell r="H254" t="str">
            <v>品牌直发</v>
          </cell>
          <cell r="I254">
            <v>0</v>
          </cell>
        </row>
        <row r="255">
          <cell r="D255">
            <v>13213805</v>
          </cell>
          <cell r="E255" t="str">
            <v>伯希和/PELLIOT</v>
          </cell>
          <cell r="F255" t="str">
            <v>童装-儿童下装-针织运动裤</v>
          </cell>
          <cell r="G255" t="str">
            <v>一品一商</v>
          </cell>
          <cell r="H255" t="str">
            <v>品牌直发</v>
          </cell>
          <cell r="I255">
            <v>0</v>
          </cell>
        </row>
        <row r="256">
          <cell r="D256">
            <v>13121220</v>
          </cell>
          <cell r="E256" t="str">
            <v>伯希和/PELLIOT</v>
          </cell>
          <cell r="F256" t="str">
            <v>童装-儿童上装-防晒衣</v>
          </cell>
          <cell r="G256" t="str">
            <v>一品一商</v>
          </cell>
          <cell r="H256" t="str">
            <v>品牌直发</v>
          </cell>
          <cell r="I256">
            <v>0</v>
          </cell>
        </row>
        <row r="257">
          <cell r="D257">
            <v>112121402</v>
          </cell>
          <cell r="E257" t="str">
            <v>伯希和/PELLIOT</v>
          </cell>
          <cell r="F257" t="str">
            <v>女装-健身服-运动短裤</v>
          </cell>
          <cell r="G257" t="str">
            <v>一品一商</v>
          </cell>
          <cell r="H257" t="str">
            <v>品牌直发</v>
          </cell>
          <cell r="I257">
            <v>0</v>
          </cell>
        </row>
        <row r="258">
          <cell r="D258">
            <v>113021234</v>
          </cell>
          <cell r="E258" t="str">
            <v>伯希和/PELLIOT</v>
          </cell>
          <cell r="F258" t="str">
            <v>童装-儿童上装-防晒衣</v>
          </cell>
          <cell r="G258" t="str">
            <v>一品一商</v>
          </cell>
          <cell r="H258" t="str">
            <v>普通现货</v>
          </cell>
          <cell r="I258">
            <v>0</v>
          </cell>
        </row>
        <row r="259">
          <cell r="D259">
            <v>113121276</v>
          </cell>
          <cell r="E259" t="str">
            <v>伯希和/PELLIOT</v>
          </cell>
          <cell r="F259" t="str">
            <v>童装-儿童上装-防晒衣</v>
          </cell>
          <cell r="G259" t="str">
            <v>一品一商</v>
          </cell>
          <cell r="H259" t="str">
            <v>品牌直发</v>
          </cell>
          <cell r="I259">
            <v>0</v>
          </cell>
        </row>
        <row r="260">
          <cell r="D260">
            <v>13113805</v>
          </cell>
          <cell r="E260" t="str">
            <v>伯希和/PELLIOT</v>
          </cell>
          <cell r="F260" t="str">
            <v>童装-儿童下装-针织运动裤</v>
          </cell>
          <cell r="G260" t="str">
            <v>一品一商</v>
          </cell>
          <cell r="H260" t="str">
            <v>品牌直发</v>
          </cell>
          <cell r="I260">
            <v>0</v>
          </cell>
        </row>
        <row r="261">
          <cell r="D261">
            <v>113231543</v>
          </cell>
          <cell r="E261" t="str">
            <v>伯希和/PELLIOT</v>
          </cell>
          <cell r="F261" t="str">
            <v>童装-儿童上装-T恤</v>
          </cell>
          <cell r="G261" t="str">
            <v>一品一商</v>
          </cell>
          <cell r="H261" t="str">
            <v>品牌直发</v>
          </cell>
          <cell r="I261">
            <v>0</v>
          </cell>
        </row>
        <row r="262">
          <cell r="D262">
            <v>11021525</v>
          </cell>
          <cell r="E262" t="str">
            <v>伯希和/PELLIOT</v>
          </cell>
          <cell r="F262" t="str">
            <v>服装-上衣-T恤</v>
          </cell>
          <cell r="G262" t="str">
            <v>一品一商</v>
          </cell>
          <cell r="H262" t="str">
            <v>品牌直发</v>
          </cell>
          <cell r="I262">
            <v>0</v>
          </cell>
        </row>
        <row r="263">
          <cell r="D263">
            <v>13221427</v>
          </cell>
          <cell r="E263" t="str">
            <v>伯希和/PELLIOT</v>
          </cell>
          <cell r="F263" t="str">
            <v>童装-儿童下装-针织运动裤</v>
          </cell>
          <cell r="G263" t="str">
            <v>一品一商</v>
          </cell>
          <cell r="H263" t="str">
            <v>品牌直发</v>
          </cell>
          <cell r="I263">
            <v>0</v>
          </cell>
        </row>
        <row r="264">
          <cell r="D264">
            <v>13245112</v>
          </cell>
          <cell r="E264" t="str">
            <v>伯希和/PELLIOT</v>
          </cell>
          <cell r="F264" t="str">
            <v>童装-儿童上装-冲锋衣</v>
          </cell>
          <cell r="G264" t="str">
            <v>一品多商</v>
          </cell>
          <cell r="H264" t="str">
            <v>品牌直发</v>
          </cell>
          <cell r="I264">
            <v>0</v>
          </cell>
        </row>
        <row r="265">
          <cell r="D265">
            <v>113115106</v>
          </cell>
          <cell r="E265" t="str">
            <v>伯希和/PELLIOT</v>
          </cell>
          <cell r="F265" t="str">
            <v>童装-儿童上装-冲锋衣</v>
          </cell>
          <cell r="G265" t="str">
            <v>一品一商</v>
          </cell>
          <cell r="H265" t="str">
            <v>品牌直发</v>
          </cell>
          <cell r="I265">
            <v>0</v>
          </cell>
        </row>
        <row r="266">
          <cell r="D266">
            <v>13040127</v>
          </cell>
          <cell r="E266" t="str">
            <v>伯希和/PELLIOT</v>
          </cell>
          <cell r="F266" t="str">
            <v>童装-儿童上装-冲锋衣</v>
          </cell>
          <cell r="G266" t="str">
            <v>一品一商</v>
          </cell>
          <cell r="H266" t="str">
            <v>品牌直发</v>
          </cell>
          <cell r="I266">
            <v>0</v>
          </cell>
        </row>
        <row r="267">
          <cell r="D267">
            <v>13921412</v>
          </cell>
          <cell r="E267" t="str">
            <v>伯希和/PELLIOT</v>
          </cell>
          <cell r="F267" t="str">
            <v>童装-儿童下装-针织运动裤</v>
          </cell>
          <cell r="G267" t="str">
            <v>一品一商</v>
          </cell>
          <cell r="H267" t="str">
            <v>品牌直发</v>
          </cell>
          <cell r="I267">
            <v>0</v>
          </cell>
        </row>
        <row r="268">
          <cell r="D268">
            <v>11115101</v>
          </cell>
          <cell r="E268" t="str">
            <v>伯希和/PELLIOT</v>
          </cell>
          <cell r="F268" t="str">
            <v>服装-外套-夹克</v>
          </cell>
          <cell r="G268" t="str">
            <v>一品一商</v>
          </cell>
          <cell r="H268" t="str">
            <v>品牌直发</v>
          </cell>
          <cell r="I268">
            <v>0</v>
          </cell>
        </row>
        <row r="269">
          <cell r="D269">
            <v>13930611</v>
          </cell>
          <cell r="E269" t="str">
            <v>伯希和/PELLIOT</v>
          </cell>
          <cell r="F269" t="str">
            <v>童装-儿童上装-冲锋衣</v>
          </cell>
          <cell r="G269" t="str">
            <v>一品多商</v>
          </cell>
          <cell r="H269" t="str">
            <v>品牌直发</v>
          </cell>
          <cell r="I269">
            <v>0</v>
          </cell>
        </row>
        <row r="270">
          <cell r="D270">
            <v>113321236</v>
          </cell>
          <cell r="E270" t="str">
            <v>伯希和/PELLIOT</v>
          </cell>
          <cell r="F270" t="str">
            <v>童装-儿童上装-防晒衣</v>
          </cell>
          <cell r="G270" t="str">
            <v>一品一商</v>
          </cell>
          <cell r="H270" t="str">
            <v>品牌直发</v>
          </cell>
          <cell r="I270">
            <v>0</v>
          </cell>
        </row>
        <row r="271">
          <cell r="D271">
            <v>13221249</v>
          </cell>
          <cell r="E271" t="str">
            <v>伯希和/PELLIOT</v>
          </cell>
          <cell r="F271" t="str">
            <v>童装-儿童上装-防晒衣</v>
          </cell>
          <cell r="G271" t="str">
            <v>一品一商</v>
          </cell>
          <cell r="H271" t="str">
            <v>品牌直发</v>
          </cell>
          <cell r="I271">
            <v>0</v>
          </cell>
        </row>
        <row r="272">
          <cell r="D272">
            <v>13031019</v>
          </cell>
          <cell r="E272" t="str">
            <v>伯希和/PELLIOT</v>
          </cell>
          <cell r="F272" t="str">
            <v>童装-儿童上装-马甲</v>
          </cell>
          <cell r="G272" t="str">
            <v>一品一商</v>
          </cell>
          <cell r="H272" t="str">
            <v>品牌直发</v>
          </cell>
          <cell r="I272">
            <v>0</v>
          </cell>
        </row>
        <row r="273">
          <cell r="D273">
            <v>13121530</v>
          </cell>
          <cell r="E273" t="str">
            <v>伯希和/PELLIOT</v>
          </cell>
          <cell r="F273" t="str">
            <v>童装-儿童上装-T恤</v>
          </cell>
          <cell r="G273" t="str">
            <v>一品一商</v>
          </cell>
          <cell r="H273" t="str">
            <v>品牌直发</v>
          </cell>
          <cell r="I273">
            <v>0</v>
          </cell>
        </row>
        <row r="274">
          <cell r="D274">
            <v>13133807</v>
          </cell>
          <cell r="E274" t="str">
            <v>伯希和/PELLIOT</v>
          </cell>
          <cell r="F274" t="str">
            <v>童装-儿童下装-针织运动裤</v>
          </cell>
          <cell r="G274" t="str">
            <v>一品一商</v>
          </cell>
          <cell r="H274" t="str">
            <v>品牌直发</v>
          </cell>
          <cell r="I274">
            <v>0</v>
          </cell>
        </row>
        <row r="275">
          <cell r="D275">
            <v>13121274</v>
          </cell>
          <cell r="E275" t="str">
            <v>伯希和/PELLIOT</v>
          </cell>
          <cell r="F275" t="str">
            <v>童装-儿童上装-防晒衣</v>
          </cell>
          <cell r="G275" t="str">
            <v>一品一商</v>
          </cell>
          <cell r="H275" t="str">
            <v>品牌直发</v>
          </cell>
          <cell r="I275">
            <v>0</v>
          </cell>
        </row>
        <row r="276">
          <cell r="D276">
            <v>13321235</v>
          </cell>
          <cell r="E276" t="str">
            <v>伯希和/PELLIOT</v>
          </cell>
          <cell r="F276" t="str">
            <v>童装-儿童上装-防晒衣</v>
          </cell>
          <cell r="G276" t="str">
            <v>一品一商</v>
          </cell>
          <cell r="H276" t="str">
            <v>品牌直发</v>
          </cell>
          <cell r="I276">
            <v>0</v>
          </cell>
        </row>
        <row r="277">
          <cell r="D277">
            <v>13221245</v>
          </cell>
          <cell r="E277" t="str">
            <v>伯希和/PELLIOT</v>
          </cell>
          <cell r="F277" t="str">
            <v>童装-儿童上装-防晒衣</v>
          </cell>
          <cell r="G277" t="str">
            <v>一品一商</v>
          </cell>
          <cell r="H277" t="str">
            <v>品牌直发</v>
          </cell>
          <cell r="I277">
            <v>0</v>
          </cell>
        </row>
        <row r="278">
          <cell r="D278">
            <v>13031113</v>
          </cell>
          <cell r="E278" t="str">
            <v>伯希和/PELLIOT</v>
          </cell>
          <cell r="F278" t="str">
            <v>童装-儿童下装-针织运动裤</v>
          </cell>
          <cell r="G278" t="str">
            <v>一品一商</v>
          </cell>
          <cell r="H278" t="str">
            <v>品牌直发</v>
          </cell>
          <cell r="I278">
            <v>0</v>
          </cell>
        </row>
        <row r="279">
          <cell r="D279">
            <v>13121436</v>
          </cell>
          <cell r="E279" t="str">
            <v>伯希和/PELLIOT</v>
          </cell>
          <cell r="F279" t="str">
            <v>童装-儿童下装-针织运动裤</v>
          </cell>
          <cell r="G279" t="str">
            <v>一品多商</v>
          </cell>
          <cell r="H279" t="str">
            <v>品牌直发</v>
          </cell>
          <cell r="I279">
            <v>0</v>
          </cell>
        </row>
        <row r="280">
          <cell r="D280">
            <v>112031026</v>
          </cell>
          <cell r="E280" t="str">
            <v>伯希和/PELLIOT</v>
          </cell>
          <cell r="F280" t="str">
            <v>女装-户外运动服-抓绒衣</v>
          </cell>
          <cell r="G280" t="str">
            <v>一品一商</v>
          </cell>
          <cell r="H280" t="str">
            <v>品牌直发</v>
          </cell>
          <cell r="I280">
            <v>0</v>
          </cell>
        </row>
        <row r="281">
          <cell r="D281">
            <v>12140128</v>
          </cell>
          <cell r="E281" t="str">
            <v>伯希和/PELLIOT</v>
          </cell>
          <cell r="F281" t="str">
            <v>女装-外套-冲锋衣</v>
          </cell>
          <cell r="G281" t="str">
            <v>一品一商</v>
          </cell>
          <cell r="H281" t="str">
            <v>品牌直发</v>
          </cell>
          <cell r="I281">
            <v>0</v>
          </cell>
        </row>
        <row r="282">
          <cell r="D282">
            <v>12121418</v>
          </cell>
          <cell r="E282" t="str">
            <v>伯希和/PELLIOT</v>
          </cell>
          <cell r="F282" t="str">
            <v>女装-长裤-针织运动裤</v>
          </cell>
          <cell r="G282" t="str">
            <v>一品一商</v>
          </cell>
          <cell r="H282" t="str">
            <v>品牌直发</v>
          </cell>
          <cell r="I282">
            <v>0</v>
          </cell>
        </row>
        <row r="283">
          <cell r="D283">
            <v>12221402</v>
          </cell>
          <cell r="E283" t="str">
            <v>伯希和/PELLIOT</v>
          </cell>
          <cell r="F283" t="str">
            <v>女装-户外运动服-速干裤</v>
          </cell>
          <cell r="G283" t="str">
            <v>一品一商</v>
          </cell>
          <cell r="H283" t="str">
            <v>品牌直发</v>
          </cell>
          <cell r="I283">
            <v>0</v>
          </cell>
        </row>
        <row r="284">
          <cell r="D284">
            <v>112321408</v>
          </cell>
          <cell r="E284" t="str">
            <v>伯希和/PELLIOT</v>
          </cell>
          <cell r="F284" t="str">
            <v>女装-户外运动服-速干裤</v>
          </cell>
          <cell r="G284" t="str">
            <v>一品多商</v>
          </cell>
          <cell r="H284" t="str">
            <v>品牌直发</v>
          </cell>
          <cell r="I284">
            <v>0</v>
          </cell>
        </row>
        <row r="285">
          <cell r="D285">
            <v>124408280</v>
          </cell>
          <cell r="E285" t="str">
            <v>伯希和/PELLIOT</v>
          </cell>
          <cell r="F285" t="str">
            <v>女装-外套-羽绒服</v>
          </cell>
          <cell r="G285" t="str">
            <v>一品多商</v>
          </cell>
          <cell r="H285" t="str">
            <v>品牌直发</v>
          </cell>
          <cell r="I285">
            <v>0</v>
          </cell>
        </row>
        <row r="286">
          <cell r="D286">
            <v>111021401</v>
          </cell>
          <cell r="E286" t="str">
            <v>伯希和/PELLIOT</v>
          </cell>
          <cell r="F286" t="str">
            <v>服装-短裤-休闲短裤</v>
          </cell>
          <cell r="G286" t="str">
            <v>一品多商</v>
          </cell>
          <cell r="H286" t="str">
            <v>品牌直发</v>
          </cell>
          <cell r="I286">
            <v>0</v>
          </cell>
        </row>
        <row r="287">
          <cell r="D287">
            <v>12940130</v>
          </cell>
          <cell r="E287" t="str">
            <v>伯希和/PELLIOT</v>
          </cell>
          <cell r="F287" t="str">
            <v>女装-外套-冲锋衣</v>
          </cell>
          <cell r="G287" t="str">
            <v>一品一商</v>
          </cell>
          <cell r="H287" t="str">
            <v>品牌直发</v>
          </cell>
          <cell r="I287">
            <v>0</v>
          </cell>
        </row>
        <row r="288">
          <cell r="D288">
            <v>112321426</v>
          </cell>
          <cell r="E288" t="str">
            <v>伯希和/PELLIOT</v>
          </cell>
          <cell r="F288" t="str">
            <v>女装-长裙-休闲长裙</v>
          </cell>
          <cell r="G288" t="str">
            <v>一品一商</v>
          </cell>
          <cell r="H288" t="str">
            <v>品牌直发</v>
          </cell>
          <cell r="I288">
            <v>0</v>
          </cell>
        </row>
        <row r="289">
          <cell r="D289">
            <v>12321502</v>
          </cell>
          <cell r="E289" t="str">
            <v>伯希和/PELLIOT</v>
          </cell>
          <cell r="F289" t="str">
            <v>女装-上衣-Polo衫</v>
          </cell>
          <cell r="G289" t="str">
            <v>一品一商</v>
          </cell>
          <cell r="H289" t="str">
            <v>品牌直发</v>
          </cell>
          <cell r="I289">
            <v>0</v>
          </cell>
        </row>
        <row r="290">
          <cell r="D290">
            <v>12130710</v>
          </cell>
          <cell r="E290" t="str">
            <v>伯希和/PELLIOT</v>
          </cell>
          <cell r="F290" t="str">
            <v>女装-长裤-软壳裤</v>
          </cell>
          <cell r="G290" t="str">
            <v>一品一商</v>
          </cell>
          <cell r="H290" t="str">
            <v>品牌直发</v>
          </cell>
          <cell r="I290">
            <v>0</v>
          </cell>
        </row>
        <row r="291">
          <cell r="D291">
            <v>11130701</v>
          </cell>
          <cell r="E291" t="str">
            <v>伯希和/PELLIOT</v>
          </cell>
          <cell r="F291" t="str">
            <v>服装-长裤-软壳裤</v>
          </cell>
          <cell r="G291" t="str">
            <v>一品多商</v>
          </cell>
          <cell r="H291" t="str">
            <v>品牌直发</v>
          </cell>
          <cell r="I291">
            <v>0</v>
          </cell>
        </row>
        <row r="292">
          <cell r="D292">
            <v>12021510</v>
          </cell>
          <cell r="E292" t="str">
            <v>伯希和/PELLIOT</v>
          </cell>
          <cell r="F292" t="str">
            <v>女装-户外运动服-跑步T恤</v>
          </cell>
          <cell r="G292" t="str">
            <v>一品一商</v>
          </cell>
          <cell r="H292" t="str">
            <v>品牌直发</v>
          </cell>
          <cell r="I292">
            <v>0</v>
          </cell>
        </row>
        <row r="293">
          <cell r="D293">
            <v>11231103</v>
          </cell>
          <cell r="E293" t="str">
            <v>伯希和/PELLIOT</v>
          </cell>
          <cell r="F293" t="str">
            <v>服装-户外运动服-抓绒裤</v>
          </cell>
          <cell r="G293" t="str">
            <v>一品一商</v>
          </cell>
          <cell r="H293" t="str">
            <v>品牌直发</v>
          </cell>
          <cell r="I293">
            <v>0</v>
          </cell>
        </row>
        <row r="294">
          <cell r="D294">
            <v>12830708</v>
          </cell>
          <cell r="E294" t="str">
            <v>伯希和/PELLIOT</v>
          </cell>
          <cell r="F294" t="str">
            <v>女装-长裤-软壳裤</v>
          </cell>
          <cell r="G294" t="str">
            <v>一品多商</v>
          </cell>
          <cell r="H294" t="str">
            <v>品牌直发</v>
          </cell>
          <cell r="I294">
            <v>0</v>
          </cell>
        </row>
        <row r="295">
          <cell r="D295">
            <v>12321402</v>
          </cell>
          <cell r="E295" t="str">
            <v>伯希和/PELLIOT</v>
          </cell>
          <cell r="F295" t="str">
            <v>女装-户外运动服-速干裤</v>
          </cell>
          <cell r="G295" t="str">
            <v>一品一商</v>
          </cell>
          <cell r="H295" t="str">
            <v>品牌直发</v>
          </cell>
          <cell r="I295">
            <v>0</v>
          </cell>
        </row>
        <row r="296">
          <cell r="D296">
            <v>12231104</v>
          </cell>
          <cell r="E296" t="str">
            <v>伯希和/PELLIOT</v>
          </cell>
          <cell r="F296" t="str">
            <v>女装-户外运动服-抓绒裤</v>
          </cell>
          <cell r="G296" t="str">
            <v>一品一商</v>
          </cell>
          <cell r="H296" t="str">
            <v>品牌直发</v>
          </cell>
          <cell r="I296">
            <v>0</v>
          </cell>
        </row>
        <row r="297">
          <cell r="D297">
            <v>12131106</v>
          </cell>
          <cell r="E297" t="str">
            <v>伯希和/PELLIOT</v>
          </cell>
          <cell r="F297" t="str">
            <v>女装-户外运动服-抓绒裤</v>
          </cell>
          <cell r="G297" t="str">
            <v>一品一商</v>
          </cell>
          <cell r="H297" t="str">
            <v>品牌直发</v>
          </cell>
          <cell r="I297">
            <v>0</v>
          </cell>
        </row>
        <row r="298">
          <cell r="D298">
            <v>11321401</v>
          </cell>
          <cell r="E298" t="str">
            <v>伯希和/PELLIOT</v>
          </cell>
          <cell r="F298" t="str">
            <v>服装-户外运动服-速干裤</v>
          </cell>
          <cell r="G298" t="str">
            <v>一品一商</v>
          </cell>
          <cell r="H298" t="str">
            <v>品牌直发</v>
          </cell>
          <cell r="I298">
            <v>0</v>
          </cell>
        </row>
        <row r="299">
          <cell r="D299">
            <v>11830603</v>
          </cell>
          <cell r="E299" t="str">
            <v>伯希和/PELLIOT</v>
          </cell>
          <cell r="F299" t="str">
            <v>服装-外套-软壳衣</v>
          </cell>
          <cell r="G299" t="str">
            <v>一品多商</v>
          </cell>
          <cell r="H299" t="str">
            <v>品牌直发</v>
          </cell>
          <cell r="I299">
            <v>0</v>
          </cell>
        </row>
        <row r="300">
          <cell r="D300">
            <v>12830604</v>
          </cell>
          <cell r="E300" t="str">
            <v>伯希和/PELLIOT</v>
          </cell>
          <cell r="F300" t="str">
            <v>女装-外套-软壳衣</v>
          </cell>
          <cell r="G300" t="str">
            <v>一品多商</v>
          </cell>
          <cell r="H300" t="str">
            <v>品牌直发</v>
          </cell>
          <cell r="I300">
            <v>0</v>
          </cell>
        </row>
        <row r="301">
          <cell r="D301">
            <v>12321406</v>
          </cell>
          <cell r="E301" t="str">
            <v>伯希和/PELLIOT</v>
          </cell>
          <cell r="F301" t="str">
            <v>女装-户外运动服-速干裤</v>
          </cell>
          <cell r="G301" t="str">
            <v>一品一商</v>
          </cell>
          <cell r="H301" t="str">
            <v>品牌直发</v>
          </cell>
          <cell r="I301">
            <v>0</v>
          </cell>
        </row>
        <row r="302">
          <cell r="D302">
            <v>11021509</v>
          </cell>
          <cell r="E302" t="str">
            <v>伯希和/PELLIOT</v>
          </cell>
          <cell r="F302" t="str">
            <v>服装-上衣-T恤</v>
          </cell>
          <cell r="G302" t="str">
            <v>一品一商</v>
          </cell>
          <cell r="H302" t="str">
            <v>品牌直发</v>
          </cell>
          <cell r="I302">
            <v>0</v>
          </cell>
        </row>
        <row r="303">
          <cell r="D303">
            <v>12213804</v>
          </cell>
          <cell r="E303" t="str">
            <v>伯希和/PELLIOT</v>
          </cell>
          <cell r="F303" t="str">
            <v>女装-长裤-休闲裤</v>
          </cell>
          <cell r="G303" t="str">
            <v>一品一商</v>
          </cell>
          <cell r="H303" t="str">
            <v>品牌直发</v>
          </cell>
          <cell r="I303">
            <v>0</v>
          </cell>
        </row>
        <row r="304">
          <cell r="D304">
            <v>12230702</v>
          </cell>
          <cell r="E304" t="str">
            <v>伯希和/PELLIOT</v>
          </cell>
          <cell r="F304" t="str">
            <v>女装-长裤-软壳裤</v>
          </cell>
          <cell r="G304" t="str">
            <v>一品多商</v>
          </cell>
          <cell r="H304" t="str">
            <v>品牌直发</v>
          </cell>
          <cell r="I304">
            <v>0</v>
          </cell>
        </row>
        <row r="305">
          <cell r="D305">
            <v>12033806</v>
          </cell>
          <cell r="E305" t="str">
            <v>伯希和/PELLIOT</v>
          </cell>
          <cell r="F305" t="str">
            <v>女装-长裤-休闲裤</v>
          </cell>
          <cell r="G305" t="str">
            <v>一品一商</v>
          </cell>
          <cell r="H305" t="str">
            <v>品牌直发</v>
          </cell>
          <cell r="I305">
            <v>0</v>
          </cell>
        </row>
        <row r="306">
          <cell r="D306" t="str">
            <v>125116022-服</v>
          </cell>
          <cell r="E306" t="str">
            <v>伯希和/PELLIOT</v>
          </cell>
          <cell r="F306" t="str">
            <v>女装-户外运动服-跑步T恤</v>
          </cell>
          <cell r="G306" t="str">
            <v>一品多商</v>
          </cell>
          <cell r="H306" t="str">
            <v>品牌直发</v>
          </cell>
          <cell r="I306">
            <v>0</v>
          </cell>
        </row>
        <row r="307">
          <cell r="D307">
            <v>112040112</v>
          </cell>
          <cell r="E307" t="str">
            <v>伯希和/PELLIOT</v>
          </cell>
          <cell r="F307" t="str">
            <v>女装-外套-冲锋衣</v>
          </cell>
          <cell r="G307" t="str">
            <v>一品一商</v>
          </cell>
          <cell r="H307" t="str">
            <v>品牌直发</v>
          </cell>
          <cell r="I307">
            <v>0</v>
          </cell>
        </row>
        <row r="308">
          <cell r="D308">
            <v>11230701</v>
          </cell>
          <cell r="E308" t="str">
            <v>伯希和/PELLIOT</v>
          </cell>
          <cell r="F308" t="str">
            <v>服装-长裤-软壳裤</v>
          </cell>
          <cell r="G308" t="str">
            <v>一品多商</v>
          </cell>
          <cell r="H308" t="str">
            <v>品牌直发</v>
          </cell>
          <cell r="I308">
            <v>0</v>
          </cell>
        </row>
        <row r="309">
          <cell r="D309">
            <v>11231443</v>
          </cell>
          <cell r="E309" t="str">
            <v>伯希和/PELLIOT</v>
          </cell>
          <cell r="F309" t="str">
            <v>服装-户外运动服-速干裤</v>
          </cell>
          <cell r="G309" t="str">
            <v>一品一商</v>
          </cell>
          <cell r="H309" t="str">
            <v>品牌直发</v>
          </cell>
          <cell r="I309">
            <v>0</v>
          </cell>
        </row>
        <row r="310">
          <cell r="D310">
            <v>12215104</v>
          </cell>
          <cell r="E310" t="str">
            <v>伯希和/PELLIOT</v>
          </cell>
          <cell r="F310" t="str">
            <v>女装-外套-夹克</v>
          </cell>
          <cell r="G310" t="str">
            <v>一品一商</v>
          </cell>
          <cell r="H310" t="str">
            <v>品牌直发</v>
          </cell>
          <cell r="I310">
            <v>0</v>
          </cell>
        </row>
        <row r="311">
          <cell r="D311">
            <v>112213710</v>
          </cell>
          <cell r="E311" t="str">
            <v>伯希和/PELLIOT</v>
          </cell>
          <cell r="F311" t="str">
            <v>服装-上衣-卫衣</v>
          </cell>
          <cell r="G311" t="str">
            <v>一品一商</v>
          </cell>
          <cell r="H311" t="str">
            <v>品牌直发</v>
          </cell>
          <cell r="I311">
            <v>0</v>
          </cell>
        </row>
        <row r="312">
          <cell r="D312">
            <v>111240115</v>
          </cell>
          <cell r="E312" t="str">
            <v>伯希和/PELLIOT</v>
          </cell>
          <cell r="F312" t="str">
            <v>服装-外套-冲锋衣</v>
          </cell>
          <cell r="G312" t="str">
            <v>一品一商</v>
          </cell>
          <cell r="H312" t="str">
            <v>品牌直发</v>
          </cell>
          <cell r="I312">
            <v>0</v>
          </cell>
        </row>
        <row r="313">
          <cell r="D313">
            <v>12321204</v>
          </cell>
          <cell r="E313" t="str">
            <v>伯希和/PELLIOT</v>
          </cell>
          <cell r="F313" t="str">
            <v>女装-外套-防晒服</v>
          </cell>
          <cell r="G313" t="str">
            <v>一品一商</v>
          </cell>
          <cell r="H313" t="str">
            <v>品牌直发</v>
          </cell>
          <cell r="I313">
            <v>0</v>
          </cell>
        </row>
        <row r="314">
          <cell r="D314">
            <v>11240203</v>
          </cell>
          <cell r="E314" t="str">
            <v>伯希和/PELLIOT</v>
          </cell>
          <cell r="F314" t="str">
            <v>服装-长裤-冲锋裤</v>
          </cell>
          <cell r="G314" t="str">
            <v>一品多商</v>
          </cell>
          <cell r="H314" t="str">
            <v>品牌直发</v>
          </cell>
          <cell r="I314">
            <v>0</v>
          </cell>
        </row>
        <row r="315">
          <cell r="D315">
            <v>11040107</v>
          </cell>
          <cell r="E315" t="str">
            <v>伯希和/PELLIOT</v>
          </cell>
          <cell r="F315" t="str">
            <v>服装-外套-冲锋衣</v>
          </cell>
          <cell r="G315" t="str">
            <v>一品多商</v>
          </cell>
          <cell r="H315" t="str">
            <v>品牌直发</v>
          </cell>
          <cell r="I315">
            <v>0</v>
          </cell>
        </row>
        <row r="316">
          <cell r="D316">
            <v>12221522</v>
          </cell>
          <cell r="E316" t="str">
            <v>伯希和/PELLIOT</v>
          </cell>
          <cell r="F316" t="str">
            <v>女装-户外运动服-跑步T恤</v>
          </cell>
          <cell r="G316" t="str">
            <v>一品一商</v>
          </cell>
          <cell r="H316" t="str">
            <v>品牌直发</v>
          </cell>
          <cell r="I316">
            <v>0</v>
          </cell>
        </row>
        <row r="317">
          <cell r="D317">
            <v>12230618</v>
          </cell>
          <cell r="E317" t="str">
            <v>伯希和/PELLIOT</v>
          </cell>
          <cell r="F317" t="str">
            <v>女装-外套-软壳衣</v>
          </cell>
          <cell r="G317" t="str">
            <v>一品一商</v>
          </cell>
          <cell r="H317" t="str">
            <v>品牌直发</v>
          </cell>
          <cell r="I317">
            <v>0</v>
          </cell>
        </row>
        <row r="318">
          <cell r="D318">
            <v>12130608</v>
          </cell>
          <cell r="E318" t="str">
            <v>伯希和/PELLIOT</v>
          </cell>
          <cell r="F318" t="str">
            <v>女装-外套-软壳衣</v>
          </cell>
          <cell r="G318" t="str">
            <v>一品多商</v>
          </cell>
          <cell r="H318" t="str">
            <v>品牌直发</v>
          </cell>
          <cell r="I318">
            <v>0</v>
          </cell>
        </row>
        <row r="319">
          <cell r="D319">
            <v>12313706</v>
          </cell>
          <cell r="E319" t="str">
            <v>伯希和/PELLIOT</v>
          </cell>
          <cell r="F319" t="str">
            <v>女装-上衣-卫衣</v>
          </cell>
          <cell r="G319" t="str">
            <v>一品一商</v>
          </cell>
          <cell r="H319" t="str">
            <v>品牌直发</v>
          </cell>
          <cell r="I319">
            <v>0</v>
          </cell>
        </row>
        <row r="320">
          <cell r="D320">
            <v>11213803</v>
          </cell>
          <cell r="E320" t="str">
            <v>伯希和/PELLIOT</v>
          </cell>
          <cell r="F320" t="str">
            <v>服装-长裤-针织运动裤</v>
          </cell>
          <cell r="G320" t="str">
            <v>一品一商</v>
          </cell>
          <cell r="H320" t="str">
            <v>品牌直发</v>
          </cell>
          <cell r="I320">
            <v>0</v>
          </cell>
        </row>
        <row r="321">
          <cell r="D321">
            <v>12221504</v>
          </cell>
          <cell r="E321" t="str">
            <v>伯希和/PELLIOT</v>
          </cell>
          <cell r="F321" t="str">
            <v>女装-上衣-T恤</v>
          </cell>
          <cell r="G321" t="str">
            <v>一品一商</v>
          </cell>
          <cell r="H321" t="str">
            <v>品牌直发</v>
          </cell>
          <cell r="I321">
            <v>0</v>
          </cell>
        </row>
        <row r="322">
          <cell r="D322">
            <v>12031016</v>
          </cell>
          <cell r="E322" t="str">
            <v>伯希和/PELLIOT</v>
          </cell>
          <cell r="F322" t="str">
            <v>女装-户外运动服-抓绒衣</v>
          </cell>
          <cell r="G322" t="str">
            <v>一品一商</v>
          </cell>
          <cell r="H322" t="str">
            <v>品牌直发</v>
          </cell>
          <cell r="I322">
            <v>0</v>
          </cell>
        </row>
        <row r="323">
          <cell r="D323">
            <v>12131022</v>
          </cell>
          <cell r="E323" t="str">
            <v>伯希和/PELLIOT</v>
          </cell>
          <cell r="F323" t="str">
            <v>女装-户外运动服-抓绒衣</v>
          </cell>
          <cell r="G323" t="str">
            <v>一品一商</v>
          </cell>
          <cell r="H323" t="str">
            <v>品牌直发</v>
          </cell>
          <cell r="I323">
            <v>0</v>
          </cell>
        </row>
        <row r="324">
          <cell r="D324">
            <v>112140110</v>
          </cell>
          <cell r="E324" t="str">
            <v>伯希和/PELLIOT</v>
          </cell>
          <cell r="F324" t="str">
            <v>女装-外套-冲锋衣</v>
          </cell>
          <cell r="G324" t="str">
            <v>一品一商</v>
          </cell>
          <cell r="H324" t="str">
            <v>品牌直发</v>
          </cell>
          <cell r="I324">
            <v>0</v>
          </cell>
        </row>
        <row r="325">
          <cell r="D325">
            <v>12121218</v>
          </cell>
          <cell r="E325" t="str">
            <v>伯希和/PELLIOT</v>
          </cell>
          <cell r="F325" t="str">
            <v>女装-外套-防晒服</v>
          </cell>
          <cell r="G325" t="str">
            <v>一品一商</v>
          </cell>
          <cell r="H325" t="str">
            <v>品牌直发</v>
          </cell>
          <cell r="I325">
            <v>0</v>
          </cell>
        </row>
        <row r="326">
          <cell r="D326">
            <v>16804501</v>
          </cell>
          <cell r="E326" t="str">
            <v>伯希和/PELLIOT</v>
          </cell>
          <cell r="F326" t="str">
            <v>户外装备-露营/野炊装备-秋千</v>
          </cell>
          <cell r="G326" t="str">
            <v>一品多商</v>
          </cell>
          <cell r="H326" t="str">
            <v>普通现货</v>
          </cell>
          <cell r="I326">
            <v>0</v>
          </cell>
        </row>
        <row r="327">
          <cell r="D327">
            <v>11221203</v>
          </cell>
          <cell r="E327" t="str">
            <v>伯希和/PELLIOT</v>
          </cell>
          <cell r="F327" t="str">
            <v>服装-外套-防晒服</v>
          </cell>
          <cell r="G327" t="str">
            <v>一品一商</v>
          </cell>
          <cell r="H327" t="str">
            <v>品牌直发</v>
          </cell>
          <cell r="I327">
            <v>0</v>
          </cell>
        </row>
        <row r="328">
          <cell r="D328">
            <v>12221202</v>
          </cell>
          <cell r="E328" t="str">
            <v>伯希和/PELLIOT</v>
          </cell>
          <cell r="F328" t="str">
            <v>女装-外套-防晒服</v>
          </cell>
          <cell r="G328" t="str">
            <v>一品多商</v>
          </cell>
          <cell r="H328" t="str">
            <v>品牌直发</v>
          </cell>
          <cell r="I328">
            <v>0</v>
          </cell>
        </row>
        <row r="329">
          <cell r="D329">
            <v>12215102</v>
          </cell>
          <cell r="E329" t="str">
            <v>伯希和/PELLIOT</v>
          </cell>
          <cell r="F329" t="str">
            <v>女装-外套-夹克</v>
          </cell>
          <cell r="G329" t="str">
            <v>一品一商</v>
          </cell>
          <cell r="H329" t="str">
            <v>品牌直发</v>
          </cell>
          <cell r="I329">
            <v>0</v>
          </cell>
        </row>
        <row r="330">
          <cell r="D330">
            <v>12321218</v>
          </cell>
          <cell r="E330" t="str">
            <v>伯希和/PELLIOT</v>
          </cell>
          <cell r="F330" t="str">
            <v>女装-外套-防晒服</v>
          </cell>
          <cell r="G330" t="str">
            <v>一品多商</v>
          </cell>
          <cell r="H330" t="str">
            <v>品牌直发</v>
          </cell>
          <cell r="I330">
            <v>0</v>
          </cell>
        </row>
        <row r="331">
          <cell r="D331">
            <v>12121412</v>
          </cell>
          <cell r="E331" t="str">
            <v>伯希和/PELLIOT</v>
          </cell>
          <cell r="F331" t="str">
            <v>女装-户外运动服-速干裤</v>
          </cell>
          <cell r="G331" t="str">
            <v>一品多商</v>
          </cell>
          <cell r="H331" t="str">
            <v>品牌直发</v>
          </cell>
          <cell r="I331">
            <v>0</v>
          </cell>
        </row>
        <row r="332">
          <cell r="D332">
            <v>12231006</v>
          </cell>
          <cell r="E332" t="str">
            <v>伯希和/PELLIOT</v>
          </cell>
          <cell r="F332" t="str">
            <v>女装-户外运动服-抓绒衣</v>
          </cell>
          <cell r="G332" t="str">
            <v>一品一商</v>
          </cell>
          <cell r="H332" t="str">
            <v>品牌直发</v>
          </cell>
          <cell r="I332">
            <v>0</v>
          </cell>
        </row>
        <row r="333">
          <cell r="D333">
            <v>12231004</v>
          </cell>
          <cell r="E333" t="str">
            <v>伯希和/PELLIOT</v>
          </cell>
          <cell r="F333" t="str">
            <v>女装-户外运动服-抓绒衣</v>
          </cell>
          <cell r="G333" t="str">
            <v>一品一商</v>
          </cell>
          <cell r="H333" t="str">
            <v>品牌直发</v>
          </cell>
          <cell r="I333">
            <v>0</v>
          </cell>
        </row>
        <row r="334">
          <cell r="D334">
            <v>12130702</v>
          </cell>
          <cell r="E334" t="str">
            <v>伯希和/PELLIOT</v>
          </cell>
          <cell r="F334" t="str">
            <v>女装-长裤-软壳裤</v>
          </cell>
          <cell r="G334" t="str">
            <v>一品多商</v>
          </cell>
          <cell r="H334" t="str">
            <v>品牌直发</v>
          </cell>
          <cell r="I334">
            <v>0</v>
          </cell>
        </row>
        <row r="335">
          <cell r="D335">
            <v>12321222</v>
          </cell>
          <cell r="E335" t="str">
            <v>伯希和/PELLIOT</v>
          </cell>
          <cell r="F335" t="str">
            <v>女装-外套-防晒服</v>
          </cell>
          <cell r="G335" t="str">
            <v>一品多商</v>
          </cell>
          <cell r="H335" t="str">
            <v>品牌直发</v>
          </cell>
          <cell r="I335">
            <v>0</v>
          </cell>
        </row>
        <row r="336">
          <cell r="D336">
            <v>12131006</v>
          </cell>
          <cell r="E336" t="str">
            <v>伯希和/PELLIOT</v>
          </cell>
          <cell r="F336" t="str">
            <v>女装-户外运动服-抓绒衣</v>
          </cell>
          <cell r="G336" t="str">
            <v>一品一商</v>
          </cell>
          <cell r="H336" t="str">
            <v>普通现货</v>
          </cell>
          <cell r="I336">
            <v>0</v>
          </cell>
        </row>
        <row r="337">
          <cell r="D337">
            <v>12230706</v>
          </cell>
          <cell r="E337" t="str">
            <v>伯希和/PELLIOT</v>
          </cell>
          <cell r="F337" t="str">
            <v>女装-长裤-软壳裤</v>
          </cell>
          <cell r="G337" t="str">
            <v>一品多商</v>
          </cell>
          <cell r="H337" t="str">
            <v>品牌直发</v>
          </cell>
          <cell r="I337">
            <v>0</v>
          </cell>
        </row>
        <row r="338">
          <cell r="D338">
            <v>11240121</v>
          </cell>
          <cell r="E338" t="str">
            <v>伯希和/PELLIOT</v>
          </cell>
          <cell r="F338" t="str">
            <v>服装-外套-冲锋衣</v>
          </cell>
          <cell r="G338" t="str">
            <v>一品一商</v>
          </cell>
          <cell r="H338" t="str">
            <v>品牌直发</v>
          </cell>
          <cell r="I338">
            <v>0</v>
          </cell>
        </row>
        <row r="339">
          <cell r="D339">
            <v>12231016</v>
          </cell>
          <cell r="E339" t="str">
            <v>伯希和/PELLIOT</v>
          </cell>
          <cell r="F339" t="str">
            <v>女装-户外运动服-抓绒衣</v>
          </cell>
          <cell r="G339" t="str">
            <v>一品一商</v>
          </cell>
          <cell r="H339" t="str">
            <v>品牌直发</v>
          </cell>
          <cell r="I339">
            <v>0</v>
          </cell>
        </row>
        <row r="340">
          <cell r="D340">
            <v>12231032</v>
          </cell>
          <cell r="E340" t="str">
            <v>伯希和/PELLIOT</v>
          </cell>
          <cell r="F340" t="str">
            <v>女装-户外运动服-抓绒衣</v>
          </cell>
          <cell r="G340" t="str">
            <v>一品一商</v>
          </cell>
          <cell r="H340" t="str">
            <v>品牌直发</v>
          </cell>
          <cell r="I340">
            <v>0</v>
          </cell>
        </row>
        <row r="341">
          <cell r="D341">
            <v>12231802</v>
          </cell>
          <cell r="E341" t="str">
            <v>伯希和/PELLIOT</v>
          </cell>
          <cell r="F341" t="str">
            <v>内衣-内衣裤-保暖套装</v>
          </cell>
          <cell r="G341" t="str">
            <v>一品一商</v>
          </cell>
          <cell r="H341" t="str">
            <v>品牌直发</v>
          </cell>
          <cell r="I341">
            <v>0</v>
          </cell>
        </row>
        <row r="342">
          <cell r="D342">
            <v>12240834</v>
          </cell>
          <cell r="E342" t="str">
            <v>伯希和/PELLIOT</v>
          </cell>
          <cell r="F342" t="str">
            <v>女装-外套-羽绒服</v>
          </cell>
          <cell r="G342" t="str">
            <v>一品多商</v>
          </cell>
          <cell r="H342" t="str">
            <v>品牌直发</v>
          </cell>
          <cell r="I342">
            <v>0</v>
          </cell>
        </row>
        <row r="343">
          <cell r="D343">
            <v>12230602</v>
          </cell>
          <cell r="E343" t="str">
            <v>伯希和/PELLIOT</v>
          </cell>
          <cell r="F343" t="str">
            <v>女装-外套-软壳衣</v>
          </cell>
          <cell r="G343" t="str">
            <v>一品多商</v>
          </cell>
          <cell r="H343" t="str">
            <v>品牌直发</v>
          </cell>
          <cell r="I343">
            <v>0</v>
          </cell>
        </row>
        <row r="344">
          <cell r="D344">
            <v>11140809</v>
          </cell>
          <cell r="E344" t="str">
            <v>伯希和/PELLIOT</v>
          </cell>
          <cell r="F344" t="str">
            <v>服装-外套-羽绒服</v>
          </cell>
          <cell r="G344" t="str">
            <v>一品多商</v>
          </cell>
          <cell r="H344" t="str">
            <v>品牌直发</v>
          </cell>
          <cell r="I344">
            <v>0</v>
          </cell>
        </row>
        <row r="345">
          <cell r="D345">
            <v>12140810</v>
          </cell>
          <cell r="E345" t="str">
            <v>伯希和/PELLIOT</v>
          </cell>
          <cell r="F345" t="str">
            <v>女装-外套-羽绒服</v>
          </cell>
          <cell r="G345" t="str">
            <v>一品多商</v>
          </cell>
          <cell r="H345" t="str">
            <v>品牌直发</v>
          </cell>
          <cell r="I345">
            <v>0</v>
          </cell>
        </row>
        <row r="346">
          <cell r="D346">
            <v>12740808</v>
          </cell>
          <cell r="E346" t="str">
            <v>伯希和/PELLIOT</v>
          </cell>
          <cell r="F346" t="str">
            <v>服装-外套-羽绒服</v>
          </cell>
          <cell r="G346" t="str">
            <v>一品一商</v>
          </cell>
          <cell r="H346" t="str">
            <v>品牌直发</v>
          </cell>
          <cell r="I346">
            <v>0</v>
          </cell>
        </row>
        <row r="347">
          <cell r="D347">
            <v>11140813</v>
          </cell>
          <cell r="E347" t="str">
            <v>伯希和/PELLIOT</v>
          </cell>
          <cell r="F347" t="str">
            <v>服装-外套-羽绒服</v>
          </cell>
          <cell r="G347" t="str">
            <v>一品多商</v>
          </cell>
          <cell r="H347" t="str">
            <v>品牌直发</v>
          </cell>
          <cell r="I347">
            <v>0</v>
          </cell>
        </row>
        <row r="348">
          <cell r="D348">
            <v>11240301</v>
          </cell>
          <cell r="E348" t="str">
            <v>伯希和/PELLIOT</v>
          </cell>
          <cell r="F348" t="str">
            <v>服装-外套-棉服</v>
          </cell>
          <cell r="G348" t="str">
            <v>一品多商</v>
          </cell>
          <cell r="H348" t="str">
            <v>品牌直发</v>
          </cell>
          <cell r="I348">
            <v>0</v>
          </cell>
        </row>
        <row r="349">
          <cell r="D349">
            <v>12140814</v>
          </cell>
          <cell r="E349" t="str">
            <v>伯希和/PELLIOT</v>
          </cell>
          <cell r="F349" t="str">
            <v>女装-外套-羽绒服</v>
          </cell>
          <cell r="G349" t="str">
            <v>一品多商</v>
          </cell>
          <cell r="H349" t="str">
            <v>品牌直发</v>
          </cell>
          <cell r="I349">
            <v>0</v>
          </cell>
        </row>
        <row r="350">
          <cell r="D350">
            <v>12140804</v>
          </cell>
          <cell r="E350" t="str">
            <v>伯希和/PELLIOT</v>
          </cell>
          <cell r="F350" t="str">
            <v>女装-外套-羽绒服</v>
          </cell>
          <cell r="G350" t="str">
            <v>一品一商</v>
          </cell>
          <cell r="H350" t="str">
            <v>品牌直发</v>
          </cell>
          <cell r="I350">
            <v>0</v>
          </cell>
        </row>
        <row r="351">
          <cell r="D351">
            <v>12131802</v>
          </cell>
          <cell r="E351" t="str">
            <v>伯希和/PELLIOT</v>
          </cell>
          <cell r="F351" t="str">
            <v>内衣-内衣裤-保暖套装</v>
          </cell>
          <cell r="G351" t="str">
            <v>一品一商</v>
          </cell>
          <cell r="H351" t="str">
            <v>品牌直发</v>
          </cell>
          <cell r="I351">
            <v>0</v>
          </cell>
        </row>
        <row r="352">
          <cell r="D352">
            <v>11140101</v>
          </cell>
          <cell r="E352" t="str">
            <v>伯希和/PELLIOT</v>
          </cell>
          <cell r="F352" t="str">
            <v>服装-外套-冲锋衣</v>
          </cell>
          <cell r="G352" t="str">
            <v>一品多商</v>
          </cell>
          <cell r="H352" t="str">
            <v>品牌直发</v>
          </cell>
          <cell r="I352">
            <v>0</v>
          </cell>
        </row>
        <row r="353">
          <cell r="D353">
            <v>12140102</v>
          </cell>
          <cell r="E353" t="str">
            <v>伯希和/PELLIOT</v>
          </cell>
          <cell r="F353" t="str">
            <v>女装-外套-冲锋衣</v>
          </cell>
          <cell r="G353" t="str">
            <v>一品多商</v>
          </cell>
          <cell r="H353" t="str">
            <v>品牌直发</v>
          </cell>
          <cell r="I353">
            <v>0</v>
          </cell>
        </row>
        <row r="354">
          <cell r="D354">
            <v>11140121</v>
          </cell>
          <cell r="E354" t="str">
            <v>伯希和/PELLIOT</v>
          </cell>
          <cell r="F354" t="str">
            <v>服装-外套-冲锋衣</v>
          </cell>
          <cell r="G354" t="str">
            <v>一品一商</v>
          </cell>
          <cell r="H354" t="str">
            <v>品牌直发</v>
          </cell>
          <cell r="I354">
            <v>0</v>
          </cell>
        </row>
        <row r="355">
          <cell r="D355">
            <v>11240828</v>
          </cell>
          <cell r="E355" t="str">
            <v>伯希和/PELLIOT</v>
          </cell>
          <cell r="F355" t="str">
            <v>女装-外套-羽绒服</v>
          </cell>
          <cell r="G355" t="str">
            <v>一品一商</v>
          </cell>
          <cell r="H355" t="str">
            <v>品牌直发</v>
          </cell>
          <cell r="I355">
            <v>0</v>
          </cell>
        </row>
        <row r="356">
          <cell r="D356">
            <v>114408279</v>
          </cell>
          <cell r="E356" t="str">
            <v>伯希和/PELLIOT</v>
          </cell>
          <cell r="F356" t="str">
            <v>服装-外套-羽绒服</v>
          </cell>
          <cell r="G356" t="str">
            <v>一品多商</v>
          </cell>
          <cell r="H356" t="str">
            <v>品牌直发</v>
          </cell>
          <cell r="I356">
            <v>0</v>
          </cell>
        </row>
        <row r="357">
          <cell r="D357">
            <v>12240822</v>
          </cell>
          <cell r="E357" t="str">
            <v>伯希和/PELLIOT</v>
          </cell>
          <cell r="F357" t="str">
            <v>女装-外套-羽绒服</v>
          </cell>
          <cell r="G357" t="str">
            <v>一品多商</v>
          </cell>
          <cell r="H357" t="str">
            <v>品牌直发</v>
          </cell>
          <cell r="I357">
            <v>0</v>
          </cell>
        </row>
        <row r="358">
          <cell r="D358">
            <v>12231022</v>
          </cell>
          <cell r="E358" t="str">
            <v>伯希和/PELLIOT</v>
          </cell>
          <cell r="F358" t="str">
            <v>服装-户外运动服-抓绒衣</v>
          </cell>
          <cell r="G358" t="str">
            <v>一品一商</v>
          </cell>
          <cell r="H358" t="str">
            <v>品牌直发</v>
          </cell>
          <cell r="I358">
            <v>0</v>
          </cell>
        </row>
        <row r="359">
          <cell r="D359">
            <v>11240821</v>
          </cell>
          <cell r="E359" t="str">
            <v>伯希和/PELLIOT</v>
          </cell>
          <cell r="F359" t="str">
            <v>服装-外套-羽绒服</v>
          </cell>
          <cell r="G359" t="str">
            <v>一品多商</v>
          </cell>
          <cell r="H359" t="str">
            <v>品牌直发</v>
          </cell>
          <cell r="I359">
            <v>0</v>
          </cell>
        </row>
        <row r="360">
          <cell r="D360">
            <v>11240129</v>
          </cell>
          <cell r="E360" t="str">
            <v>伯希和/PELLIOT</v>
          </cell>
          <cell r="F360" t="str">
            <v>服装-外套-冲锋衣</v>
          </cell>
          <cell r="G360" t="str">
            <v>一品多商</v>
          </cell>
          <cell r="H360" t="str">
            <v>品牌直发</v>
          </cell>
          <cell r="I360">
            <v>0</v>
          </cell>
        </row>
        <row r="361">
          <cell r="D361">
            <v>11040139</v>
          </cell>
          <cell r="E361" t="str">
            <v>伯希和/PELLIOT</v>
          </cell>
          <cell r="F361" t="str">
            <v>服装-外套-冲锋衣</v>
          </cell>
          <cell r="G361" t="str">
            <v>一品一商</v>
          </cell>
          <cell r="H361" t="str">
            <v>品牌直发</v>
          </cell>
          <cell r="I361">
            <v>0</v>
          </cell>
        </row>
        <row r="362">
          <cell r="D362">
            <v>11231031</v>
          </cell>
          <cell r="E362" t="str">
            <v>伯希和/PELLIOT</v>
          </cell>
          <cell r="F362" t="str">
            <v>服装-户外运动服-抓绒衣</v>
          </cell>
          <cell r="G362" t="str">
            <v>一品一商</v>
          </cell>
          <cell r="H362" t="str">
            <v>品牌直发</v>
          </cell>
          <cell r="I362">
            <v>0</v>
          </cell>
        </row>
        <row r="363">
          <cell r="D363">
            <v>112240824</v>
          </cell>
          <cell r="E363" t="str">
            <v>伯希和/PELLIOT</v>
          </cell>
          <cell r="F363" t="str">
            <v>服装-外套-羽绒马甲</v>
          </cell>
          <cell r="G363" t="str">
            <v>一品一商</v>
          </cell>
          <cell r="H363" t="str">
            <v>品牌直发</v>
          </cell>
          <cell r="I363">
            <v>0</v>
          </cell>
        </row>
        <row r="364">
          <cell r="D364">
            <v>111230705</v>
          </cell>
          <cell r="E364" t="str">
            <v>伯希和/PELLIOT</v>
          </cell>
          <cell r="F364" t="str">
            <v>服装-长裤-冲锋裤</v>
          </cell>
          <cell r="G364" t="str">
            <v>一品多商</v>
          </cell>
          <cell r="H364" t="str">
            <v>品牌直发</v>
          </cell>
          <cell r="I364">
            <v>0</v>
          </cell>
        </row>
        <row r="365">
          <cell r="D365">
            <v>11040105</v>
          </cell>
          <cell r="E365" t="str">
            <v>伯希和/PELLIOT</v>
          </cell>
          <cell r="F365" t="str">
            <v>服装-外套-冲锋衣</v>
          </cell>
          <cell r="G365" t="str">
            <v>一品多商</v>
          </cell>
          <cell r="H365" t="str">
            <v>品牌直发</v>
          </cell>
          <cell r="I365">
            <v>0</v>
          </cell>
        </row>
        <row r="366">
          <cell r="D366">
            <v>12040134</v>
          </cell>
          <cell r="E366" t="str">
            <v>伯希和/PELLIOT</v>
          </cell>
          <cell r="F366" t="str">
            <v>女装-外套-冲锋衣</v>
          </cell>
          <cell r="G366" t="str">
            <v>一品一商</v>
          </cell>
          <cell r="H366" t="str">
            <v>品牌直发</v>
          </cell>
          <cell r="I366">
            <v>0</v>
          </cell>
        </row>
        <row r="367">
          <cell r="D367">
            <v>11133703</v>
          </cell>
          <cell r="E367" t="str">
            <v>伯希和/PELLIOT</v>
          </cell>
          <cell r="F367" t="str">
            <v>服装-上衣-卫衣</v>
          </cell>
          <cell r="G367" t="str">
            <v>一品一商</v>
          </cell>
          <cell r="H367" t="str">
            <v>品牌直发</v>
          </cell>
          <cell r="I367">
            <v>0</v>
          </cell>
        </row>
        <row r="368">
          <cell r="D368">
            <v>12221528</v>
          </cell>
          <cell r="E368" t="str">
            <v>伯希和/PELLIOT</v>
          </cell>
          <cell r="F368" t="str">
            <v>女装-上衣-T恤</v>
          </cell>
          <cell r="G368" t="str">
            <v>一品一商</v>
          </cell>
          <cell r="H368" t="str">
            <v>品牌直发</v>
          </cell>
          <cell r="I368">
            <v>0</v>
          </cell>
        </row>
        <row r="369">
          <cell r="D369">
            <v>12140112</v>
          </cell>
          <cell r="E369" t="str">
            <v>伯希和/PELLIOT</v>
          </cell>
          <cell r="F369" t="str">
            <v>女装-外套-冲锋衣</v>
          </cell>
          <cell r="G369" t="str">
            <v>一品多商</v>
          </cell>
          <cell r="H369" t="str">
            <v>品牌直发</v>
          </cell>
          <cell r="I369">
            <v>0</v>
          </cell>
        </row>
        <row r="370">
          <cell r="D370">
            <v>11130709</v>
          </cell>
          <cell r="E370" t="str">
            <v>伯希和/PELLIOT</v>
          </cell>
          <cell r="F370" t="str">
            <v>服装-长裤-软壳裤</v>
          </cell>
          <cell r="G370" t="str">
            <v>一品一商</v>
          </cell>
          <cell r="H370" t="str">
            <v>品牌直发</v>
          </cell>
          <cell r="I370">
            <v>0</v>
          </cell>
        </row>
        <row r="371">
          <cell r="D371">
            <v>11121269</v>
          </cell>
          <cell r="E371" t="str">
            <v>伯希和/PELLIOT</v>
          </cell>
          <cell r="F371" t="str">
            <v>服装-外套-防晒服</v>
          </cell>
          <cell r="G371" t="str">
            <v>一品一商</v>
          </cell>
          <cell r="H371" t="str">
            <v>品牌直发</v>
          </cell>
          <cell r="I371">
            <v>0</v>
          </cell>
        </row>
        <row r="372">
          <cell r="D372">
            <v>11221219</v>
          </cell>
          <cell r="E372" t="str">
            <v>伯希和/PELLIOT</v>
          </cell>
          <cell r="F372" t="str">
            <v>服装-外套-防晒服</v>
          </cell>
          <cell r="G372" t="str">
            <v>一品多商</v>
          </cell>
          <cell r="H372" t="str">
            <v>品牌直发</v>
          </cell>
          <cell r="I372">
            <v>0</v>
          </cell>
        </row>
        <row r="373">
          <cell r="D373">
            <v>12221440</v>
          </cell>
          <cell r="E373" t="str">
            <v>伯希和/PELLIOT</v>
          </cell>
          <cell r="F373" t="str">
            <v>女装-户外运动服-速干裤</v>
          </cell>
          <cell r="G373" t="str">
            <v>一品一商</v>
          </cell>
          <cell r="H373" t="str">
            <v>品牌直发</v>
          </cell>
          <cell r="I373">
            <v>0</v>
          </cell>
        </row>
        <row r="374">
          <cell r="D374">
            <v>112221430</v>
          </cell>
          <cell r="E374" t="str">
            <v>伯希和/PELLIOT</v>
          </cell>
          <cell r="F374" t="str">
            <v>服装-户外运动服-速干裤</v>
          </cell>
          <cell r="G374" t="str">
            <v>一品一商</v>
          </cell>
          <cell r="H374" t="str">
            <v>品牌直发</v>
          </cell>
          <cell r="I374">
            <v>0</v>
          </cell>
        </row>
        <row r="375">
          <cell r="D375">
            <v>112221530</v>
          </cell>
          <cell r="E375" t="str">
            <v>伯希和/PELLIOT</v>
          </cell>
          <cell r="F375" t="str">
            <v>服装-上衣-T恤</v>
          </cell>
          <cell r="G375" t="str">
            <v>一品多商</v>
          </cell>
          <cell r="H375" t="str">
            <v>品牌直发</v>
          </cell>
          <cell r="I375">
            <v>0</v>
          </cell>
        </row>
        <row r="376">
          <cell r="D376">
            <v>115382007</v>
          </cell>
          <cell r="E376" t="str">
            <v>伯希和/PELLIOT</v>
          </cell>
          <cell r="F376" t="str">
            <v>鞋-运动鞋-登山鞋/徒步鞋</v>
          </cell>
          <cell r="G376" t="str">
            <v>一品多商</v>
          </cell>
          <cell r="H376" t="str">
            <v>品牌直发</v>
          </cell>
          <cell r="I376">
            <v>0</v>
          </cell>
        </row>
        <row r="377">
          <cell r="D377">
            <v>115408005</v>
          </cell>
          <cell r="E377" t="str">
            <v>伯希和/PELLIOT</v>
          </cell>
          <cell r="F377" t="str">
            <v>服装-外套-羽绒服</v>
          </cell>
          <cell r="G377" t="str">
            <v>一品多商</v>
          </cell>
          <cell r="H377" t="str">
            <v>普通现货</v>
          </cell>
          <cell r="I377">
            <v>0</v>
          </cell>
        </row>
        <row r="378">
          <cell r="D378">
            <v>115376009</v>
          </cell>
          <cell r="E378" t="str">
            <v>伯希和/PELLIOT</v>
          </cell>
          <cell r="F378" t="str">
            <v>服装-外套-棉服</v>
          </cell>
          <cell r="G378" t="str">
            <v>一品多商</v>
          </cell>
          <cell r="H378" t="str">
            <v>普通现货</v>
          </cell>
          <cell r="I378">
            <v>0</v>
          </cell>
        </row>
        <row r="379">
          <cell r="D379" t="str">
            <v>16403602-2025</v>
          </cell>
          <cell r="E379" t="str">
            <v>伯希和/PELLIOT</v>
          </cell>
          <cell r="F379" t="str">
            <v>户外装备-徒步/攀登-登山杖/手杖</v>
          </cell>
          <cell r="G379" t="str">
            <v>一品一商</v>
          </cell>
          <cell r="H379" t="str">
            <v>品牌直发</v>
          </cell>
          <cell r="I379">
            <v>0</v>
          </cell>
        </row>
        <row r="380">
          <cell r="D380">
            <v>125408006</v>
          </cell>
          <cell r="E380" t="str">
            <v>伯希和/PELLIOT</v>
          </cell>
          <cell r="F380" t="str">
            <v>女装-外套-羽绒服</v>
          </cell>
          <cell r="G380" t="str">
            <v>一品多商</v>
          </cell>
          <cell r="H380" t="str">
            <v>品牌直发</v>
          </cell>
          <cell r="I380">
            <v>0</v>
          </cell>
        </row>
        <row r="381">
          <cell r="D381" t="str">
            <v>16105717-2025</v>
          </cell>
          <cell r="E381" t="str">
            <v>伯希和/PELLIOT</v>
          </cell>
          <cell r="F381" t="str">
            <v>户外装备-露营/野炊装备-户外折叠椅/凳</v>
          </cell>
          <cell r="G381" t="str">
            <v>一品一商</v>
          </cell>
          <cell r="H381" t="str">
            <v>品牌直发</v>
          </cell>
          <cell r="I381">
            <v>0</v>
          </cell>
        </row>
        <row r="382">
          <cell r="D382">
            <v>105025023</v>
          </cell>
          <cell r="E382" t="str">
            <v>伯希和/PELLIOT</v>
          </cell>
          <cell r="F382" t="str">
            <v>箱包-包袋-双肩包</v>
          </cell>
          <cell r="G382" t="str">
            <v>一品一商</v>
          </cell>
          <cell r="H382" t="str">
            <v>品牌直发</v>
          </cell>
          <cell r="I382">
            <v>0</v>
          </cell>
        </row>
        <row r="383">
          <cell r="D383">
            <v>165025027</v>
          </cell>
          <cell r="E383" t="str">
            <v>伯希和/PELLIOT</v>
          </cell>
          <cell r="F383" t="str">
            <v>箱包-包袋-户外包</v>
          </cell>
          <cell r="G383" t="str">
            <v>一品一商</v>
          </cell>
          <cell r="H383" t="str">
            <v>品牌直发</v>
          </cell>
          <cell r="I383">
            <v>0</v>
          </cell>
        </row>
        <row r="384">
          <cell r="D384" t="str">
            <v>16302602-2025</v>
          </cell>
          <cell r="E384" t="str">
            <v>伯希和/PELLIOT</v>
          </cell>
          <cell r="F384" t="str">
            <v>箱包-包袋-手机包</v>
          </cell>
          <cell r="G384" t="str">
            <v>一品一商</v>
          </cell>
          <cell r="H384" t="str">
            <v>品牌直发</v>
          </cell>
          <cell r="I384">
            <v>0</v>
          </cell>
        </row>
        <row r="385">
          <cell r="D385" t="str">
            <v>125307006-2025</v>
          </cell>
          <cell r="E385" t="str">
            <v>伯希和/PELLIOT</v>
          </cell>
          <cell r="F385" t="str">
            <v>女装-长裤-软壳裤</v>
          </cell>
          <cell r="G385" t="str">
            <v>一品多商</v>
          </cell>
          <cell r="H385" t="str">
            <v>普通现货</v>
          </cell>
          <cell r="I385">
            <v>0</v>
          </cell>
        </row>
        <row r="386">
          <cell r="D386" t="str">
            <v>124301006-2025</v>
          </cell>
          <cell r="E386" t="str">
            <v>伯希和/PELLIOT</v>
          </cell>
          <cell r="F386" t="str">
            <v>女装-外套-冲锋衣</v>
          </cell>
          <cell r="G386" t="str">
            <v>一品一商</v>
          </cell>
          <cell r="H386" t="str">
            <v>品牌直发</v>
          </cell>
          <cell r="I386">
            <v>0</v>
          </cell>
        </row>
        <row r="387">
          <cell r="D387" t="str">
            <v>124101048-2025</v>
          </cell>
          <cell r="E387" t="str">
            <v>伯希和/PELLIOT</v>
          </cell>
          <cell r="F387" t="str">
            <v>女装-外套-冲锋衣</v>
          </cell>
          <cell r="G387" t="str">
            <v>一品多商</v>
          </cell>
          <cell r="H387" t="str">
            <v>品牌直发</v>
          </cell>
          <cell r="I387">
            <v>0</v>
          </cell>
        </row>
        <row r="388">
          <cell r="D388" t="str">
            <v>124301070-2025</v>
          </cell>
          <cell r="E388" t="str">
            <v>伯希和/PELLIOT</v>
          </cell>
          <cell r="F388" t="str">
            <v>女装-外套-冲锋衣</v>
          </cell>
          <cell r="G388" t="str">
            <v>一品多商</v>
          </cell>
          <cell r="H388" t="str">
            <v>品牌直发</v>
          </cell>
          <cell r="I388">
            <v>0</v>
          </cell>
        </row>
        <row r="389">
          <cell r="D389" t="str">
            <v>PE12340164</v>
          </cell>
          <cell r="E389" t="str">
            <v>伯希和/PELLIOT</v>
          </cell>
          <cell r="F389" t="str">
            <v>女装-外套-冲锋衣</v>
          </cell>
          <cell r="G389" t="str">
            <v>一品多商</v>
          </cell>
          <cell r="H389" t="str">
            <v>品牌直发</v>
          </cell>
          <cell r="I389">
            <v>0</v>
          </cell>
        </row>
        <row r="390">
          <cell r="D390">
            <v>115306017</v>
          </cell>
          <cell r="E390" t="str">
            <v>伯希和/PELLIOT</v>
          </cell>
          <cell r="F390" t="str">
            <v>服装-外套-软壳衣</v>
          </cell>
          <cell r="G390" t="str">
            <v>一品多商</v>
          </cell>
          <cell r="H390" t="str">
            <v>品牌直发</v>
          </cell>
          <cell r="I390">
            <v>0</v>
          </cell>
        </row>
        <row r="391">
          <cell r="D391">
            <v>125306018</v>
          </cell>
          <cell r="E391" t="str">
            <v>伯希和/PELLIOT</v>
          </cell>
          <cell r="F391" t="str">
            <v>女装-外套-软壳衣</v>
          </cell>
          <cell r="G391" t="str">
            <v>一品多商</v>
          </cell>
          <cell r="H391" t="str">
            <v>品牌直发</v>
          </cell>
          <cell r="I391">
            <v>0</v>
          </cell>
        </row>
        <row r="392">
          <cell r="D392">
            <v>105101023</v>
          </cell>
          <cell r="E392" t="str">
            <v>伯希和/PELLIOT</v>
          </cell>
          <cell r="F392" t="str">
            <v>服装-外套-冲锋衣</v>
          </cell>
          <cell r="G392" t="str">
            <v>一品多商</v>
          </cell>
          <cell r="H392" t="str">
            <v>品牌直发</v>
          </cell>
          <cell r="I392">
            <v>0</v>
          </cell>
        </row>
        <row r="393">
          <cell r="D393">
            <v>105301083</v>
          </cell>
          <cell r="E393" t="str">
            <v>伯希和/PELLIOT</v>
          </cell>
          <cell r="F393" t="str">
            <v>服装-外套-冲锋衣</v>
          </cell>
          <cell r="G393" t="str">
            <v>一品多商</v>
          </cell>
          <cell r="H393" t="str">
            <v>品牌直发</v>
          </cell>
          <cell r="I393">
            <v>0</v>
          </cell>
        </row>
        <row r="394">
          <cell r="D394">
            <v>105301051</v>
          </cell>
          <cell r="E394" t="str">
            <v>伯希和/PELLIOT</v>
          </cell>
          <cell r="F394" t="str">
            <v>服装-外套-冲锋衣</v>
          </cell>
          <cell r="G394" t="str">
            <v>一品多商</v>
          </cell>
          <cell r="H394" t="str">
            <v>普通现货</v>
          </cell>
          <cell r="I394">
            <v>0</v>
          </cell>
        </row>
        <row r="395">
          <cell r="D395">
            <v>125302004</v>
          </cell>
          <cell r="E395" t="str">
            <v>伯希和/PELLIOT</v>
          </cell>
          <cell r="F395" t="str">
            <v>女装-长裤-冲锋裤</v>
          </cell>
          <cell r="G395" t="str">
            <v>一品多商</v>
          </cell>
          <cell r="H395" t="str">
            <v>品牌直发</v>
          </cell>
          <cell r="I395">
            <v>0</v>
          </cell>
        </row>
        <row r="396">
          <cell r="D396">
            <v>115316032</v>
          </cell>
          <cell r="E396" t="str">
            <v>伯希和/PELLIOT</v>
          </cell>
          <cell r="F396" t="str">
            <v>服装-上衣-T恤</v>
          </cell>
          <cell r="G396" t="str">
            <v>一品多商</v>
          </cell>
          <cell r="H396" t="str">
            <v>品牌直发</v>
          </cell>
          <cell r="I396">
            <v>0</v>
          </cell>
        </row>
        <row r="397">
          <cell r="D397" t="str">
            <v>125301055-新加色</v>
          </cell>
          <cell r="E397" t="str">
            <v>伯希和/PELLIOT</v>
          </cell>
          <cell r="F397" t="str">
            <v>女装-外套-冲锋衣</v>
          </cell>
          <cell r="G397" t="str">
            <v>一品多商</v>
          </cell>
          <cell r="H397" t="str">
            <v>品牌直发</v>
          </cell>
          <cell r="I397">
            <v>0</v>
          </cell>
        </row>
        <row r="398">
          <cell r="D398" t="str">
            <v>12040106-新加色</v>
          </cell>
          <cell r="E398" t="str">
            <v>伯希和/PELLIOT</v>
          </cell>
          <cell r="F398" t="str">
            <v>女装-外套-冲锋衣</v>
          </cell>
          <cell r="G398" t="str">
            <v>一品一商</v>
          </cell>
          <cell r="H398" t="str">
            <v>品牌直发</v>
          </cell>
          <cell r="I398">
            <v>0</v>
          </cell>
        </row>
        <row r="399">
          <cell r="D399" t="str">
            <v>11040105-新加色</v>
          </cell>
          <cell r="E399" t="str">
            <v>伯希和/PELLIOT</v>
          </cell>
          <cell r="F399" t="str">
            <v>服装-外套-冲锋衣</v>
          </cell>
          <cell r="G399" t="str">
            <v>一品一商</v>
          </cell>
          <cell r="H399" t="str">
            <v>品牌直发</v>
          </cell>
          <cell r="I399">
            <v>0</v>
          </cell>
        </row>
        <row r="400">
          <cell r="D400">
            <v>125220002</v>
          </cell>
          <cell r="E400" t="str">
            <v>伯希和/PELLIOT</v>
          </cell>
          <cell r="F400" t="str">
            <v>鞋-凉鞋/拖鞋-溯溪鞋</v>
          </cell>
          <cell r="G400" t="str">
            <v>一品一商</v>
          </cell>
          <cell r="H400" t="str">
            <v>品牌直发</v>
          </cell>
          <cell r="I400">
            <v>0</v>
          </cell>
        </row>
        <row r="401">
          <cell r="D401">
            <v>115106014</v>
          </cell>
          <cell r="E401" t="str">
            <v>伯希和/PELLIOT</v>
          </cell>
          <cell r="F401" t="str">
            <v>服装-外套-软壳衣</v>
          </cell>
          <cell r="G401" t="str">
            <v>一品多商</v>
          </cell>
          <cell r="H401" t="str">
            <v>品牌直发</v>
          </cell>
          <cell r="I401">
            <v>0</v>
          </cell>
        </row>
        <row r="402">
          <cell r="D402">
            <v>135101016</v>
          </cell>
          <cell r="E402" t="str">
            <v>伯希和/PELLIOT</v>
          </cell>
          <cell r="F402" t="str">
            <v>童装-儿童上装-冲锋衣</v>
          </cell>
          <cell r="G402" t="str">
            <v>一品一商</v>
          </cell>
          <cell r="H402" t="str">
            <v>品牌直发</v>
          </cell>
          <cell r="I402">
            <v>0</v>
          </cell>
        </row>
        <row r="403">
          <cell r="D403">
            <v>125251019</v>
          </cell>
          <cell r="E403" t="str">
            <v>伯希和/PELLIOT</v>
          </cell>
          <cell r="F403" t="str">
            <v>女装-外套-夹克</v>
          </cell>
          <cell r="G403" t="str">
            <v>一品多商</v>
          </cell>
          <cell r="H403" t="str">
            <v>品牌直发</v>
          </cell>
          <cell r="I403">
            <v>0</v>
          </cell>
        </row>
        <row r="404">
          <cell r="D404">
            <v>115251018</v>
          </cell>
          <cell r="E404" t="str">
            <v>伯希和/PELLIOT</v>
          </cell>
          <cell r="F404" t="str">
            <v>服装-外套-夹克</v>
          </cell>
          <cell r="G404" t="str">
            <v>一品多商</v>
          </cell>
          <cell r="H404" t="str">
            <v>品牌直发</v>
          </cell>
          <cell r="I404">
            <v>0</v>
          </cell>
        </row>
        <row r="405">
          <cell r="D405">
            <v>105101076</v>
          </cell>
          <cell r="E405" t="str">
            <v>伯希和/PELLIOT</v>
          </cell>
          <cell r="F405" t="str">
            <v>服装-外套-冲锋衣</v>
          </cell>
          <cell r="G405" t="str">
            <v>一品多商</v>
          </cell>
          <cell r="H405" t="str">
            <v>品牌直发</v>
          </cell>
          <cell r="I405">
            <v>0</v>
          </cell>
        </row>
        <row r="406">
          <cell r="D406" t="str">
            <v>11340105-2025</v>
          </cell>
          <cell r="E406" t="str">
            <v>伯希和/PELLIOT</v>
          </cell>
          <cell r="F406" t="str">
            <v>服装-外套-冲锋衣</v>
          </cell>
          <cell r="G406" t="str">
            <v>一品多商</v>
          </cell>
          <cell r="H406" t="str">
            <v>品牌直发</v>
          </cell>
          <cell r="I406">
            <v>0</v>
          </cell>
        </row>
        <row r="407">
          <cell r="D407">
            <v>135178022</v>
          </cell>
          <cell r="E407" t="str">
            <v>伯希和/PELLIOT</v>
          </cell>
          <cell r="F407" t="str">
            <v>童装-儿童下装-儿童运动裤</v>
          </cell>
          <cell r="G407" t="str">
            <v>一品一商</v>
          </cell>
          <cell r="H407" t="str">
            <v>品牌直发</v>
          </cell>
          <cell r="I407">
            <v>0</v>
          </cell>
        </row>
        <row r="408">
          <cell r="D408">
            <v>115119029</v>
          </cell>
          <cell r="E408" t="str">
            <v>伯希和/PELLIOT</v>
          </cell>
          <cell r="F408" t="str">
            <v>鞋-运动鞋-越野跑鞋</v>
          </cell>
          <cell r="G408" t="str">
            <v>一品多商</v>
          </cell>
          <cell r="H408" t="str">
            <v>品牌直发</v>
          </cell>
          <cell r="I408">
            <v>0</v>
          </cell>
        </row>
        <row r="409">
          <cell r="D409">
            <v>125119030</v>
          </cell>
          <cell r="E409" t="str">
            <v>伯希和/PELLIOT</v>
          </cell>
          <cell r="F409" t="str">
            <v>鞋-运动鞋-越野跑鞋</v>
          </cell>
          <cell r="G409" t="str">
            <v>一品多商</v>
          </cell>
          <cell r="H409" t="str">
            <v>品牌直发</v>
          </cell>
          <cell r="I409">
            <v>0</v>
          </cell>
        </row>
        <row r="410">
          <cell r="D410">
            <v>125181002</v>
          </cell>
          <cell r="E410" t="str">
            <v>伯希和/PELLIOT</v>
          </cell>
          <cell r="F410" t="str">
            <v>鞋-运动鞋-登山鞋/徒步鞋</v>
          </cell>
          <cell r="G410" t="str">
            <v>一品多商</v>
          </cell>
          <cell r="H410" t="str">
            <v>品牌直发</v>
          </cell>
          <cell r="I410">
            <v>0</v>
          </cell>
        </row>
        <row r="411">
          <cell r="D411">
            <v>115151007</v>
          </cell>
          <cell r="E411" t="str">
            <v>伯希和/PELLIOT</v>
          </cell>
          <cell r="F411" t="str">
            <v>服装-外套-夹克</v>
          </cell>
          <cell r="G411" t="str">
            <v>一品多商</v>
          </cell>
          <cell r="H411" t="str">
            <v>品牌直发</v>
          </cell>
          <cell r="I411">
            <v>0</v>
          </cell>
        </row>
        <row r="412">
          <cell r="D412">
            <v>115215009</v>
          </cell>
          <cell r="E412" t="str">
            <v>伯希和/PELLIOT</v>
          </cell>
          <cell r="F412" t="str">
            <v>服装-上衣-Polo衫</v>
          </cell>
          <cell r="G412" t="str">
            <v>一品一商</v>
          </cell>
          <cell r="H412" t="str">
            <v>品牌直发</v>
          </cell>
          <cell r="I412">
            <v>0</v>
          </cell>
        </row>
        <row r="413">
          <cell r="D413">
            <v>115122023</v>
          </cell>
          <cell r="E413" t="str">
            <v>伯希和/PELLIOT</v>
          </cell>
          <cell r="F413" t="str">
            <v>鞋-运动鞋-登山鞋/徒步鞋</v>
          </cell>
          <cell r="G413" t="str">
            <v>一品一商</v>
          </cell>
          <cell r="H413" t="str">
            <v>品牌直发</v>
          </cell>
          <cell r="I413">
            <v>0</v>
          </cell>
        </row>
        <row r="414">
          <cell r="D414">
            <v>125122024</v>
          </cell>
          <cell r="E414" t="str">
            <v>伯希和/PELLIOT</v>
          </cell>
          <cell r="F414" t="str">
            <v>鞋-运动鞋-登山鞋/徒步鞋</v>
          </cell>
          <cell r="G414" t="str">
            <v>一品一商</v>
          </cell>
          <cell r="H414" t="str">
            <v>品牌直发</v>
          </cell>
          <cell r="I414">
            <v>0</v>
          </cell>
        </row>
        <row r="415">
          <cell r="D415">
            <v>125214016</v>
          </cell>
          <cell r="E415" t="str">
            <v>伯希和/PELLIOT</v>
          </cell>
          <cell r="F415" t="str">
            <v>女装-短裙-休闲短裙</v>
          </cell>
          <cell r="G415" t="str">
            <v>一品一商</v>
          </cell>
          <cell r="H415" t="str">
            <v>品牌直发</v>
          </cell>
          <cell r="I415">
            <v>0</v>
          </cell>
        </row>
        <row r="416">
          <cell r="D416">
            <v>135212024</v>
          </cell>
          <cell r="E416" t="str">
            <v>伯希和/PELLIOT</v>
          </cell>
          <cell r="F416" t="str">
            <v>童装-儿童上装-防晒衣</v>
          </cell>
          <cell r="G416" t="str">
            <v>一品多商</v>
          </cell>
          <cell r="H416" t="str">
            <v>品牌直发</v>
          </cell>
          <cell r="I416">
            <v>0</v>
          </cell>
        </row>
        <row r="417">
          <cell r="D417">
            <v>135215035</v>
          </cell>
          <cell r="E417" t="str">
            <v>伯希和/PELLIOT</v>
          </cell>
          <cell r="F417" t="str">
            <v>童装-儿童上装-T恤</v>
          </cell>
          <cell r="G417" t="str">
            <v>一品一商</v>
          </cell>
          <cell r="H417" t="str">
            <v>品牌直发</v>
          </cell>
          <cell r="I417">
            <v>0</v>
          </cell>
        </row>
        <row r="418">
          <cell r="D418">
            <v>135215036</v>
          </cell>
          <cell r="E418" t="str">
            <v>伯希和/PELLIOT</v>
          </cell>
          <cell r="F418" t="str">
            <v>童装-儿童上装-T恤</v>
          </cell>
          <cell r="G418" t="str">
            <v>一品一商</v>
          </cell>
          <cell r="H418" t="str">
            <v>品牌直发</v>
          </cell>
          <cell r="I418">
            <v>0</v>
          </cell>
        </row>
        <row r="419">
          <cell r="D419">
            <v>135214018</v>
          </cell>
          <cell r="E419" t="str">
            <v>伯希和/PELLIOT</v>
          </cell>
          <cell r="F419" t="str">
            <v>童装-儿童下装-儿童速干裤</v>
          </cell>
          <cell r="G419" t="str">
            <v>一品多商</v>
          </cell>
          <cell r="H419" t="str">
            <v>品牌直发</v>
          </cell>
          <cell r="I419">
            <v>0</v>
          </cell>
        </row>
        <row r="420">
          <cell r="D420">
            <v>115215005</v>
          </cell>
          <cell r="E420" t="str">
            <v>伯希和/PELLIOT</v>
          </cell>
          <cell r="F420" t="str">
            <v>服装-户外运动服-速干T恤</v>
          </cell>
          <cell r="G420" t="str">
            <v>一品多商</v>
          </cell>
          <cell r="H420" t="str">
            <v>品牌直发</v>
          </cell>
          <cell r="I420">
            <v>0</v>
          </cell>
        </row>
        <row r="421">
          <cell r="D421">
            <v>125119028</v>
          </cell>
          <cell r="E421" t="str">
            <v>伯希和/PELLIOT</v>
          </cell>
          <cell r="F421" t="str">
            <v>鞋-运动鞋-登山鞋/徒步鞋</v>
          </cell>
          <cell r="G421" t="str">
            <v>一品一商</v>
          </cell>
          <cell r="H421" t="str">
            <v>品牌直发</v>
          </cell>
          <cell r="I421">
            <v>0</v>
          </cell>
        </row>
        <row r="422">
          <cell r="D422" t="str">
            <v>12421220-新加色</v>
          </cell>
          <cell r="E422" t="str">
            <v>伯希和/PELLIOT</v>
          </cell>
          <cell r="F422" t="str">
            <v>服装-外套-防晒服</v>
          </cell>
          <cell r="G422" t="str">
            <v>一品多商</v>
          </cell>
          <cell r="H422" t="str">
            <v>品牌直发</v>
          </cell>
          <cell r="I422">
            <v>0</v>
          </cell>
        </row>
        <row r="423">
          <cell r="D423">
            <v>115215037</v>
          </cell>
          <cell r="E423" t="str">
            <v>伯希和/PELLIOT</v>
          </cell>
          <cell r="F423" t="str">
            <v>服装-上衣-Polo衫</v>
          </cell>
          <cell r="G423" t="str">
            <v>一品一商</v>
          </cell>
          <cell r="H423" t="str">
            <v>品牌直发</v>
          </cell>
          <cell r="I423">
            <v>0</v>
          </cell>
        </row>
        <row r="424">
          <cell r="D424">
            <v>125215046</v>
          </cell>
          <cell r="E424" t="str">
            <v>伯希和/PELLIOT</v>
          </cell>
          <cell r="F424" t="str">
            <v>女装-上衣-T恤</v>
          </cell>
          <cell r="G424" t="str">
            <v>一品一商</v>
          </cell>
          <cell r="H424" t="str">
            <v>品牌直发</v>
          </cell>
          <cell r="I424">
            <v>0</v>
          </cell>
        </row>
        <row r="425">
          <cell r="D425">
            <v>115119027</v>
          </cell>
          <cell r="E425" t="str">
            <v>伯希和/PELLIOT</v>
          </cell>
          <cell r="F425" t="str">
            <v>鞋-运动鞋-越野跑鞋</v>
          </cell>
          <cell r="G425" t="str">
            <v>一品多商</v>
          </cell>
          <cell r="H425" t="str">
            <v>品牌直发</v>
          </cell>
          <cell r="I425">
            <v>0</v>
          </cell>
        </row>
        <row r="426">
          <cell r="D426">
            <v>105101011</v>
          </cell>
          <cell r="E426" t="str">
            <v>伯希和/PELLIOT</v>
          </cell>
          <cell r="F426" t="str">
            <v>服装-外套-冲锋衣</v>
          </cell>
          <cell r="G426" t="str">
            <v>一品多商</v>
          </cell>
          <cell r="H426" t="str">
            <v>品牌直发</v>
          </cell>
          <cell r="I426">
            <v>0</v>
          </cell>
        </row>
        <row r="427">
          <cell r="D427">
            <v>125215038</v>
          </cell>
          <cell r="E427" t="str">
            <v>伯希和/PELLIOT</v>
          </cell>
          <cell r="F427" t="str">
            <v>女装-上衣-Polo衫</v>
          </cell>
          <cell r="G427" t="str">
            <v>一品一商</v>
          </cell>
          <cell r="H427" t="str">
            <v>品牌直发</v>
          </cell>
          <cell r="I427">
            <v>0</v>
          </cell>
        </row>
        <row r="428">
          <cell r="D428">
            <v>115215021</v>
          </cell>
          <cell r="E428" t="str">
            <v>伯希和/PELLIOT</v>
          </cell>
          <cell r="F428" t="str">
            <v>服装-上衣-T恤</v>
          </cell>
          <cell r="G428" t="str">
            <v>一品一商</v>
          </cell>
          <cell r="H428" t="str">
            <v>品牌直发</v>
          </cell>
          <cell r="I428">
            <v>0</v>
          </cell>
        </row>
        <row r="429">
          <cell r="D429">
            <v>105025008</v>
          </cell>
          <cell r="E429" t="str">
            <v>伯希和/PELLIOT</v>
          </cell>
          <cell r="F429" t="str">
            <v>箱包-包袋-户外包</v>
          </cell>
          <cell r="G429" t="str">
            <v>一品多商</v>
          </cell>
          <cell r="H429" t="str">
            <v>品牌直发</v>
          </cell>
          <cell r="I429">
            <v>0</v>
          </cell>
        </row>
        <row r="430">
          <cell r="D430">
            <v>125220022</v>
          </cell>
          <cell r="E430" t="str">
            <v>伯希和/PELLIOT</v>
          </cell>
          <cell r="F430" t="str">
            <v>鞋-凉鞋/拖鞋-溯溪鞋</v>
          </cell>
          <cell r="G430" t="str">
            <v>一品多商</v>
          </cell>
          <cell r="H430" t="str">
            <v>品牌直发</v>
          </cell>
          <cell r="I430">
            <v>0</v>
          </cell>
        </row>
        <row r="431">
          <cell r="D431">
            <v>125215024</v>
          </cell>
          <cell r="E431" t="str">
            <v>伯希和/PELLIOT</v>
          </cell>
          <cell r="F431" t="str">
            <v>女装-户外运动服-速干T恤</v>
          </cell>
          <cell r="G431" t="str">
            <v>一品多商</v>
          </cell>
          <cell r="H431" t="str">
            <v>品牌直发</v>
          </cell>
          <cell r="I431">
            <v>0</v>
          </cell>
        </row>
        <row r="432">
          <cell r="D432">
            <v>125215018</v>
          </cell>
          <cell r="E432" t="str">
            <v>伯希和/PELLIOT</v>
          </cell>
          <cell r="F432" t="str">
            <v>女装-户外运动服-速干T恤</v>
          </cell>
          <cell r="G432" t="str">
            <v>一品一商</v>
          </cell>
          <cell r="H432" t="str">
            <v>品牌直发</v>
          </cell>
          <cell r="I432">
            <v>0</v>
          </cell>
        </row>
        <row r="433">
          <cell r="D433">
            <v>125215008</v>
          </cell>
          <cell r="E433" t="str">
            <v>伯希和/PELLIOT</v>
          </cell>
          <cell r="F433" t="str">
            <v>女装-上衣-Polo衫</v>
          </cell>
          <cell r="G433" t="str">
            <v>一品一商</v>
          </cell>
          <cell r="H433" t="str">
            <v>品牌直发</v>
          </cell>
          <cell r="I433">
            <v>0</v>
          </cell>
        </row>
        <row r="434">
          <cell r="D434">
            <v>115215017</v>
          </cell>
          <cell r="E434" t="str">
            <v>伯希和/PELLIOT</v>
          </cell>
          <cell r="F434" t="str">
            <v>服装-上衣-T恤</v>
          </cell>
          <cell r="G434" t="str">
            <v>一品一商</v>
          </cell>
          <cell r="H434" t="str">
            <v>品牌直发</v>
          </cell>
          <cell r="I434">
            <v>0</v>
          </cell>
        </row>
        <row r="435">
          <cell r="D435">
            <v>115215039</v>
          </cell>
          <cell r="E435" t="str">
            <v>伯希和/PELLIOT</v>
          </cell>
          <cell r="F435" t="str">
            <v>服装-上衣-Polo衫</v>
          </cell>
          <cell r="G435" t="str">
            <v>一品多商</v>
          </cell>
          <cell r="H435" t="str">
            <v>品牌直发</v>
          </cell>
          <cell r="I435">
            <v>0</v>
          </cell>
        </row>
        <row r="436">
          <cell r="D436">
            <v>115278007</v>
          </cell>
          <cell r="E436" t="str">
            <v>伯希和/PELLIOT</v>
          </cell>
          <cell r="F436" t="str">
            <v>服装-长裤-休闲裤</v>
          </cell>
          <cell r="G436" t="str">
            <v>一品一商</v>
          </cell>
          <cell r="H436" t="str">
            <v>品牌直发</v>
          </cell>
          <cell r="I436">
            <v>0</v>
          </cell>
        </row>
        <row r="437">
          <cell r="D437">
            <v>115212005</v>
          </cell>
          <cell r="E437" t="str">
            <v>伯希和/PELLIOT</v>
          </cell>
          <cell r="F437" t="str">
            <v>服装-外套-防晒服</v>
          </cell>
          <cell r="G437" t="str">
            <v>一品多商</v>
          </cell>
          <cell r="H437" t="str">
            <v>品牌直发</v>
          </cell>
          <cell r="I437">
            <v>0</v>
          </cell>
        </row>
        <row r="438">
          <cell r="D438">
            <v>115151005</v>
          </cell>
          <cell r="E438" t="str">
            <v>伯希和/PELLIOT</v>
          </cell>
          <cell r="F438" t="str">
            <v>服装-外套-夹克</v>
          </cell>
          <cell r="G438" t="str">
            <v>一品一商</v>
          </cell>
          <cell r="H438" t="str">
            <v>品牌直发</v>
          </cell>
          <cell r="I438">
            <v>0</v>
          </cell>
        </row>
        <row r="439">
          <cell r="D439">
            <v>115114001</v>
          </cell>
          <cell r="E439" t="str">
            <v>伯希和/PELLIOT</v>
          </cell>
          <cell r="F439" t="str">
            <v>服装-户外运动服-速干裤</v>
          </cell>
          <cell r="G439" t="str">
            <v>一品一商</v>
          </cell>
          <cell r="H439" t="str">
            <v>品牌直发</v>
          </cell>
          <cell r="I439">
            <v>0</v>
          </cell>
        </row>
        <row r="440">
          <cell r="D440">
            <v>125106002</v>
          </cell>
          <cell r="E440" t="str">
            <v>伯希和/PELLIOT</v>
          </cell>
          <cell r="F440" t="str">
            <v>女装-外套-软壳衣</v>
          </cell>
          <cell r="G440" t="str">
            <v>一品一商</v>
          </cell>
          <cell r="H440" t="str">
            <v>品牌直发</v>
          </cell>
          <cell r="I440">
            <v>0</v>
          </cell>
        </row>
        <row r="441">
          <cell r="D441" t="str">
            <v>PE125107004</v>
          </cell>
          <cell r="E441" t="str">
            <v>伯希和/PELLIOT</v>
          </cell>
          <cell r="F441" t="str">
            <v>女装-长裤-软壳裤</v>
          </cell>
          <cell r="G441" t="str">
            <v>一品多商</v>
          </cell>
          <cell r="H441" t="str">
            <v>品牌直发</v>
          </cell>
          <cell r="I441">
            <v>0</v>
          </cell>
        </row>
        <row r="442">
          <cell r="D442">
            <v>115107001</v>
          </cell>
          <cell r="E442" t="str">
            <v>伯希和/PELLIOT</v>
          </cell>
          <cell r="F442" t="str">
            <v>服装-长裤-软壳裤</v>
          </cell>
          <cell r="G442" t="str">
            <v>一品多商</v>
          </cell>
          <cell r="H442" t="str">
            <v>品牌直发</v>
          </cell>
          <cell r="I442">
            <v>0</v>
          </cell>
        </row>
        <row r="443">
          <cell r="D443">
            <v>125119036</v>
          </cell>
          <cell r="E443" t="str">
            <v>伯希和/PELLIOT</v>
          </cell>
          <cell r="F443" t="str">
            <v>鞋-运动鞋-登山鞋/徒步鞋</v>
          </cell>
          <cell r="G443" t="str">
            <v>一品多商</v>
          </cell>
          <cell r="H443" t="str">
            <v>品牌直发</v>
          </cell>
          <cell r="I443">
            <v>0</v>
          </cell>
        </row>
        <row r="444">
          <cell r="D444">
            <v>115119035</v>
          </cell>
          <cell r="E444" t="str">
            <v>伯希和/PELLIOT</v>
          </cell>
          <cell r="F444" t="str">
            <v>鞋-运动鞋-登山鞋/徒步鞋</v>
          </cell>
          <cell r="G444" t="str">
            <v>一品多商</v>
          </cell>
          <cell r="H444" t="str">
            <v>品牌直发</v>
          </cell>
          <cell r="I444">
            <v>0</v>
          </cell>
        </row>
        <row r="445">
          <cell r="D445" t="str">
            <v>PE125101014</v>
          </cell>
          <cell r="E445" t="str">
            <v>伯希和/PELLIOT</v>
          </cell>
          <cell r="F445" t="str">
            <v>女装-外套-冲锋衣</v>
          </cell>
          <cell r="G445" t="str">
            <v>一品多商</v>
          </cell>
          <cell r="H445" t="str">
            <v>品牌直发</v>
          </cell>
          <cell r="I445">
            <v>0</v>
          </cell>
        </row>
        <row r="446">
          <cell r="D446">
            <v>115101013</v>
          </cell>
          <cell r="E446" t="str">
            <v>伯希和/PELLIOT</v>
          </cell>
          <cell r="F446" t="str">
            <v>服装-外套-冲锋衣</v>
          </cell>
          <cell r="G446" t="str">
            <v>一品多商</v>
          </cell>
          <cell r="H446" t="str">
            <v>品牌直发</v>
          </cell>
          <cell r="I446">
            <v>0</v>
          </cell>
        </row>
        <row r="447">
          <cell r="D447">
            <v>115101001</v>
          </cell>
          <cell r="E447" t="str">
            <v>伯希和/PELLIOT</v>
          </cell>
          <cell r="F447" t="str">
            <v>服装-外套-冲锋衣</v>
          </cell>
          <cell r="G447" t="str">
            <v>一品多商</v>
          </cell>
          <cell r="H447" t="str">
            <v>品牌直发</v>
          </cell>
          <cell r="I447">
            <v>0</v>
          </cell>
        </row>
        <row r="448">
          <cell r="D448">
            <v>125212014</v>
          </cell>
          <cell r="E448" t="str">
            <v>伯希和/PELLIOT</v>
          </cell>
          <cell r="F448" t="str">
            <v>女装-外套-防晒服</v>
          </cell>
          <cell r="G448" t="str">
            <v>一品一商</v>
          </cell>
          <cell r="H448" t="str">
            <v>品牌直发</v>
          </cell>
          <cell r="I448">
            <v>0</v>
          </cell>
        </row>
        <row r="449">
          <cell r="D449" t="str">
            <v>125102002-新</v>
          </cell>
          <cell r="E449" t="str">
            <v>伯希和/PELLIOT</v>
          </cell>
          <cell r="F449" t="str">
            <v>女装-长裤-冲锋裤</v>
          </cell>
          <cell r="G449" t="str">
            <v>一品一商</v>
          </cell>
          <cell r="H449" t="str">
            <v>品牌直发</v>
          </cell>
          <cell r="I449">
            <v>0</v>
          </cell>
        </row>
        <row r="450">
          <cell r="D450">
            <v>115212013</v>
          </cell>
          <cell r="E450" t="str">
            <v>伯希和/PELLIOT</v>
          </cell>
          <cell r="F450" t="str">
            <v>服装-外套-防晒服</v>
          </cell>
          <cell r="G450" t="str">
            <v>一品一商</v>
          </cell>
          <cell r="H450" t="str">
            <v>品牌直发</v>
          </cell>
          <cell r="I450">
            <v>0</v>
          </cell>
        </row>
        <row r="451">
          <cell r="D451">
            <v>105112021</v>
          </cell>
          <cell r="E451" t="str">
            <v>伯希和/PELLIOT</v>
          </cell>
          <cell r="F451" t="str">
            <v>服装-外套-防晒服</v>
          </cell>
          <cell r="G451" t="str">
            <v>一品多商</v>
          </cell>
          <cell r="H451" t="str">
            <v>品牌直发</v>
          </cell>
          <cell r="I451">
            <v>0</v>
          </cell>
        </row>
        <row r="452">
          <cell r="D452">
            <v>1105212020</v>
          </cell>
          <cell r="E452" t="str">
            <v>伯希和/PELLIOT</v>
          </cell>
          <cell r="F452" t="str">
            <v>服装-外套-防晒服</v>
          </cell>
          <cell r="G452" t="str">
            <v>一品一商</v>
          </cell>
          <cell r="H452" t="str">
            <v>品牌直发</v>
          </cell>
          <cell r="I452">
            <v>0</v>
          </cell>
        </row>
        <row r="453">
          <cell r="D453">
            <v>115101019</v>
          </cell>
          <cell r="E453" t="str">
            <v>伯希和/PELLIOT</v>
          </cell>
          <cell r="F453" t="str">
            <v>服装-外套-冲锋衣</v>
          </cell>
          <cell r="G453" t="str">
            <v>一品多商</v>
          </cell>
          <cell r="H453" t="str">
            <v>品牌直发</v>
          </cell>
          <cell r="I453">
            <v>0</v>
          </cell>
        </row>
        <row r="454">
          <cell r="D454">
            <v>135116010</v>
          </cell>
          <cell r="E454" t="str">
            <v>伯希和/PELLIOT</v>
          </cell>
          <cell r="F454" t="str">
            <v>童装-儿童上装-T恤</v>
          </cell>
          <cell r="G454" t="str">
            <v>一品多商</v>
          </cell>
          <cell r="H454" t="str">
            <v>品牌直发</v>
          </cell>
          <cell r="I454">
            <v>0</v>
          </cell>
        </row>
        <row r="455">
          <cell r="D455" t="str">
            <v>PE115106001</v>
          </cell>
          <cell r="E455" t="str">
            <v>伯希和/PELLIOT</v>
          </cell>
          <cell r="F455" t="str">
            <v>服装-外套-软壳衣</v>
          </cell>
          <cell r="G455" t="str">
            <v>一品多商</v>
          </cell>
          <cell r="H455" t="str">
            <v>品牌直发</v>
          </cell>
          <cell r="I455">
            <v>0</v>
          </cell>
        </row>
        <row r="456">
          <cell r="D456" t="str">
            <v>PE125119032</v>
          </cell>
          <cell r="E456" t="str">
            <v>伯希和/PELLIOT</v>
          </cell>
          <cell r="F456" t="str">
            <v>鞋-运动鞋-登山鞋/徒步鞋</v>
          </cell>
          <cell r="G456" t="str">
            <v>一品多商</v>
          </cell>
          <cell r="H456" t="str">
            <v>品牌直发</v>
          </cell>
          <cell r="I456">
            <v>0</v>
          </cell>
        </row>
        <row r="457">
          <cell r="D457" t="str">
            <v>PE125119026</v>
          </cell>
          <cell r="E457" t="str">
            <v>伯希和/PELLIOT</v>
          </cell>
          <cell r="F457" t="str">
            <v>鞋-运动鞋-跑步鞋</v>
          </cell>
          <cell r="G457" t="str">
            <v>一品多商</v>
          </cell>
          <cell r="H457" t="str">
            <v>品牌直发</v>
          </cell>
          <cell r="I457">
            <v>0</v>
          </cell>
        </row>
        <row r="458">
          <cell r="D458">
            <v>115119031</v>
          </cell>
          <cell r="E458" t="str">
            <v>伯希和/PELLIOT</v>
          </cell>
          <cell r="F458" t="str">
            <v>鞋-运动鞋-登山鞋/徒步鞋</v>
          </cell>
          <cell r="G458" t="str">
            <v>一品多商</v>
          </cell>
          <cell r="H458" t="str">
            <v>品牌直发</v>
          </cell>
          <cell r="I458">
            <v>0</v>
          </cell>
        </row>
        <row r="459">
          <cell r="D459">
            <v>115101007</v>
          </cell>
          <cell r="E459" t="str">
            <v>伯希和/PELLIOT</v>
          </cell>
          <cell r="F459" t="str">
            <v>服装-外套-冲锋衣</v>
          </cell>
          <cell r="G459" t="str">
            <v>一品多商</v>
          </cell>
          <cell r="H459" t="str">
            <v>品牌直发</v>
          </cell>
          <cell r="I459">
            <v>0</v>
          </cell>
        </row>
        <row r="460">
          <cell r="D460">
            <v>1125107002</v>
          </cell>
          <cell r="E460" t="str">
            <v>伯希和/PELLIOT</v>
          </cell>
          <cell r="F460" t="str">
            <v>女装-长裤-软壳裤</v>
          </cell>
          <cell r="G460" t="str">
            <v>一品一商</v>
          </cell>
          <cell r="H460" t="str">
            <v>品牌直发</v>
          </cell>
          <cell r="I460">
            <v>0</v>
          </cell>
        </row>
        <row r="461">
          <cell r="D461">
            <v>1125116008</v>
          </cell>
          <cell r="E461" t="str">
            <v>伯希和/PELLIOT</v>
          </cell>
          <cell r="F461" t="str">
            <v>女装-户外运动服-跑步T恤</v>
          </cell>
          <cell r="G461" t="str">
            <v>一品一商</v>
          </cell>
          <cell r="H461" t="str">
            <v>品牌直发</v>
          </cell>
          <cell r="I461">
            <v>0</v>
          </cell>
        </row>
        <row r="462">
          <cell r="D462">
            <v>1115116007</v>
          </cell>
          <cell r="E462" t="str">
            <v>伯希和/PELLIOT</v>
          </cell>
          <cell r="F462" t="str">
            <v>服装-上衣-T恤</v>
          </cell>
          <cell r="G462" t="str">
            <v>一品多商</v>
          </cell>
          <cell r="H462" t="str">
            <v>品牌直发</v>
          </cell>
          <cell r="I462">
            <v>0</v>
          </cell>
        </row>
        <row r="463">
          <cell r="D463" t="str">
            <v>12340164-2025</v>
          </cell>
          <cell r="E463" t="str">
            <v>伯希和/PELLIOT</v>
          </cell>
          <cell r="F463" t="str">
            <v>服装-外套-冲锋衣</v>
          </cell>
          <cell r="G463" t="str">
            <v>一品多商</v>
          </cell>
          <cell r="H463" t="str">
            <v>品牌直发</v>
          </cell>
          <cell r="I463">
            <v>0</v>
          </cell>
        </row>
        <row r="464">
          <cell r="D464">
            <v>125151008</v>
          </cell>
          <cell r="E464" t="str">
            <v>伯希和/PELLIOT</v>
          </cell>
          <cell r="F464" t="str">
            <v>女装-外套-夹克</v>
          </cell>
          <cell r="G464" t="str">
            <v>一品一商</v>
          </cell>
          <cell r="H464" t="str">
            <v>品牌直发</v>
          </cell>
          <cell r="I464">
            <v>0</v>
          </cell>
        </row>
        <row r="465">
          <cell r="D465">
            <v>1125178002</v>
          </cell>
          <cell r="E465" t="str">
            <v>伯希和/PELLIOT</v>
          </cell>
          <cell r="F465" t="str">
            <v>女装-长裤-休闲裤</v>
          </cell>
          <cell r="G465" t="str">
            <v>一品一商</v>
          </cell>
          <cell r="H465" t="str">
            <v>品牌直发</v>
          </cell>
          <cell r="I465">
            <v>0</v>
          </cell>
        </row>
        <row r="466">
          <cell r="D466">
            <v>125151010</v>
          </cell>
          <cell r="E466" t="str">
            <v>伯希和/PELLIOT</v>
          </cell>
          <cell r="F466" t="str">
            <v>女装-外套-夹克</v>
          </cell>
          <cell r="G466" t="str">
            <v>一品一商</v>
          </cell>
          <cell r="H466" t="str">
            <v>品牌直发</v>
          </cell>
          <cell r="I466">
            <v>0</v>
          </cell>
        </row>
        <row r="467">
          <cell r="D467">
            <v>1125101020</v>
          </cell>
          <cell r="E467" t="str">
            <v>伯希和/PELLIOT</v>
          </cell>
          <cell r="F467" t="str">
            <v>女装-外套-冲锋衣</v>
          </cell>
          <cell r="G467" t="str">
            <v>一品多商</v>
          </cell>
          <cell r="H467" t="str">
            <v>品牌直发</v>
          </cell>
          <cell r="I467">
            <v>0</v>
          </cell>
        </row>
        <row r="468">
          <cell r="D468">
            <v>1125101008</v>
          </cell>
          <cell r="E468" t="str">
            <v>伯希和/PELLIOT</v>
          </cell>
          <cell r="F468" t="str">
            <v>女装-外套-冲锋衣</v>
          </cell>
          <cell r="G468" t="str">
            <v>一品多商</v>
          </cell>
          <cell r="H468" t="str">
            <v>品牌直发</v>
          </cell>
          <cell r="I468">
            <v>0</v>
          </cell>
        </row>
        <row r="469">
          <cell r="D469" t="str">
            <v>PE105151011</v>
          </cell>
          <cell r="E469" t="str">
            <v>伯希和/PELLIOT</v>
          </cell>
          <cell r="F469" t="str">
            <v>服装-外套-夹克</v>
          </cell>
          <cell r="G469" t="str">
            <v>一品一商</v>
          </cell>
          <cell r="H469" t="str">
            <v>品牌直发</v>
          </cell>
          <cell r="I469">
            <v>0</v>
          </cell>
        </row>
        <row r="470">
          <cell r="D470" t="str">
            <v>PE114310205</v>
          </cell>
          <cell r="E470" t="str">
            <v>伯希和/PELLIOT</v>
          </cell>
          <cell r="F470" t="str">
            <v>服装-户外运动服-抓绒衣</v>
          </cell>
          <cell r="G470" t="str">
            <v>一品一商</v>
          </cell>
          <cell r="H470" t="str">
            <v>品牌直发</v>
          </cell>
          <cell r="I470">
            <v>0</v>
          </cell>
        </row>
        <row r="471">
          <cell r="D471" t="str">
            <v>PE124310206</v>
          </cell>
          <cell r="E471" t="str">
            <v>伯希和/PELLIOT</v>
          </cell>
          <cell r="F471" t="str">
            <v>女装-上衣-T恤</v>
          </cell>
          <cell r="G471" t="str">
            <v>一品一商</v>
          </cell>
          <cell r="H471" t="str">
            <v>品牌直发</v>
          </cell>
          <cell r="I471">
            <v>0</v>
          </cell>
        </row>
        <row r="472">
          <cell r="D472">
            <v>1115214009</v>
          </cell>
          <cell r="E472" t="str">
            <v>伯希和/PELLIOT</v>
          </cell>
          <cell r="F472" t="str">
            <v>服装-户外运动服-速干裤</v>
          </cell>
          <cell r="G472" t="str">
            <v>一品多商</v>
          </cell>
          <cell r="H472" t="str">
            <v>品牌直发</v>
          </cell>
          <cell r="I472">
            <v>0</v>
          </cell>
        </row>
        <row r="473">
          <cell r="D473">
            <v>124310206</v>
          </cell>
          <cell r="E473" t="str">
            <v>伯希和/PELLIOT</v>
          </cell>
          <cell r="F473" t="str">
            <v>女装-户外运动服-抓绒衣</v>
          </cell>
          <cell r="G473" t="str">
            <v>一品一商</v>
          </cell>
          <cell r="H473" t="str">
            <v>品牌直发</v>
          </cell>
          <cell r="I473">
            <v>0</v>
          </cell>
        </row>
        <row r="474">
          <cell r="D474">
            <v>114310205</v>
          </cell>
          <cell r="E474" t="str">
            <v>伯希和/PELLIOT</v>
          </cell>
          <cell r="F474" t="str">
            <v>内衣-内衣裤-保暖上装</v>
          </cell>
          <cell r="G474" t="str">
            <v>一品多商</v>
          </cell>
          <cell r="H474" t="str">
            <v>品牌直发</v>
          </cell>
          <cell r="I474">
            <v>0</v>
          </cell>
        </row>
        <row r="475">
          <cell r="D475">
            <v>105025005</v>
          </cell>
          <cell r="E475" t="str">
            <v>伯希和/PELLIOT</v>
          </cell>
          <cell r="F475" t="str">
            <v>箱包-包袋-户外包</v>
          </cell>
          <cell r="G475" t="str">
            <v>一品一商</v>
          </cell>
          <cell r="H475" t="str">
            <v>普通现货</v>
          </cell>
          <cell r="I475">
            <v>0</v>
          </cell>
        </row>
        <row r="476">
          <cell r="D476">
            <v>105025003</v>
          </cell>
          <cell r="E476" t="str">
            <v>伯希和/PELLIOT</v>
          </cell>
          <cell r="F476" t="str">
            <v>箱包-包袋-户外包</v>
          </cell>
          <cell r="G476" t="str">
            <v>一品一商</v>
          </cell>
          <cell r="H476" t="str">
            <v>品牌直发</v>
          </cell>
          <cell r="I476">
            <v>0</v>
          </cell>
        </row>
        <row r="477">
          <cell r="D477">
            <v>16123410</v>
          </cell>
          <cell r="E477" t="str">
            <v>伯希和/PELLIOT</v>
          </cell>
          <cell r="F477" t="str">
            <v>流行饰品/眼镜/服配-防晒服配-防晒帽</v>
          </cell>
          <cell r="G477" t="str">
            <v>一品一商</v>
          </cell>
          <cell r="H477" t="str">
            <v>品牌直发</v>
          </cell>
          <cell r="I477">
            <v>0</v>
          </cell>
        </row>
        <row r="478">
          <cell r="D478">
            <v>16223409</v>
          </cell>
          <cell r="E478" t="str">
            <v>伯希和/PELLIOT</v>
          </cell>
          <cell r="F478" t="str">
            <v>流行饰品/眼镜/服配-防晒服配-防晒帽</v>
          </cell>
          <cell r="G478" t="str">
            <v>一品一商</v>
          </cell>
          <cell r="H478" t="str">
            <v>品牌直发</v>
          </cell>
          <cell r="I478">
            <v>0</v>
          </cell>
        </row>
        <row r="479">
          <cell r="D479">
            <v>16123407</v>
          </cell>
          <cell r="E479" t="str">
            <v>伯希和/PELLIOT</v>
          </cell>
          <cell r="F479" t="str">
            <v>流行饰品/眼镜/服配-防晒服配-防晒帽</v>
          </cell>
          <cell r="G479" t="str">
            <v>一品一商</v>
          </cell>
          <cell r="H479" t="str">
            <v>普通现货</v>
          </cell>
          <cell r="I479">
            <v>0</v>
          </cell>
        </row>
        <row r="480">
          <cell r="D480">
            <v>16423417</v>
          </cell>
          <cell r="E480" t="str">
            <v>伯希和/PELLIOT</v>
          </cell>
          <cell r="F480" t="str">
            <v>流行饰品/眼镜/服配-防晒服配-防晒帽</v>
          </cell>
          <cell r="G480" t="str">
            <v>一品一商</v>
          </cell>
          <cell r="H480" t="str">
            <v>品牌直发</v>
          </cell>
          <cell r="I480">
            <v>0</v>
          </cell>
        </row>
        <row r="481">
          <cell r="D481">
            <v>16123409</v>
          </cell>
          <cell r="E481" t="str">
            <v>伯希和/PELLIOT</v>
          </cell>
          <cell r="F481" t="str">
            <v>流行饰品/眼镜/服配-防晒服配-防晒帽</v>
          </cell>
          <cell r="G481" t="str">
            <v>一品一商</v>
          </cell>
          <cell r="H481" t="str">
            <v>品牌直发</v>
          </cell>
          <cell r="I481">
            <v>0</v>
          </cell>
        </row>
        <row r="482">
          <cell r="D482">
            <v>16123403</v>
          </cell>
          <cell r="E482" t="str">
            <v>伯希和/PELLIOT</v>
          </cell>
          <cell r="F482" t="str">
            <v>流行饰品/眼镜/服配-帽子-渔夫帽</v>
          </cell>
          <cell r="G482" t="str">
            <v>一品一商</v>
          </cell>
          <cell r="H482" t="str">
            <v>品牌直发</v>
          </cell>
          <cell r="I482">
            <v>0</v>
          </cell>
        </row>
        <row r="483">
          <cell r="D483">
            <v>16223101</v>
          </cell>
          <cell r="E483" t="str">
            <v>伯希和/PELLIOT</v>
          </cell>
          <cell r="F483" t="str">
            <v>流行饰品/眼镜/服配-防晒服配-防晒手套</v>
          </cell>
          <cell r="G483" t="str">
            <v>一品一商</v>
          </cell>
          <cell r="H483" t="str">
            <v>品牌直发</v>
          </cell>
          <cell r="I483">
            <v>0</v>
          </cell>
        </row>
        <row r="484">
          <cell r="D484">
            <v>16043428</v>
          </cell>
          <cell r="E484" t="str">
            <v>伯希和/PELLIOT</v>
          </cell>
          <cell r="F484" t="str">
            <v>流行饰品/眼镜/服配-帽子-渔夫帽</v>
          </cell>
          <cell r="G484" t="str">
            <v>一品一商</v>
          </cell>
          <cell r="H484" t="str">
            <v>品牌直发</v>
          </cell>
          <cell r="I484">
            <v>0</v>
          </cell>
        </row>
        <row r="485">
          <cell r="D485">
            <v>16423418</v>
          </cell>
          <cell r="E485" t="str">
            <v>伯希和/PELLIOT</v>
          </cell>
          <cell r="F485" t="str">
            <v>流行饰品/眼镜/服配-帽子-鸭舌帽</v>
          </cell>
          <cell r="G485" t="str">
            <v>一品一商</v>
          </cell>
          <cell r="H485" t="str">
            <v>品牌直发</v>
          </cell>
          <cell r="I485">
            <v>0</v>
          </cell>
        </row>
        <row r="486">
          <cell r="D486">
            <v>16143205</v>
          </cell>
          <cell r="E486" t="str">
            <v>伯希和/PELLIOT</v>
          </cell>
          <cell r="F486" t="str">
            <v>流行饰品/眼镜/服配-围巾-围脖</v>
          </cell>
          <cell r="G486" t="str">
            <v>一品一商</v>
          </cell>
          <cell r="H486" t="str">
            <v>品牌直发</v>
          </cell>
          <cell r="I486">
            <v>0</v>
          </cell>
        </row>
        <row r="487">
          <cell r="D487">
            <v>16323402</v>
          </cell>
          <cell r="E487" t="str">
            <v>伯希和/PELLIOT</v>
          </cell>
          <cell r="F487" t="str">
            <v>流行饰品/眼镜/服配-防晒服配-防晒帽</v>
          </cell>
          <cell r="G487" t="str">
            <v>一品一商</v>
          </cell>
          <cell r="H487" t="str">
            <v>品牌直发</v>
          </cell>
          <cell r="I487">
            <v>0</v>
          </cell>
        </row>
        <row r="488">
          <cell r="D488">
            <v>16243103</v>
          </cell>
          <cell r="E488" t="str">
            <v>伯希和/PELLIOT</v>
          </cell>
          <cell r="F488" t="str">
            <v>流行饰品/眼镜/服配-手套-其他手套</v>
          </cell>
          <cell r="G488" t="str">
            <v>一品一商</v>
          </cell>
          <cell r="H488" t="str">
            <v>品牌直发</v>
          </cell>
          <cell r="I488">
            <v>0</v>
          </cell>
        </row>
        <row r="489">
          <cell r="D489">
            <v>16343418</v>
          </cell>
          <cell r="E489" t="str">
            <v>伯希和/PELLIOT</v>
          </cell>
          <cell r="F489" t="str">
            <v>流行饰品/眼镜/服配-帽子-其他帽子</v>
          </cell>
          <cell r="G489" t="str">
            <v>一品一商</v>
          </cell>
          <cell r="H489" t="str">
            <v>品牌直发</v>
          </cell>
          <cell r="I489">
            <v>0</v>
          </cell>
        </row>
        <row r="490">
          <cell r="D490">
            <v>16323204</v>
          </cell>
          <cell r="E490" t="str">
            <v>伯希和/PELLIOT</v>
          </cell>
          <cell r="F490" t="str">
            <v>流行饰品/眼镜/服配-防晒服配-防晒脖套</v>
          </cell>
          <cell r="G490" t="str">
            <v>一品一商</v>
          </cell>
          <cell r="H490" t="str">
            <v>品牌直发</v>
          </cell>
          <cell r="I490">
            <v>0</v>
          </cell>
        </row>
        <row r="491">
          <cell r="D491">
            <v>1124310184</v>
          </cell>
          <cell r="E491" t="str">
            <v>伯希和/PELLIOT</v>
          </cell>
          <cell r="F491" t="str">
            <v>女装-户外运动服-抓绒衣</v>
          </cell>
          <cell r="G491" t="str">
            <v>一品一商</v>
          </cell>
          <cell r="H491" t="str">
            <v>品牌直发</v>
          </cell>
          <cell r="I491">
            <v>0</v>
          </cell>
        </row>
        <row r="492">
          <cell r="D492">
            <v>124401056</v>
          </cell>
          <cell r="E492" t="str">
            <v>伯希和/PELLIOT</v>
          </cell>
          <cell r="F492" t="str">
            <v>服装-外套-冲锋衣</v>
          </cell>
          <cell r="G492" t="str">
            <v>一品一商</v>
          </cell>
          <cell r="H492" t="str">
            <v>品牌直发</v>
          </cell>
          <cell r="I492">
            <v>0</v>
          </cell>
        </row>
        <row r="493">
          <cell r="D493">
            <v>114408263</v>
          </cell>
          <cell r="E493" t="str">
            <v>伯希和/PELLIOT</v>
          </cell>
          <cell r="F493" t="str">
            <v>服装-外套-羽绒服</v>
          </cell>
          <cell r="G493" t="str">
            <v>一品多商</v>
          </cell>
          <cell r="H493" t="str">
            <v>品牌直发</v>
          </cell>
          <cell r="I493">
            <v>0</v>
          </cell>
        </row>
        <row r="494">
          <cell r="D494">
            <v>114401077</v>
          </cell>
          <cell r="E494" t="str">
            <v>伯希和/PELLIOT</v>
          </cell>
          <cell r="F494" t="str">
            <v>服装-外套-冲锋衣</v>
          </cell>
          <cell r="G494" t="str">
            <v>一品多商</v>
          </cell>
          <cell r="H494" t="str">
            <v>品牌直发</v>
          </cell>
          <cell r="I494">
            <v>0</v>
          </cell>
        </row>
        <row r="495">
          <cell r="D495" t="str">
            <v>PE124423019</v>
          </cell>
          <cell r="E495" t="str">
            <v>伯希和/PELLIOT</v>
          </cell>
          <cell r="F495" t="str">
            <v>鞋-靴子-雪地靴</v>
          </cell>
          <cell r="G495" t="str">
            <v>一品一商</v>
          </cell>
          <cell r="H495" t="str">
            <v>品牌直发</v>
          </cell>
          <cell r="I495">
            <v>0</v>
          </cell>
        </row>
        <row r="496">
          <cell r="D496">
            <v>114315397</v>
          </cell>
          <cell r="E496" t="str">
            <v>伯希和/PELLIOT</v>
          </cell>
          <cell r="F496" t="str">
            <v>服装-上衣-T恤</v>
          </cell>
          <cell r="G496" t="str">
            <v>一品一商</v>
          </cell>
          <cell r="H496" t="str">
            <v>品牌直发</v>
          </cell>
          <cell r="I496">
            <v>0</v>
          </cell>
        </row>
        <row r="497">
          <cell r="D497">
            <v>124310204</v>
          </cell>
          <cell r="E497" t="str">
            <v>伯希和/PELLIOT</v>
          </cell>
          <cell r="F497" t="str">
            <v>女装-户外运动服-抓绒衣</v>
          </cell>
          <cell r="G497" t="str">
            <v>一品一商</v>
          </cell>
          <cell r="H497" t="str">
            <v>品牌直发</v>
          </cell>
          <cell r="I497">
            <v>0</v>
          </cell>
        </row>
        <row r="498">
          <cell r="D498" t="str">
            <v>PE114315381</v>
          </cell>
          <cell r="E498" t="str">
            <v>伯希和/PELLIOT</v>
          </cell>
          <cell r="F498" t="str">
            <v>服装-上衣-T恤</v>
          </cell>
          <cell r="G498" t="str">
            <v>一品一商</v>
          </cell>
          <cell r="H498" t="str">
            <v>品牌直发</v>
          </cell>
          <cell r="I498">
            <v>0</v>
          </cell>
        </row>
        <row r="499">
          <cell r="D499">
            <v>124409342</v>
          </cell>
          <cell r="E499" t="str">
            <v>伯希和/PELLIOT</v>
          </cell>
          <cell r="F499" t="str">
            <v>女装-长裤-羽绒裤</v>
          </cell>
          <cell r="G499" t="str">
            <v>一品多商</v>
          </cell>
          <cell r="H499" t="str">
            <v>品牌直发</v>
          </cell>
          <cell r="I499">
            <v>0</v>
          </cell>
        </row>
        <row r="500">
          <cell r="D500">
            <v>124306144</v>
          </cell>
          <cell r="E500" t="str">
            <v>伯希和/PELLIOT</v>
          </cell>
          <cell r="F500" t="str">
            <v>女装-外套-软壳衣</v>
          </cell>
          <cell r="G500" t="str">
            <v>一品多商</v>
          </cell>
          <cell r="H500" t="str">
            <v>品牌直发</v>
          </cell>
          <cell r="I500">
            <v>0</v>
          </cell>
        </row>
        <row r="501">
          <cell r="D501" t="str">
            <v>PE114377365</v>
          </cell>
          <cell r="E501" t="str">
            <v>伯希和/PELLIOT</v>
          </cell>
          <cell r="F501" t="str">
            <v>服装-健身服-运动长裤</v>
          </cell>
          <cell r="G501" t="str">
            <v>一品多商</v>
          </cell>
          <cell r="H501" t="str">
            <v>品牌直发</v>
          </cell>
          <cell r="I501">
            <v>0</v>
          </cell>
        </row>
        <row r="502">
          <cell r="D502">
            <v>114376411</v>
          </cell>
          <cell r="E502" t="str">
            <v>伯希和/PELLIOT</v>
          </cell>
          <cell r="F502" t="str">
            <v>服装-外套-棉服</v>
          </cell>
          <cell r="G502" t="str">
            <v>一品一商</v>
          </cell>
          <cell r="H502" t="str">
            <v>品牌直发</v>
          </cell>
          <cell r="I502">
            <v>0</v>
          </cell>
        </row>
        <row r="503">
          <cell r="D503" t="str">
            <v>PE124408264</v>
          </cell>
          <cell r="E503" t="str">
            <v>伯希和/PELLIOT</v>
          </cell>
          <cell r="F503" t="str">
            <v>服装-外套-羽绒服</v>
          </cell>
          <cell r="G503" t="str">
            <v>一品多商</v>
          </cell>
          <cell r="H503" t="str">
            <v>品牌直发</v>
          </cell>
          <cell r="I503">
            <v>0</v>
          </cell>
        </row>
        <row r="504">
          <cell r="D504">
            <v>114401061</v>
          </cell>
          <cell r="E504" t="str">
            <v>伯希和/PELLIOT</v>
          </cell>
          <cell r="F504" t="str">
            <v>服装-外套-冲锋衣</v>
          </cell>
          <cell r="G504" t="str">
            <v>一品一商</v>
          </cell>
          <cell r="H504" t="str">
            <v>品牌直发</v>
          </cell>
          <cell r="I504">
            <v>0</v>
          </cell>
        </row>
        <row r="505">
          <cell r="D505">
            <v>114408259</v>
          </cell>
          <cell r="E505" t="str">
            <v>伯希和/PELLIOT</v>
          </cell>
          <cell r="F505" t="str">
            <v>服装-外套-羽绒服</v>
          </cell>
          <cell r="G505" t="str">
            <v>一品多商</v>
          </cell>
          <cell r="H505" t="str">
            <v>品牌直发</v>
          </cell>
          <cell r="I505">
            <v>0</v>
          </cell>
        </row>
        <row r="506">
          <cell r="D506">
            <v>114408257</v>
          </cell>
          <cell r="E506" t="str">
            <v>伯希和/PELLIOT</v>
          </cell>
          <cell r="F506" t="str">
            <v>服装-外套-羽绒服</v>
          </cell>
          <cell r="G506" t="str">
            <v>一品多商</v>
          </cell>
          <cell r="H506" t="str">
            <v>品牌直发</v>
          </cell>
          <cell r="I506">
            <v>0</v>
          </cell>
        </row>
        <row r="507">
          <cell r="D507">
            <v>124301066</v>
          </cell>
          <cell r="E507" t="str">
            <v>伯希和/PELLIOT</v>
          </cell>
          <cell r="F507" t="str">
            <v>女装-外套-冲锋衣</v>
          </cell>
          <cell r="G507" t="str">
            <v>一品一商</v>
          </cell>
          <cell r="H507" t="str">
            <v>品牌直发</v>
          </cell>
          <cell r="I507">
            <v>0</v>
          </cell>
        </row>
        <row r="508">
          <cell r="D508">
            <v>124408254</v>
          </cell>
          <cell r="E508" t="str">
            <v>伯希和/PELLIOT</v>
          </cell>
          <cell r="F508" t="str">
            <v>服装-外套-羽绒服</v>
          </cell>
          <cell r="G508" t="str">
            <v>一品多商</v>
          </cell>
          <cell r="H508" t="str">
            <v>品牌直发</v>
          </cell>
          <cell r="I508">
            <v>0</v>
          </cell>
        </row>
        <row r="509">
          <cell r="D509">
            <v>124403128</v>
          </cell>
          <cell r="E509" t="str">
            <v>伯希和/PELLIOT</v>
          </cell>
          <cell r="F509" t="str">
            <v>服装-户外运动服-滑雪衣</v>
          </cell>
          <cell r="G509" t="str">
            <v>一品多商</v>
          </cell>
          <cell r="H509" t="str">
            <v>品牌直发</v>
          </cell>
          <cell r="I509">
            <v>0</v>
          </cell>
        </row>
        <row r="510">
          <cell r="D510">
            <v>114301071</v>
          </cell>
          <cell r="E510" t="str">
            <v>伯希和/PELLIOT</v>
          </cell>
          <cell r="F510" t="str">
            <v>服装-外套-冲锋衣</v>
          </cell>
          <cell r="G510" t="str">
            <v>一品多商</v>
          </cell>
          <cell r="H510" t="str">
            <v>品牌直发</v>
          </cell>
          <cell r="I510">
            <v>0</v>
          </cell>
        </row>
        <row r="511">
          <cell r="D511">
            <v>114408277</v>
          </cell>
          <cell r="E511" t="str">
            <v>伯希和/PELLIOT</v>
          </cell>
          <cell r="F511" t="str">
            <v>服装-外套-羽绒服</v>
          </cell>
          <cell r="G511" t="str">
            <v>一品多商</v>
          </cell>
          <cell r="H511" t="str">
            <v>品牌直发</v>
          </cell>
          <cell r="I511">
            <v>0</v>
          </cell>
        </row>
        <row r="512">
          <cell r="D512">
            <v>134401045</v>
          </cell>
          <cell r="E512" t="str">
            <v>伯希和/PELLIOT</v>
          </cell>
          <cell r="F512" t="str">
            <v>童装-儿童上装-冲锋衣</v>
          </cell>
          <cell r="G512" t="str">
            <v>一品一商</v>
          </cell>
          <cell r="H512" t="str">
            <v>品牌直发</v>
          </cell>
          <cell r="I512">
            <v>0</v>
          </cell>
        </row>
        <row r="513">
          <cell r="D513">
            <v>124403126</v>
          </cell>
          <cell r="E513" t="str">
            <v>伯希和/PELLIOT</v>
          </cell>
          <cell r="F513" t="str">
            <v>服装-户外运动服-滑雪衣</v>
          </cell>
          <cell r="G513" t="str">
            <v>一品一商</v>
          </cell>
          <cell r="H513" t="str">
            <v>品牌直发</v>
          </cell>
          <cell r="I513">
            <v>0</v>
          </cell>
        </row>
        <row r="514">
          <cell r="D514">
            <v>114408273</v>
          </cell>
          <cell r="E514" t="str">
            <v>伯希和/PELLIOT</v>
          </cell>
          <cell r="F514" t="str">
            <v>服装-外套-羽绒服</v>
          </cell>
          <cell r="G514" t="str">
            <v>一品多商</v>
          </cell>
          <cell r="H514" t="str">
            <v>品牌直发</v>
          </cell>
          <cell r="I514">
            <v>0</v>
          </cell>
        </row>
        <row r="515">
          <cell r="D515">
            <v>134408270</v>
          </cell>
          <cell r="E515" t="str">
            <v>伯希和/PELLIOT</v>
          </cell>
          <cell r="F515" t="str">
            <v>童装-儿童上装-羽绒服</v>
          </cell>
          <cell r="G515" t="str">
            <v>一品一商</v>
          </cell>
          <cell r="H515" t="str">
            <v>品牌直发</v>
          </cell>
          <cell r="I515">
            <v>0</v>
          </cell>
        </row>
        <row r="516">
          <cell r="D516" t="str">
            <v>PE124408260</v>
          </cell>
          <cell r="E516" t="str">
            <v>伯希和/PELLIOT</v>
          </cell>
          <cell r="F516" t="str">
            <v>女装-外套-羽绒服</v>
          </cell>
          <cell r="G516" t="str">
            <v>一品多商</v>
          </cell>
          <cell r="H516" t="str">
            <v>品牌直发</v>
          </cell>
          <cell r="I516">
            <v>0</v>
          </cell>
        </row>
        <row r="517">
          <cell r="D517">
            <v>124408240</v>
          </cell>
          <cell r="E517" t="str">
            <v>伯希和/PELLIOT</v>
          </cell>
          <cell r="F517" t="str">
            <v>服装-外套-羽绒服</v>
          </cell>
          <cell r="G517" t="str">
            <v>一品多商</v>
          </cell>
          <cell r="H517" t="str">
            <v>品牌直发</v>
          </cell>
          <cell r="I517">
            <v>0</v>
          </cell>
        </row>
        <row r="518">
          <cell r="D518" t="str">
            <v>PE114401055</v>
          </cell>
          <cell r="E518" t="str">
            <v>伯希和/PELLIOT</v>
          </cell>
          <cell r="F518" t="str">
            <v>服装-外套-冲锋衣</v>
          </cell>
          <cell r="G518" t="str">
            <v>一品一商</v>
          </cell>
          <cell r="H518" t="str">
            <v>品牌直发</v>
          </cell>
          <cell r="I518">
            <v>0</v>
          </cell>
        </row>
        <row r="519">
          <cell r="D519" t="str">
            <v>PE124408278</v>
          </cell>
          <cell r="E519" t="str">
            <v>伯希和/PELLIOT</v>
          </cell>
          <cell r="F519" t="str">
            <v>女装-外套-羽绒服</v>
          </cell>
          <cell r="G519" t="str">
            <v>一品多商</v>
          </cell>
          <cell r="H519" t="str">
            <v>品牌直发</v>
          </cell>
          <cell r="I519">
            <v>0</v>
          </cell>
        </row>
        <row r="520">
          <cell r="D520">
            <v>134301043</v>
          </cell>
          <cell r="E520" t="str">
            <v>伯希和/PELLIOT</v>
          </cell>
          <cell r="F520" t="str">
            <v>童装-儿童上装-冲锋衣</v>
          </cell>
          <cell r="G520" t="str">
            <v>一品一商</v>
          </cell>
          <cell r="H520" t="str">
            <v>品牌直发</v>
          </cell>
          <cell r="I520">
            <v>0</v>
          </cell>
        </row>
        <row r="521">
          <cell r="D521" t="str">
            <v>PE124315434</v>
          </cell>
          <cell r="E521" t="str">
            <v>伯希和/PELLIOT</v>
          </cell>
          <cell r="F521" t="str">
            <v>女装-上衣-T恤</v>
          </cell>
          <cell r="G521" t="str">
            <v>一品一商</v>
          </cell>
          <cell r="H521" t="str">
            <v>品牌直发</v>
          </cell>
          <cell r="I521">
            <v>0</v>
          </cell>
        </row>
        <row r="522">
          <cell r="D522" t="str">
            <v>PE114315433</v>
          </cell>
          <cell r="E522" t="str">
            <v>伯希和/PELLIOT</v>
          </cell>
          <cell r="F522" t="str">
            <v>服装-户外运动服-抓绒衣</v>
          </cell>
          <cell r="G522" t="str">
            <v>一品一商</v>
          </cell>
          <cell r="H522" t="str">
            <v>品牌直发</v>
          </cell>
          <cell r="I522">
            <v>0</v>
          </cell>
        </row>
        <row r="523">
          <cell r="D523" t="str">
            <v>PE124310192</v>
          </cell>
          <cell r="E523" t="str">
            <v>伯希和/PELLIOT</v>
          </cell>
          <cell r="F523" t="str">
            <v>女装-户外运动服-抓绒衣</v>
          </cell>
          <cell r="G523" t="str">
            <v>一品多商</v>
          </cell>
          <cell r="H523" t="str">
            <v>品牌直发</v>
          </cell>
          <cell r="I523">
            <v>0</v>
          </cell>
        </row>
        <row r="524">
          <cell r="D524">
            <v>134409343</v>
          </cell>
          <cell r="E524" t="str">
            <v>伯希和/PELLIOT</v>
          </cell>
          <cell r="F524" t="str">
            <v>童装-儿童下装-儿童运动裤</v>
          </cell>
          <cell r="G524" t="str">
            <v>一品一商</v>
          </cell>
          <cell r="H524" t="str">
            <v>品牌直发</v>
          </cell>
          <cell r="I524">
            <v>0</v>
          </cell>
        </row>
        <row r="525">
          <cell r="D525">
            <v>114311235</v>
          </cell>
          <cell r="E525" t="str">
            <v>伯希和/PELLIOT</v>
          </cell>
          <cell r="F525" t="str">
            <v>服装-长裤-休闲裤</v>
          </cell>
          <cell r="G525" t="str">
            <v>一品一商</v>
          </cell>
          <cell r="H525" t="str">
            <v>品牌直发</v>
          </cell>
          <cell r="I525">
            <v>0</v>
          </cell>
        </row>
        <row r="526">
          <cell r="D526">
            <v>134301049</v>
          </cell>
          <cell r="E526" t="str">
            <v>伯希和/PELLIOT</v>
          </cell>
          <cell r="F526" t="str">
            <v>童装-儿童上装-冲锋衣</v>
          </cell>
          <cell r="G526" t="str">
            <v>一品一商</v>
          </cell>
          <cell r="H526" t="str">
            <v>品牌直发</v>
          </cell>
          <cell r="I526">
            <v>0</v>
          </cell>
        </row>
        <row r="527">
          <cell r="D527">
            <v>134408267</v>
          </cell>
          <cell r="E527" t="str">
            <v>伯希和/PELLIOT</v>
          </cell>
          <cell r="F527" t="str">
            <v>童装-儿童上装-羽绒服</v>
          </cell>
          <cell r="G527" t="str">
            <v>一品一商</v>
          </cell>
          <cell r="H527" t="str">
            <v>品牌直发</v>
          </cell>
          <cell r="I527">
            <v>0</v>
          </cell>
        </row>
        <row r="528">
          <cell r="D528">
            <v>134306146</v>
          </cell>
          <cell r="E528" t="str">
            <v>伯希和/PELLIOT</v>
          </cell>
          <cell r="F528" t="str">
            <v>童装-儿童上装-夹克</v>
          </cell>
          <cell r="G528" t="str">
            <v>一品多商</v>
          </cell>
          <cell r="H528" t="str">
            <v>品牌直发</v>
          </cell>
          <cell r="I528">
            <v>0</v>
          </cell>
        </row>
        <row r="529">
          <cell r="D529">
            <v>114408265</v>
          </cell>
          <cell r="E529" t="str">
            <v>伯希和/PELLIOT</v>
          </cell>
          <cell r="F529" t="str">
            <v>服装-外套-羽绒服</v>
          </cell>
          <cell r="G529" t="str">
            <v>一品多商</v>
          </cell>
          <cell r="H529" t="str">
            <v>品牌直发</v>
          </cell>
          <cell r="I529">
            <v>0</v>
          </cell>
        </row>
        <row r="530">
          <cell r="D530">
            <v>114319017</v>
          </cell>
          <cell r="E530" t="str">
            <v>伯希和/PELLIOT</v>
          </cell>
          <cell r="F530" t="str">
            <v>鞋-运动鞋-登山鞋/徒步鞋</v>
          </cell>
          <cell r="G530" t="str">
            <v>一品一商</v>
          </cell>
          <cell r="H530" t="str">
            <v>品牌直发</v>
          </cell>
          <cell r="I530">
            <v>0</v>
          </cell>
        </row>
        <row r="531">
          <cell r="D531" t="str">
            <v>PE124408256</v>
          </cell>
          <cell r="E531" t="str">
            <v>伯希和/PELLIOT</v>
          </cell>
          <cell r="F531" t="str">
            <v>女装-外套-羽绒服</v>
          </cell>
          <cell r="G531" t="str">
            <v>一品多商</v>
          </cell>
          <cell r="H531" t="str">
            <v>品牌直发</v>
          </cell>
          <cell r="I531">
            <v>0</v>
          </cell>
        </row>
        <row r="532">
          <cell r="D532">
            <v>114408255</v>
          </cell>
          <cell r="E532" t="str">
            <v>伯希和/PELLIOT</v>
          </cell>
          <cell r="F532" t="str">
            <v>服装-外套-羽绒服</v>
          </cell>
          <cell r="G532" t="str">
            <v>一品多商</v>
          </cell>
          <cell r="H532" t="str">
            <v>品牌直发</v>
          </cell>
          <cell r="I532">
            <v>0</v>
          </cell>
        </row>
        <row r="533">
          <cell r="D533">
            <v>124408258</v>
          </cell>
          <cell r="E533" t="str">
            <v>伯希和/PELLIOT</v>
          </cell>
          <cell r="F533" t="str">
            <v>女装-外套-羽绒服</v>
          </cell>
          <cell r="G533" t="str">
            <v>一品多商</v>
          </cell>
          <cell r="H533" t="str">
            <v>品牌直发</v>
          </cell>
          <cell r="I533">
            <v>0</v>
          </cell>
        </row>
        <row r="534">
          <cell r="D534">
            <v>114401069</v>
          </cell>
          <cell r="E534" t="str">
            <v>伯希和/PELLIOT</v>
          </cell>
          <cell r="F534" t="str">
            <v>服装-外套-冲锋衣</v>
          </cell>
          <cell r="G534" t="str">
            <v>一品一商</v>
          </cell>
          <cell r="H534" t="str">
            <v>品牌直发</v>
          </cell>
          <cell r="I534">
            <v>0</v>
          </cell>
        </row>
        <row r="535">
          <cell r="D535">
            <v>114301015</v>
          </cell>
          <cell r="E535" t="str">
            <v>伯希和/PELLIOT</v>
          </cell>
          <cell r="F535" t="str">
            <v>服装-外套-冲锋衣</v>
          </cell>
          <cell r="G535" t="str">
            <v>一品多商</v>
          </cell>
          <cell r="H535" t="str">
            <v>品牌直发</v>
          </cell>
          <cell r="I535">
            <v>0</v>
          </cell>
        </row>
        <row r="536">
          <cell r="D536">
            <v>124311236</v>
          </cell>
          <cell r="E536" t="str">
            <v>伯希和/PELLIOT</v>
          </cell>
          <cell r="F536" t="str">
            <v>女装-户外运动服-抓绒裤</v>
          </cell>
          <cell r="G536" t="str">
            <v>一品一商</v>
          </cell>
          <cell r="H536" t="str">
            <v>品牌直发</v>
          </cell>
          <cell r="I536">
            <v>0</v>
          </cell>
        </row>
        <row r="537">
          <cell r="D537">
            <v>114408251</v>
          </cell>
          <cell r="E537" t="str">
            <v>伯希和/PELLIOT</v>
          </cell>
          <cell r="F537" t="str">
            <v>服装-外套-羽绒服</v>
          </cell>
          <cell r="G537" t="str">
            <v>一品一商</v>
          </cell>
          <cell r="H537" t="str">
            <v>品牌直发</v>
          </cell>
          <cell r="I537">
            <v>0</v>
          </cell>
        </row>
        <row r="538">
          <cell r="D538" t="str">
            <v>PE124408250</v>
          </cell>
          <cell r="E538" t="str">
            <v>伯希和/PELLIOT</v>
          </cell>
          <cell r="F538" t="str">
            <v>女装-外套-羽绒服</v>
          </cell>
          <cell r="G538" t="str">
            <v>一品一商</v>
          </cell>
          <cell r="H538" t="str">
            <v>品牌直发</v>
          </cell>
          <cell r="I538">
            <v>0</v>
          </cell>
        </row>
        <row r="539">
          <cell r="D539">
            <v>114409341</v>
          </cell>
          <cell r="E539" t="str">
            <v>伯希和/PELLIOT</v>
          </cell>
          <cell r="F539" t="str">
            <v>服装-长裤-羽绒裤</v>
          </cell>
          <cell r="G539" t="str">
            <v>一品多商</v>
          </cell>
          <cell r="H539" t="str">
            <v>品牌直发</v>
          </cell>
          <cell r="I539">
            <v>0</v>
          </cell>
        </row>
        <row r="540">
          <cell r="D540">
            <v>124304118</v>
          </cell>
          <cell r="E540" t="str">
            <v>伯希和/PELLIOT</v>
          </cell>
          <cell r="F540" t="str">
            <v>服装-户外运动服-滑雪裤</v>
          </cell>
          <cell r="G540" t="str">
            <v>一品多商</v>
          </cell>
          <cell r="H540" t="str">
            <v>品牌直发</v>
          </cell>
          <cell r="I540">
            <v>0</v>
          </cell>
        </row>
        <row r="541">
          <cell r="D541" t="str">
            <v>PE124404116</v>
          </cell>
          <cell r="E541" t="str">
            <v>伯希和/PELLIOT</v>
          </cell>
          <cell r="F541" t="str">
            <v>服装-户外运动服-滑雪裤</v>
          </cell>
          <cell r="G541" t="str">
            <v>一品多商</v>
          </cell>
          <cell r="H541" t="str">
            <v>品牌直发</v>
          </cell>
          <cell r="I541">
            <v>0</v>
          </cell>
        </row>
        <row r="542">
          <cell r="D542" t="str">
            <v>124319016曜石黑</v>
          </cell>
          <cell r="E542" t="str">
            <v>伯希和/PELLIOT</v>
          </cell>
          <cell r="F542" t="str">
            <v>鞋-运动鞋-登山鞋/徒步鞋</v>
          </cell>
          <cell r="G542" t="str">
            <v>一品一商</v>
          </cell>
          <cell r="H542" t="str">
            <v>品牌直发</v>
          </cell>
          <cell r="I542">
            <v>0</v>
          </cell>
        </row>
        <row r="543">
          <cell r="D543" t="str">
            <v>PE124310194</v>
          </cell>
          <cell r="E543" t="str">
            <v>伯希和/PELLIOT</v>
          </cell>
          <cell r="F543" t="str">
            <v>女装-户外运动服-抓绒衣</v>
          </cell>
          <cell r="G543" t="str">
            <v>一品一商</v>
          </cell>
          <cell r="H543" t="str">
            <v>品牌直发</v>
          </cell>
          <cell r="I543">
            <v>0</v>
          </cell>
        </row>
        <row r="544">
          <cell r="D544">
            <v>114351091</v>
          </cell>
          <cell r="E544" t="str">
            <v>伯希和/PELLIOT</v>
          </cell>
          <cell r="F544" t="str">
            <v>服装-外套-软壳衣</v>
          </cell>
          <cell r="G544" t="str">
            <v>一品多商</v>
          </cell>
          <cell r="H544" t="str">
            <v>品牌直发</v>
          </cell>
          <cell r="I544">
            <v>0</v>
          </cell>
        </row>
        <row r="545">
          <cell r="D545">
            <v>124310184</v>
          </cell>
          <cell r="E545" t="str">
            <v>伯希和/PELLIOT</v>
          </cell>
          <cell r="F545" t="str">
            <v>女装-上衣-卫衣</v>
          </cell>
          <cell r="G545" t="str">
            <v>一品一商</v>
          </cell>
          <cell r="H545" t="str">
            <v>品牌直发</v>
          </cell>
          <cell r="I545">
            <v>0</v>
          </cell>
        </row>
        <row r="546">
          <cell r="D546">
            <v>124377366</v>
          </cell>
          <cell r="E546" t="str">
            <v>伯希和/PELLIOT</v>
          </cell>
          <cell r="F546" t="str">
            <v>内衣-内衣裤-保暖裤</v>
          </cell>
          <cell r="G546" t="str">
            <v>一品一商</v>
          </cell>
          <cell r="H546" t="str">
            <v>品牌直发</v>
          </cell>
          <cell r="I546">
            <v>0</v>
          </cell>
        </row>
        <row r="547">
          <cell r="D547">
            <v>114315395</v>
          </cell>
          <cell r="E547" t="str">
            <v>伯希和/PELLIOT</v>
          </cell>
          <cell r="F547" t="str">
            <v>服装-户外运动服-速干衣</v>
          </cell>
          <cell r="G547" t="str">
            <v>一品一商</v>
          </cell>
          <cell r="H547" t="str">
            <v>品牌直发</v>
          </cell>
          <cell r="I547">
            <v>0</v>
          </cell>
        </row>
        <row r="548">
          <cell r="D548">
            <v>164334001</v>
          </cell>
          <cell r="E548" t="str">
            <v>伯希和/PELLIOT</v>
          </cell>
          <cell r="F548" t="str">
            <v>流行饰品/眼镜/服配-帽子-其他帽子</v>
          </cell>
          <cell r="G548" t="str">
            <v>一品一商</v>
          </cell>
          <cell r="H548" t="str">
            <v>品牌直发</v>
          </cell>
          <cell r="I548">
            <v>0</v>
          </cell>
        </row>
        <row r="549">
          <cell r="D549">
            <v>124315398</v>
          </cell>
          <cell r="E549" t="str">
            <v>伯希和/PELLIOT</v>
          </cell>
          <cell r="F549" t="str">
            <v>女装-上衣-T恤</v>
          </cell>
          <cell r="G549" t="str">
            <v>一品多商</v>
          </cell>
          <cell r="H549" t="str">
            <v>品牌直发</v>
          </cell>
          <cell r="I549">
            <v>0</v>
          </cell>
        </row>
        <row r="550">
          <cell r="D550">
            <v>124301080</v>
          </cell>
          <cell r="E550" t="str">
            <v>伯希和/PELLIOT</v>
          </cell>
          <cell r="F550" t="str">
            <v>女装-外套-冲锋衣</v>
          </cell>
          <cell r="G550" t="str">
            <v>一品多商</v>
          </cell>
          <cell r="H550" t="str">
            <v>品牌直发</v>
          </cell>
          <cell r="I550">
            <v>0</v>
          </cell>
        </row>
        <row r="551">
          <cell r="D551" t="str">
            <v>PE124306152</v>
          </cell>
          <cell r="E551" t="str">
            <v>伯希和/PELLIOT</v>
          </cell>
          <cell r="F551" t="str">
            <v>女装-外套-软壳衣</v>
          </cell>
          <cell r="G551" t="str">
            <v>一品多商</v>
          </cell>
          <cell r="H551" t="str">
            <v>品牌直发</v>
          </cell>
          <cell r="I551">
            <v>0</v>
          </cell>
        </row>
        <row r="552">
          <cell r="D552">
            <v>124408246</v>
          </cell>
          <cell r="E552" t="str">
            <v>伯希和/PELLIOT</v>
          </cell>
          <cell r="F552" t="str">
            <v>女装-外套-羽绒服</v>
          </cell>
          <cell r="G552" t="str">
            <v>一品多商</v>
          </cell>
          <cell r="H552" t="str">
            <v>品牌直发</v>
          </cell>
          <cell r="I552">
            <v>0</v>
          </cell>
        </row>
        <row r="553">
          <cell r="D553" t="str">
            <v>PE114401009</v>
          </cell>
          <cell r="E553" t="str">
            <v>伯希和/PELLIOT</v>
          </cell>
          <cell r="F553" t="str">
            <v>服装-外套-冲锋衣</v>
          </cell>
          <cell r="G553" t="str">
            <v>一品多商</v>
          </cell>
          <cell r="H553" t="str">
            <v>品牌直发</v>
          </cell>
          <cell r="I553">
            <v>0</v>
          </cell>
        </row>
        <row r="554">
          <cell r="D554">
            <v>114408249</v>
          </cell>
          <cell r="E554" t="str">
            <v>伯希和/PELLIOT</v>
          </cell>
          <cell r="F554" t="str">
            <v>服装-外套-羽绒服</v>
          </cell>
          <cell r="G554" t="str">
            <v>一品多商</v>
          </cell>
          <cell r="H554" t="str">
            <v>品牌直发</v>
          </cell>
          <cell r="I554">
            <v>0</v>
          </cell>
        </row>
        <row r="555">
          <cell r="D555" t="str">
            <v>124419010经典黑</v>
          </cell>
          <cell r="E555" t="str">
            <v>伯希和/PELLIOT</v>
          </cell>
          <cell r="F555" t="str">
            <v>鞋-运动鞋-登山鞋/徒步鞋</v>
          </cell>
          <cell r="G555" t="str">
            <v>一品一商</v>
          </cell>
          <cell r="H555" t="str">
            <v>品牌直发</v>
          </cell>
          <cell r="I555">
            <v>0</v>
          </cell>
        </row>
        <row r="556">
          <cell r="D556">
            <v>124318426</v>
          </cell>
          <cell r="E556" t="str">
            <v>伯希和/PELLIOT</v>
          </cell>
          <cell r="F556" t="str">
            <v>内衣-内衣裤-保暖套装</v>
          </cell>
          <cell r="G556" t="str">
            <v>一品一商</v>
          </cell>
          <cell r="H556" t="str">
            <v>普通现货</v>
          </cell>
          <cell r="I556">
            <v>0</v>
          </cell>
        </row>
        <row r="557">
          <cell r="D557">
            <v>124408244</v>
          </cell>
          <cell r="E557" t="str">
            <v>伯希和/PELLIOT</v>
          </cell>
          <cell r="F557" t="str">
            <v>服装-外套-羽绒服</v>
          </cell>
          <cell r="G557" t="str">
            <v>一品多商</v>
          </cell>
          <cell r="H557" t="str">
            <v>品牌直发</v>
          </cell>
          <cell r="I557">
            <v>0</v>
          </cell>
        </row>
        <row r="558">
          <cell r="D558">
            <v>114310191</v>
          </cell>
          <cell r="E558" t="str">
            <v>伯希和/PELLIOT</v>
          </cell>
          <cell r="F558" t="str">
            <v>服装-户外运动服-抓绒衣</v>
          </cell>
          <cell r="G558" t="str">
            <v>一品多商</v>
          </cell>
          <cell r="H558" t="str">
            <v>品牌直发</v>
          </cell>
          <cell r="I558">
            <v>0</v>
          </cell>
        </row>
        <row r="559">
          <cell r="D559">
            <v>124401042</v>
          </cell>
          <cell r="E559" t="str">
            <v>伯希和/PELLIOT</v>
          </cell>
          <cell r="F559" t="str">
            <v>女装-外套-冲锋衣</v>
          </cell>
          <cell r="G559" t="str">
            <v>一品多商</v>
          </cell>
          <cell r="H559" t="str">
            <v>品牌直发</v>
          </cell>
          <cell r="I559">
            <v>0</v>
          </cell>
        </row>
        <row r="560">
          <cell r="D560" t="str">
            <v>11421551-SG51</v>
          </cell>
          <cell r="E560" t="str">
            <v>伯希和/PELLIOT</v>
          </cell>
          <cell r="F560" t="str">
            <v>服装-上衣-Polo衫</v>
          </cell>
          <cell r="G560" t="str">
            <v>一品一商</v>
          </cell>
          <cell r="H560" t="str">
            <v>品牌直发</v>
          </cell>
          <cell r="I560">
            <v>0</v>
          </cell>
        </row>
        <row r="561">
          <cell r="D561">
            <v>124376410</v>
          </cell>
          <cell r="E561" t="str">
            <v>伯希和/PELLIOT</v>
          </cell>
          <cell r="F561" t="str">
            <v>服装-外套-棉服</v>
          </cell>
          <cell r="G561" t="str">
            <v>一品多商</v>
          </cell>
          <cell r="H561" t="str">
            <v>品牌直发</v>
          </cell>
          <cell r="I561">
            <v>0</v>
          </cell>
        </row>
        <row r="562">
          <cell r="D562">
            <v>124419012</v>
          </cell>
          <cell r="E562" t="str">
            <v>伯希和/PELLIOT</v>
          </cell>
          <cell r="F562" t="str">
            <v>鞋-运动鞋-登山鞋/徒步鞋</v>
          </cell>
          <cell r="G562" t="str">
            <v>一品一商</v>
          </cell>
          <cell r="H562" t="str">
            <v>品牌直发</v>
          </cell>
          <cell r="I562">
            <v>0</v>
          </cell>
        </row>
        <row r="563">
          <cell r="D563">
            <v>114419011</v>
          </cell>
          <cell r="E563" t="str">
            <v>伯希和/PELLIOT</v>
          </cell>
          <cell r="F563" t="str">
            <v>鞋-运动鞋-登山鞋/徒步鞋</v>
          </cell>
          <cell r="G563" t="str">
            <v>一品一商</v>
          </cell>
          <cell r="H563" t="str">
            <v>品牌直发</v>
          </cell>
          <cell r="I563">
            <v>0</v>
          </cell>
        </row>
        <row r="564">
          <cell r="D564">
            <v>114408241</v>
          </cell>
          <cell r="E564" t="str">
            <v>伯希和/PELLIOT</v>
          </cell>
          <cell r="F564" t="str">
            <v>服装-外套-羽绒马甲</v>
          </cell>
          <cell r="G564" t="str">
            <v>一品多商</v>
          </cell>
          <cell r="H564" t="str">
            <v>品牌直发</v>
          </cell>
          <cell r="I564">
            <v>0</v>
          </cell>
        </row>
        <row r="565">
          <cell r="D565">
            <v>134408269</v>
          </cell>
          <cell r="E565" t="str">
            <v>伯希和/PELLIOT</v>
          </cell>
          <cell r="F565" t="str">
            <v>童装-儿童上装-羽绒服</v>
          </cell>
          <cell r="G565" t="str">
            <v>一品一商</v>
          </cell>
          <cell r="H565" t="str">
            <v>品牌直发</v>
          </cell>
          <cell r="I565">
            <v>0</v>
          </cell>
        </row>
        <row r="566">
          <cell r="D566">
            <v>124408268</v>
          </cell>
          <cell r="E566" t="str">
            <v>伯希和/PELLIOT</v>
          </cell>
          <cell r="F566" t="str">
            <v>女装-外套-羽绒服</v>
          </cell>
          <cell r="G566" t="str">
            <v>一品多商</v>
          </cell>
          <cell r="H566" t="str">
            <v>品牌直发</v>
          </cell>
          <cell r="I566">
            <v>0</v>
          </cell>
        </row>
        <row r="567">
          <cell r="D567">
            <v>114408245</v>
          </cell>
          <cell r="E567" t="str">
            <v>伯希和/PELLIOT</v>
          </cell>
          <cell r="F567" t="str">
            <v>服装-外套-羽绒马甲</v>
          </cell>
          <cell r="G567" t="str">
            <v>一品多商</v>
          </cell>
          <cell r="H567" t="str">
            <v>品牌直发</v>
          </cell>
          <cell r="I567">
            <v>0</v>
          </cell>
        </row>
        <row r="568">
          <cell r="D568">
            <v>124376130</v>
          </cell>
          <cell r="E568" t="str">
            <v>伯希和/PELLIOT</v>
          </cell>
          <cell r="F568" t="str">
            <v>女装-外套-棉服</v>
          </cell>
          <cell r="G568" t="str">
            <v>一品多商</v>
          </cell>
          <cell r="H568" t="str">
            <v>品牌直发</v>
          </cell>
          <cell r="I568">
            <v>0</v>
          </cell>
        </row>
        <row r="569">
          <cell r="D569">
            <v>114310189</v>
          </cell>
          <cell r="E569" t="str">
            <v>伯希和/PELLIOT</v>
          </cell>
          <cell r="F569" t="str">
            <v>服装-户外运动服-抓绒衣</v>
          </cell>
          <cell r="G569" t="str">
            <v>一品一商</v>
          </cell>
          <cell r="H569" t="str">
            <v>品牌直发</v>
          </cell>
          <cell r="I569">
            <v>0</v>
          </cell>
        </row>
        <row r="570">
          <cell r="D570">
            <v>124420014</v>
          </cell>
          <cell r="E570" t="str">
            <v>伯希和/PELLIOT</v>
          </cell>
          <cell r="F570" t="str">
            <v>鞋-潮流休闲鞋-生活休闲鞋</v>
          </cell>
          <cell r="G570" t="str">
            <v>一品一商</v>
          </cell>
          <cell r="H570" t="str">
            <v>品牌直发</v>
          </cell>
          <cell r="I570">
            <v>0</v>
          </cell>
        </row>
        <row r="571">
          <cell r="D571">
            <v>124315394</v>
          </cell>
          <cell r="E571" t="str">
            <v>伯希和/PELLIOT</v>
          </cell>
          <cell r="F571" t="str">
            <v>女装-上衣-T恤</v>
          </cell>
          <cell r="G571" t="str">
            <v>一品一商</v>
          </cell>
          <cell r="H571" t="str">
            <v>品牌直发</v>
          </cell>
          <cell r="I571">
            <v>0</v>
          </cell>
        </row>
        <row r="572">
          <cell r="D572">
            <v>124401010</v>
          </cell>
          <cell r="E572" t="str">
            <v>伯希和/PELLIOT</v>
          </cell>
          <cell r="F572" t="str">
            <v>女装-外套-冲锋衣</v>
          </cell>
          <cell r="G572" t="str">
            <v>一品一商</v>
          </cell>
          <cell r="H572" t="str">
            <v>品牌直发</v>
          </cell>
          <cell r="I572">
            <v>0</v>
          </cell>
        </row>
        <row r="573">
          <cell r="D573">
            <v>124307170</v>
          </cell>
          <cell r="E573" t="str">
            <v>伯希和/PELLIOT</v>
          </cell>
          <cell r="F573" t="str">
            <v>女装-长裤-软壳裤</v>
          </cell>
          <cell r="G573" t="str">
            <v>一品多商</v>
          </cell>
          <cell r="H573" t="str">
            <v>品牌直发</v>
          </cell>
          <cell r="I573">
            <v>0</v>
          </cell>
        </row>
        <row r="574">
          <cell r="D574">
            <v>114315393</v>
          </cell>
          <cell r="E574" t="str">
            <v>伯希和/PELLIOT</v>
          </cell>
          <cell r="F574" t="str">
            <v>服装-上衣-T恤</v>
          </cell>
          <cell r="G574" t="str">
            <v>一品多商</v>
          </cell>
          <cell r="H574" t="str">
            <v>品牌直发</v>
          </cell>
          <cell r="I574">
            <v>0</v>
          </cell>
        </row>
        <row r="575">
          <cell r="D575">
            <v>124318424</v>
          </cell>
          <cell r="E575" t="str">
            <v>伯希和/PELLIOT</v>
          </cell>
          <cell r="F575" t="str">
            <v>内衣-内衣裤-保暖套装</v>
          </cell>
          <cell r="G575" t="str">
            <v>一品一商</v>
          </cell>
          <cell r="H575" t="str">
            <v>品牌直发</v>
          </cell>
          <cell r="I575">
            <v>0</v>
          </cell>
        </row>
        <row r="576">
          <cell r="D576">
            <v>134307173</v>
          </cell>
          <cell r="E576" t="str">
            <v>伯希和/PELLIOT</v>
          </cell>
          <cell r="F576" t="str">
            <v>童装-儿童下装-儿童运动裤</v>
          </cell>
          <cell r="G576" t="str">
            <v>一品一商</v>
          </cell>
          <cell r="H576" t="str">
            <v>品牌直发</v>
          </cell>
          <cell r="I576">
            <v>0</v>
          </cell>
        </row>
        <row r="577">
          <cell r="D577">
            <v>134310199</v>
          </cell>
          <cell r="E577" t="str">
            <v>伯希和/PELLIOT</v>
          </cell>
          <cell r="F577" t="str">
            <v>童装-儿童上装-卫衣</v>
          </cell>
          <cell r="G577" t="str">
            <v>一品一商</v>
          </cell>
          <cell r="H577" t="str">
            <v>品牌直发</v>
          </cell>
          <cell r="I577">
            <v>0</v>
          </cell>
        </row>
        <row r="578">
          <cell r="D578">
            <v>124307162</v>
          </cell>
          <cell r="E578" t="str">
            <v>伯希和/PELLIOT</v>
          </cell>
          <cell r="F578" t="str">
            <v>女装-长裤-软壳裤</v>
          </cell>
          <cell r="G578" t="str">
            <v>一品多商</v>
          </cell>
          <cell r="H578" t="str">
            <v>品牌直发</v>
          </cell>
          <cell r="I578">
            <v>0</v>
          </cell>
        </row>
        <row r="579">
          <cell r="D579">
            <v>114301065</v>
          </cell>
          <cell r="E579" t="str">
            <v>伯希和/PELLIOT</v>
          </cell>
          <cell r="F579" t="str">
            <v>服装-外套-冲锋衣</v>
          </cell>
          <cell r="G579" t="str">
            <v>一品一商</v>
          </cell>
          <cell r="H579" t="str">
            <v>品牌直发</v>
          </cell>
          <cell r="I579">
            <v>0</v>
          </cell>
        </row>
        <row r="580">
          <cell r="D580">
            <v>134310200</v>
          </cell>
          <cell r="E580" t="str">
            <v>伯希和/PELLIOT</v>
          </cell>
          <cell r="F580" t="str">
            <v>童装-儿童上装-夹克</v>
          </cell>
          <cell r="G580" t="str">
            <v>一品一商</v>
          </cell>
          <cell r="H580" t="str">
            <v>品牌直发</v>
          </cell>
          <cell r="I580">
            <v>0</v>
          </cell>
        </row>
        <row r="581">
          <cell r="D581">
            <v>114307175</v>
          </cell>
          <cell r="E581" t="str">
            <v>伯希和/PELLIOT</v>
          </cell>
          <cell r="F581" t="str">
            <v>服装-长裤-软壳裤</v>
          </cell>
          <cell r="G581" t="str">
            <v>一品多商</v>
          </cell>
          <cell r="H581" t="str">
            <v>品牌直发</v>
          </cell>
          <cell r="I581">
            <v>0</v>
          </cell>
        </row>
        <row r="582">
          <cell r="D582">
            <v>114310201</v>
          </cell>
          <cell r="E582" t="str">
            <v>伯希和/PELLIOT</v>
          </cell>
          <cell r="F582" t="str">
            <v>服装-户外运动服-抓绒衣</v>
          </cell>
          <cell r="G582" t="str">
            <v>一品多商</v>
          </cell>
          <cell r="H582" t="str">
            <v>品牌直发</v>
          </cell>
          <cell r="I582">
            <v>0</v>
          </cell>
        </row>
        <row r="583">
          <cell r="D583">
            <v>114315385</v>
          </cell>
          <cell r="E583" t="str">
            <v>伯希和/PELLIOT</v>
          </cell>
          <cell r="F583" t="str">
            <v>服装-上衣-T恤</v>
          </cell>
          <cell r="G583" t="str">
            <v>一品多商</v>
          </cell>
          <cell r="H583" t="str">
            <v>品牌直发</v>
          </cell>
          <cell r="I583">
            <v>0</v>
          </cell>
        </row>
        <row r="584">
          <cell r="D584">
            <v>124315390</v>
          </cell>
          <cell r="E584" t="str">
            <v>伯希和/PELLIOT</v>
          </cell>
          <cell r="F584" t="str">
            <v>服装-户外运动服-速干衣</v>
          </cell>
          <cell r="G584" t="str">
            <v>一品一商</v>
          </cell>
          <cell r="H584" t="str">
            <v>品牌直发</v>
          </cell>
          <cell r="I584">
            <v>0</v>
          </cell>
        </row>
        <row r="585">
          <cell r="D585">
            <v>124315386</v>
          </cell>
          <cell r="E585" t="str">
            <v>伯希和/PELLIOT</v>
          </cell>
          <cell r="F585" t="str">
            <v>女装-上衣-T恤</v>
          </cell>
          <cell r="G585" t="str">
            <v>一品一商</v>
          </cell>
          <cell r="H585" t="str">
            <v>品牌直发</v>
          </cell>
          <cell r="I585">
            <v>0</v>
          </cell>
        </row>
        <row r="586">
          <cell r="D586">
            <v>134301031</v>
          </cell>
          <cell r="E586" t="str">
            <v>伯希和/PELLIOT</v>
          </cell>
          <cell r="F586" t="str">
            <v>童装-儿童上装-冲锋衣</v>
          </cell>
          <cell r="G586" t="str">
            <v>一品一商</v>
          </cell>
          <cell r="H586" t="str">
            <v>品牌直发</v>
          </cell>
          <cell r="I586">
            <v>0</v>
          </cell>
        </row>
        <row r="587">
          <cell r="D587">
            <v>114307169</v>
          </cell>
          <cell r="E587" t="str">
            <v>伯希和/PELLIOT</v>
          </cell>
          <cell r="F587" t="str">
            <v>服装-长裤-软壳裤</v>
          </cell>
          <cell r="G587" t="str">
            <v>一品多商</v>
          </cell>
          <cell r="H587" t="str">
            <v>品牌直发</v>
          </cell>
          <cell r="I587">
            <v>0</v>
          </cell>
        </row>
        <row r="588">
          <cell r="D588" t="str">
            <v>PE124306150</v>
          </cell>
          <cell r="E588" t="str">
            <v>伯希和/PELLIOT</v>
          </cell>
          <cell r="F588" t="str">
            <v>女装-外套-软壳衣</v>
          </cell>
          <cell r="G588" t="str">
            <v>一品一商</v>
          </cell>
          <cell r="H588" t="str">
            <v>品牌直发</v>
          </cell>
          <cell r="I588">
            <v>0</v>
          </cell>
        </row>
        <row r="589">
          <cell r="D589">
            <v>12421552</v>
          </cell>
          <cell r="E589" t="str">
            <v>伯希和/PELLIOT</v>
          </cell>
          <cell r="F589" t="str">
            <v>女装-上衣-Polo衫</v>
          </cell>
          <cell r="G589" t="str">
            <v>一品一商</v>
          </cell>
          <cell r="H589" t="str">
            <v>品牌直发</v>
          </cell>
          <cell r="I589">
            <v>0</v>
          </cell>
        </row>
        <row r="590">
          <cell r="D590">
            <v>164334406</v>
          </cell>
          <cell r="E590" t="str">
            <v>伯希和/PELLIOT</v>
          </cell>
          <cell r="F590" t="str">
            <v>流行饰品/眼镜/服配-帽子-其他帽子</v>
          </cell>
          <cell r="G590" t="str">
            <v>一品一商</v>
          </cell>
          <cell r="H590" t="str">
            <v>品牌直发</v>
          </cell>
          <cell r="I590">
            <v>0</v>
          </cell>
        </row>
        <row r="591">
          <cell r="D591" t="str">
            <v>PE124301004</v>
          </cell>
          <cell r="E591" t="str">
            <v>伯希和/PELLIOT</v>
          </cell>
          <cell r="F591" t="str">
            <v>服装-外套-冲锋衣</v>
          </cell>
          <cell r="G591" t="str">
            <v>一品多商</v>
          </cell>
          <cell r="H591" t="str">
            <v>品牌直发</v>
          </cell>
          <cell r="I591">
            <v>0</v>
          </cell>
        </row>
        <row r="592">
          <cell r="D592" t="str">
            <v>PE124302082</v>
          </cell>
          <cell r="E592" t="str">
            <v>伯希和/PELLIOT</v>
          </cell>
          <cell r="F592" t="str">
            <v>女装-长裤-冲锋裤</v>
          </cell>
          <cell r="G592" t="str">
            <v>一品多商</v>
          </cell>
          <cell r="H592" t="str">
            <v>品牌直发</v>
          </cell>
          <cell r="I592">
            <v>0</v>
          </cell>
        </row>
        <row r="593">
          <cell r="D593" t="str">
            <v>PE114376127</v>
          </cell>
          <cell r="E593" t="str">
            <v>伯希和/PELLIOT</v>
          </cell>
          <cell r="F593" t="str">
            <v>服装-外套-马甲</v>
          </cell>
          <cell r="G593" t="str">
            <v>一品多商</v>
          </cell>
          <cell r="H593" t="str">
            <v>品牌直发</v>
          </cell>
          <cell r="I593">
            <v>0</v>
          </cell>
        </row>
        <row r="594">
          <cell r="D594">
            <v>124306148</v>
          </cell>
          <cell r="E594" t="str">
            <v>伯希和/PELLIOT</v>
          </cell>
          <cell r="F594" t="str">
            <v>女装-外套-软壳衣</v>
          </cell>
          <cell r="G594" t="str">
            <v>一品多商</v>
          </cell>
          <cell r="H594" t="str">
            <v>品牌直发</v>
          </cell>
          <cell r="I594">
            <v>0</v>
          </cell>
        </row>
        <row r="595">
          <cell r="D595" t="str">
            <v>PE124315382</v>
          </cell>
          <cell r="E595" t="str">
            <v>伯希和/PELLIOT</v>
          </cell>
          <cell r="F595" t="str">
            <v>女装-上衣-T恤</v>
          </cell>
          <cell r="G595" t="str">
            <v>一品一商</v>
          </cell>
          <cell r="H595" t="str">
            <v>品牌直发</v>
          </cell>
          <cell r="I595">
            <v>0</v>
          </cell>
        </row>
        <row r="596">
          <cell r="D596" t="str">
            <v>PE114301013</v>
          </cell>
          <cell r="E596" t="str">
            <v>伯希和/PELLIOT</v>
          </cell>
          <cell r="F596" t="str">
            <v>服装-外套-冲锋衣</v>
          </cell>
          <cell r="G596" t="str">
            <v>一品多商</v>
          </cell>
          <cell r="H596" t="str">
            <v>品牌直发</v>
          </cell>
          <cell r="I596">
            <v>0</v>
          </cell>
        </row>
        <row r="597">
          <cell r="D597" t="str">
            <v>PE114301011</v>
          </cell>
          <cell r="E597" t="str">
            <v>伯希和/PELLIOT</v>
          </cell>
          <cell r="F597" t="str">
            <v>服装-外套-冲锋衣</v>
          </cell>
          <cell r="G597" t="str">
            <v>一品多商</v>
          </cell>
          <cell r="H597" t="str">
            <v>品牌直发</v>
          </cell>
          <cell r="I597">
            <v>0</v>
          </cell>
        </row>
        <row r="598">
          <cell r="D598" t="str">
            <v>PE114351093</v>
          </cell>
          <cell r="E598" t="str">
            <v>伯希和/PELLIOT</v>
          </cell>
          <cell r="F598" t="str">
            <v>服装-外套-夹克</v>
          </cell>
          <cell r="G598" t="str">
            <v>一品多商</v>
          </cell>
          <cell r="H598" t="str">
            <v>品牌直发</v>
          </cell>
          <cell r="I598">
            <v>0</v>
          </cell>
        </row>
        <row r="599">
          <cell r="D599" t="str">
            <v>PE124319002</v>
          </cell>
          <cell r="E599" t="str">
            <v>伯希和/PELLIOT</v>
          </cell>
          <cell r="F599" t="str">
            <v>鞋-运动鞋-越野跑鞋</v>
          </cell>
          <cell r="G599" t="str">
            <v>一品多商</v>
          </cell>
          <cell r="H599" t="str">
            <v>品牌直发</v>
          </cell>
          <cell r="I599">
            <v>0</v>
          </cell>
        </row>
        <row r="600">
          <cell r="D600" t="str">
            <v>PE114306141</v>
          </cell>
          <cell r="E600" t="str">
            <v>伯希和/PELLIOT</v>
          </cell>
          <cell r="F600" t="str">
            <v>服装-外套-软壳衣</v>
          </cell>
          <cell r="G600" t="str">
            <v>一品一商</v>
          </cell>
          <cell r="H600" t="str">
            <v>品牌直发</v>
          </cell>
          <cell r="I600">
            <v>0</v>
          </cell>
        </row>
        <row r="601">
          <cell r="D601">
            <v>16402502</v>
          </cell>
          <cell r="E601" t="str">
            <v>伯希和/PELLIOT</v>
          </cell>
          <cell r="F601" t="str">
            <v>箱包-包袋-户外包</v>
          </cell>
          <cell r="G601" t="str">
            <v>一品一商</v>
          </cell>
          <cell r="H601" t="str">
            <v>品牌直发</v>
          </cell>
          <cell r="I601">
            <v>0</v>
          </cell>
        </row>
        <row r="602">
          <cell r="D602" t="str">
            <v>114419005女款</v>
          </cell>
          <cell r="E602" t="str">
            <v>伯希和/PELLIOT</v>
          </cell>
          <cell r="F602" t="str">
            <v>鞋-运动鞋-登山鞋/徒步鞋</v>
          </cell>
          <cell r="G602" t="str">
            <v>一品一商</v>
          </cell>
          <cell r="H602" t="str">
            <v>品牌直发</v>
          </cell>
          <cell r="I602">
            <v>0</v>
          </cell>
        </row>
        <row r="603">
          <cell r="D603" t="str">
            <v>114419005男款</v>
          </cell>
          <cell r="E603" t="str">
            <v>伯希和/PELLIOT</v>
          </cell>
          <cell r="F603" t="str">
            <v>鞋-运动鞋-登山鞋/徒步鞋</v>
          </cell>
          <cell r="G603" t="str">
            <v>一品一商</v>
          </cell>
          <cell r="H603" t="str">
            <v>品牌直发</v>
          </cell>
          <cell r="I603">
            <v>0</v>
          </cell>
        </row>
        <row r="604">
          <cell r="D604">
            <v>164035001</v>
          </cell>
          <cell r="E604" t="str">
            <v>伯希和/PELLIOT</v>
          </cell>
          <cell r="F604" t="str">
            <v>内衣-袜子-高筒袜</v>
          </cell>
          <cell r="G604" t="str">
            <v>一品一商</v>
          </cell>
          <cell r="H604" t="str">
            <v>品牌直发</v>
          </cell>
          <cell r="I604">
            <v>0</v>
          </cell>
        </row>
        <row r="605">
          <cell r="D605" t="str">
            <v>PE124314372</v>
          </cell>
          <cell r="E605" t="str">
            <v>伯希和/PELLIOT</v>
          </cell>
          <cell r="F605" t="str">
            <v>女装-户外运动服-速干裤</v>
          </cell>
          <cell r="G605" t="str">
            <v>一品一商</v>
          </cell>
          <cell r="H605" t="str">
            <v>品牌直发</v>
          </cell>
          <cell r="I605">
            <v>0</v>
          </cell>
        </row>
        <row r="606">
          <cell r="D606" t="str">
            <v>PE12410202</v>
          </cell>
          <cell r="E606" t="str">
            <v>伯希和/PELLIOT</v>
          </cell>
          <cell r="F606" t="str">
            <v>女装-长裤-冲锋裤</v>
          </cell>
          <cell r="G606" t="str">
            <v>一品多商</v>
          </cell>
          <cell r="H606" t="str">
            <v>品牌直发</v>
          </cell>
          <cell r="I606">
            <v>0</v>
          </cell>
        </row>
        <row r="607">
          <cell r="D607">
            <v>124351094</v>
          </cell>
          <cell r="E607" t="str">
            <v>伯希和/PELLIOT</v>
          </cell>
          <cell r="F607" t="str">
            <v>女装-外套-夹克</v>
          </cell>
          <cell r="G607" t="str">
            <v>一品一商</v>
          </cell>
          <cell r="H607" t="str">
            <v>品牌直发</v>
          </cell>
          <cell r="I607">
            <v>0</v>
          </cell>
        </row>
        <row r="608">
          <cell r="D608" t="str">
            <v>ys124101048</v>
          </cell>
          <cell r="E608" t="str">
            <v>伯希和/PELLIOT</v>
          </cell>
          <cell r="F608" t="str">
            <v>服装-外套-冲锋衣</v>
          </cell>
          <cell r="G608" t="str">
            <v>一品多商</v>
          </cell>
          <cell r="H608" t="str">
            <v>品牌直发</v>
          </cell>
          <cell r="I608">
            <v>0</v>
          </cell>
        </row>
        <row r="609">
          <cell r="D609">
            <v>114314375</v>
          </cell>
          <cell r="E609" t="str">
            <v>伯希和/PELLIOT</v>
          </cell>
          <cell r="F609" t="str">
            <v>服装-户外运动服-速干裤</v>
          </cell>
          <cell r="G609" t="str">
            <v>一品多商</v>
          </cell>
          <cell r="H609" t="str">
            <v>品牌直发</v>
          </cell>
          <cell r="I609">
            <v>0</v>
          </cell>
        </row>
        <row r="610">
          <cell r="D610">
            <v>16402511</v>
          </cell>
          <cell r="E610" t="str">
            <v>伯希和/PELLIOT</v>
          </cell>
          <cell r="F610" t="str">
            <v>箱包-包袋-户外包</v>
          </cell>
          <cell r="G610" t="str">
            <v>一品多商</v>
          </cell>
          <cell r="H610" t="str">
            <v>品牌直发</v>
          </cell>
          <cell r="I610">
            <v>0</v>
          </cell>
        </row>
        <row r="611">
          <cell r="D611">
            <v>164334405</v>
          </cell>
          <cell r="E611" t="str">
            <v>伯希和/PELLIOT</v>
          </cell>
          <cell r="F611" t="str">
            <v>流行饰品/眼镜/服配-帽子-绒线帽</v>
          </cell>
          <cell r="G611" t="str">
            <v>一品一商</v>
          </cell>
          <cell r="H611" t="str">
            <v>品牌直发</v>
          </cell>
          <cell r="I611">
            <v>0</v>
          </cell>
        </row>
        <row r="612">
          <cell r="D612">
            <v>124310190</v>
          </cell>
          <cell r="E612" t="str">
            <v>伯希和/PELLIOT</v>
          </cell>
          <cell r="F612" t="str">
            <v>女装-户外运动服-抓绒衣</v>
          </cell>
          <cell r="G612" t="str">
            <v>一品一商</v>
          </cell>
          <cell r="H612" t="str">
            <v>品牌直发</v>
          </cell>
          <cell r="I612">
            <v>0</v>
          </cell>
        </row>
        <row r="613">
          <cell r="D613">
            <v>124307168</v>
          </cell>
          <cell r="E613" t="str">
            <v>伯希和/PELLIOT</v>
          </cell>
          <cell r="F613" t="str">
            <v>女装-长裤-软壳裤</v>
          </cell>
          <cell r="G613" t="str">
            <v>一品一商</v>
          </cell>
          <cell r="H613" t="str">
            <v>品牌直发</v>
          </cell>
          <cell r="I613">
            <v>0</v>
          </cell>
        </row>
        <row r="614">
          <cell r="D614">
            <v>124351092</v>
          </cell>
          <cell r="E614" t="str">
            <v>伯希和/PELLIOT</v>
          </cell>
          <cell r="F614" t="str">
            <v>女装-外套-软壳衣</v>
          </cell>
          <cell r="G614" t="str">
            <v>一品多商</v>
          </cell>
          <cell r="H614" t="str">
            <v>品牌直发</v>
          </cell>
          <cell r="I614">
            <v>0</v>
          </cell>
        </row>
        <row r="615">
          <cell r="D615">
            <v>114301039</v>
          </cell>
          <cell r="E615" t="str">
            <v>伯希和/PELLIOT</v>
          </cell>
          <cell r="F615" t="str">
            <v>服装-外套-冲锋衣</v>
          </cell>
          <cell r="G615" t="str">
            <v>一品一商</v>
          </cell>
          <cell r="H615" t="str">
            <v>品牌直发</v>
          </cell>
          <cell r="I615">
            <v>0</v>
          </cell>
        </row>
        <row r="616">
          <cell r="D616">
            <v>124314374</v>
          </cell>
          <cell r="E616" t="str">
            <v>伯希和/PELLIOT</v>
          </cell>
          <cell r="F616" t="str">
            <v>女装-长裤-软壳裤</v>
          </cell>
          <cell r="G616" t="str">
            <v>一品一商</v>
          </cell>
          <cell r="H616" t="str">
            <v>品牌直发</v>
          </cell>
          <cell r="I616">
            <v>0</v>
          </cell>
        </row>
        <row r="617">
          <cell r="D617" t="str">
            <v>PE124301012</v>
          </cell>
          <cell r="E617" t="str">
            <v>伯希和/PELLIOT</v>
          </cell>
          <cell r="F617" t="str">
            <v>女装-外套-冲锋衣</v>
          </cell>
          <cell r="G617" t="str">
            <v>一品一商</v>
          </cell>
          <cell r="H617" t="str">
            <v>品牌直发</v>
          </cell>
          <cell r="I617">
            <v>0</v>
          </cell>
        </row>
        <row r="618">
          <cell r="D618" t="str">
            <v>PE124301014</v>
          </cell>
          <cell r="E618" t="str">
            <v>伯希和/PELLIOT</v>
          </cell>
          <cell r="F618" t="str">
            <v>女装-外套-冲锋衣</v>
          </cell>
          <cell r="G618" t="str">
            <v>一品多商</v>
          </cell>
          <cell r="H618" t="str">
            <v>品牌直发</v>
          </cell>
          <cell r="I618">
            <v>0</v>
          </cell>
        </row>
        <row r="619">
          <cell r="D619">
            <v>134334002</v>
          </cell>
          <cell r="E619" t="str">
            <v>伯希和/PELLIOT</v>
          </cell>
          <cell r="F619" t="str">
            <v>流行饰品/眼镜/服配-帽子-雷锋帽</v>
          </cell>
          <cell r="G619" t="str">
            <v>一品一商</v>
          </cell>
          <cell r="H619" t="str">
            <v>品牌直发</v>
          </cell>
          <cell r="I619">
            <v>0</v>
          </cell>
        </row>
        <row r="620">
          <cell r="D620">
            <v>116243501</v>
          </cell>
          <cell r="E620" t="str">
            <v>伯希和/PELLIOT</v>
          </cell>
          <cell r="F620" t="str">
            <v>内衣-袜子-中筒袜</v>
          </cell>
          <cell r="G620" t="str">
            <v>一品一商</v>
          </cell>
          <cell r="H620" t="str">
            <v>品牌直发</v>
          </cell>
          <cell r="I620">
            <v>0</v>
          </cell>
        </row>
        <row r="621">
          <cell r="D621">
            <v>164025003</v>
          </cell>
          <cell r="E621" t="str">
            <v>伯希和/PELLIOT</v>
          </cell>
          <cell r="F621" t="str">
            <v>箱包-包袋-户外包</v>
          </cell>
          <cell r="G621" t="str">
            <v>一品一商</v>
          </cell>
          <cell r="H621" t="str">
            <v>品牌直发</v>
          </cell>
          <cell r="I621">
            <v>0</v>
          </cell>
        </row>
        <row r="622">
          <cell r="D622">
            <v>164334402</v>
          </cell>
          <cell r="E622" t="str">
            <v>伯希和/PELLIOT</v>
          </cell>
          <cell r="F622" t="str">
            <v>流行饰品/眼镜/服配-帽子-绒线帽</v>
          </cell>
          <cell r="G622" t="str">
            <v>一品一商</v>
          </cell>
          <cell r="H622" t="str">
            <v>品牌直发</v>
          </cell>
          <cell r="I622">
            <v>0</v>
          </cell>
        </row>
        <row r="623">
          <cell r="D623">
            <v>114314371</v>
          </cell>
          <cell r="E623" t="str">
            <v>伯希和/PELLIOT</v>
          </cell>
          <cell r="F623" t="str">
            <v>服装-户外运动服-速干裤</v>
          </cell>
          <cell r="G623" t="str">
            <v>一品一商</v>
          </cell>
          <cell r="H623" t="str">
            <v>品牌直发</v>
          </cell>
          <cell r="I623">
            <v>0</v>
          </cell>
        </row>
        <row r="624">
          <cell r="D624">
            <v>114314373</v>
          </cell>
          <cell r="E624" t="str">
            <v>伯希和/PELLIOT</v>
          </cell>
          <cell r="F624" t="str">
            <v>服装-户外运动服-速干裤</v>
          </cell>
          <cell r="G624" t="str">
            <v>一品一商</v>
          </cell>
          <cell r="H624" t="str">
            <v>品牌直发</v>
          </cell>
          <cell r="I624">
            <v>0</v>
          </cell>
        </row>
        <row r="625">
          <cell r="D625">
            <v>124307166</v>
          </cell>
          <cell r="E625" t="str">
            <v>伯希和/PELLIOT</v>
          </cell>
          <cell r="F625" t="str">
            <v>女装-长裤-软壳裤</v>
          </cell>
          <cell r="G625" t="str">
            <v>一品多商</v>
          </cell>
          <cell r="H625" t="str">
            <v>品牌直发</v>
          </cell>
          <cell r="I625">
            <v>0</v>
          </cell>
        </row>
        <row r="626">
          <cell r="D626">
            <v>114310203</v>
          </cell>
          <cell r="E626" t="str">
            <v>伯希和/PELLIOT</v>
          </cell>
          <cell r="F626" t="str">
            <v>服装-户外运动服-抓绒衣</v>
          </cell>
          <cell r="G626" t="str">
            <v>一品多商</v>
          </cell>
          <cell r="H626" t="str">
            <v>品牌直发</v>
          </cell>
          <cell r="I626">
            <v>0</v>
          </cell>
        </row>
        <row r="627">
          <cell r="D627">
            <v>114306143</v>
          </cell>
          <cell r="E627" t="str">
            <v>伯希和/PELLIOT</v>
          </cell>
          <cell r="F627" t="str">
            <v>服装-外套-软壳衣</v>
          </cell>
          <cell r="G627" t="str">
            <v>一品一商</v>
          </cell>
          <cell r="H627" t="str">
            <v>品牌直发</v>
          </cell>
          <cell r="I627">
            <v>0</v>
          </cell>
        </row>
        <row r="628">
          <cell r="D628">
            <v>114302083</v>
          </cell>
          <cell r="E628" t="str">
            <v>伯希和/PELLIOT</v>
          </cell>
          <cell r="F628" t="str">
            <v>服装-长裤-冲锋裤</v>
          </cell>
          <cell r="G628" t="str">
            <v>一品多商</v>
          </cell>
          <cell r="H628" t="str">
            <v>品牌直发</v>
          </cell>
          <cell r="I628">
            <v>0</v>
          </cell>
        </row>
        <row r="629">
          <cell r="D629">
            <v>114307165</v>
          </cell>
          <cell r="E629" t="str">
            <v>伯希和/PELLIOT</v>
          </cell>
          <cell r="F629" t="str">
            <v>服装-长裤-软壳裤</v>
          </cell>
          <cell r="G629" t="str">
            <v>一品一商</v>
          </cell>
          <cell r="H629" t="str">
            <v>品牌直发</v>
          </cell>
          <cell r="I629">
            <v>0</v>
          </cell>
        </row>
        <row r="630">
          <cell r="D630">
            <v>114307163</v>
          </cell>
          <cell r="E630" t="str">
            <v>伯希和/PELLIOT</v>
          </cell>
          <cell r="F630" t="str">
            <v>服装-长裤-软壳裤</v>
          </cell>
          <cell r="G630" t="str">
            <v>一品多商</v>
          </cell>
          <cell r="H630" t="str">
            <v>品牌直发</v>
          </cell>
          <cell r="I630">
            <v>0</v>
          </cell>
        </row>
        <row r="631">
          <cell r="D631">
            <v>124307164</v>
          </cell>
          <cell r="E631" t="str">
            <v>伯希和/PELLIOT</v>
          </cell>
          <cell r="F631" t="str">
            <v>女装-长裤-软壳裤</v>
          </cell>
          <cell r="G631" t="str">
            <v>一品一商</v>
          </cell>
          <cell r="H631" t="str">
            <v>品牌直发</v>
          </cell>
          <cell r="I631">
            <v>0</v>
          </cell>
        </row>
        <row r="632">
          <cell r="D632">
            <v>114311231</v>
          </cell>
          <cell r="E632" t="str">
            <v>伯希和/PELLIOT</v>
          </cell>
          <cell r="F632" t="str">
            <v>服装-长裤-休闲裤</v>
          </cell>
          <cell r="G632" t="str">
            <v>一品一商</v>
          </cell>
          <cell r="H632" t="str">
            <v>品牌直发</v>
          </cell>
          <cell r="I632">
            <v>0</v>
          </cell>
        </row>
        <row r="633">
          <cell r="D633">
            <v>16843502</v>
          </cell>
          <cell r="E633" t="str">
            <v>伯希和/PELLIOT</v>
          </cell>
          <cell r="F633" t="str">
            <v>内衣-袜子-中筒袜</v>
          </cell>
          <cell r="G633" t="str">
            <v>一品一商</v>
          </cell>
          <cell r="H633" t="str">
            <v>品牌直发</v>
          </cell>
          <cell r="I633">
            <v>0</v>
          </cell>
        </row>
        <row r="634">
          <cell r="D634">
            <v>12421414</v>
          </cell>
          <cell r="E634" t="str">
            <v>伯希和/PELLIOT</v>
          </cell>
          <cell r="F634" t="str">
            <v>女装-户外运动服-速干裤</v>
          </cell>
          <cell r="G634" t="str">
            <v>一品多商</v>
          </cell>
          <cell r="H634" t="str">
            <v>品牌直发</v>
          </cell>
          <cell r="I634">
            <v>0</v>
          </cell>
        </row>
        <row r="635">
          <cell r="D635">
            <v>12421512</v>
          </cell>
          <cell r="E635" t="str">
            <v>伯希和/PELLIOT</v>
          </cell>
          <cell r="F635" t="str">
            <v>女装-户外运动服-速干T恤</v>
          </cell>
          <cell r="G635" t="str">
            <v>一品一商</v>
          </cell>
          <cell r="H635" t="str">
            <v>品牌直发</v>
          </cell>
          <cell r="I635">
            <v>0</v>
          </cell>
        </row>
        <row r="636">
          <cell r="D636">
            <v>12421510</v>
          </cell>
          <cell r="E636" t="str">
            <v>伯希和/PELLIOT</v>
          </cell>
          <cell r="F636" t="str">
            <v>女装-上衣-T恤</v>
          </cell>
          <cell r="G636" t="str">
            <v>一品一商</v>
          </cell>
          <cell r="H636" t="str">
            <v>品牌直发</v>
          </cell>
          <cell r="I636">
            <v>0</v>
          </cell>
        </row>
        <row r="637">
          <cell r="D637">
            <v>124311232</v>
          </cell>
          <cell r="E637" t="str">
            <v>伯希和/PELLIOT</v>
          </cell>
          <cell r="F637" t="str">
            <v>女装-户外运动服-抓绒裤</v>
          </cell>
          <cell r="G637" t="str">
            <v>一品一商</v>
          </cell>
          <cell r="H637" t="str">
            <v>品牌直发</v>
          </cell>
          <cell r="I637">
            <v>0</v>
          </cell>
        </row>
        <row r="638">
          <cell r="D638">
            <v>16402506</v>
          </cell>
          <cell r="E638" t="str">
            <v>伯希和/PELLIOT</v>
          </cell>
          <cell r="F638" t="str">
            <v>箱包-包袋-户外包</v>
          </cell>
          <cell r="G638" t="str">
            <v>一品多商</v>
          </cell>
          <cell r="H638" t="str">
            <v>品牌直发</v>
          </cell>
          <cell r="I638">
            <v>0</v>
          </cell>
        </row>
        <row r="639">
          <cell r="D639" t="str">
            <v>PE13415145</v>
          </cell>
          <cell r="E639" t="str">
            <v>伯希和/PELLIOT</v>
          </cell>
          <cell r="F639" t="str">
            <v>童装-儿童上装-其他上装</v>
          </cell>
          <cell r="G639" t="str">
            <v>一品一商</v>
          </cell>
          <cell r="H639" t="str">
            <v>品牌直发</v>
          </cell>
          <cell r="I639">
            <v>0</v>
          </cell>
        </row>
        <row r="640">
          <cell r="D640" t="str">
            <v>PE13421430</v>
          </cell>
          <cell r="E640" t="str">
            <v>伯希和/PELLIOT</v>
          </cell>
          <cell r="F640" t="str">
            <v>童装-儿童下装-卫裤</v>
          </cell>
          <cell r="G640" t="str">
            <v>一品一商</v>
          </cell>
          <cell r="H640" t="str">
            <v>品牌直发</v>
          </cell>
          <cell r="I640">
            <v>0</v>
          </cell>
        </row>
        <row r="641">
          <cell r="D641" t="str">
            <v>PE13421431</v>
          </cell>
          <cell r="E641" t="str">
            <v>伯希和/PELLIOT</v>
          </cell>
          <cell r="F641" t="str">
            <v>童装-儿童下装-短裤</v>
          </cell>
          <cell r="G641" t="str">
            <v>一品一商</v>
          </cell>
          <cell r="H641" t="str">
            <v>品牌直发</v>
          </cell>
          <cell r="I641">
            <v>0</v>
          </cell>
        </row>
        <row r="642">
          <cell r="D642">
            <v>13421235</v>
          </cell>
          <cell r="E642" t="str">
            <v>伯希和/PELLIOT</v>
          </cell>
          <cell r="F642" t="str">
            <v>童装-儿童上装-防晒衣</v>
          </cell>
          <cell r="G642" t="str">
            <v>一品一商</v>
          </cell>
          <cell r="H642" t="str">
            <v>品牌直发</v>
          </cell>
          <cell r="I642">
            <v>0</v>
          </cell>
        </row>
        <row r="643">
          <cell r="D643">
            <v>164026422</v>
          </cell>
          <cell r="E643" t="str">
            <v>伯希和/PELLIOT</v>
          </cell>
          <cell r="F643" t="str">
            <v>箱包-包袋-户外包</v>
          </cell>
          <cell r="G643" t="str">
            <v>一品一商</v>
          </cell>
          <cell r="H643" t="str">
            <v>品牌直发</v>
          </cell>
          <cell r="I643">
            <v>0</v>
          </cell>
        </row>
        <row r="644">
          <cell r="D644">
            <v>124222002</v>
          </cell>
          <cell r="E644" t="str">
            <v>伯希和/PELLIOT</v>
          </cell>
          <cell r="F644" t="str">
            <v>鞋-运动鞋-登山鞋/徒步鞋</v>
          </cell>
          <cell r="G644" t="str">
            <v>一品一商</v>
          </cell>
          <cell r="H644" t="str">
            <v>品牌直发</v>
          </cell>
          <cell r="I644">
            <v>0</v>
          </cell>
        </row>
        <row r="645">
          <cell r="D645">
            <v>13421546</v>
          </cell>
          <cell r="E645" t="str">
            <v>伯希和/PELLIOT</v>
          </cell>
          <cell r="F645" t="str">
            <v>童装-儿童上装-T恤</v>
          </cell>
          <cell r="G645" t="str">
            <v>一品一商</v>
          </cell>
          <cell r="H645" t="str">
            <v>品牌直发</v>
          </cell>
          <cell r="I645">
            <v>0</v>
          </cell>
        </row>
        <row r="646">
          <cell r="D646">
            <v>164026416</v>
          </cell>
          <cell r="E646" t="str">
            <v>伯希和/PELLIOT</v>
          </cell>
          <cell r="F646" t="str">
            <v>箱包-包袋-户外包</v>
          </cell>
          <cell r="G646" t="str">
            <v>一品一商</v>
          </cell>
          <cell r="H646" t="str">
            <v>品牌直发</v>
          </cell>
          <cell r="I646">
            <v>0</v>
          </cell>
        </row>
        <row r="647">
          <cell r="D647">
            <v>124301032</v>
          </cell>
          <cell r="E647" t="str">
            <v>伯希和/PELLIOT</v>
          </cell>
          <cell r="F647" t="str">
            <v>女装-外套-冲锋衣</v>
          </cell>
          <cell r="G647" t="str">
            <v>一品多商</v>
          </cell>
          <cell r="H647" t="str">
            <v>品牌直发</v>
          </cell>
          <cell r="I647">
            <v>0</v>
          </cell>
        </row>
        <row r="648">
          <cell r="D648">
            <v>124301034</v>
          </cell>
          <cell r="E648" t="str">
            <v>伯希和/PELLIOT</v>
          </cell>
          <cell r="F648" t="str">
            <v>女装-外套-冲锋衣</v>
          </cell>
          <cell r="G648" t="str">
            <v>一品一商</v>
          </cell>
          <cell r="H648" t="str">
            <v>品牌直发</v>
          </cell>
          <cell r="I648">
            <v>0</v>
          </cell>
        </row>
        <row r="649">
          <cell r="D649">
            <v>124301030</v>
          </cell>
          <cell r="E649" t="str">
            <v>伯希和/PELLIOT</v>
          </cell>
          <cell r="F649" t="str">
            <v>女装-外套-冲锋衣</v>
          </cell>
          <cell r="G649" t="str">
            <v>一品多商</v>
          </cell>
          <cell r="H649" t="str">
            <v>品牌直发</v>
          </cell>
          <cell r="I649">
            <v>0</v>
          </cell>
        </row>
        <row r="650">
          <cell r="D650" t="str">
            <v>PE124101060</v>
          </cell>
          <cell r="E650" t="str">
            <v>伯希和/PELLIOT</v>
          </cell>
          <cell r="F650" t="str">
            <v>女装-外套-冲锋衣</v>
          </cell>
          <cell r="G650" t="str">
            <v>一品一商</v>
          </cell>
          <cell r="H650" t="str">
            <v>品牌直发</v>
          </cell>
          <cell r="I650">
            <v>0</v>
          </cell>
        </row>
        <row r="651">
          <cell r="D651">
            <v>114101059</v>
          </cell>
          <cell r="E651" t="str">
            <v>伯希和/PELLIOT</v>
          </cell>
          <cell r="F651" t="str">
            <v>服装-外套-冲锋衣</v>
          </cell>
          <cell r="G651" t="str">
            <v>一品一商</v>
          </cell>
          <cell r="H651" t="str">
            <v>品牌直发</v>
          </cell>
          <cell r="I651">
            <v>0</v>
          </cell>
        </row>
        <row r="652">
          <cell r="D652">
            <v>112321516</v>
          </cell>
          <cell r="E652" t="str">
            <v>伯希和/PELLIOT</v>
          </cell>
          <cell r="F652" t="str">
            <v>女装-上衣-Polo衫</v>
          </cell>
          <cell r="G652" t="str">
            <v>一品一商</v>
          </cell>
          <cell r="H652" t="str">
            <v>品牌直发</v>
          </cell>
          <cell r="I652">
            <v>0</v>
          </cell>
        </row>
        <row r="653">
          <cell r="D653">
            <v>113240815</v>
          </cell>
          <cell r="E653" t="str">
            <v>伯希和/PELLIOT</v>
          </cell>
          <cell r="F653" t="str">
            <v>童装-儿童上装-羽绒服</v>
          </cell>
          <cell r="G653" t="str">
            <v>一品一商</v>
          </cell>
          <cell r="H653" t="str">
            <v>品牌直发</v>
          </cell>
          <cell r="I653">
            <v>0</v>
          </cell>
        </row>
        <row r="654">
          <cell r="D654">
            <v>114301087</v>
          </cell>
          <cell r="E654" t="str">
            <v>伯希和/PELLIOT</v>
          </cell>
          <cell r="F654" t="str">
            <v>服装-外套-冲锋衣</v>
          </cell>
          <cell r="G654" t="str">
            <v>一品多商</v>
          </cell>
          <cell r="H654" t="str">
            <v>品牌直发</v>
          </cell>
          <cell r="I654">
            <v>0</v>
          </cell>
        </row>
        <row r="655">
          <cell r="D655">
            <v>124301038</v>
          </cell>
          <cell r="E655" t="str">
            <v>伯希和/PELLIOT</v>
          </cell>
          <cell r="F655" t="str">
            <v>女装-外套-冲锋衣</v>
          </cell>
          <cell r="G655" t="str">
            <v>一品多商</v>
          </cell>
          <cell r="H655" t="str">
            <v>品牌直发</v>
          </cell>
          <cell r="I655">
            <v>0</v>
          </cell>
        </row>
        <row r="656">
          <cell r="D656">
            <v>111040303</v>
          </cell>
          <cell r="E656" t="str">
            <v>伯希和/PELLIOT</v>
          </cell>
          <cell r="F656" t="str">
            <v>服装-户外运动服-登山服</v>
          </cell>
          <cell r="G656" t="str">
            <v>一品一商</v>
          </cell>
          <cell r="H656" t="str">
            <v>品牌直发</v>
          </cell>
          <cell r="I656">
            <v>0</v>
          </cell>
        </row>
        <row r="657">
          <cell r="D657">
            <v>112340158</v>
          </cell>
          <cell r="E657" t="str">
            <v>伯希和/PELLIOT</v>
          </cell>
          <cell r="F657" t="str">
            <v>女装-外套-冲锋衣</v>
          </cell>
          <cell r="G657" t="str">
            <v>一品一商</v>
          </cell>
          <cell r="H657" t="str">
            <v>品牌直发</v>
          </cell>
          <cell r="I657">
            <v>0</v>
          </cell>
        </row>
        <row r="658">
          <cell r="D658">
            <v>16702609</v>
          </cell>
          <cell r="E658" t="str">
            <v>伯希和/PELLIOT</v>
          </cell>
          <cell r="F658" t="str">
            <v>箱包-包袋-手机包</v>
          </cell>
          <cell r="G658" t="str">
            <v>一品一商</v>
          </cell>
          <cell r="H658" t="str">
            <v>品牌直发</v>
          </cell>
          <cell r="I658">
            <v>0</v>
          </cell>
        </row>
        <row r="659">
          <cell r="D659">
            <v>16702618</v>
          </cell>
          <cell r="E659" t="str">
            <v>伯希和/PELLIOT</v>
          </cell>
          <cell r="F659" t="str">
            <v>箱包-包袋-出行收纳包</v>
          </cell>
          <cell r="G659" t="str">
            <v>一品一商</v>
          </cell>
          <cell r="H659" t="str">
            <v>品牌直发</v>
          </cell>
          <cell r="I659">
            <v>0</v>
          </cell>
        </row>
        <row r="660">
          <cell r="D660">
            <v>113140132</v>
          </cell>
          <cell r="E660" t="str">
            <v>伯希和/PELLIOT</v>
          </cell>
          <cell r="F660" t="str">
            <v>童装-儿童上装-冲锋衣</v>
          </cell>
          <cell r="G660" t="str">
            <v>一品一商</v>
          </cell>
          <cell r="H660" t="str">
            <v>品牌直发</v>
          </cell>
          <cell r="I660">
            <v>0</v>
          </cell>
        </row>
        <row r="661">
          <cell r="D661">
            <v>114301029</v>
          </cell>
          <cell r="E661" t="str">
            <v>伯希和/PELLIOT</v>
          </cell>
          <cell r="F661" t="str">
            <v>服装-外套-冲锋衣</v>
          </cell>
          <cell r="G661" t="str">
            <v>一品多商</v>
          </cell>
          <cell r="H661" t="str">
            <v>品牌直发</v>
          </cell>
          <cell r="I661">
            <v>0</v>
          </cell>
        </row>
        <row r="662">
          <cell r="D662">
            <v>124301002</v>
          </cell>
          <cell r="E662" t="str">
            <v>伯希和/PELLIOT</v>
          </cell>
          <cell r="F662" t="str">
            <v>女装-外套-冲锋衣</v>
          </cell>
          <cell r="G662" t="str">
            <v>一品多商</v>
          </cell>
          <cell r="H662" t="str">
            <v>品牌直发</v>
          </cell>
          <cell r="I662">
            <v>0</v>
          </cell>
        </row>
        <row r="663">
          <cell r="D663">
            <v>114301001</v>
          </cell>
          <cell r="E663" t="str">
            <v>伯希和/PELLIOT</v>
          </cell>
          <cell r="F663" t="str">
            <v>服装-外套-冲锋衣</v>
          </cell>
          <cell r="G663" t="str">
            <v>一品多商</v>
          </cell>
          <cell r="H663" t="str">
            <v>品牌直发</v>
          </cell>
          <cell r="I663">
            <v>0</v>
          </cell>
        </row>
        <row r="664">
          <cell r="D664">
            <v>124301024</v>
          </cell>
          <cell r="E664" t="str">
            <v>伯希和/PELLIOT</v>
          </cell>
          <cell r="F664" t="str">
            <v>女装-外套-冲锋衣</v>
          </cell>
          <cell r="G664" t="str">
            <v>一品多商</v>
          </cell>
          <cell r="H664" t="str">
            <v>品牌直发</v>
          </cell>
          <cell r="I664">
            <v>0</v>
          </cell>
        </row>
        <row r="665">
          <cell r="D665">
            <v>114301023</v>
          </cell>
          <cell r="E665" t="str">
            <v>伯希和/PELLIOT</v>
          </cell>
          <cell r="F665" t="str">
            <v>服装-外套-冲锋衣</v>
          </cell>
          <cell r="G665" t="str">
            <v>一品多商</v>
          </cell>
          <cell r="H665" t="str">
            <v>品牌直发</v>
          </cell>
          <cell r="I665">
            <v>0</v>
          </cell>
        </row>
        <row r="666">
          <cell r="D666">
            <v>112331010</v>
          </cell>
          <cell r="E666" t="str">
            <v>伯希和/PELLIOT</v>
          </cell>
          <cell r="F666" t="str">
            <v>女装-户外运动服-抓绒衣</v>
          </cell>
          <cell r="G666" t="str">
            <v>一品一商</v>
          </cell>
          <cell r="H666" t="str">
            <v>品牌直发</v>
          </cell>
          <cell r="I666">
            <v>0</v>
          </cell>
        </row>
        <row r="667">
          <cell r="D667">
            <v>111331805</v>
          </cell>
          <cell r="E667" t="str">
            <v>伯希和/PELLIOT</v>
          </cell>
          <cell r="F667" t="str">
            <v>内衣-内衣裤-保暖套装</v>
          </cell>
          <cell r="G667" t="str">
            <v>一品一商</v>
          </cell>
          <cell r="H667" t="str">
            <v>品牌直发</v>
          </cell>
          <cell r="I667">
            <v>0</v>
          </cell>
        </row>
        <row r="668">
          <cell r="D668">
            <v>112331026</v>
          </cell>
          <cell r="E668" t="str">
            <v>伯希和/PELLIOT</v>
          </cell>
          <cell r="F668" t="str">
            <v>女装-户外运动服-抓绒衣</v>
          </cell>
          <cell r="G668" t="str">
            <v>一品一商</v>
          </cell>
          <cell r="H668" t="str">
            <v>品牌直发</v>
          </cell>
          <cell r="I668">
            <v>0</v>
          </cell>
        </row>
        <row r="669">
          <cell r="D669">
            <v>111421301</v>
          </cell>
          <cell r="E669" t="str">
            <v>伯希和/PELLIOT</v>
          </cell>
          <cell r="F669" t="str">
            <v>服装-上衣-衬衫</v>
          </cell>
          <cell r="G669" t="str">
            <v>一品一商</v>
          </cell>
          <cell r="H669" t="str">
            <v>品牌直发</v>
          </cell>
          <cell r="I669">
            <v>0</v>
          </cell>
        </row>
        <row r="670">
          <cell r="D670">
            <v>12415104</v>
          </cell>
          <cell r="E670" t="str">
            <v>伯希和/PELLIOT</v>
          </cell>
          <cell r="F670" t="str">
            <v>女装-外套-软壳衣</v>
          </cell>
          <cell r="G670" t="str">
            <v>一品一商</v>
          </cell>
          <cell r="H670" t="str">
            <v>品牌直发</v>
          </cell>
          <cell r="I670">
            <v>0</v>
          </cell>
        </row>
        <row r="671">
          <cell r="D671">
            <v>11415103</v>
          </cell>
          <cell r="E671" t="str">
            <v>伯希和/PELLIOT</v>
          </cell>
          <cell r="F671" t="str">
            <v>服装-户外运动服-风壳</v>
          </cell>
          <cell r="G671" t="str">
            <v>一品多商</v>
          </cell>
          <cell r="H671" t="str">
            <v>品牌直发</v>
          </cell>
          <cell r="I671">
            <v>0</v>
          </cell>
        </row>
        <row r="672">
          <cell r="D672">
            <v>12421216</v>
          </cell>
          <cell r="E672" t="str">
            <v>伯希和/PELLIOT</v>
          </cell>
          <cell r="F672" t="str">
            <v>女装-外套-防晒服</v>
          </cell>
          <cell r="G672" t="str">
            <v>一品多商</v>
          </cell>
          <cell r="H672" t="str">
            <v>品牌直发</v>
          </cell>
          <cell r="I672">
            <v>0</v>
          </cell>
        </row>
        <row r="673">
          <cell r="D673">
            <v>12421428</v>
          </cell>
          <cell r="E673" t="str">
            <v>伯希和/PELLIOT</v>
          </cell>
          <cell r="F673" t="str">
            <v>服装-长裤-工装裤</v>
          </cell>
          <cell r="G673" t="str">
            <v>一品一商</v>
          </cell>
          <cell r="H673" t="str">
            <v>品牌直发</v>
          </cell>
          <cell r="I673">
            <v>0</v>
          </cell>
        </row>
        <row r="674">
          <cell r="D674">
            <v>11421419</v>
          </cell>
          <cell r="E674" t="str">
            <v>伯希和/PELLIOT</v>
          </cell>
          <cell r="F674" t="str">
            <v>服装-健身服-运动短裤</v>
          </cell>
          <cell r="G674" t="str">
            <v>一品一商</v>
          </cell>
          <cell r="H674" t="str">
            <v>品牌直发</v>
          </cell>
          <cell r="I674">
            <v>0</v>
          </cell>
        </row>
        <row r="675">
          <cell r="D675">
            <v>11421301</v>
          </cell>
          <cell r="E675" t="str">
            <v>伯希和/PELLIOT</v>
          </cell>
          <cell r="F675" t="str">
            <v>服装-上衣-衬衫</v>
          </cell>
          <cell r="G675" t="str">
            <v>一品一商</v>
          </cell>
          <cell r="H675" t="str">
            <v>品牌直发</v>
          </cell>
          <cell r="I675">
            <v>0</v>
          </cell>
        </row>
        <row r="676">
          <cell r="D676">
            <v>16402504</v>
          </cell>
          <cell r="E676" t="str">
            <v>伯希和/PELLIOT</v>
          </cell>
          <cell r="F676" t="str">
            <v>箱包-包袋-户外包</v>
          </cell>
          <cell r="G676" t="str">
            <v>一品一商</v>
          </cell>
          <cell r="H676" t="str">
            <v>品牌直发</v>
          </cell>
          <cell r="I676">
            <v>0</v>
          </cell>
        </row>
        <row r="677">
          <cell r="D677">
            <v>16402501</v>
          </cell>
          <cell r="E677" t="str">
            <v>伯希和/PELLIOT</v>
          </cell>
          <cell r="F677" t="str">
            <v>箱包-包袋-户外包</v>
          </cell>
          <cell r="G677" t="str">
            <v>一品一商</v>
          </cell>
          <cell r="H677" t="str">
            <v>品牌直发</v>
          </cell>
          <cell r="I677">
            <v>0</v>
          </cell>
        </row>
        <row r="678">
          <cell r="D678">
            <v>16402608</v>
          </cell>
          <cell r="E678" t="str">
            <v>伯希和/PELLIOT</v>
          </cell>
          <cell r="F678" t="str">
            <v>箱包-包袋-手拿包</v>
          </cell>
          <cell r="G678" t="str">
            <v>一品一商</v>
          </cell>
          <cell r="H678" t="str">
            <v>品牌直发</v>
          </cell>
          <cell r="I678">
            <v>0</v>
          </cell>
        </row>
        <row r="679">
          <cell r="D679">
            <v>12111901</v>
          </cell>
          <cell r="E679" t="str">
            <v>伯希和/PELLIOT</v>
          </cell>
          <cell r="F679" t="str">
            <v>鞋-运动鞋-跑步鞋</v>
          </cell>
          <cell r="G679" t="str">
            <v>一品一商</v>
          </cell>
          <cell r="H679" t="str">
            <v>品牌直发</v>
          </cell>
          <cell r="I679">
            <v>0</v>
          </cell>
        </row>
        <row r="680">
          <cell r="D680">
            <v>12331902</v>
          </cell>
          <cell r="E680" t="str">
            <v>伯希和/PELLIOT</v>
          </cell>
          <cell r="F680" t="str">
            <v>鞋-运动鞋-登山鞋/徒步鞋</v>
          </cell>
          <cell r="G680" t="str">
            <v>一品一商</v>
          </cell>
          <cell r="H680" t="str">
            <v>品牌直发</v>
          </cell>
          <cell r="I680">
            <v>0</v>
          </cell>
        </row>
        <row r="681">
          <cell r="D681">
            <v>11111905</v>
          </cell>
          <cell r="E681" t="str">
            <v>伯希和/PELLIOT</v>
          </cell>
          <cell r="F681" t="str">
            <v>鞋-运动鞋-跑步鞋</v>
          </cell>
          <cell r="G681" t="str">
            <v>一品一商</v>
          </cell>
          <cell r="H681" t="str">
            <v>品牌直发</v>
          </cell>
          <cell r="I681">
            <v>0</v>
          </cell>
        </row>
        <row r="682">
          <cell r="D682">
            <v>11411907</v>
          </cell>
          <cell r="E682" t="str">
            <v>伯希和/PELLIOT</v>
          </cell>
          <cell r="F682" t="str">
            <v>鞋-运动鞋-登山鞋/徒步鞋</v>
          </cell>
          <cell r="G682" t="str">
            <v>一品一商</v>
          </cell>
          <cell r="H682" t="str">
            <v>品牌直发</v>
          </cell>
          <cell r="I682">
            <v>0</v>
          </cell>
        </row>
        <row r="683">
          <cell r="D683">
            <v>12422004</v>
          </cell>
          <cell r="E683" t="str">
            <v>伯希和/PELLIOT</v>
          </cell>
          <cell r="F683" t="str">
            <v>鞋-运动鞋-户外功能鞋</v>
          </cell>
          <cell r="G683" t="str">
            <v>一品一商</v>
          </cell>
          <cell r="H683" t="str">
            <v>品牌直发</v>
          </cell>
          <cell r="I683">
            <v>0</v>
          </cell>
        </row>
        <row r="684">
          <cell r="D684">
            <v>12421238</v>
          </cell>
          <cell r="E684" t="str">
            <v>伯希和/PELLIOT</v>
          </cell>
          <cell r="F684" t="str">
            <v>女装-外套-防晒服</v>
          </cell>
          <cell r="G684" t="str">
            <v>一品一商</v>
          </cell>
          <cell r="H684" t="str">
            <v>品牌直发</v>
          </cell>
          <cell r="I684">
            <v>0</v>
          </cell>
        </row>
        <row r="685">
          <cell r="D685">
            <v>12422002</v>
          </cell>
          <cell r="E685" t="str">
            <v>伯希和/PELLIOT</v>
          </cell>
          <cell r="F685" t="str">
            <v>鞋-运动鞋-户外功能鞋</v>
          </cell>
          <cell r="G685" t="str">
            <v>一品多商</v>
          </cell>
          <cell r="H685" t="str">
            <v>品牌直发</v>
          </cell>
          <cell r="I685">
            <v>0</v>
          </cell>
        </row>
        <row r="686">
          <cell r="D686">
            <v>11011901</v>
          </cell>
          <cell r="E686" t="str">
            <v>伯希和/PELLIOT</v>
          </cell>
          <cell r="F686" t="str">
            <v>鞋-运动鞋-跑步鞋</v>
          </cell>
          <cell r="G686" t="str">
            <v>一品一商</v>
          </cell>
          <cell r="H686" t="str">
            <v>品牌直发</v>
          </cell>
          <cell r="I686">
            <v>0</v>
          </cell>
        </row>
        <row r="687">
          <cell r="D687">
            <v>12022104</v>
          </cell>
          <cell r="E687" t="str">
            <v>伯希和/PELLIOT</v>
          </cell>
          <cell r="F687" t="str">
            <v>鞋-运动鞋-户外功能鞋</v>
          </cell>
          <cell r="G687" t="str">
            <v>一品一商</v>
          </cell>
          <cell r="H687" t="str">
            <v>品牌直发</v>
          </cell>
          <cell r="I687">
            <v>0</v>
          </cell>
        </row>
        <row r="688">
          <cell r="D688">
            <v>16123406</v>
          </cell>
          <cell r="E688" t="str">
            <v>伯希和/PELLIOT</v>
          </cell>
          <cell r="F688" t="str">
            <v>流行饰品/眼镜/服配-帽子-鸭舌帽</v>
          </cell>
          <cell r="G688" t="str">
            <v>一品一商</v>
          </cell>
          <cell r="H688" t="str">
            <v>品牌直发</v>
          </cell>
          <cell r="I688">
            <v>0</v>
          </cell>
        </row>
        <row r="689">
          <cell r="D689">
            <v>1116023410</v>
          </cell>
          <cell r="E689" t="str">
            <v>伯希和/PELLIOT</v>
          </cell>
          <cell r="F689" t="str">
            <v>流行饰品/眼镜/服配-防晒服配-防晒帽</v>
          </cell>
          <cell r="G689" t="str">
            <v>一品一商</v>
          </cell>
          <cell r="H689" t="str">
            <v>品牌直发</v>
          </cell>
          <cell r="I689">
            <v>0</v>
          </cell>
        </row>
        <row r="690">
          <cell r="D690">
            <v>12421410</v>
          </cell>
          <cell r="E690" t="str">
            <v>伯希和/PELLIOT</v>
          </cell>
          <cell r="F690" t="str">
            <v>女装-户外运动服-速干裤</v>
          </cell>
          <cell r="G690" t="str">
            <v>一品一商</v>
          </cell>
          <cell r="H690" t="str">
            <v>品牌直发</v>
          </cell>
          <cell r="I690">
            <v>0</v>
          </cell>
        </row>
        <row r="691">
          <cell r="D691">
            <v>12411402</v>
          </cell>
          <cell r="E691" t="str">
            <v>伯希和/PELLIOT</v>
          </cell>
          <cell r="F691" t="str">
            <v>女装-长裤-软壳裤</v>
          </cell>
          <cell r="G691" t="str">
            <v>一品一商</v>
          </cell>
          <cell r="H691" t="str">
            <v>品牌直发</v>
          </cell>
          <cell r="I691">
            <v>0</v>
          </cell>
        </row>
      </sheetData>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sheet1"/>
    </sheetNames>
    <sheetDataSet>
      <sheetData sheetId="0">
        <row r="1">
          <cell r="C1" t="str">
            <v>商品货号</v>
          </cell>
          <cell r="D1" t="str">
            <v>品牌名称</v>
          </cell>
          <cell r="E1" t="str">
            <v>类目名称</v>
          </cell>
          <cell r="F1" t="str">
            <v>商品类型</v>
          </cell>
          <cell r="G1" t="str">
            <v>出价渠道</v>
          </cell>
          <cell r="H1" t="str">
            <v>支付金额</v>
          </cell>
        </row>
        <row r="2">
          <cell r="C2">
            <v>115214021</v>
          </cell>
          <cell r="D2" t="str">
            <v>伯希和/PELLIOT</v>
          </cell>
          <cell r="E2" t="str">
            <v>服装-户外运动服-速干裤</v>
          </cell>
          <cell r="F2" t="str">
            <v>一品多商</v>
          </cell>
          <cell r="G2" t="str">
            <v>品牌直发</v>
          </cell>
          <cell r="H2">
            <v>92943</v>
          </cell>
        </row>
        <row r="3">
          <cell r="C3">
            <v>11421533</v>
          </cell>
          <cell r="D3" t="str">
            <v>伯希和/PELLIOT</v>
          </cell>
          <cell r="E3" t="str">
            <v>服装-上衣-Polo衫</v>
          </cell>
          <cell r="F3" t="str">
            <v>一品多商</v>
          </cell>
          <cell r="G3" t="str">
            <v>品牌直发</v>
          </cell>
          <cell r="H3">
            <v>95442</v>
          </cell>
        </row>
        <row r="4">
          <cell r="C4">
            <v>106278038</v>
          </cell>
          <cell r="D4" t="str">
            <v>伯希和/PELLIOT</v>
          </cell>
          <cell r="E4" t="str">
            <v>服装-短裤-休闲短裤</v>
          </cell>
          <cell r="F4" t="str">
            <v>一品多商</v>
          </cell>
          <cell r="G4" t="str">
            <v>品牌直发</v>
          </cell>
          <cell r="H4">
            <v>56072</v>
          </cell>
        </row>
        <row r="5">
          <cell r="C5" t="str">
            <v>x1622</v>
          </cell>
          <cell r="D5" t="str">
            <v>伯希和/PELLIOT</v>
          </cell>
          <cell r="E5" t="str">
            <v>流行饰品/眼镜/服配-帽子-渔夫帽</v>
          </cell>
          <cell r="F5" t="str">
            <v>一品一商</v>
          </cell>
          <cell r="G5" t="str">
            <v>品牌直发</v>
          </cell>
          <cell r="H5">
            <v>21998</v>
          </cell>
        </row>
        <row r="6">
          <cell r="C6">
            <v>11421507</v>
          </cell>
          <cell r="D6" t="str">
            <v>伯希和/PELLIOT</v>
          </cell>
          <cell r="E6" t="str">
            <v>服装-上衣-Polo衫</v>
          </cell>
          <cell r="F6" t="str">
            <v>一品多商</v>
          </cell>
          <cell r="G6" t="str">
            <v>品牌直发</v>
          </cell>
          <cell r="H6">
            <v>45414</v>
          </cell>
        </row>
        <row r="7">
          <cell r="C7">
            <v>115215045</v>
          </cell>
          <cell r="D7" t="str">
            <v>伯希和/PELLIOT</v>
          </cell>
          <cell r="E7" t="str">
            <v>服装-上衣-T恤</v>
          </cell>
          <cell r="F7" t="str">
            <v>一品一商</v>
          </cell>
          <cell r="G7" t="str">
            <v>品牌直发</v>
          </cell>
          <cell r="H7">
            <v>31808</v>
          </cell>
        </row>
        <row r="8">
          <cell r="C8">
            <v>116214028</v>
          </cell>
          <cell r="D8" t="str">
            <v>伯希和/PELLIOT</v>
          </cell>
          <cell r="E8" t="str">
            <v>服装-户外运动服-速干裤</v>
          </cell>
          <cell r="F8" t="str">
            <v>一品多商</v>
          </cell>
          <cell r="G8" t="str">
            <v>品牌直发</v>
          </cell>
          <cell r="H8">
            <v>67571</v>
          </cell>
        </row>
        <row r="9">
          <cell r="C9">
            <v>11421201</v>
          </cell>
          <cell r="D9" t="str">
            <v>伯希和/PELLIOT</v>
          </cell>
          <cell r="E9" t="str">
            <v>服装-外套-防晒服</v>
          </cell>
          <cell r="F9" t="str">
            <v>一品多商</v>
          </cell>
          <cell r="G9" t="str">
            <v>品牌直发</v>
          </cell>
          <cell r="H9">
            <v>51335</v>
          </cell>
        </row>
        <row r="10">
          <cell r="C10">
            <v>116381041</v>
          </cell>
          <cell r="D10" t="str">
            <v>伯希和/PELLIOT</v>
          </cell>
          <cell r="E10" t="str">
            <v>鞋-运动鞋-登山鞋/徒步鞋</v>
          </cell>
          <cell r="F10" t="str">
            <v>一品多商</v>
          </cell>
          <cell r="G10" t="str">
            <v>品牌直发</v>
          </cell>
          <cell r="H10">
            <v>97804</v>
          </cell>
        </row>
        <row r="11">
          <cell r="C11">
            <v>11421509</v>
          </cell>
          <cell r="D11" t="str">
            <v>伯希和/PELLIOT</v>
          </cell>
          <cell r="E11" t="str">
            <v>服装-上衣-T恤</v>
          </cell>
          <cell r="F11" t="str">
            <v>一品多商</v>
          </cell>
          <cell r="G11" t="str">
            <v>品牌直发</v>
          </cell>
          <cell r="H11">
            <v>24724</v>
          </cell>
        </row>
        <row r="12">
          <cell r="C12">
            <v>115215037</v>
          </cell>
          <cell r="D12" t="str">
            <v>伯希和/PELLIOT</v>
          </cell>
          <cell r="E12" t="str">
            <v>服装-上衣-Polo衫</v>
          </cell>
          <cell r="F12" t="str">
            <v>一品多商</v>
          </cell>
          <cell r="G12" t="str">
            <v>品牌直发</v>
          </cell>
          <cell r="H12">
            <v>40940</v>
          </cell>
        </row>
        <row r="13">
          <cell r="C13">
            <v>12321218</v>
          </cell>
          <cell r="D13" t="str">
            <v>伯希和/PELLIOT</v>
          </cell>
          <cell r="E13" t="str">
            <v>女装-外套-防晒服</v>
          </cell>
          <cell r="F13" t="str">
            <v>一品多商</v>
          </cell>
          <cell r="G13" t="str">
            <v>品牌直发</v>
          </cell>
          <cell r="H13">
            <v>15148</v>
          </cell>
        </row>
        <row r="14">
          <cell r="C14">
            <v>116215078</v>
          </cell>
          <cell r="D14" t="str">
            <v>伯希和/PELLIOT</v>
          </cell>
          <cell r="E14" t="str">
            <v>服装-上衣-T恤</v>
          </cell>
          <cell r="F14" t="str">
            <v>一品一商</v>
          </cell>
          <cell r="G14" t="str">
            <v>品牌直发</v>
          </cell>
          <cell r="H14">
            <v>24766</v>
          </cell>
        </row>
        <row r="15">
          <cell r="C15">
            <v>11421419</v>
          </cell>
          <cell r="D15" t="str">
            <v>伯希和/PELLIOT</v>
          </cell>
          <cell r="E15" t="str">
            <v>服装-健身服-运动短裤</v>
          </cell>
          <cell r="F15" t="str">
            <v>一品多商</v>
          </cell>
          <cell r="G15" t="str">
            <v>品牌直发</v>
          </cell>
          <cell r="H15">
            <v>31890</v>
          </cell>
        </row>
        <row r="16">
          <cell r="C16">
            <v>125215020</v>
          </cell>
          <cell r="D16" t="str">
            <v>伯希和/PELLIOT</v>
          </cell>
          <cell r="E16" t="str">
            <v>女装-上衣-Polo衫</v>
          </cell>
          <cell r="F16" t="str">
            <v>一品一商</v>
          </cell>
          <cell r="G16" t="str">
            <v>品牌直发</v>
          </cell>
          <cell r="H16">
            <v>23591</v>
          </cell>
        </row>
        <row r="17">
          <cell r="C17">
            <v>125214016</v>
          </cell>
          <cell r="D17" t="str">
            <v>伯希和/PELLIOT</v>
          </cell>
          <cell r="E17" t="str">
            <v>女装-短裙-休闲短裙</v>
          </cell>
          <cell r="F17" t="str">
            <v>一品一商</v>
          </cell>
          <cell r="G17" t="str">
            <v>品牌直发</v>
          </cell>
          <cell r="H17">
            <v>30040</v>
          </cell>
        </row>
        <row r="18">
          <cell r="C18">
            <v>115212003</v>
          </cell>
          <cell r="D18" t="str">
            <v>伯希和/PELLIOT</v>
          </cell>
          <cell r="E18" t="str">
            <v>服装-外套-防晒服</v>
          </cell>
          <cell r="F18" t="str">
            <v>一品多商</v>
          </cell>
          <cell r="G18" t="str">
            <v>品牌直发</v>
          </cell>
          <cell r="H18">
            <v>29461</v>
          </cell>
        </row>
        <row r="19">
          <cell r="C19">
            <v>116381105</v>
          </cell>
          <cell r="D19" t="str">
            <v>伯希和/PELLIOT</v>
          </cell>
          <cell r="E19" t="str">
            <v>鞋-运动鞋-登山鞋/徒步鞋</v>
          </cell>
          <cell r="F19" t="str">
            <v>一品多商</v>
          </cell>
          <cell r="G19" t="str">
            <v>普通现货</v>
          </cell>
          <cell r="H19">
            <v>55888</v>
          </cell>
        </row>
        <row r="20">
          <cell r="C20" t="str">
            <v>16403641-2025</v>
          </cell>
          <cell r="D20" t="str">
            <v>伯希和/PELLIOT</v>
          </cell>
          <cell r="E20" t="str">
            <v>户外装备-徒步/攀登-登山杖/手杖</v>
          </cell>
          <cell r="F20" t="str">
            <v>一品一商</v>
          </cell>
          <cell r="G20" t="str">
            <v>品牌直发</v>
          </cell>
          <cell r="H20">
            <v>9156</v>
          </cell>
        </row>
        <row r="21">
          <cell r="C21">
            <v>12340106</v>
          </cell>
          <cell r="D21" t="str">
            <v>伯希和/PELLIOT</v>
          </cell>
          <cell r="E21" t="str">
            <v>女装-外套-冲锋衣</v>
          </cell>
          <cell r="F21" t="str">
            <v>一品多商</v>
          </cell>
          <cell r="G21" t="str">
            <v>品牌直发</v>
          </cell>
          <cell r="H21">
            <v>44779</v>
          </cell>
        </row>
        <row r="22">
          <cell r="C22">
            <v>116215084</v>
          </cell>
          <cell r="D22" t="str">
            <v>伯希和/PELLIOT</v>
          </cell>
          <cell r="E22" t="str">
            <v>服装-上衣-T恤</v>
          </cell>
          <cell r="F22" t="str">
            <v>一品多商</v>
          </cell>
          <cell r="G22" t="str">
            <v>品牌直发</v>
          </cell>
          <cell r="H22">
            <v>21340</v>
          </cell>
        </row>
        <row r="23">
          <cell r="C23">
            <v>12421220</v>
          </cell>
          <cell r="D23" t="str">
            <v>伯希和/PELLIOT</v>
          </cell>
          <cell r="E23" t="str">
            <v>服装-外套-防晒服</v>
          </cell>
          <cell r="F23" t="str">
            <v>一品多商</v>
          </cell>
          <cell r="G23" t="str">
            <v>品牌直发</v>
          </cell>
          <cell r="H23">
            <v>28704</v>
          </cell>
        </row>
        <row r="24">
          <cell r="C24">
            <v>125215038</v>
          </cell>
          <cell r="D24" t="str">
            <v>伯希和/PELLIOT</v>
          </cell>
          <cell r="E24" t="str">
            <v>女装-上衣-Polo衫</v>
          </cell>
          <cell r="F24" t="str">
            <v>一品一商</v>
          </cell>
          <cell r="G24" t="str">
            <v>品牌直发</v>
          </cell>
          <cell r="H24">
            <v>24510</v>
          </cell>
        </row>
        <row r="25">
          <cell r="C25">
            <v>11340105</v>
          </cell>
          <cell r="D25" t="str">
            <v>伯希和/PELLIOT</v>
          </cell>
          <cell r="E25" t="str">
            <v>服装-外套-冲锋衣</v>
          </cell>
          <cell r="F25" t="str">
            <v>一品多商</v>
          </cell>
          <cell r="G25" t="str">
            <v>品牌直发</v>
          </cell>
          <cell r="H25">
            <v>41365</v>
          </cell>
        </row>
        <row r="26">
          <cell r="C26">
            <v>11321405</v>
          </cell>
          <cell r="D26" t="str">
            <v>伯希和/PELLIOT</v>
          </cell>
          <cell r="E26" t="str">
            <v>服装-户外运动服-速干裤</v>
          </cell>
          <cell r="F26" t="str">
            <v>一品多商</v>
          </cell>
          <cell r="G26" t="str">
            <v>品牌直发</v>
          </cell>
          <cell r="H26">
            <v>26278</v>
          </cell>
        </row>
        <row r="27">
          <cell r="C27">
            <v>116202507</v>
          </cell>
          <cell r="D27" t="str">
            <v>伯希和/PELLIOT</v>
          </cell>
          <cell r="E27" t="str">
            <v>箱包-包袋-户外包</v>
          </cell>
          <cell r="F27" t="str">
            <v>一品多商</v>
          </cell>
          <cell r="G27" t="str">
            <v>品牌直发</v>
          </cell>
          <cell r="H27">
            <v>28315</v>
          </cell>
        </row>
        <row r="28">
          <cell r="C28">
            <v>12421440</v>
          </cell>
          <cell r="D28" t="str">
            <v>伯希和/PELLIOT</v>
          </cell>
          <cell r="E28" t="str">
            <v>服装-健身服-运动短裤</v>
          </cell>
          <cell r="F28" t="str">
            <v>一品多商</v>
          </cell>
          <cell r="G28" t="str">
            <v>品牌直发</v>
          </cell>
          <cell r="H28">
            <v>15943</v>
          </cell>
        </row>
        <row r="29">
          <cell r="C29">
            <v>125215002</v>
          </cell>
          <cell r="D29" t="str">
            <v>伯希和/PELLIOT</v>
          </cell>
          <cell r="E29" t="str">
            <v>女装-户外运动服-速干T恤</v>
          </cell>
          <cell r="F29" t="str">
            <v>一品多商</v>
          </cell>
          <cell r="G29" t="str">
            <v>品牌直发</v>
          </cell>
          <cell r="H29">
            <v>11683</v>
          </cell>
        </row>
        <row r="30">
          <cell r="C30">
            <v>115214025</v>
          </cell>
          <cell r="D30" t="str">
            <v>伯希和/PELLIOT</v>
          </cell>
          <cell r="E30" t="str">
            <v>服装-户外运动服-速干裤</v>
          </cell>
          <cell r="F30" t="str">
            <v>一品多商</v>
          </cell>
          <cell r="G30" t="str">
            <v>品牌直发</v>
          </cell>
          <cell r="H30">
            <v>21674</v>
          </cell>
        </row>
        <row r="31">
          <cell r="C31">
            <v>116215060</v>
          </cell>
          <cell r="D31" t="str">
            <v>伯希和/PELLIOT</v>
          </cell>
          <cell r="E31" t="str">
            <v>服装-上衣-T恤</v>
          </cell>
          <cell r="F31" t="str">
            <v>一品一商</v>
          </cell>
          <cell r="G31" t="str">
            <v>品牌直发</v>
          </cell>
          <cell r="H31">
            <v>14277</v>
          </cell>
        </row>
        <row r="32">
          <cell r="C32" t="str">
            <v>11340105-2025新加色</v>
          </cell>
          <cell r="D32" t="str">
            <v>伯希和/PELLIOT</v>
          </cell>
          <cell r="E32" t="str">
            <v>服装-外套-冲锋衣</v>
          </cell>
          <cell r="F32" t="str">
            <v>一品多商</v>
          </cell>
          <cell r="G32" t="str">
            <v>品牌直发</v>
          </cell>
          <cell r="H32">
            <v>32608</v>
          </cell>
        </row>
        <row r="33">
          <cell r="C33">
            <v>12421250</v>
          </cell>
          <cell r="D33" t="str">
            <v>伯希和/PELLIOT</v>
          </cell>
          <cell r="E33" t="str">
            <v>女装-外套-防晒服</v>
          </cell>
          <cell r="F33" t="str">
            <v>一品多商</v>
          </cell>
          <cell r="G33" t="str">
            <v>品牌直发</v>
          </cell>
          <cell r="H33">
            <v>16255</v>
          </cell>
        </row>
        <row r="34">
          <cell r="C34">
            <v>115214024</v>
          </cell>
          <cell r="D34" t="str">
            <v>伯希和/PELLIOT</v>
          </cell>
          <cell r="E34" t="str">
            <v>服装-户外运动服-速干裤</v>
          </cell>
          <cell r="F34" t="str">
            <v>一品多商</v>
          </cell>
          <cell r="G34" t="str">
            <v>品牌直发</v>
          </cell>
          <cell r="H34">
            <v>13670</v>
          </cell>
        </row>
        <row r="35">
          <cell r="C35">
            <v>165041001</v>
          </cell>
          <cell r="D35" t="str">
            <v>伯希和/PELLIOT</v>
          </cell>
          <cell r="E35" t="str">
            <v>流行饰品/眼镜/服配-防晒服配-防晒脖套</v>
          </cell>
          <cell r="F35" t="str">
            <v>一品一商</v>
          </cell>
          <cell r="G35" t="str">
            <v>品牌直发</v>
          </cell>
          <cell r="H35">
            <v>2806</v>
          </cell>
        </row>
        <row r="36">
          <cell r="C36">
            <v>12421534</v>
          </cell>
          <cell r="D36" t="str">
            <v>伯希和/PELLIOT</v>
          </cell>
          <cell r="E36" t="str">
            <v>女装-上衣-Polo衫</v>
          </cell>
          <cell r="F36" t="str">
            <v>一品多商</v>
          </cell>
          <cell r="G36" t="str">
            <v>品牌直发</v>
          </cell>
          <cell r="H36">
            <v>15593</v>
          </cell>
        </row>
        <row r="37">
          <cell r="C37" t="str">
            <v>09BH00004200000</v>
          </cell>
          <cell r="D37" t="str">
            <v>伯希和/PELLIOT</v>
          </cell>
          <cell r="E37" t="str">
            <v>服装-外套-防晒服</v>
          </cell>
          <cell r="F37" t="str">
            <v>一品一商</v>
          </cell>
          <cell r="G37" t="str">
            <v>普通现货</v>
          </cell>
          <cell r="H37">
            <v>17624</v>
          </cell>
        </row>
        <row r="38">
          <cell r="C38" t="str">
            <v>PE125215026</v>
          </cell>
          <cell r="D38" t="str">
            <v>伯希和/PELLIOT</v>
          </cell>
          <cell r="E38" t="str">
            <v>女装-户外运动服-速干T恤</v>
          </cell>
          <cell r="F38" t="str">
            <v>一品一商</v>
          </cell>
          <cell r="G38" t="str">
            <v>品牌直发</v>
          </cell>
          <cell r="H38">
            <v>14625</v>
          </cell>
        </row>
        <row r="39">
          <cell r="C39">
            <v>115215001</v>
          </cell>
          <cell r="D39" t="str">
            <v>伯希和/PELLIOT</v>
          </cell>
          <cell r="E39" t="str">
            <v>服装-上衣-T恤</v>
          </cell>
          <cell r="F39" t="str">
            <v>一品多商</v>
          </cell>
          <cell r="G39" t="str">
            <v>品牌直发</v>
          </cell>
          <cell r="H39">
            <v>8842</v>
          </cell>
        </row>
        <row r="40">
          <cell r="C40">
            <v>6623405</v>
          </cell>
          <cell r="D40" t="str">
            <v>伯希和/PELLIOT</v>
          </cell>
          <cell r="E40" t="str">
            <v>流行饰品/眼镜/服配-帽子-鸭舌帽</v>
          </cell>
          <cell r="F40" t="str">
            <v>一品一商</v>
          </cell>
          <cell r="G40" t="str">
            <v>品牌直发</v>
          </cell>
          <cell r="H40">
            <v>4189</v>
          </cell>
        </row>
        <row r="41">
          <cell r="C41">
            <v>115215039</v>
          </cell>
          <cell r="D41" t="str">
            <v>伯希和/PELLIOT</v>
          </cell>
          <cell r="E41" t="str">
            <v>服装-上衣-Polo衫</v>
          </cell>
          <cell r="F41" t="str">
            <v>一品多商</v>
          </cell>
          <cell r="G41" t="str">
            <v>品牌直发</v>
          </cell>
          <cell r="H41">
            <v>14132</v>
          </cell>
        </row>
        <row r="42">
          <cell r="C42">
            <v>166025072</v>
          </cell>
          <cell r="D42" t="str">
            <v>伯希和/PELLIOT</v>
          </cell>
          <cell r="E42" t="str">
            <v>箱包-包袋-户外包</v>
          </cell>
          <cell r="F42" t="str">
            <v>一品一商</v>
          </cell>
          <cell r="G42" t="str">
            <v>品牌直发</v>
          </cell>
          <cell r="H42">
            <v>12063</v>
          </cell>
        </row>
        <row r="43">
          <cell r="C43" t="str">
            <v>12421220-26新加色</v>
          </cell>
          <cell r="D43" t="str">
            <v>伯希和/PELLIOT</v>
          </cell>
          <cell r="E43" t="str">
            <v>服装-外套-防晒服</v>
          </cell>
          <cell r="F43" t="str">
            <v>一品多商</v>
          </cell>
          <cell r="G43" t="str">
            <v>品牌直发</v>
          </cell>
          <cell r="H43">
            <v>15249</v>
          </cell>
        </row>
        <row r="44">
          <cell r="C44">
            <v>116214067</v>
          </cell>
          <cell r="D44" t="str">
            <v>伯希和/PELLIOT</v>
          </cell>
          <cell r="E44" t="str">
            <v>服装-户外运动服-速干裤</v>
          </cell>
          <cell r="F44" t="str">
            <v>一品多商</v>
          </cell>
          <cell r="G44" t="str">
            <v>品牌直发</v>
          </cell>
          <cell r="H44">
            <v>13064</v>
          </cell>
        </row>
        <row r="45">
          <cell r="C45">
            <v>116119001</v>
          </cell>
          <cell r="D45" t="str">
            <v>伯希和/PELLIOT</v>
          </cell>
          <cell r="E45" t="str">
            <v>鞋-运动鞋-越野跑鞋</v>
          </cell>
          <cell r="F45" t="str">
            <v>一品多商</v>
          </cell>
          <cell r="G45" t="str">
            <v>普通现货</v>
          </cell>
          <cell r="H45">
            <v>19621</v>
          </cell>
        </row>
        <row r="46">
          <cell r="C46">
            <v>115215025</v>
          </cell>
          <cell r="D46" t="str">
            <v>伯希和/PELLIOT</v>
          </cell>
          <cell r="E46" t="str">
            <v>服装-户外运动服-速干T恤</v>
          </cell>
          <cell r="F46" t="str">
            <v>一品多商</v>
          </cell>
          <cell r="G46" t="str">
            <v>品牌直发</v>
          </cell>
          <cell r="H46">
            <v>11106</v>
          </cell>
        </row>
        <row r="47">
          <cell r="C47">
            <v>135101022</v>
          </cell>
          <cell r="D47" t="str">
            <v>伯希和/PELLIOT</v>
          </cell>
          <cell r="E47" t="str">
            <v>童装-儿童上装-冲锋衣</v>
          </cell>
          <cell r="F47" t="str">
            <v>一品一商</v>
          </cell>
          <cell r="G47" t="str">
            <v>品牌直发</v>
          </cell>
          <cell r="H47">
            <v>13998</v>
          </cell>
        </row>
        <row r="48">
          <cell r="C48">
            <v>106112046</v>
          </cell>
          <cell r="D48" t="str">
            <v>伯希和/PELLIOT</v>
          </cell>
          <cell r="E48" t="str">
            <v>服装-外套-防晒服</v>
          </cell>
          <cell r="F48" t="str">
            <v>一品多商</v>
          </cell>
          <cell r="G48" t="str">
            <v>普通现货</v>
          </cell>
          <cell r="H48">
            <v>12312</v>
          </cell>
        </row>
        <row r="49">
          <cell r="C49">
            <v>115214007</v>
          </cell>
          <cell r="D49" t="str">
            <v>伯希和/PELLIOT</v>
          </cell>
          <cell r="E49" t="str">
            <v>服装-短裤-休闲短裤</v>
          </cell>
          <cell r="F49" t="str">
            <v>一品一商</v>
          </cell>
          <cell r="G49" t="str">
            <v>品牌直发</v>
          </cell>
          <cell r="H49">
            <v>14016</v>
          </cell>
        </row>
        <row r="50">
          <cell r="C50">
            <v>106278031</v>
          </cell>
          <cell r="D50" t="str">
            <v>伯希和/PELLIOT</v>
          </cell>
          <cell r="E50" t="str">
            <v>服装-短裤-休闲短裤</v>
          </cell>
          <cell r="F50" t="str">
            <v>一品一商</v>
          </cell>
          <cell r="G50" t="str">
            <v>品牌直发</v>
          </cell>
          <cell r="H50">
            <v>11351</v>
          </cell>
        </row>
        <row r="51">
          <cell r="C51">
            <v>116214065</v>
          </cell>
          <cell r="D51" t="str">
            <v>伯希和/PELLIOT</v>
          </cell>
          <cell r="E51" t="str">
            <v>服装-户外运动服-速干裤</v>
          </cell>
          <cell r="F51" t="str">
            <v>一品多商</v>
          </cell>
          <cell r="G51" t="str">
            <v>品牌直发</v>
          </cell>
          <cell r="H51">
            <v>11382</v>
          </cell>
        </row>
        <row r="52">
          <cell r="C52">
            <v>165025054</v>
          </cell>
          <cell r="D52" t="str">
            <v>伯希和/PELLIOT</v>
          </cell>
          <cell r="E52" t="str">
            <v>箱包-包袋-斜挎包</v>
          </cell>
          <cell r="F52" t="str">
            <v>一品一商</v>
          </cell>
          <cell r="G52" t="str">
            <v>品牌直发</v>
          </cell>
          <cell r="H52">
            <v>4337</v>
          </cell>
        </row>
        <row r="53">
          <cell r="C53">
            <v>126112045</v>
          </cell>
          <cell r="D53" t="str">
            <v>伯希和/PELLIOT</v>
          </cell>
          <cell r="E53" t="str">
            <v>女装-外套-防晒服</v>
          </cell>
          <cell r="F53" t="str">
            <v>一品多商</v>
          </cell>
          <cell r="G53" t="str">
            <v>品牌直发</v>
          </cell>
          <cell r="H53">
            <v>11352</v>
          </cell>
        </row>
        <row r="54">
          <cell r="C54">
            <v>11121411</v>
          </cell>
          <cell r="D54" t="str">
            <v>伯希和/PELLIOT</v>
          </cell>
          <cell r="E54" t="str">
            <v>服装-户外运动服-速干裤</v>
          </cell>
          <cell r="F54" t="str">
            <v>一品多商</v>
          </cell>
          <cell r="G54" t="str">
            <v>品牌直发</v>
          </cell>
          <cell r="H54">
            <v>7253</v>
          </cell>
        </row>
        <row r="55">
          <cell r="C55">
            <v>115119025</v>
          </cell>
          <cell r="D55" t="str">
            <v>伯希和/PELLIOT</v>
          </cell>
          <cell r="E55" t="str">
            <v>鞋-运动鞋-越野跑鞋</v>
          </cell>
          <cell r="F55" t="str">
            <v>一品多商</v>
          </cell>
          <cell r="G55" t="str">
            <v>品牌直发</v>
          </cell>
          <cell r="H55">
            <v>14099</v>
          </cell>
        </row>
        <row r="56">
          <cell r="C56">
            <v>126214029</v>
          </cell>
          <cell r="D56" t="str">
            <v>伯希和/PELLIOT</v>
          </cell>
          <cell r="E56" t="str">
            <v>女装-户外运动服-速干裤</v>
          </cell>
          <cell r="F56" t="str">
            <v>一品一商</v>
          </cell>
          <cell r="G56" t="str">
            <v>品牌直发</v>
          </cell>
          <cell r="H56">
            <v>11656</v>
          </cell>
        </row>
        <row r="57">
          <cell r="C57">
            <v>126220010</v>
          </cell>
          <cell r="D57" t="str">
            <v>伯希和/PELLIOT</v>
          </cell>
          <cell r="E57" t="str">
            <v>鞋-凉鞋/拖鞋-溯溪鞋</v>
          </cell>
          <cell r="F57" t="str">
            <v>一品多商</v>
          </cell>
          <cell r="G57" t="str">
            <v>品牌直发</v>
          </cell>
          <cell r="H57">
            <v>18717</v>
          </cell>
        </row>
        <row r="58">
          <cell r="C58">
            <v>116178025</v>
          </cell>
          <cell r="D58" t="str">
            <v>伯希和/PELLIOT</v>
          </cell>
          <cell r="E58" t="str">
            <v>服装-长裤-休闲裤</v>
          </cell>
          <cell r="F58" t="str">
            <v>一品多商</v>
          </cell>
          <cell r="G58" t="str">
            <v>品牌直发</v>
          </cell>
          <cell r="H58">
            <v>12693</v>
          </cell>
        </row>
        <row r="59">
          <cell r="C59" t="str">
            <v>09BH00004400000</v>
          </cell>
          <cell r="D59" t="str">
            <v>伯希和/PELLIOT</v>
          </cell>
          <cell r="E59" t="str">
            <v>服装-外套-冲锋衣</v>
          </cell>
          <cell r="F59" t="str">
            <v>一品一商</v>
          </cell>
          <cell r="G59" t="str">
            <v>普通现货</v>
          </cell>
          <cell r="H59">
            <v>22770</v>
          </cell>
        </row>
        <row r="60">
          <cell r="C60">
            <v>16403404</v>
          </cell>
          <cell r="D60" t="str">
            <v>伯希和/PELLIOT</v>
          </cell>
          <cell r="E60" t="str">
            <v>流行饰品/眼镜/服配-帽子-鸭舌帽</v>
          </cell>
          <cell r="F60" t="str">
            <v>一品一商</v>
          </cell>
          <cell r="G60" t="str">
            <v>品牌直发</v>
          </cell>
          <cell r="H60">
            <v>2325</v>
          </cell>
        </row>
        <row r="61">
          <cell r="C61" t="str">
            <v>16303650-2025</v>
          </cell>
          <cell r="D61" t="str">
            <v>伯希和/PELLIOT</v>
          </cell>
          <cell r="E61" t="str">
            <v>户外装备-徒步/攀登-登山杖/手杖</v>
          </cell>
          <cell r="F61" t="str">
            <v>一品一商</v>
          </cell>
          <cell r="G61" t="str">
            <v>普通现货</v>
          </cell>
          <cell r="H61">
            <v>2792</v>
          </cell>
        </row>
        <row r="62">
          <cell r="C62">
            <v>165025038</v>
          </cell>
          <cell r="D62" t="str">
            <v>伯希和/PELLIOT</v>
          </cell>
          <cell r="E62" t="str">
            <v>箱包-包袋-腰包</v>
          </cell>
          <cell r="F62" t="str">
            <v>一品一商</v>
          </cell>
          <cell r="G62" t="str">
            <v>品牌直发</v>
          </cell>
          <cell r="H62">
            <v>1352</v>
          </cell>
        </row>
        <row r="63">
          <cell r="C63">
            <v>125378024</v>
          </cell>
          <cell r="D63" t="str">
            <v>伯希和/PELLIOT</v>
          </cell>
          <cell r="E63" t="str">
            <v>女装-长裙-休闲长裙</v>
          </cell>
          <cell r="F63" t="str">
            <v>一品多商</v>
          </cell>
          <cell r="G63" t="str">
            <v>品牌直发</v>
          </cell>
          <cell r="H63">
            <v>6235</v>
          </cell>
        </row>
        <row r="64">
          <cell r="C64">
            <v>165434038</v>
          </cell>
          <cell r="D64" t="str">
            <v>伯希和/PELLIOT</v>
          </cell>
          <cell r="E64" t="str">
            <v>流行饰品/眼镜/服配-帽子-绒线帽</v>
          </cell>
          <cell r="F64" t="str">
            <v>一品一商</v>
          </cell>
          <cell r="G64" t="str">
            <v>品牌直发</v>
          </cell>
          <cell r="H64">
            <v>3567</v>
          </cell>
        </row>
        <row r="65">
          <cell r="C65">
            <v>116220009</v>
          </cell>
          <cell r="D65" t="str">
            <v>伯希和/PELLIOT</v>
          </cell>
          <cell r="E65" t="str">
            <v>鞋-凉鞋/拖鞋-溯溪鞋</v>
          </cell>
          <cell r="F65" t="str">
            <v>一品多商</v>
          </cell>
          <cell r="G65" t="str">
            <v>品牌直发</v>
          </cell>
          <cell r="H65">
            <v>14394</v>
          </cell>
        </row>
        <row r="66">
          <cell r="C66">
            <v>115214023</v>
          </cell>
          <cell r="D66" t="str">
            <v>伯希和/PELLIOT</v>
          </cell>
          <cell r="E66" t="str">
            <v>服装-短裤-休闲短裤</v>
          </cell>
          <cell r="F66" t="str">
            <v>一品多商</v>
          </cell>
          <cell r="G66" t="str">
            <v>品牌直发</v>
          </cell>
          <cell r="H66">
            <v>3122</v>
          </cell>
        </row>
        <row r="67">
          <cell r="C67">
            <v>16402511</v>
          </cell>
          <cell r="D67" t="str">
            <v>伯希和/PELLIOT</v>
          </cell>
          <cell r="E67" t="str">
            <v>箱包-包袋-户外包</v>
          </cell>
          <cell r="F67" t="str">
            <v>一品多商</v>
          </cell>
          <cell r="G67" t="str">
            <v>品牌直发</v>
          </cell>
          <cell r="H67">
            <v>7570</v>
          </cell>
        </row>
        <row r="68">
          <cell r="C68">
            <v>1125178002</v>
          </cell>
          <cell r="D68" t="str">
            <v>伯希和/PELLIOT</v>
          </cell>
          <cell r="E68" t="str">
            <v>女装-长裤-休闲裤</v>
          </cell>
          <cell r="F68" t="str">
            <v>一品多商</v>
          </cell>
          <cell r="G68" t="str">
            <v>品牌直发</v>
          </cell>
          <cell r="H68">
            <v>7618</v>
          </cell>
        </row>
        <row r="69">
          <cell r="C69">
            <v>165041010</v>
          </cell>
          <cell r="D69" t="str">
            <v>伯希和/PELLIOT</v>
          </cell>
          <cell r="E69" t="str">
            <v>流行饰品/眼镜/服配-发饰-头巾</v>
          </cell>
          <cell r="F69" t="str">
            <v>一品一商</v>
          </cell>
          <cell r="G69" t="str">
            <v>品牌直发</v>
          </cell>
          <cell r="H69">
            <v>984</v>
          </cell>
        </row>
        <row r="70">
          <cell r="C70" t="str">
            <v>PE1124101048</v>
          </cell>
          <cell r="D70" t="str">
            <v>伯希和/PELLIOT</v>
          </cell>
          <cell r="E70" t="str">
            <v>服装-外套-冲锋衣</v>
          </cell>
          <cell r="F70" t="str">
            <v>一品多商</v>
          </cell>
          <cell r="G70" t="str">
            <v>品牌直发</v>
          </cell>
          <cell r="H70">
            <v>17667</v>
          </cell>
        </row>
        <row r="71">
          <cell r="C71">
            <v>125306018</v>
          </cell>
          <cell r="D71" t="str">
            <v>伯希和/PELLIOT</v>
          </cell>
          <cell r="E71" t="str">
            <v>女装-外套-软壳衣</v>
          </cell>
          <cell r="F71" t="str">
            <v>一品多商</v>
          </cell>
          <cell r="G71" t="str">
            <v>品牌直发</v>
          </cell>
          <cell r="H71">
            <v>9410</v>
          </cell>
        </row>
        <row r="72">
          <cell r="C72">
            <v>116112044</v>
          </cell>
          <cell r="D72" t="str">
            <v>伯希和/PELLIOT</v>
          </cell>
          <cell r="E72" t="str">
            <v>服装-外套-防晒服</v>
          </cell>
          <cell r="F72" t="str">
            <v>一品多商</v>
          </cell>
          <cell r="G72" t="str">
            <v>品牌直发</v>
          </cell>
          <cell r="H72">
            <v>7764</v>
          </cell>
        </row>
        <row r="73">
          <cell r="C73">
            <v>126215079</v>
          </cell>
          <cell r="D73" t="str">
            <v>伯希和/PELLIOT</v>
          </cell>
          <cell r="E73" t="str">
            <v>女装-上衣-T恤</v>
          </cell>
          <cell r="F73" t="str">
            <v>一品一商</v>
          </cell>
          <cell r="G73" t="str">
            <v>品牌直发</v>
          </cell>
          <cell r="H73">
            <v>4710</v>
          </cell>
        </row>
        <row r="74">
          <cell r="C74">
            <v>115107003</v>
          </cell>
          <cell r="D74" t="str">
            <v>伯希和/PELLIOT</v>
          </cell>
          <cell r="E74" t="str">
            <v>服装-长裤-软壳裤</v>
          </cell>
          <cell r="F74" t="str">
            <v>一品多商</v>
          </cell>
          <cell r="G74" t="str">
            <v>品牌直发</v>
          </cell>
          <cell r="H74">
            <v>10449</v>
          </cell>
        </row>
        <row r="75">
          <cell r="C75">
            <v>12321222</v>
          </cell>
          <cell r="D75" t="str">
            <v>伯希和/PELLIOT</v>
          </cell>
          <cell r="E75" t="str">
            <v>女装-外套-防晒服</v>
          </cell>
          <cell r="F75" t="str">
            <v>一品多商</v>
          </cell>
          <cell r="G75" t="str">
            <v>品牌直发</v>
          </cell>
          <cell r="H75">
            <v>2008</v>
          </cell>
        </row>
        <row r="76">
          <cell r="C76">
            <v>116302036</v>
          </cell>
          <cell r="D76" t="str">
            <v>伯希和/PELLIOT</v>
          </cell>
          <cell r="E76" t="str">
            <v>服装-长裤-冲锋裤</v>
          </cell>
          <cell r="F76" t="str">
            <v>一品多商</v>
          </cell>
          <cell r="G76" t="str">
            <v>品牌直发</v>
          </cell>
          <cell r="H76">
            <v>8993</v>
          </cell>
        </row>
        <row r="77">
          <cell r="C77">
            <v>126381042</v>
          </cell>
          <cell r="D77" t="str">
            <v>伯希和/PELLIOT</v>
          </cell>
          <cell r="E77" t="str">
            <v>鞋-运动鞋-登山鞋/徒步鞋</v>
          </cell>
          <cell r="F77" t="str">
            <v>一品一商</v>
          </cell>
          <cell r="G77" t="str">
            <v>品牌直发</v>
          </cell>
          <cell r="H77">
            <v>10978</v>
          </cell>
        </row>
        <row r="78">
          <cell r="C78">
            <v>116319033</v>
          </cell>
          <cell r="D78" t="str">
            <v>伯希和/PELLIOT</v>
          </cell>
          <cell r="E78" t="str">
            <v>鞋-运动鞋-越野跑鞋</v>
          </cell>
          <cell r="F78" t="str">
            <v>一品多商</v>
          </cell>
          <cell r="G78" t="str">
            <v>普通现货</v>
          </cell>
          <cell r="H78">
            <v>15378</v>
          </cell>
        </row>
        <row r="79">
          <cell r="C79" t="str">
            <v>16403941-2025</v>
          </cell>
          <cell r="D79" t="str">
            <v>伯希和/PELLIOT</v>
          </cell>
          <cell r="E79" t="str">
            <v>室内及健身运动-运动护具-护膝</v>
          </cell>
          <cell r="F79" t="str">
            <v>一品一商</v>
          </cell>
          <cell r="G79" t="str">
            <v>品牌直发</v>
          </cell>
          <cell r="H79">
            <v>2190</v>
          </cell>
        </row>
        <row r="80">
          <cell r="C80">
            <v>116214034</v>
          </cell>
          <cell r="D80" t="str">
            <v>伯希和/PELLIOT</v>
          </cell>
          <cell r="E80" t="str">
            <v>服装-户外运动服-速干裤</v>
          </cell>
          <cell r="F80" t="str">
            <v>一品一商</v>
          </cell>
          <cell r="G80" t="str">
            <v>品牌直发</v>
          </cell>
          <cell r="H80">
            <v>6848</v>
          </cell>
        </row>
        <row r="81">
          <cell r="C81" t="str">
            <v>125301055-新加色</v>
          </cell>
          <cell r="D81" t="str">
            <v>伯希和/PELLIOT</v>
          </cell>
          <cell r="E81" t="str">
            <v>女装-外套-冲锋衣</v>
          </cell>
          <cell r="F81" t="str">
            <v>一品多商</v>
          </cell>
          <cell r="G81" t="str">
            <v>品牌直发</v>
          </cell>
          <cell r="H81">
            <v>10849</v>
          </cell>
        </row>
        <row r="82">
          <cell r="C82">
            <v>12221202</v>
          </cell>
          <cell r="D82" t="str">
            <v>伯希和/PELLIOT</v>
          </cell>
          <cell r="E82" t="str">
            <v>女装-外套-防晒服</v>
          </cell>
          <cell r="F82" t="str">
            <v>一品多商</v>
          </cell>
          <cell r="G82" t="str">
            <v>品牌直发</v>
          </cell>
          <cell r="H82">
            <v>1121</v>
          </cell>
        </row>
        <row r="83">
          <cell r="C83">
            <v>126214066</v>
          </cell>
          <cell r="D83" t="str">
            <v>伯希和/PELLIOT</v>
          </cell>
          <cell r="E83" t="str">
            <v>女装-户外运动服-速干裤</v>
          </cell>
          <cell r="F83" t="str">
            <v>一品一商</v>
          </cell>
          <cell r="G83" t="str">
            <v>品牌直发</v>
          </cell>
          <cell r="H83">
            <v>5269</v>
          </cell>
        </row>
        <row r="84">
          <cell r="C84">
            <v>11421241</v>
          </cell>
          <cell r="D84" t="str">
            <v>伯希和/PELLIOT</v>
          </cell>
          <cell r="E84" t="str">
            <v>服装-外套-防晒服</v>
          </cell>
          <cell r="F84" t="str">
            <v>一品多商</v>
          </cell>
          <cell r="G84" t="str">
            <v>品牌直发</v>
          </cell>
          <cell r="H84">
            <v>2422</v>
          </cell>
        </row>
        <row r="85">
          <cell r="C85" t="str">
            <v>PE12410202</v>
          </cell>
          <cell r="D85" t="str">
            <v>伯希和/PELLIOT</v>
          </cell>
          <cell r="E85" t="str">
            <v>女装-长裤-冲锋裤</v>
          </cell>
          <cell r="F85" t="str">
            <v>一品多商</v>
          </cell>
          <cell r="G85" t="str">
            <v>品牌直发</v>
          </cell>
          <cell r="H85">
            <v>8569</v>
          </cell>
        </row>
        <row r="86">
          <cell r="C86">
            <v>115215019</v>
          </cell>
          <cell r="D86" t="str">
            <v>伯希和/PELLIOT</v>
          </cell>
          <cell r="E86" t="str">
            <v>服装-上衣-Polo衫</v>
          </cell>
          <cell r="F86" t="str">
            <v>一品多商</v>
          </cell>
          <cell r="G86" t="str">
            <v>品牌直发</v>
          </cell>
          <cell r="H86">
            <v>3497</v>
          </cell>
        </row>
        <row r="87">
          <cell r="C87">
            <v>165435005</v>
          </cell>
          <cell r="D87" t="str">
            <v>伯希和/PELLIOT</v>
          </cell>
          <cell r="E87" t="str">
            <v>内衣-袜子-中筒袜</v>
          </cell>
          <cell r="F87" t="str">
            <v>一品一商</v>
          </cell>
          <cell r="G87" t="str">
            <v>品牌直发</v>
          </cell>
          <cell r="H87">
            <v>1158</v>
          </cell>
        </row>
        <row r="88">
          <cell r="C88">
            <v>12321508</v>
          </cell>
          <cell r="D88" t="str">
            <v>伯希和/PELLIOT</v>
          </cell>
          <cell r="E88" t="str">
            <v>女装-上衣-T恤</v>
          </cell>
          <cell r="F88" t="str">
            <v>一品一商</v>
          </cell>
          <cell r="G88" t="str">
            <v>品牌直发</v>
          </cell>
          <cell r="H88">
            <v>1724</v>
          </cell>
        </row>
        <row r="89">
          <cell r="C89">
            <v>125214019</v>
          </cell>
          <cell r="D89" t="str">
            <v>伯希和/PELLIOT</v>
          </cell>
          <cell r="E89" t="str">
            <v>女装-长裙-休闲长裙</v>
          </cell>
          <cell r="F89" t="str">
            <v>一品一商</v>
          </cell>
          <cell r="G89" t="str">
            <v>品牌直发</v>
          </cell>
          <cell r="H89">
            <v>4756</v>
          </cell>
        </row>
        <row r="90">
          <cell r="C90">
            <v>105212020</v>
          </cell>
          <cell r="D90" t="str">
            <v>伯希和/PELLIOT</v>
          </cell>
          <cell r="E90" t="str">
            <v>服装-外套-防晒服</v>
          </cell>
          <cell r="F90" t="str">
            <v>一品多商</v>
          </cell>
          <cell r="G90" t="str">
            <v>品牌直发</v>
          </cell>
          <cell r="H90">
            <v>3770</v>
          </cell>
        </row>
        <row r="91">
          <cell r="C91">
            <v>115212005</v>
          </cell>
          <cell r="D91" t="str">
            <v>伯希和/PELLIOT</v>
          </cell>
          <cell r="E91" t="str">
            <v>服装-外套-防晒服</v>
          </cell>
          <cell r="F91" t="str">
            <v>一品多商</v>
          </cell>
          <cell r="G91" t="str">
            <v>品牌直发</v>
          </cell>
          <cell r="H91">
            <v>4646</v>
          </cell>
        </row>
        <row r="92">
          <cell r="C92">
            <v>125215048</v>
          </cell>
          <cell r="D92" t="str">
            <v>伯希和/PELLIOT</v>
          </cell>
          <cell r="E92" t="str">
            <v>女装-户外运动服-速干T恤</v>
          </cell>
          <cell r="F92" t="str">
            <v>一品一商</v>
          </cell>
          <cell r="G92" t="str">
            <v>品牌直发</v>
          </cell>
          <cell r="H92">
            <v>1288</v>
          </cell>
        </row>
        <row r="93">
          <cell r="C93" t="str">
            <v>12421510-SG10</v>
          </cell>
          <cell r="D93" t="str">
            <v>伯希和/PELLIOT</v>
          </cell>
          <cell r="E93" t="str">
            <v>女装-户外运动服-速干T恤</v>
          </cell>
          <cell r="F93" t="str">
            <v>一品一商</v>
          </cell>
          <cell r="G93" t="str">
            <v>品牌直发</v>
          </cell>
          <cell r="H93">
            <v>2306</v>
          </cell>
        </row>
        <row r="94">
          <cell r="C94">
            <v>115302003</v>
          </cell>
          <cell r="D94" t="str">
            <v>伯希和/PELLIOT</v>
          </cell>
          <cell r="E94" t="str">
            <v>服装-长裤-冲锋裤</v>
          </cell>
          <cell r="F94" t="str">
            <v>一品多商</v>
          </cell>
          <cell r="G94" t="str">
            <v>品牌直发</v>
          </cell>
          <cell r="H94">
            <v>8840</v>
          </cell>
        </row>
        <row r="95">
          <cell r="C95">
            <v>116181033</v>
          </cell>
          <cell r="D95" t="str">
            <v>伯希和/PELLIOT</v>
          </cell>
          <cell r="E95" t="str">
            <v>鞋-运动鞋-登山鞋/徒步鞋</v>
          </cell>
          <cell r="F95" t="str">
            <v>一品多商</v>
          </cell>
          <cell r="G95" t="str">
            <v>普通现货</v>
          </cell>
          <cell r="H95">
            <v>7804</v>
          </cell>
        </row>
        <row r="96">
          <cell r="C96">
            <v>106101135</v>
          </cell>
          <cell r="D96" t="str">
            <v>伯希和/PELLIOT</v>
          </cell>
          <cell r="E96" t="str">
            <v>服装-外套-冲锋衣</v>
          </cell>
          <cell r="F96" t="str">
            <v>一品多商</v>
          </cell>
          <cell r="G96" t="str">
            <v>普通现货</v>
          </cell>
          <cell r="H96">
            <v>12784</v>
          </cell>
        </row>
        <row r="97">
          <cell r="C97">
            <v>116107036</v>
          </cell>
          <cell r="D97" t="str">
            <v>伯希和/PELLIOT</v>
          </cell>
          <cell r="E97" t="str">
            <v>服装-长裤-软壳裤</v>
          </cell>
          <cell r="F97" t="str">
            <v>一品多商</v>
          </cell>
          <cell r="G97" t="str">
            <v>品牌直发</v>
          </cell>
          <cell r="H97">
            <v>6384</v>
          </cell>
        </row>
        <row r="98">
          <cell r="C98">
            <v>166041014</v>
          </cell>
          <cell r="D98" t="str">
            <v>伯希和/PELLIOT</v>
          </cell>
          <cell r="E98" t="str">
            <v>流行饰品/眼镜/服配-发饰-头巾</v>
          </cell>
          <cell r="F98" t="str">
            <v>一品一商</v>
          </cell>
          <cell r="G98" t="str">
            <v>品牌直发</v>
          </cell>
          <cell r="H98">
            <v>752</v>
          </cell>
        </row>
        <row r="99">
          <cell r="C99">
            <v>11421425</v>
          </cell>
          <cell r="D99" t="str">
            <v>伯希和/PELLIOT</v>
          </cell>
          <cell r="E99" t="str">
            <v>服装-长裤-针织运动裤</v>
          </cell>
          <cell r="F99" t="str">
            <v>一品多商</v>
          </cell>
          <cell r="G99" t="str">
            <v>品牌直发</v>
          </cell>
          <cell r="H99">
            <v>1904</v>
          </cell>
        </row>
        <row r="100">
          <cell r="C100">
            <v>16423416</v>
          </cell>
          <cell r="D100" t="str">
            <v>伯希和/PELLIOT</v>
          </cell>
          <cell r="E100" t="str">
            <v>流行饰品/眼镜/服配-帽子-渔夫帽</v>
          </cell>
          <cell r="F100" t="str">
            <v>一品一商</v>
          </cell>
          <cell r="G100" t="str">
            <v>品牌直发</v>
          </cell>
          <cell r="H100">
            <v>1695</v>
          </cell>
        </row>
        <row r="101">
          <cell r="C101">
            <v>135212023</v>
          </cell>
          <cell r="D101" t="str">
            <v>伯希和/PELLIOT</v>
          </cell>
          <cell r="E101" t="str">
            <v>童装-儿童上装-防晒衣</v>
          </cell>
          <cell r="F101" t="str">
            <v>一品多商</v>
          </cell>
          <cell r="G101" t="str">
            <v>品牌直发</v>
          </cell>
          <cell r="H101">
            <v>3308</v>
          </cell>
        </row>
        <row r="102">
          <cell r="C102">
            <v>115302007</v>
          </cell>
          <cell r="D102" t="str">
            <v>伯希和/PELLIOT</v>
          </cell>
          <cell r="E102" t="str">
            <v>服装-长裤-冲锋裤</v>
          </cell>
          <cell r="F102" t="str">
            <v>一品多商</v>
          </cell>
          <cell r="G102" t="str">
            <v>品牌直发</v>
          </cell>
          <cell r="H102">
            <v>7316</v>
          </cell>
        </row>
        <row r="103">
          <cell r="C103">
            <v>165036013</v>
          </cell>
          <cell r="D103" t="str">
            <v>伯希和/PELLIOT</v>
          </cell>
          <cell r="E103" t="str">
            <v>户外装备-徒步/攀登-登山杖/手杖</v>
          </cell>
          <cell r="F103" t="str">
            <v>一品一商</v>
          </cell>
          <cell r="G103" t="str">
            <v>品牌直发</v>
          </cell>
          <cell r="H103">
            <v>3475</v>
          </cell>
        </row>
        <row r="104">
          <cell r="C104">
            <v>12040106</v>
          </cell>
          <cell r="D104" t="str">
            <v>伯希和/PELLIOT</v>
          </cell>
          <cell r="E104" t="str">
            <v>女装-外套-冲锋衣</v>
          </cell>
          <cell r="F104" t="str">
            <v>一品多商</v>
          </cell>
          <cell r="G104" t="str">
            <v>品牌直发</v>
          </cell>
          <cell r="H104">
            <v>8101</v>
          </cell>
        </row>
        <row r="105">
          <cell r="C105">
            <v>116151036</v>
          </cell>
          <cell r="D105" t="str">
            <v>伯希和/PELLIOT</v>
          </cell>
          <cell r="E105" t="str">
            <v>服装-外套-马甲</v>
          </cell>
          <cell r="F105" t="str">
            <v>一品多商</v>
          </cell>
          <cell r="G105" t="str">
            <v>品牌直发</v>
          </cell>
          <cell r="H105">
            <v>6747</v>
          </cell>
        </row>
        <row r="106">
          <cell r="C106">
            <v>12421426</v>
          </cell>
          <cell r="D106" t="str">
            <v>伯希和/PELLIOT</v>
          </cell>
          <cell r="E106" t="str">
            <v>女装-户外运动服-速干裤</v>
          </cell>
          <cell r="F106" t="str">
            <v>一品多商</v>
          </cell>
          <cell r="G106" t="str">
            <v>品牌直发</v>
          </cell>
          <cell r="H106">
            <v>1740</v>
          </cell>
        </row>
        <row r="107">
          <cell r="C107">
            <v>115215005</v>
          </cell>
          <cell r="D107" t="str">
            <v>伯希和/PELLIOT</v>
          </cell>
          <cell r="E107" t="str">
            <v>服装-户外运动服-速干T恤</v>
          </cell>
          <cell r="F107" t="str">
            <v>一品一商</v>
          </cell>
          <cell r="G107" t="str">
            <v>品牌直发</v>
          </cell>
          <cell r="H107">
            <v>2310</v>
          </cell>
        </row>
        <row r="108">
          <cell r="C108">
            <v>115381031</v>
          </cell>
          <cell r="D108" t="str">
            <v>伯希和/PELLIOT</v>
          </cell>
          <cell r="E108" t="str">
            <v>鞋-运动鞋-登山鞋/徒步鞋</v>
          </cell>
          <cell r="F108" t="str">
            <v>一品多商</v>
          </cell>
          <cell r="G108" t="str">
            <v>品牌直发</v>
          </cell>
          <cell r="H108">
            <v>9376</v>
          </cell>
        </row>
        <row r="109">
          <cell r="C109">
            <v>116119023</v>
          </cell>
          <cell r="D109" t="str">
            <v>伯希和/PELLIOT</v>
          </cell>
          <cell r="E109" t="str">
            <v>鞋-运动鞋-越野跑鞋</v>
          </cell>
          <cell r="F109" t="str">
            <v>一品多商</v>
          </cell>
          <cell r="G109" t="str">
            <v>品牌直发</v>
          </cell>
          <cell r="H109">
            <v>7855</v>
          </cell>
        </row>
        <row r="110">
          <cell r="C110">
            <v>116215064</v>
          </cell>
          <cell r="D110" t="str">
            <v>伯希和/PELLIOT</v>
          </cell>
          <cell r="E110" t="str">
            <v>服装-户外运动服-速干T恤</v>
          </cell>
          <cell r="F110" t="str">
            <v>一品一商</v>
          </cell>
          <cell r="G110" t="str">
            <v>品牌直发</v>
          </cell>
          <cell r="H110">
            <v>4326</v>
          </cell>
        </row>
        <row r="111">
          <cell r="C111">
            <v>166035019</v>
          </cell>
          <cell r="D111" t="str">
            <v>伯希和/PELLIOT</v>
          </cell>
          <cell r="E111" t="str">
            <v>内衣-袜子-短袜</v>
          </cell>
          <cell r="F111" t="str">
            <v>一品一商</v>
          </cell>
          <cell r="G111" t="str">
            <v>品牌直发</v>
          </cell>
          <cell r="H111">
            <v>392</v>
          </cell>
        </row>
        <row r="112">
          <cell r="C112">
            <v>126101177</v>
          </cell>
          <cell r="D112" t="str">
            <v>伯希和/PELLIOT</v>
          </cell>
          <cell r="E112" t="str">
            <v>女装-外套-冲锋衣</v>
          </cell>
          <cell r="F112" t="str">
            <v>一品多商</v>
          </cell>
          <cell r="G112" t="str">
            <v>品牌直发</v>
          </cell>
          <cell r="H112">
            <v>9352</v>
          </cell>
        </row>
        <row r="113">
          <cell r="C113">
            <v>12340164</v>
          </cell>
          <cell r="D113" t="str">
            <v>伯希和/PELLIOT</v>
          </cell>
          <cell r="E113" t="str">
            <v>服装-外套-冲锋衣</v>
          </cell>
          <cell r="F113" t="str">
            <v>一品多商</v>
          </cell>
          <cell r="G113" t="str">
            <v>品牌直发</v>
          </cell>
          <cell r="H113">
            <v>8934</v>
          </cell>
        </row>
        <row r="114">
          <cell r="C114">
            <v>12421254</v>
          </cell>
          <cell r="D114" t="str">
            <v>伯希和/PELLIOT</v>
          </cell>
          <cell r="E114" t="str">
            <v>女装-外套-防晒服</v>
          </cell>
          <cell r="F114" t="str">
            <v>一品多商</v>
          </cell>
          <cell r="G114" t="str">
            <v>品牌直发</v>
          </cell>
          <cell r="H114">
            <v>3284</v>
          </cell>
        </row>
        <row r="115">
          <cell r="C115">
            <v>12421252</v>
          </cell>
          <cell r="D115" t="str">
            <v>伯希和/PELLIOT</v>
          </cell>
          <cell r="E115" t="str">
            <v>女装-外套-防晒服</v>
          </cell>
          <cell r="F115" t="str">
            <v>一品多商</v>
          </cell>
          <cell r="G115" t="str">
            <v>品牌直发</v>
          </cell>
          <cell r="H115">
            <v>1106</v>
          </cell>
        </row>
        <row r="116">
          <cell r="C116">
            <v>16402506</v>
          </cell>
          <cell r="D116" t="str">
            <v>伯希和/PELLIOT</v>
          </cell>
          <cell r="E116" t="str">
            <v>箱包-包袋-户外包</v>
          </cell>
          <cell r="F116" t="str">
            <v>一品多商</v>
          </cell>
          <cell r="G116" t="str">
            <v>品牌直发</v>
          </cell>
          <cell r="H116">
            <v>2210</v>
          </cell>
        </row>
        <row r="117">
          <cell r="C117">
            <v>115301054</v>
          </cell>
          <cell r="D117" t="str">
            <v>伯希和/PELLIOT</v>
          </cell>
          <cell r="E117" t="str">
            <v>服装-外套-冲锋衣</v>
          </cell>
          <cell r="F117" t="str">
            <v>一品多商</v>
          </cell>
          <cell r="G117" t="str">
            <v>品牌直发</v>
          </cell>
          <cell r="H117">
            <v>7258</v>
          </cell>
        </row>
        <row r="118">
          <cell r="C118" t="str">
            <v>12340106-新加色</v>
          </cell>
          <cell r="D118" t="str">
            <v>伯希和/PELLIOT</v>
          </cell>
          <cell r="E118" t="str">
            <v>女装-外套-冲锋衣</v>
          </cell>
          <cell r="F118" t="str">
            <v>一品多商</v>
          </cell>
          <cell r="G118" t="str">
            <v>品牌直发</v>
          </cell>
          <cell r="H118">
            <v>5747</v>
          </cell>
        </row>
        <row r="119">
          <cell r="C119">
            <v>165036021</v>
          </cell>
          <cell r="D119" t="str">
            <v>伯希和/PELLIOT</v>
          </cell>
          <cell r="E119" t="str">
            <v>户外装备-徒步/攀登-登山杖/手杖</v>
          </cell>
          <cell r="F119" t="str">
            <v>一品一商</v>
          </cell>
          <cell r="G119" t="str">
            <v>品牌直发</v>
          </cell>
          <cell r="H119">
            <v>1703</v>
          </cell>
        </row>
        <row r="120">
          <cell r="C120">
            <v>116215049</v>
          </cell>
          <cell r="D120" t="str">
            <v>伯希和/PELLIOT</v>
          </cell>
          <cell r="E120" t="str">
            <v>服装-上衣-Polo衫</v>
          </cell>
          <cell r="F120" t="str">
            <v>一品一商</v>
          </cell>
          <cell r="G120" t="str">
            <v>品牌直发</v>
          </cell>
          <cell r="H120">
            <v>3317</v>
          </cell>
        </row>
        <row r="121">
          <cell r="C121">
            <v>116220011</v>
          </cell>
          <cell r="D121" t="str">
            <v>伯希和/PELLIOT</v>
          </cell>
          <cell r="E121" t="str">
            <v>鞋-凉鞋/拖鞋-溯溪鞋</v>
          </cell>
          <cell r="F121" t="str">
            <v>一品多商</v>
          </cell>
          <cell r="G121" t="str">
            <v>品牌直发</v>
          </cell>
          <cell r="H121">
            <v>6605</v>
          </cell>
        </row>
        <row r="122">
          <cell r="C122">
            <v>16402503</v>
          </cell>
          <cell r="D122" t="str">
            <v>伯希和/PELLIOT</v>
          </cell>
          <cell r="E122" t="str">
            <v>箱包-包袋-户外包</v>
          </cell>
          <cell r="F122" t="str">
            <v>一品多商</v>
          </cell>
          <cell r="G122" t="str">
            <v>品牌直发</v>
          </cell>
          <cell r="H122">
            <v>3816</v>
          </cell>
        </row>
        <row r="123">
          <cell r="C123" t="str">
            <v>12340164-2025</v>
          </cell>
          <cell r="D123" t="str">
            <v>伯希和/PELLIOT</v>
          </cell>
          <cell r="E123" t="str">
            <v>服装-外套-冲锋衣</v>
          </cell>
          <cell r="F123" t="str">
            <v>一品多商</v>
          </cell>
          <cell r="G123" t="str">
            <v>品牌直发</v>
          </cell>
          <cell r="H123">
            <v>8238</v>
          </cell>
        </row>
        <row r="124">
          <cell r="C124">
            <v>105025020</v>
          </cell>
          <cell r="D124" t="str">
            <v>伯希和/PELLIOT</v>
          </cell>
          <cell r="E124" t="str">
            <v>箱包-包袋-户外包</v>
          </cell>
          <cell r="F124" t="str">
            <v>一品一商</v>
          </cell>
          <cell r="G124" t="str">
            <v>品牌直发</v>
          </cell>
          <cell r="H124">
            <v>1548</v>
          </cell>
        </row>
        <row r="125">
          <cell r="C125">
            <v>165028444</v>
          </cell>
          <cell r="D125" t="str">
            <v>伯希和/PELLIOT</v>
          </cell>
          <cell r="E125" t="str">
            <v>户外装备-露营/野炊装备-露营防潮垫</v>
          </cell>
          <cell r="F125" t="str">
            <v>一品一商</v>
          </cell>
          <cell r="G125" t="str">
            <v>品牌直发</v>
          </cell>
          <cell r="H125">
            <v>444</v>
          </cell>
        </row>
        <row r="126">
          <cell r="C126">
            <v>116107027</v>
          </cell>
          <cell r="D126" t="str">
            <v>伯希和/PELLIOT</v>
          </cell>
          <cell r="E126" t="str">
            <v>服装-长裤-软壳裤</v>
          </cell>
          <cell r="F126" t="str">
            <v>一品一商</v>
          </cell>
          <cell r="G126" t="str">
            <v>品牌直发</v>
          </cell>
          <cell r="H126">
            <v>5062</v>
          </cell>
        </row>
        <row r="127">
          <cell r="C127">
            <v>126215061</v>
          </cell>
          <cell r="D127" t="str">
            <v>伯希和/PELLIOT</v>
          </cell>
          <cell r="E127" t="str">
            <v>女装-上衣-T恤</v>
          </cell>
          <cell r="F127" t="str">
            <v>一品一商</v>
          </cell>
          <cell r="G127" t="str">
            <v>品牌直发</v>
          </cell>
          <cell r="H127">
            <v>2355</v>
          </cell>
        </row>
        <row r="128">
          <cell r="C128">
            <v>116106036</v>
          </cell>
          <cell r="D128" t="str">
            <v>伯希和/PELLIOT</v>
          </cell>
          <cell r="E128" t="str">
            <v>服装-外套-软壳衣</v>
          </cell>
          <cell r="F128" t="str">
            <v>一品多商</v>
          </cell>
          <cell r="G128" t="str">
            <v>品牌直发</v>
          </cell>
          <cell r="H128">
            <v>5988</v>
          </cell>
        </row>
        <row r="129">
          <cell r="C129">
            <v>126220012</v>
          </cell>
          <cell r="D129" t="str">
            <v>伯希和/PELLIOT</v>
          </cell>
          <cell r="E129" t="str">
            <v>鞋-凉鞋/拖鞋-溯溪鞋</v>
          </cell>
          <cell r="F129" t="str">
            <v>一品一商</v>
          </cell>
          <cell r="G129" t="str">
            <v>品牌直发</v>
          </cell>
          <cell r="H129">
            <v>6546</v>
          </cell>
        </row>
        <row r="130">
          <cell r="C130" t="str">
            <v>11340105-新加色</v>
          </cell>
          <cell r="D130" t="str">
            <v>伯希和/PELLIOT</v>
          </cell>
          <cell r="E130" t="str">
            <v>服装-外套-冲锋衣</v>
          </cell>
          <cell r="F130" t="str">
            <v>一品多商</v>
          </cell>
          <cell r="G130" t="str">
            <v>品牌直发</v>
          </cell>
          <cell r="H130">
            <v>5128</v>
          </cell>
        </row>
        <row r="131">
          <cell r="C131">
            <v>125301055</v>
          </cell>
          <cell r="D131" t="str">
            <v>伯希和/PELLIOT</v>
          </cell>
          <cell r="E131" t="str">
            <v>女装-外套-冲锋衣</v>
          </cell>
          <cell r="F131" t="str">
            <v>一品多商</v>
          </cell>
          <cell r="G131" t="str">
            <v>品牌直发</v>
          </cell>
          <cell r="H131">
            <v>6146</v>
          </cell>
        </row>
        <row r="132">
          <cell r="C132">
            <v>116215062</v>
          </cell>
          <cell r="D132" t="str">
            <v>伯希和/PELLIOT</v>
          </cell>
          <cell r="E132" t="str">
            <v>服装-上衣-T恤</v>
          </cell>
          <cell r="F132" t="str">
            <v>一品一商</v>
          </cell>
          <cell r="G132" t="str">
            <v>品牌直发</v>
          </cell>
          <cell r="H132">
            <v>2697</v>
          </cell>
        </row>
        <row r="133">
          <cell r="C133" t="str">
            <v>BXH-MH6</v>
          </cell>
          <cell r="D133" t="str">
            <v>伯希和/PELLIOT</v>
          </cell>
          <cell r="E133" t="str">
            <v>女装-盲盒/礼盒-女装盲盒</v>
          </cell>
          <cell r="F133" t="str">
            <v>一品一商</v>
          </cell>
          <cell r="G133" t="str">
            <v>品牌直发</v>
          </cell>
          <cell r="H133">
            <v>979</v>
          </cell>
        </row>
        <row r="134">
          <cell r="C134">
            <v>11411405</v>
          </cell>
          <cell r="D134" t="str">
            <v>伯希和/PELLIOT</v>
          </cell>
          <cell r="E134" t="str">
            <v>服装-长裤-软壳裤</v>
          </cell>
          <cell r="F134" t="str">
            <v>一品多商</v>
          </cell>
          <cell r="G134" t="str">
            <v>品牌直发</v>
          </cell>
          <cell r="H134">
            <v>1744</v>
          </cell>
        </row>
        <row r="135">
          <cell r="C135">
            <v>165025069</v>
          </cell>
          <cell r="D135" t="str">
            <v>伯希和/PELLIOT</v>
          </cell>
          <cell r="E135" t="str">
            <v>箱包-包袋-户外包</v>
          </cell>
          <cell r="F135" t="str">
            <v>一品一商</v>
          </cell>
          <cell r="G135" t="str">
            <v>品牌直发</v>
          </cell>
          <cell r="H135">
            <v>1100</v>
          </cell>
        </row>
        <row r="136">
          <cell r="C136" t="str">
            <v>PE114307167</v>
          </cell>
          <cell r="D136" t="str">
            <v>伯希和/PELLIOT</v>
          </cell>
          <cell r="E136" t="str">
            <v>服装-长裤-软壳裤</v>
          </cell>
          <cell r="F136" t="str">
            <v>一品多商</v>
          </cell>
          <cell r="G136" t="str">
            <v>品牌直发</v>
          </cell>
          <cell r="H136">
            <v>3054</v>
          </cell>
        </row>
        <row r="137">
          <cell r="C137">
            <v>124419008</v>
          </cell>
          <cell r="D137" t="str">
            <v>伯希和/PELLIOT</v>
          </cell>
          <cell r="E137" t="str">
            <v>鞋-运动鞋-登山鞋/徒步鞋</v>
          </cell>
          <cell r="F137" t="str">
            <v>一品一商</v>
          </cell>
          <cell r="G137" t="str">
            <v>品牌直发</v>
          </cell>
          <cell r="H137">
            <v>5812</v>
          </cell>
        </row>
        <row r="138">
          <cell r="C138" t="str">
            <v>PE125101014</v>
          </cell>
          <cell r="D138" t="str">
            <v>伯希和/PELLIOT</v>
          </cell>
          <cell r="E138" t="str">
            <v>女装-外套-冲锋衣</v>
          </cell>
          <cell r="F138" t="str">
            <v>一品多商</v>
          </cell>
          <cell r="G138" t="str">
            <v>品牌直发</v>
          </cell>
          <cell r="H138">
            <v>2990</v>
          </cell>
        </row>
        <row r="139">
          <cell r="C139">
            <v>115119035</v>
          </cell>
          <cell r="D139" t="str">
            <v>伯希和/PELLIOT</v>
          </cell>
          <cell r="E139" t="str">
            <v>鞋-运动鞋-登山鞋/徒步鞋</v>
          </cell>
          <cell r="F139" t="str">
            <v>一品多商</v>
          </cell>
          <cell r="G139" t="str">
            <v>品牌直发</v>
          </cell>
          <cell r="H139">
            <v>4990</v>
          </cell>
        </row>
        <row r="140">
          <cell r="C140">
            <v>125214022</v>
          </cell>
          <cell r="D140" t="str">
            <v>伯希和/PELLIOT</v>
          </cell>
          <cell r="E140" t="str">
            <v>女装-户外运动服-速干裤</v>
          </cell>
          <cell r="F140" t="str">
            <v>一品多商</v>
          </cell>
          <cell r="G140" t="str">
            <v>品牌直发</v>
          </cell>
          <cell r="H140">
            <v>2430</v>
          </cell>
        </row>
        <row r="141">
          <cell r="C141">
            <v>105301083</v>
          </cell>
          <cell r="D141" t="str">
            <v>伯希和/PELLIOT</v>
          </cell>
          <cell r="E141" t="str">
            <v>服装-外套-冲锋衣</v>
          </cell>
          <cell r="F141" t="str">
            <v>一品多商</v>
          </cell>
          <cell r="G141" t="str">
            <v>品牌直发</v>
          </cell>
          <cell r="H141">
            <v>6144</v>
          </cell>
        </row>
        <row r="142">
          <cell r="C142">
            <v>165025040</v>
          </cell>
          <cell r="D142" t="str">
            <v>伯希和/PELLIOT</v>
          </cell>
          <cell r="E142" t="str">
            <v>箱包-包袋-户外包</v>
          </cell>
          <cell r="F142" t="str">
            <v>一品多商</v>
          </cell>
          <cell r="G142" t="str">
            <v>品牌直发</v>
          </cell>
          <cell r="H142">
            <v>3181</v>
          </cell>
        </row>
        <row r="143">
          <cell r="C143">
            <v>106101134</v>
          </cell>
          <cell r="D143" t="str">
            <v>伯希和/PELLIOT</v>
          </cell>
          <cell r="E143" t="str">
            <v>服装-外套-冲锋衣</v>
          </cell>
          <cell r="F143" t="str">
            <v>一品多商</v>
          </cell>
          <cell r="G143" t="str">
            <v>品牌直发</v>
          </cell>
          <cell r="H143">
            <v>4690</v>
          </cell>
        </row>
        <row r="144">
          <cell r="C144">
            <v>106101138</v>
          </cell>
          <cell r="D144" t="str">
            <v>伯希和/PELLIOT</v>
          </cell>
          <cell r="E144" t="str">
            <v>服装-外套-冲锋衣</v>
          </cell>
          <cell r="F144" t="str">
            <v>一品多商</v>
          </cell>
          <cell r="G144" t="str">
            <v>品牌直发</v>
          </cell>
          <cell r="H144">
            <v>7432</v>
          </cell>
        </row>
        <row r="145">
          <cell r="C145">
            <v>106106074</v>
          </cell>
          <cell r="D145" t="str">
            <v>伯希和/PELLIOT</v>
          </cell>
          <cell r="E145" t="str">
            <v>服装-外套-软壳衣</v>
          </cell>
          <cell r="F145" t="str">
            <v>一品多商</v>
          </cell>
          <cell r="G145" t="str">
            <v>品牌直发</v>
          </cell>
          <cell r="H145">
            <v>4390</v>
          </cell>
        </row>
        <row r="146">
          <cell r="C146" t="str">
            <v>116302030-服</v>
          </cell>
          <cell r="D146" t="str">
            <v>伯希和/PELLIOT</v>
          </cell>
          <cell r="E146" t="str">
            <v>服装-长裤-冲锋裤</v>
          </cell>
          <cell r="F146" t="str">
            <v>一品多商</v>
          </cell>
          <cell r="G146" t="str">
            <v>品牌直发</v>
          </cell>
          <cell r="H146">
            <v>4636</v>
          </cell>
        </row>
        <row r="147">
          <cell r="C147">
            <v>11410201</v>
          </cell>
          <cell r="D147" t="str">
            <v>伯希和/PELLIOT</v>
          </cell>
          <cell r="E147" t="str">
            <v>服装-长裤-冲锋裤</v>
          </cell>
          <cell r="F147" t="str">
            <v>一品多商</v>
          </cell>
          <cell r="G147" t="str">
            <v>品牌直发</v>
          </cell>
          <cell r="H147">
            <v>4463</v>
          </cell>
        </row>
        <row r="148">
          <cell r="C148">
            <v>12421412</v>
          </cell>
          <cell r="D148" t="str">
            <v>伯希和/PELLIOT</v>
          </cell>
          <cell r="E148" t="str">
            <v>女装-户外运动服-速干裤</v>
          </cell>
          <cell r="F148" t="str">
            <v>一品一商</v>
          </cell>
          <cell r="G148" t="str">
            <v>品牌直发</v>
          </cell>
          <cell r="H148">
            <v>1590</v>
          </cell>
        </row>
        <row r="149">
          <cell r="C149">
            <v>12421508</v>
          </cell>
          <cell r="D149" t="str">
            <v>伯希和/PELLIOT</v>
          </cell>
          <cell r="E149" t="str">
            <v>女装-上衣-Polo衫</v>
          </cell>
          <cell r="F149" t="str">
            <v>一品多商</v>
          </cell>
          <cell r="G149" t="str">
            <v>品牌直发</v>
          </cell>
          <cell r="H149">
            <v>1932</v>
          </cell>
        </row>
        <row r="150">
          <cell r="C150">
            <v>12421558</v>
          </cell>
          <cell r="D150" t="str">
            <v>伯希和/PELLIOT</v>
          </cell>
          <cell r="E150" t="str">
            <v>女装-上衣-T恤</v>
          </cell>
          <cell r="F150" t="str">
            <v>一品多商</v>
          </cell>
          <cell r="G150" t="str">
            <v>品牌直发</v>
          </cell>
          <cell r="H150">
            <v>817</v>
          </cell>
        </row>
        <row r="151">
          <cell r="C151">
            <v>12421520</v>
          </cell>
          <cell r="D151" t="str">
            <v>伯希和/PELLIOT</v>
          </cell>
          <cell r="E151" t="str">
            <v>女装-上衣-Polo衫</v>
          </cell>
          <cell r="F151" t="str">
            <v>一品多商</v>
          </cell>
          <cell r="G151" t="str">
            <v>品牌直发</v>
          </cell>
          <cell r="H151">
            <v>1529</v>
          </cell>
        </row>
        <row r="152">
          <cell r="C152">
            <v>124301030</v>
          </cell>
          <cell r="D152" t="str">
            <v>伯希和/PELLIOT</v>
          </cell>
          <cell r="E152" t="str">
            <v>女装-外套-冲锋衣</v>
          </cell>
          <cell r="F152" t="str">
            <v>一品多商</v>
          </cell>
          <cell r="G152" t="str">
            <v>品牌直发</v>
          </cell>
          <cell r="H152">
            <v>4017</v>
          </cell>
        </row>
        <row r="153">
          <cell r="C153">
            <v>125212004</v>
          </cell>
          <cell r="D153" t="str">
            <v>伯希和/PELLIOT</v>
          </cell>
          <cell r="E153" t="str">
            <v>女装-外套-防晒服</v>
          </cell>
          <cell r="F153" t="str">
            <v>一品多商</v>
          </cell>
          <cell r="G153" t="str">
            <v>品牌直发</v>
          </cell>
          <cell r="H153">
            <v>2233</v>
          </cell>
        </row>
        <row r="154">
          <cell r="C154">
            <v>115101013</v>
          </cell>
          <cell r="D154" t="str">
            <v>伯希和/PELLIOT</v>
          </cell>
          <cell r="E154" t="str">
            <v>服装-外套-冲锋衣</v>
          </cell>
          <cell r="F154" t="str">
            <v>一品多商</v>
          </cell>
          <cell r="G154" t="str">
            <v>品牌直发</v>
          </cell>
          <cell r="H154">
            <v>2691</v>
          </cell>
        </row>
        <row r="155">
          <cell r="C155">
            <v>115214013</v>
          </cell>
          <cell r="D155" t="str">
            <v>伯希和/PELLIOT</v>
          </cell>
          <cell r="E155" t="str">
            <v>服装-长裤-休闲裤</v>
          </cell>
          <cell r="F155" t="str">
            <v>一品一商</v>
          </cell>
          <cell r="G155" t="str">
            <v>品牌直发</v>
          </cell>
          <cell r="H155">
            <v>3095</v>
          </cell>
        </row>
        <row r="156">
          <cell r="C156">
            <v>125214014</v>
          </cell>
          <cell r="D156" t="str">
            <v>伯希和/PELLIOT</v>
          </cell>
          <cell r="E156" t="str">
            <v>女装-长裤-休闲裤</v>
          </cell>
          <cell r="F156" t="str">
            <v>一品一商</v>
          </cell>
          <cell r="G156" t="str">
            <v>品牌直发</v>
          </cell>
          <cell r="H156">
            <v>3167</v>
          </cell>
        </row>
        <row r="157">
          <cell r="C157">
            <v>115381003</v>
          </cell>
          <cell r="D157" t="str">
            <v>伯希和/PELLIOT</v>
          </cell>
          <cell r="E157" t="str">
            <v>鞋-运动鞋-登山鞋/徒步鞋</v>
          </cell>
          <cell r="F157" t="str">
            <v>一品多商</v>
          </cell>
          <cell r="G157" t="str">
            <v>品牌直发</v>
          </cell>
          <cell r="H157">
            <v>5269</v>
          </cell>
        </row>
        <row r="158">
          <cell r="C158">
            <v>12221440</v>
          </cell>
          <cell r="D158" t="str">
            <v>伯希和/PELLIOT</v>
          </cell>
          <cell r="E158" t="str">
            <v>女装-户外运动服-速干裤</v>
          </cell>
          <cell r="F158" t="str">
            <v>一品多商</v>
          </cell>
          <cell r="G158" t="str">
            <v>品牌直发</v>
          </cell>
          <cell r="H158">
            <v>495</v>
          </cell>
        </row>
        <row r="159">
          <cell r="C159">
            <v>115402010</v>
          </cell>
          <cell r="D159" t="str">
            <v>伯希和/PELLIOT</v>
          </cell>
          <cell r="E159" t="str">
            <v>服装-长裤-冲锋裤</v>
          </cell>
          <cell r="F159" t="str">
            <v>一品多商</v>
          </cell>
          <cell r="G159" t="str">
            <v>品牌直发</v>
          </cell>
          <cell r="H159">
            <v>5128</v>
          </cell>
        </row>
        <row r="160">
          <cell r="C160">
            <v>126119024</v>
          </cell>
          <cell r="D160" t="str">
            <v>伯希和/PELLIOT</v>
          </cell>
          <cell r="E160" t="str">
            <v>鞋-运动鞋-越野跑鞋</v>
          </cell>
          <cell r="F160" t="str">
            <v>一品多商</v>
          </cell>
          <cell r="G160" t="str">
            <v>品牌直发</v>
          </cell>
          <cell r="H160">
            <v>4898</v>
          </cell>
        </row>
        <row r="161">
          <cell r="C161">
            <v>116215066</v>
          </cell>
          <cell r="D161" t="str">
            <v>伯希和/PELLIOT</v>
          </cell>
          <cell r="E161" t="str">
            <v>服装-上衣-T恤</v>
          </cell>
          <cell r="F161" t="str">
            <v>一品一商</v>
          </cell>
          <cell r="G161" t="str">
            <v>品牌直发</v>
          </cell>
          <cell r="H161">
            <v>2547</v>
          </cell>
        </row>
        <row r="162">
          <cell r="C162">
            <v>165034033</v>
          </cell>
          <cell r="D162" t="str">
            <v>伯希和/PELLIOT</v>
          </cell>
          <cell r="E162" t="str">
            <v>流行饰品/眼镜/服配-帽子-鸭舌帽</v>
          </cell>
          <cell r="F162" t="str">
            <v>一品一商</v>
          </cell>
          <cell r="G162" t="str">
            <v>品牌直发</v>
          </cell>
          <cell r="H162">
            <v>846</v>
          </cell>
        </row>
        <row r="163">
          <cell r="C163">
            <v>136212049</v>
          </cell>
          <cell r="D163" t="str">
            <v>伯希和/PELLIOT</v>
          </cell>
          <cell r="E163" t="str">
            <v>童装-儿童上装-防晒衣</v>
          </cell>
          <cell r="F163" t="str">
            <v>一品多商</v>
          </cell>
          <cell r="G163" t="str">
            <v>品牌直发</v>
          </cell>
          <cell r="H163">
            <v>1935</v>
          </cell>
        </row>
        <row r="164">
          <cell r="C164">
            <v>106101201</v>
          </cell>
          <cell r="D164" t="str">
            <v>伯希和/PELLIOT</v>
          </cell>
          <cell r="E164" t="str">
            <v>服装-外套-冲锋衣</v>
          </cell>
          <cell r="F164" t="str">
            <v>一品多商</v>
          </cell>
          <cell r="G164" t="str">
            <v>品牌直发</v>
          </cell>
          <cell r="H164">
            <v>5214</v>
          </cell>
        </row>
        <row r="165">
          <cell r="C165">
            <v>116101176</v>
          </cell>
          <cell r="D165" t="str">
            <v>伯希和/PELLIOT</v>
          </cell>
          <cell r="E165" t="str">
            <v>服装-外套-冲锋衣</v>
          </cell>
          <cell r="F165" t="str">
            <v>一品多商</v>
          </cell>
          <cell r="G165" t="str">
            <v>品牌直发</v>
          </cell>
          <cell r="H165">
            <v>6167</v>
          </cell>
        </row>
        <row r="166">
          <cell r="C166">
            <v>11331801</v>
          </cell>
          <cell r="D166" t="str">
            <v>伯希和/PELLIOT</v>
          </cell>
          <cell r="E166" t="str">
            <v>内衣-内衣裤-保暖套装</v>
          </cell>
          <cell r="F166" t="str">
            <v>一品一商</v>
          </cell>
          <cell r="G166" t="str">
            <v>品牌直发</v>
          </cell>
          <cell r="H166">
            <v>2150</v>
          </cell>
        </row>
        <row r="167">
          <cell r="C167">
            <v>116423401</v>
          </cell>
          <cell r="D167" t="str">
            <v>伯希和/PELLIOT</v>
          </cell>
          <cell r="E167" t="str">
            <v>流行饰品/眼镜/服配-帽子-渔夫帽</v>
          </cell>
          <cell r="F167" t="str">
            <v>一品一商</v>
          </cell>
          <cell r="G167" t="str">
            <v>品牌直发</v>
          </cell>
          <cell r="H167">
            <v>756</v>
          </cell>
        </row>
        <row r="168">
          <cell r="C168">
            <v>11421503</v>
          </cell>
          <cell r="D168" t="str">
            <v>伯希和/PELLIOT</v>
          </cell>
          <cell r="E168" t="str">
            <v>服装-上衣-Polo衫</v>
          </cell>
          <cell r="F168" t="str">
            <v>一品多商</v>
          </cell>
          <cell r="G168" t="str">
            <v>品牌直发</v>
          </cell>
          <cell r="H168">
            <v>2117</v>
          </cell>
        </row>
        <row r="169">
          <cell r="C169">
            <v>115316032</v>
          </cell>
          <cell r="D169" t="str">
            <v>伯希和/PELLIOT</v>
          </cell>
          <cell r="E169" t="str">
            <v>服装-上衣-T恤</v>
          </cell>
          <cell r="F169" t="str">
            <v>一品多商</v>
          </cell>
          <cell r="G169" t="str">
            <v>品牌直发</v>
          </cell>
          <cell r="H169">
            <v>2226</v>
          </cell>
        </row>
        <row r="170">
          <cell r="C170">
            <v>115319013</v>
          </cell>
          <cell r="D170" t="str">
            <v>伯希和/PELLIOT</v>
          </cell>
          <cell r="E170" t="str">
            <v>鞋-运动鞋-越野跑鞋</v>
          </cell>
          <cell r="F170" t="str">
            <v>一品多商</v>
          </cell>
          <cell r="G170" t="str">
            <v>品牌直发</v>
          </cell>
          <cell r="H170">
            <v>4072</v>
          </cell>
        </row>
        <row r="171">
          <cell r="C171">
            <v>116220003</v>
          </cell>
          <cell r="D171" t="str">
            <v>伯希和/PELLIOT</v>
          </cell>
          <cell r="E171" t="str">
            <v>鞋-凉鞋/拖鞋-溯溪鞋</v>
          </cell>
          <cell r="F171" t="str">
            <v>一品多商</v>
          </cell>
          <cell r="G171" t="str">
            <v>普通现货</v>
          </cell>
          <cell r="H171">
            <v>3992</v>
          </cell>
        </row>
        <row r="172">
          <cell r="C172">
            <v>111421201</v>
          </cell>
          <cell r="D172" t="str">
            <v>伯希和/PELLIOT</v>
          </cell>
          <cell r="E172" t="str">
            <v>服装-外套-防晒服</v>
          </cell>
          <cell r="F172" t="str">
            <v>一品一商</v>
          </cell>
          <cell r="G172" t="str">
            <v>品牌直发</v>
          </cell>
          <cell r="H172">
            <v>1987</v>
          </cell>
        </row>
        <row r="173">
          <cell r="C173">
            <v>166034048</v>
          </cell>
          <cell r="D173" t="str">
            <v>伯希和/PELLIOT</v>
          </cell>
          <cell r="E173" t="str">
            <v>流行饰品/眼镜/服配-帽子-棒球帽</v>
          </cell>
          <cell r="F173" t="str">
            <v>一品一商</v>
          </cell>
          <cell r="G173" t="str">
            <v>品牌直发</v>
          </cell>
          <cell r="H173">
            <v>600</v>
          </cell>
        </row>
        <row r="174">
          <cell r="C174">
            <v>16202612</v>
          </cell>
          <cell r="D174" t="str">
            <v>伯希和/PELLIOT</v>
          </cell>
          <cell r="E174" t="str">
            <v>箱包-包袋-户外包</v>
          </cell>
          <cell r="F174" t="str">
            <v>一品一商</v>
          </cell>
          <cell r="G174" t="str">
            <v>品牌直发</v>
          </cell>
          <cell r="H174">
            <v>315</v>
          </cell>
        </row>
        <row r="175">
          <cell r="C175">
            <v>12421532</v>
          </cell>
          <cell r="D175" t="str">
            <v>伯希和/PELLIOT</v>
          </cell>
          <cell r="E175" t="str">
            <v>女装-上衣-T恤</v>
          </cell>
          <cell r="F175" t="str">
            <v>一品多商</v>
          </cell>
          <cell r="G175" t="str">
            <v>品牌直发</v>
          </cell>
          <cell r="H175">
            <v>553</v>
          </cell>
        </row>
        <row r="176">
          <cell r="C176">
            <v>124401042</v>
          </cell>
          <cell r="D176" t="str">
            <v>伯希和/PELLIOT</v>
          </cell>
          <cell r="E176" t="str">
            <v>女装-外套-冲锋衣</v>
          </cell>
          <cell r="F176" t="str">
            <v>一品多商</v>
          </cell>
          <cell r="G176" t="str">
            <v>品牌直发</v>
          </cell>
          <cell r="H176">
            <v>6517</v>
          </cell>
        </row>
        <row r="177">
          <cell r="C177" t="str">
            <v>PE125119026</v>
          </cell>
          <cell r="D177" t="str">
            <v>伯希和/PELLIOT</v>
          </cell>
          <cell r="E177" t="str">
            <v>鞋-运动鞋-跑步鞋</v>
          </cell>
          <cell r="F177" t="str">
            <v>一品多商</v>
          </cell>
          <cell r="G177" t="str">
            <v>品牌直发</v>
          </cell>
          <cell r="H177">
            <v>2510</v>
          </cell>
        </row>
        <row r="178">
          <cell r="C178">
            <v>115181001</v>
          </cell>
          <cell r="D178" t="str">
            <v>伯希和/PELLIOT</v>
          </cell>
          <cell r="E178" t="str">
            <v>鞋-运动鞋-登山鞋/徒步鞋</v>
          </cell>
          <cell r="F178" t="str">
            <v>一品多商</v>
          </cell>
          <cell r="G178" t="str">
            <v>品牌直发</v>
          </cell>
          <cell r="H178">
            <v>3850</v>
          </cell>
        </row>
        <row r="179">
          <cell r="C179">
            <v>125302008</v>
          </cell>
          <cell r="D179" t="str">
            <v>伯希和/PELLIOT</v>
          </cell>
          <cell r="E179" t="str">
            <v>女装-长裤-冲锋裤</v>
          </cell>
          <cell r="F179" t="str">
            <v>一品多商</v>
          </cell>
          <cell r="G179" t="str">
            <v>品牌直发</v>
          </cell>
          <cell r="H179">
            <v>3073</v>
          </cell>
        </row>
        <row r="180">
          <cell r="C180">
            <v>125302004</v>
          </cell>
          <cell r="D180" t="str">
            <v>伯希和/PELLIOT</v>
          </cell>
          <cell r="E180" t="str">
            <v>女装-长裤-冲锋裤</v>
          </cell>
          <cell r="F180" t="str">
            <v>一品多商</v>
          </cell>
          <cell r="G180" t="str">
            <v>品牌直发</v>
          </cell>
          <cell r="H180">
            <v>3896</v>
          </cell>
        </row>
        <row r="181">
          <cell r="C181">
            <v>125382008</v>
          </cell>
          <cell r="D181" t="str">
            <v>伯希和/PELLIOT</v>
          </cell>
          <cell r="E181" t="str">
            <v>鞋-运动鞋-登山鞋/徒步鞋</v>
          </cell>
          <cell r="F181" t="str">
            <v>一品多商</v>
          </cell>
          <cell r="G181" t="str">
            <v>品牌直发</v>
          </cell>
          <cell r="H181">
            <v>5910</v>
          </cell>
        </row>
        <row r="182">
          <cell r="C182">
            <v>115319011</v>
          </cell>
          <cell r="D182" t="str">
            <v>伯希和/PELLIOT</v>
          </cell>
          <cell r="E182" t="str">
            <v>鞋-运动鞋-越野跑鞋</v>
          </cell>
          <cell r="F182" t="str">
            <v>一品多商</v>
          </cell>
          <cell r="G182" t="str">
            <v>普通现货</v>
          </cell>
          <cell r="H182">
            <v>4893</v>
          </cell>
        </row>
        <row r="183">
          <cell r="C183">
            <v>116215055</v>
          </cell>
          <cell r="D183" t="str">
            <v>伯希和/PELLIOT</v>
          </cell>
          <cell r="E183" t="str">
            <v>服装-上衣-Polo衫</v>
          </cell>
          <cell r="F183" t="str">
            <v>一品一商</v>
          </cell>
          <cell r="G183" t="str">
            <v>品牌直发</v>
          </cell>
          <cell r="H183">
            <v>3423</v>
          </cell>
        </row>
        <row r="184">
          <cell r="C184">
            <v>116214040</v>
          </cell>
          <cell r="D184" t="str">
            <v>伯希和/PELLIOT</v>
          </cell>
          <cell r="E184" t="str">
            <v>服装-户外运动服-速干裤</v>
          </cell>
          <cell r="F184" t="str">
            <v>一品一商</v>
          </cell>
          <cell r="G184" t="str">
            <v>品牌直发</v>
          </cell>
          <cell r="H184">
            <v>2047</v>
          </cell>
        </row>
        <row r="185">
          <cell r="C185">
            <v>106215070</v>
          </cell>
          <cell r="D185" t="str">
            <v>伯希和/PELLIOT</v>
          </cell>
          <cell r="E185" t="str">
            <v>服装-上衣-T恤</v>
          </cell>
          <cell r="F185" t="str">
            <v>一品一商</v>
          </cell>
          <cell r="G185" t="str">
            <v>品牌直发</v>
          </cell>
          <cell r="H185">
            <v>2022</v>
          </cell>
        </row>
        <row r="186">
          <cell r="C186">
            <v>166034065</v>
          </cell>
          <cell r="D186" t="str">
            <v>伯希和/PELLIOT</v>
          </cell>
          <cell r="E186" t="str">
            <v>流行饰品/眼镜/服配-防晒服配-防晒帽</v>
          </cell>
          <cell r="F186" t="str">
            <v>一品一商</v>
          </cell>
          <cell r="G186" t="str">
            <v>品牌直发</v>
          </cell>
          <cell r="H186">
            <v>784</v>
          </cell>
        </row>
        <row r="187">
          <cell r="C187">
            <v>12022104</v>
          </cell>
          <cell r="D187" t="str">
            <v>伯希和/PELLIOT</v>
          </cell>
          <cell r="E187" t="str">
            <v>鞋-运动鞋-户外功能鞋</v>
          </cell>
          <cell r="F187" t="str">
            <v>一品一商</v>
          </cell>
          <cell r="G187" t="str">
            <v>品牌直发</v>
          </cell>
          <cell r="H187">
            <v>168</v>
          </cell>
        </row>
        <row r="188">
          <cell r="C188">
            <v>11421429</v>
          </cell>
          <cell r="D188" t="str">
            <v>伯希和/PELLIOT</v>
          </cell>
          <cell r="E188" t="str">
            <v>服装-短裤-休闲短裤</v>
          </cell>
          <cell r="F188" t="str">
            <v>一品一商</v>
          </cell>
          <cell r="G188" t="str">
            <v>品牌直发</v>
          </cell>
          <cell r="H188">
            <v>1171</v>
          </cell>
        </row>
        <row r="189">
          <cell r="C189">
            <v>164026416</v>
          </cell>
          <cell r="D189" t="str">
            <v>伯希和/PELLIOT</v>
          </cell>
          <cell r="E189" t="str">
            <v>箱包-包袋-户外包</v>
          </cell>
          <cell r="F189" t="str">
            <v>一品一商</v>
          </cell>
          <cell r="G189" t="str">
            <v>品牌直发</v>
          </cell>
          <cell r="H189">
            <v>672</v>
          </cell>
        </row>
        <row r="190">
          <cell r="C190" t="str">
            <v>PE13421431</v>
          </cell>
          <cell r="D190" t="str">
            <v>伯希和/PELLIOT</v>
          </cell>
          <cell r="E190" t="str">
            <v>童装-儿童下装-短裤</v>
          </cell>
          <cell r="F190" t="str">
            <v>一品一商</v>
          </cell>
          <cell r="G190" t="str">
            <v>品牌直发</v>
          </cell>
          <cell r="H190">
            <v>354</v>
          </cell>
        </row>
        <row r="191">
          <cell r="C191" t="str">
            <v>PE124314376</v>
          </cell>
          <cell r="D191" t="str">
            <v>伯希和/PELLIOT</v>
          </cell>
          <cell r="E191" t="str">
            <v>服装-户外运动服-速干裤</v>
          </cell>
          <cell r="F191" t="str">
            <v>一品多商</v>
          </cell>
          <cell r="G191" t="str">
            <v>品牌直发</v>
          </cell>
          <cell r="H191">
            <v>2229</v>
          </cell>
        </row>
        <row r="192">
          <cell r="C192">
            <v>114310191</v>
          </cell>
          <cell r="D192" t="str">
            <v>伯希和/PELLIOT</v>
          </cell>
          <cell r="E192" t="str">
            <v>服装-户外运动服-抓绒衣</v>
          </cell>
          <cell r="F192" t="str">
            <v>一品多商</v>
          </cell>
          <cell r="G192" t="str">
            <v>品牌直发</v>
          </cell>
          <cell r="H192">
            <v>1872</v>
          </cell>
        </row>
        <row r="193">
          <cell r="C193">
            <v>1115116007</v>
          </cell>
          <cell r="D193" t="str">
            <v>伯希和/PELLIOT</v>
          </cell>
          <cell r="E193" t="str">
            <v>服装-上衣-T恤</v>
          </cell>
          <cell r="F193" t="str">
            <v>一品一商</v>
          </cell>
          <cell r="G193" t="str">
            <v>品牌直发</v>
          </cell>
          <cell r="H193">
            <v>834</v>
          </cell>
        </row>
        <row r="194">
          <cell r="C194">
            <v>115119031</v>
          </cell>
          <cell r="D194" t="str">
            <v>伯希和/PELLIOT</v>
          </cell>
          <cell r="E194" t="str">
            <v>鞋-运动鞋-登山鞋/徒步鞋</v>
          </cell>
          <cell r="F194" t="str">
            <v>一品多商</v>
          </cell>
          <cell r="G194" t="str">
            <v>品牌直发</v>
          </cell>
          <cell r="H194">
            <v>4471</v>
          </cell>
        </row>
        <row r="195">
          <cell r="C195">
            <v>105112021</v>
          </cell>
          <cell r="D195" t="str">
            <v>伯希和/PELLIOT</v>
          </cell>
          <cell r="E195" t="str">
            <v>服装-外套-防晒服</v>
          </cell>
          <cell r="F195" t="str">
            <v>一品多商</v>
          </cell>
          <cell r="G195" t="str">
            <v>品牌直发</v>
          </cell>
          <cell r="H195">
            <v>2054</v>
          </cell>
        </row>
        <row r="196">
          <cell r="C196" t="str">
            <v>PE125107004</v>
          </cell>
          <cell r="D196" t="str">
            <v>伯希和/PELLIOT</v>
          </cell>
          <cell r="E196" t="str">
            <v>女装-长裤-软壳裤</v>
          </cell>
          <cell r="F196" t="str">
            <v>一品多商</v>
          </cell>
          <cell r="G196" t="str">
            <v>品牌直发</v>
          </cell>
          <cell r="H196">
            <v>2876</v>
          </cell>
        </row>
        <row r="197">
          <cell r="C197">
            <v>115119027</v>
          </cell>
          <cell r="D197" t="str">
            <v>伯希和/PELLIOT</v>
          </cell>
          <cell r="E197" t="str">
            <v>鞋-运动鞋-越野跑鞋</v>
          </cell>
          <cell r="F197" t="str">
            <v>一品多商</v>
          </cell>
          <cell r="G197" t="str">
            <v>品牌直发</v>
          </cell>
          <cell r="H197">
            <v>2234</v>
          </cell>
        </row>
        <row r="198">
          <cell r="C198">
            <v>115215047</v>
          </cell>
          <cell r="D198" t="str">
            <v>伯希和/PELLIOT</v>
          </cell>
          <cell r="E198" t="str">
            <v>服装-上衣-T恤</v>
          </cell>
          <cell r="F198" t="str">
            <v>一品一商</v>
          </cell>
          <cell r="G198" t="str">
            <v>品牌直发</v>
          </cell>
          <cell r="H198">
            <v>474</v>
          </cell>
        </row>
        <row r="199">
          <cell r="C199">
            <v>115215007</v>
          </cell>
          <cell r="D199" t="str">
            <v>伯希和/PELLIOT</v>
          </cell>
          <cell r="E199" t="str">
            <v>服装-上衣-Polo衫</v>
          </cell>
          <cell r="F199" t="str">
            <v>一品多商</v>
          </cell>
          <cell r="G199" t="str">
            <v>品牌直发</v>
          </cell>
          <cell r="H199">
            <v>1919</v>
          </cell>
        </row>
        <row r="200">
          <cell r="C200">
            <v>1124301070</v>
          </cell>
          <cell r="D200" t="str">
            <v>伯希和/PELLIOT</v>
          </cell>
          <cell r="E200" t="str">
            <v>服装-外套-冲锋衣</v>
          </cell>
          <cell r="F200" t="str">
            <v>一品多商</v>
          </cell>
          <cell r="G200" t="str">
            <v>品牌直发</v>
          </cell>
          <cell r="H200">
            <v>5030</v>
          </cell>
        </row>
        <row r="201">
          <cell r="C201">
            <v>115306017</v>
          </cell>
          <cell r="D201" t="str">
            <v>伯希和/PELLIOT</v>
          </cell>
          <cell r="E201" t="str">
            <v>服装-外套-软壳衣</v>
          </cell>
          <cell r="F201" t="str">
            <v>一品多商</v>
          </cell>
          <cell r="G201" t="str">
            <v>品牌直发</v>
          </cell>
          <cell r="H201">
            <v>2325</v>
          </cell>
        </row>
        <row r="202">
          <cell r="C202" t="str">
            <v>16403644-2025</v>
          </cell>
          <cell r="D202" t="str">
            <v>伯希和/PELLIOT</v>
          </cell>
          <cell r="E202" t="str">
            <v>户外装备-徒步/攀登-登山杖/手杖</v>
          </cell>
          <cell r="F202" t="str">
            <v>一品一商</v>
          </cell>
          <cell r="G202" t="str">
            <v>品牌直发</v>
          </cell>
          <cell r="H202">
            <v>1410</v>
          </cell>
        </row>
        <row r="203">
          <cell r="C203">
            <v>165035007</v>
          </cell>
          <cell r="D203" t="str">
            <v>伯希和/PELLIOT</v>
          </cell>
          <cell r="E203" t="str">
            <v>内衣-袜子-短袜</v>
          </cell>
          <cell r="F203" t="str">
            <v>一品一商</v>
          </cell>
          <cell r="G203" t="str">
            <v>品牌直发</v>
          </cell>
          <cell r="H203">
            <v>222</v>
          </cell>
        </row>
        <row r="204">
          <cell r="C204">
            <v>166025074</v>
          </cell>
          <cell r="D204" t="str">
            <v>伯希和/PELLIOT</v>
          </cell>
          <cell r="E204" t="str">
            <v>箱包-包袋-户外包</v>
          </cell>
          <cell r="F204" t="str">
            <v>一品一商</v>
          </cell>
          <cell r="G204" t="str">
            <v>品牌直发</v>
          </cell>
          <cell r="H204">
            <v>2064</v>
          </cell>
        </row>
        <row r="205">
          <cell r="C205" t="str">
            <v>124101048-2026</v>
          </cell>
          <cell r="D205" t="str">
            <v>伯希和/PELLIOT</v>
          </cell>
          <cell r="E205" t="str">
            <v>服装-外套-冲锋衣</v>
          </cell>
          <cell r="F205" t="str">
            <v>一品多商</v>
          </cell>
          <cell r="G205" t="str">
            <v>品牌直发</v>
          </cell>
          <cell r="H205">
            <v>4140</v>
          </cell>
        </row>
        <row r="206">
          <cell r="C206">
            <v>126212031</v>
          </cell>
          <cell r="D206" t="str">
            <v>伯希和/PELLIOT</v>
          </cell>
          <cell r="E206" t="str">
            <v>女装-外套-防晒服</v>
          </cell>
          <cell r="F206" t="str">
            <v>一品多商</v>
          </cell>
          <cell r="G206" t="str">
            <v>品牌直发</v>
          </cell>
          <cell r="H206">
            <v>2334</v>
          </cell>
        </row>
        <row r="207">
          <cell r="C207">
            <v>115110021</v>
          </cell>
          <cell r="D207" t="str">
            <v>伯希和/PELLIOT</v>
          </cell>
          <cell r="E207" t="str">
            <v>服装-户外运动服-抓绒衣</v>
          </cell>
          <cell r="F207" t="str">
            <v>一品多商</v>
          </cell>
          <cell r="G207" t="str">
            <v>品牌直发</v>
          </cell>
          <cell r="H207">
            <v>1371</v>
          </cell>
        </row>
        <row r="208">
          <cell r="C208">
            <v>116212025</v>
          </cell>
          <cell r="D208" t="str">
            <v>伯希和/PELLIOT</v>
          </cell>
          <cell r="E208" t="str">
            <v>服装-外套-防晒服</v>
          </cell>
          <cell r="F208" t="str">
            <v>一品多商</v>
          </cell>
          <cell r="G208" t="str">
            <v>品牌直发</v>
          </cell>
          <cell r="H208">
            <v>2934</v>
          </cell>
        </row>
        <row r="209">
          <cell r="C209">
            <v>166035020</v>
          </cell>
          <cell r="D209" t="str">
            <v>伯希和/PELLIOT</v>
          </cell>
          <cell r="E209" t="str">
            <v>内衣-袜子-短袜</v>
          </cell>
          <cell r="F209" t="str">
            <v>一品一商</v>
          </cell>
          <cell r="G209" t="str">
            <v>品牌直发</v>
          </cell>
          <cell r="H209">
            <v>222</v>
          </cell>
        </row>
        <row r="210">
          <cell r="C210">
            <v>16325602</v>
          </cell>
          <cell r="D210" t="str">
            <v>伯希和/PELLIOT</v>
          </cell>
          <cell r="E210" t="str">
            <v>流行饰品/眼镜/服配-配饰-口罩</v>
          </cell>
          <cell r="F210" t="str">
            <v>一品一商</v>
          </cell>
          <cell r="G210" t="str">
            <v>品牌直发</v>
          </cell>
          <cell r="H210">
            <v>185</v>
          </cell>
        </row>
        <row r="211">
          <cell r="C211">
            <v>12331902</v>
          </cell>
          <cell r="D211" t="str">
            <v>伯希和/PELLIOT</v>
          </cell>
          <cell r="E211" t="str">
            <v>鞋-运动鞋-登山鞋/徒步鞋</v>
          </cell>
          <cell r="F211" t="str">
            <v>一品一商</v>
          </cell>
          <cell r="G211" t="str">
            <v>品牌直发</v>
          </cell>
          <cell r="H211">
            <v>1345</v>
          </cell>
        </row>
        <row r="212">
          <cell r="C212">
            <v>16402501</v>
          </cell>
          <cell r="D212" t="str">
            <v>伯希和/PELLIOT</v>
          </cell>
          <cell r="E212" t="str">
            <v>箱包-包袋-户外包</v>
          </cell>
          <cell r="F212" t="str">
            <v>一品一商</v>
          </cell>
          <cell r="G212" t="str">
            <v>品牌直发</v>
          </cell>
          <cell r="H212">
            <v>778</v>
          </cell>
        </row>
        <row r="213">
          <cell r="C213">
            <v>115212007</v>
          </cell>
          <cell r="D213" t="str">
            <v>伯希和/PELLIOT</v>
          </cell>
          <cell r="E213" t="str">
            <v>服装-外套-防晒服</v>
          </cell>
          <cell r="F213" t="str">
            <v>一品多商</v>
          </cell>
          <cell r="G213" t="str">
            <v>品牌直发</v>
          </cell>
          <cell r="H213">
            <v>1145</v>
          </cell>
        </row>
        <row r="214">
          <cell r="C214">
            <v>125215040</v>
          </cell>
          <cell r="D214" t="str">
            <v>伯希和/PELLIOT</v>
          </cell>
          <cell r="E214" t="str">
            <v>女装-上衣-Polo衫</v>
          </cell>
          <cell r="F214" t="str">
            <v>一品一商</v>
          </cell>
          <cell r="G214" t="str">
            <v>品牌直发</v>
          </cell>
          <cell r="H214">
            <v>1345</v>
          </cell>
        </row>
        <row r="215">
          <cell r="C215">
            <v>135215035</v>
          </cell>
          <cell r="D215" t="str">
            <v>伯希和/PELLIOT</v>
          </cell>
          <cell r="E215" t="str">
            <v>童装-儿童上装-T恤</v>
          </cell>
          <cell r="F215" t="str">
            <v>一品一商</v>
          </cell>
          <cell r="G215" t="str">
            <v>品牌直发</v>
          </cell>
          <cell r="H215">
            <v>345</v>
          </cell>
        </row>
        <row r="216">
          <cell r="C216">
            <v>115214015</v>
          </cell>
          <cell r="D216" t="str">
            <v>伯希和/PELLIOT</v>
          </cell>
          <cell r="E216" t="str">
            <v>服装-户外运动服-速干裤</v>
          </cell>
          <cell r="F216" t="str">
            <v>一品多商</v>
          </cell>
          <cell r="G216" t="str">
            <v>品牌直发</v>
          </cell>
          <cell r="H216">
            <v>1120</v>
          </cell>
        </row>
        <row r="217">
          <cell r="C217">
            <v>125214008</v>
          </cell>
          <cell r="D217" t="str">
            <v>伯希和/PELLIOT</v>
          </cell>
          <cell r="E217" t="str">
            <v>女装-健身服-运动短裤</v>
          </cell>
          <cell r="F217" t="str">
            <v>一品一商</v>
          </cell>
          <cell r="G217" t="str">
            <v>品牌直发</v>
          </cell>
          <cell r="H217">
            <v>1686</v>
          </cell>
        </row>
        <row r="218">
          <cell r="C218">
            <v>165025027</v>
          </cell>
          <cell r="D218" t="str">
            <v>伯希和/PELLIOT</v>
          </cell>
          <cell r="E218" t="str">
            <v>箱包-包袋-户外包</v>
          </cell>
          <cell r="F218" t="str">
            <v>一品一商</v>
          </cell>
          <cell r="G218" t="str">
            <v>品牌直发</v>
          </cell>
          <cell r="H218">
            <v>902</v>
          </cell>
        </row>
        <row r="219">
          <cell r="C219">
            <v>105025015</v>
          </cell>
          <cell r="D219" t="str">
            <v>伯希和/PELLIOT</v>
          </cell>
          <cell r="E219" t="str">
            <v>箱包-包袋-户外包</v>
          </cell>
          <cell r="F219" t="str">
            <v>一品一商</v>
          </cell>
          <cell r="G219" t="str">
            <v>品牌直发</v>
          </cell>
          <cell r="H219">
            <v>2960</v>
          </cell>
        </row>
        <row r="220">
          <cell r="C220" t="str">
            <v>124101048-25新加色</v>
          </cell>
          <cell r="D220" t="str">
            <v>伯希和/PELLIOT</v>
          </cell>
          <cell r="E220" t="str">
            <v>服装-外套-冲锋衣</v>
          </cell>
          <cell r="F220" t="str">
            <v>一品多商</v>
          </cell>
          <cell r="G220" t="str">
            <v>品牌直发</v>
          </cell>
          <cell r="H220">
            <v>3450</v>
          </cell>
        </row>
        <row r="221">
          <cell r="C221">
            <v>115301098</v>
          </cell>
          <cell r="D221" t="str">
            <v>伯希和/PELLIOT</v>
          </cell>
          <cell r="E221" t="str">
            <v>服装-外套-冲锋衣</v>
          </cell>
          <cell r="F221" t="str">
            <v>一品一商</v>
          </cell>
          <cell r="G221" t="str">
            <v>品牌直发</v>
          </cell>
          <cell r="H221">
            <v>2734</v>
          </cell>
        </row>
        <row r="222">
          <cell r="C222">
            <v>165044010</v>
          </cell>
          <cell r="D222" t="str">
            <v>伯希和/PELLIOT</v>
          </cell>
          <cell r="E222" t="str">
            <v>户外装备-露营/野炊装备-户外水袋</v>
          </cell>
          <cell r="F222" t="str">
            <v>一品一商</v>
          </cell>
          <cell r="G222" t="str">
            <v>品牌直发</v>
          </cell>
          <cell r="H222">
            <v>411</v>
          </cell>
        </row>
        <row r="223">
          <cell r="C223">
            <v>165030033</v>
          </cell>
          <cell r="D223" t="str">
            <v>伯希和/PELLIOT</v>
          </cell>
          <cell r="E223" t="str">
            <v>户外装备-露营/野炊装备-户外睡袋</v>
          </cell>
          <cell r="F223" t="str">
            <v>一品一商</v>
          </cell>
          <cell r="G223" t="str">
            <v>品牌直发</v>
          </cell>
          <cell r="H223">
            <v>1116</v>
          </cell>
        </row>
        <row r="224">
          <cell r="C224">
            <v>116119005</v>
          </cell>
          <cell r="D224" t="str">
            <v>伯希和/PELLIOT</v>
          </cell>
          <cell r="E224" t="str">
            <v>鞋-运动鞋-越野跑鞋</v>
          </cell>
          <cell r="F224" t="str">
            <v>一品多商</v>
          </cell>
          <cell r="G224" t="str">
            <v>普通现货</v>
          </cell>
          <cell r="H224">
            <v>3170</v>
          </cell>
        </row>
        <row r="225">
          <cell r="C225">
            <v>116107029</v>
          </cell>
          <cell r="D225" t="str">
            <v>伯希和/PELLIOT</v>
          </cell>
          <cell r="E225" t="str">
            <v>服装-长裤-软壳裤</v>
          </cell>
          <cell r="F225" t="str">
            <v>一品多商</v>
          </cell>
          <cell r="G225" t="str">
            <v>品牌直发</v>
          </cell>
          <cell r="H225">
            <v>2745</v>
          </cell>
        </row>
        <row r="226">
          <cell r="C226">
            <v>116214030</v>
          </cell>
          <cell r="D226" t="str">
            <v>伯希和/PELLIOT</v>
          </cell>
          <cell r="E226" t="str">
            <v>服装-长裤-休闲裤</v>
          </cell>
          <cell r="F226" t="str">
            <v>一品一商</v>
          </cell>
          <cell r="G226" t="str">
            <v>品牌直发</v>
          </cell>
          <cell r="H226">
            <v>2145</v>
          </cell>
        </row>
        <row r="227">
          <cell r="C227">
            <v>126215063</v>
          </cell>
          <cell r="D227" t="str">
            <v>伯希和/PELLIOT</v>
          </cell>
          <cell r="E227" t="str">
            <v>女装-户外运动服-速干T恤</v>
          </cell>
          <cell r="F227" t="str">
            <v>一品一商</v>
          </cell>
          <cell r="G227" t="str">
            <v>品牌直发</v>
          </cell>
          <cell r="H227">
            <v>1210</v>
          </cell>
        </row>
        <row r="228">
          <cell r="C228">
            <v>165041009</v>
          </cell>
          <cell r="D228" t="str">
            <v>伯希和/PELLIOT</v>
          </cell>
          <cell r="E228" t="str">
            <v>流行饰品/眼镜/服配-发饰-头巾</v>
          </cell>
          <cell r="F228" t="str">
            <v>一品一商</v>
          </cell>
          <cell r="G228" t="str">
            <v>品牌直发</v>
          </cell>
          <cell r="H228">
            <v>235</v>
          </cell>
        </row>
        <row r="229">
          <cell r="C229" t="str">
            <v>116119007-鞋</v>
          </cell>
          <cell r="D229" t="str">
            <v>伯希和/PELLIOT</v>
          </cell>
          <cell r="E229" t="str">
            <v>鞋-运动鞋-越野跑鞋</v>
          </cell>
          <cell r="F229" t="str">
            <v>一品多商</v>
          </cell>
          <cell r="G229" t="str">
            <v>品牌直发</v>
          </cell>
          <cell r="H229">
            <v>3495</v>
          </cell>
        </row>
        <row r="230">
          <cell r="C230">
            <v>166025085</v>
          </cell>
          <cell r="D230" t="str">
            <v>伯希和/PELLIOT</v>
          </cell>
          <cell r="E230" t="str">
            <v>箱包-包袋-户外包</v>
          </cell>
          <cell r="F230" t="str">
            <v>一品多商</v>
          </cell>
          <cell r="G230" t="str">
            <v>品牌直发</v>
          </cell>
          <cell r="H230">
            <v>2065</v>
          </cell>
        </row>
        <row r="231">
          <cell r="C231">
            <v>12340836</v>
          </cell>
          <cell r="D231" t="str">
            <v>伯希和/PELLIOT</v>
          </cell>
          <cell r="E231" t="str">
            <v>服装-外套-羽绒服</v>
          </cell>
          <cell r="F231" t="str">
            <v>一品多商</v>
          </cell>
          <cell r="G231" t="str">
            <v>品牌直发</v>
          </cell>
          <cell r="H231">
            <v>2194</v>
          </cell>
        </row>
        <row r="232">
          <cell r="C232">
            <v>116215158</v>
          </cell>
          <cell r="D232" t="str">
            <v>伯希和/PELLIOT</v>
          </cell>
          <cell r="E232" t="str">
            <v>服装-上衣-Polo衫</v>
          </cell>
          <cell r="F232" t="str">
            <v>一品一商</v>
          </cell>
          <cell r="G232" t="str">
            <v>品牌直发</v>
          </cell>
          <cell r="H232">
            <v>995</v>
          </cell>
        </row>
        <row r="233">
          <cell r="C233">
            <v>106316067</v>
          </cell>
          <cell r="D233" t="str">
            <v>伯希和/PELLIOT</v>
          </cell>
          <cell r="E233" t="str">
            <v>服装-上衣-T恤</v>
          </cell>
          <cell r="F233" t="str">
            <v>一品一商</v>
          </cell>
          <cell r="G233" t="str">
            <v>品牌直发</v>
          </cell>
          <cell r="H233">
            <v>1995</v>
          </cell>
        </row>
        <row r="234">
          <cell r="C234">
            <v>12422004</v>
          </cell>
          <cell r="D234" t="str">
            <v>伯希和/PELLIOT</v>
          </cell>
          <cell r="E234" t="str">
            <v>鞋-运动鞋-户外功能鞋</v>
          </cell>
          <cell r="F234" t="str">
            <v>一品一商</v>
          </cell>
          <cell r="G234" t="str">
            <v>品牌直发</v>
          </cell>
          <cell r="H234">
            <v>1008</v>
          </cell>
        </row>
        <row r="235">
          <cell r="C235">
            <v>114301029</v>
          </cell>
          <cell r="D235" t="str">
            <v>伯希和/PELLIOT</v>
          </cell>
          <cell r="E235" t="str">
            <v>服装-外套-冲锋衣</v>
          </cell>
          <cell r="F235" t="str">
            <v>一品多商</v>
          </cell>
          <cell r="G235" t="str">
            <v>品牌直发</v>
          </cell>
          <cell r="H235">
            <v>1819</v>
          </cell>
        </row>
        <row r="236">
          <cell r="C236">
            <v>114315385</v>
          </cell>
          <cell r="D236" t="str">
            <v>伯希和/PELLIOT</v>
          </cell>
          <cell r="E236" t="str">
            <v>服装-上衣-T恤</v>
          </cell>
          <cell r="F236" t="str">
            <v>一品多商</v>
          </cell>
          <cell r="G236" t="str">
            <v>品牌直发</v>
          </cell>
          <cell r="H236">
            <v>988</v>
          </cell>
        </row>
        <row r="237">
          <cell r="C237">
            <v>105025003</v>
          </cell>
          <cell r="D237" t="str">
            <v>伯希和/PELLIOT</v>
          </cell>
          <cell r="E237" t="str">
            <v>箱包-包袋-户外包</v>
          </cell>
          <cell r="F237" t="str">
            <v>一品一商</v>
          </cell>
          <cell r="G237" t="str">
            <v>品牌直发</v>
          </cell>
          <cell r="H237">
            <v>370</v>
          </cell>
        </row>
        <row r="238">
          <cell r="C238">
            <v>135101017</v>
          </cell>
          <cell r="D238" t="str">
            <v>伯希和/PELLIOT</v>
          </cell>
          <cell r="E238" t="str">
            <v>童装-儿童上装-冲锋衣</v>
          </cell>
          <cell r="F238" t="str">
            <v>一品多商</v>
          </cell>
          <cell r="G238" t="str">
            <v>品牌直发</v>
          </cell>
          <cell r="H238">
            <v>1987</v>
          </cell>
        </row>
        <row r="239">
          <cell r="C239">
            <v>115106003</v>
          </cell>
          <cell r="D239" t="str">
            <v>伯希和/PELLIOT</v>
          </cell>
          <cell r="E239" t="str">
            <v>服装-外套-软壳衣</v>
          </cell>
          <cell r="F239" t="str">
            <v>一品多商</v>
          </cell>
          <cell r="G239" t="str">
            <v>品牌直发</v>
          </cell>
          <cell r="H239">
            <v>2413</v>
          </cell>
        </row>
        <row r="240">
          <cell r="C240">
            <v>115215017</v>
          </cell>
          <cell r="D240" t="str">
            <v>伯希和/PELLIOT</v>
          </cell>
          <cell r="E240" t="str">
            <v>服装-上衣-T恤</v>
          </cell>
          <cell r="F240" t="str">
            <v>一品一商</v>
          </cell>
          <cell r="G240" t="str">
            <v>品牌直发</v>
          </cell>
          <cell r="H240">
            <v>921</v>
          </cell>
        </row>
        <row r="241">
          <cell r="C241">
            <v>125215046</v>
          </cell>
          <cell r="D241" t="str">
            <v>伯希和/PELLIOT</v>
          </cell>
          <cell r="E241" t="str">
            <v>女装-上衣-T恤</v>
          </cell>
          <cell r="F241" t="str">
            <v>一品一商</v>
          </cell>
          <cell r="G241" t="str">
            <v>品牌直发</v>
          </cell>
          <cell r="H241">
            <v>574</v>
          </cell>
        </row>
        <row r="242">
          <cell r="C242" t="str">
            <v>12421220-新加色</v>
          </cell>
          <cell r="D242" t="str">
            <v>伯希和/PELLIOT</v>
          </cell>
          <cell r="E242" t="str">
            <v>服装-外套-防晒服</v>
          </cell>
          <cell r="F242" t="str">
            <v>一品多商</v>
          </cell>
          <cell r="G242" t="str">
            <v>品牌直发</v>
          </cell>
          <cell r="H242">
            <v>1196</v>
          </cell>
        </row>
        <row r="243">
          <cell r="C243">
            <v>115119029</v>
          </cell>
          <cell r="D243" t="str">
            <v>伯希和/PELLIOT</v>
          </cell>
          <cell r="E243" t="str">
            <v>鞋-运动鞋-越野跑鞋</v>
          </cell>
          <cell r="F243" t="str">
            <v>一品多商</v>
          </cell>
          <cell r="G243" t="str">
            <v>品牌直发</v>
          </cell>
          <cell r="H243">
            <v>1720</v>
          </cell>
        </row>
        <row r="244">
          <cell r="C244" t="str">
            <v>PE12340164</v>
          </cell>
          <cell r="D244" t="str">
            <v>伯希和/PELLIOT</v>
          </cell>
          <cell r="E244" t="str">
            <v>女装-外套-冲锋衣</v>
          </cell>
          <cell r="F244" t="str">
            <v>一品多商</v>
          </cell>
          <cell r="G244" t="str">
            <v>品牌直发</v>
          </cell>
          <cell r="H244">
            <v>2686</v>
          </cell>
        </row>
        <row r="245">
          <cell r="C245">
            <v>105315080</v>
          </cell>
          <cell r="D245" t="str">
            <v>伯希和/PELLIOT</v>
          </cell>
          <cell r="E245" t="str">
            <v>服装-上衣-T恤</v>
          </cell>
          <cell r="F245" t="str">
            <v>一品多商</v>
          </cell>
          <cell r="G245" t="str">
            <v>品牌直发</v>
          </cell>
          <cell r="H245">
            <v>757</v>
          </cell>
        </row>
        <row r="246">
          <cell r="C246">
            <v>125110022</v>
          </cell>
          <cell r="D246" t="str">
            <v>伯希和/PELLIOT</v>
          </cell>
          <cell r="E246" t="str">
            <v>女装-户外运动服-抓绒衣</v>
          </cell>
          <cell r="F246" t="str">
            <v>一品多商</v>
          </cell>
          <cell r="G246" t="str">
            <v>品牌直发</v>
          </cell>
          <cell r="H246">
            <v>896</v>
          </cell>
        </row>
        <row r="247">
          <cell r="C247">
            <v>165035015</v>
          </cell>
          <cell r="D247" t="str">
            <v>伯希和/PELLIOT</v>
          </cell>
          <cell r="E247" t="str">
            <v>内衣-袜子-中筒袜</v>
          </cell>
          <cell r="F247" t="str">
            <v>一品一商</v>
          </cell>
          <cell r="G247" t="str">
            <v>品牌直发</v>
          </cell>
          <cell r="H247">
            <v>300</v>
          </cell>
        </row>
        <row r="248">
          <cell r="C248">
            <v>106101108</v>
          </cell>
          <cell r="D248" t="str">
            <v>伯希和/PELLIOT</v>
          </cell>
          <cell r="E248" t="str">
            <v>服装-外套-冲锋衣</v>
          </cell>
          <cell r="F248" t="str">
            <v>一品多商</v>
          </cell>
          <cell r="G248" t="str">
            <v>品牌直发</v>
          </cell>
          <cell r="H248">
            <v>2944</v>
          </cell>
        </row>
        <row r="249">
          <cell r="C249" t="str">
            <v>126107030-2025</v>
          </cell>
          <cell r="D249" t="str">
            <v>伯希和/PELLIOT</v>
          </cell>
          <cell r="E249" t="str">
            <v>女装-长裤-软壳裤</v>
          </cell>
          <cell r="F249" t="str">
            <v>一品一商</v>
          </cell>
          <cell r="G249" t="str">
            <v>品牌直发</v>
          </cell>
          <cell r="H249">
            <v>2196</v>
          </cell>
        </row>
        <row r="250">
          <cell r="C250">
            <v>12240112</v>
          </cell>
          <cell r="D250" t="str">
            <v>伯希和/PELLIOT</v>
          </cell>
          <cell r="E250" t="str">
            <v>女装-外套-冲锋衣</v>
          </cell>
          <cell r="F250" t="str">
            <v>一品多商</v>
          </cell>
          <cell r="G250" t="str">
            <v>品牌直发</v>
          </cell>
          <cell r="H250">
            <v>1928</v>
          </cell>
        </row>
        <row r="251">
          <cell r="C251">
            <v>116215058</v>
          </cell>
          <cell r="D251" t="str">
            <v>伯希和/PELLIOT</v>
          </cell>
          <cell r="E251" t="str">
            <v>服装-上衣-T恤</v>
          </cell>
          <cell r="F251" t="str">
            <v>一品多商</v>
          </cell>
          <cell r="G251" t="str">
            <v>品牌直发</v>
          </cell>
          <cell r="H251">
            <v>1196</v>
          </cell>
        </row>
        <row r="252">
          <cell r="C252">
            <v>126207035</v>
          </cell>
          <cell r="D252" t="str">
            <v>伯希和/PELLIOT</v>
          </cell>
          <cell r="E252" t="str">
            <v>女装-短裤-休闲短裤</v>
          </cell>
          <cell r="F252" t="str">
            <v>一品一商</v>
          </cell>
          <cell r="G252" t="str">
            <v>品牌直发</v>
          </cell>
          <cell r="H252">
            <v>1127</v>
          </cell>
        </row>
        <row r="253">
          <cell r="C253">
            <v>126106037</v>
          </cell>
          <cell r="D253" t="str">
            <v>伯希和/PELLIOT</v>
          </cell>
          <cell r="E253" t="str">
            <v>女装-外套-软壳衣</v>
          </cell>
          <cell r="F253" t="str">
            <v>一品多商</v>
          </cell>
          <cell r="G253" t="str">
            <v>品牌直发</v>
          </cell>
          <cell r="H253">
            <v>1996</v>
          </cell>
        </row>
        <row r="254">
          <cell r="C254">
            <v>116215086</v>
          </cell>
          <cell r="D254" t="str">
            <v>伯希和/PELLIOT</v>
          </cell>
          <cell r="E254" t="str">
            <v>服装-上衣-T恤</v>
          </cell>
          <cell r="F254" t="str">
            <v>一品一商</v>
          </cell>
          <cell r="G254" t="str">
            <v>品牌直发</v>
          </cell>
          <cell r="H254">
            <v>956</v>
          </cell>
        </row>
        <row r="255">
          <cell r="C255">
            <v>126215087</v>
          </cell>
          <cell r="D255" t="str">
            <v>伯希和/PELLIOT</v>
          </cell>
          <cell r="E255" t="str">
            <v>女装-上衣-T恤</v>
          </cell>
          <cell r="F255" t="str">
            <v>一品一商</v>
          </cell>
          <cell r="G255" t="str">
            <v>品牌直发</v>
          </cell>
          <cell r="H255">
            <v>956</v>
          </cell>
        </row>
        <row r="256">
          <cell r="C256">
            <v>116219003</v>
          </cell>
          <cell r="D256" t="str">
            <v>伯希和/PELLIOT</v>
          </cell>
          <cell r="E256" t="str">
            <v>鞋-运动鞋-越野跑鞋</v>
          </cell>
          <cell r="F256" t="str">
            <v>一品多商</v>
          </cell>
          <cell r="G256" t="str">
            <v>品牌直发</v>
          </cell>
          <cell r="H256">
            <v>2734</v>
          </cell>
        </row>
        <row r="257">
          <cell r="C257" t="str">
            <v>16102811-垫子</v>
          </cell>
          <cell r="D257" t="str">
            <v>伯希和/PELLIOT</v>
          </cell>
          <cell r="E257" t="str">
            <v>户外装备-露营/野炊装备-露营防潮垫</v>
          </cell>
          <cell r="F257" t="str">
            <v>一品一商</v>
          </cell>
          <cell r="G257" t="str">
            <v>品牌直发</v>
          </cell>
          <cell r="H257">
            <v>112</v>
          </cell>
        </row>
        <row r="258">
          <cell r="C258">
            <v>126278028</v>
          </cell>
          <cell r="D258" t="str">
            <v>伯希和/PELLIOT</v>
          </cell>
          <cell r="E258" t="str">
            <v>女装-短裤-休闲短裤</v>
          </cell>
          <cell r="F258" t="str">
            <v>一品一商</v>
          </cell>
          <cell r="G258" t="str">
            <v>品牌直发</v>
          </cell>
          <cell r="H258">
            <v>1287</v>
          </cell>
        </row>
        <row r="259">
          <cell r="C259">
            <v>126215085</v>
          </cell>
          <cell r="D259" t="str">
            <v>伯希和/PELLIOT</v>
          </cell>
          <cell r="E259" t="str">
            <v>女装-上衣-Polo衫</v>
          </cell>
          <cell r="F259" t="str">
            <v>一品一商</v>
          </cell>
          <cell r="G259" t="str">
            <v>品牌直发</v>
          </cell>
          <cell r="H259">
            <v>933</v>
          </cell>
        </row>
        <row r="260">
          <cell r="C260">
            <v>166044014</v>
          </cell>
          <cell r="D260" t="str">
            <v>伯希和/PELLIOT</v>
          </cell>
          <cell r="E260" t="str">
            <v>户外装备-露营/野炊装备-其他户外水具</v>
          </cell>
          <cell r="F260" t="str">
            <v>一品一商</v>
          </cell>
          <cell r="G260" t="str">
            <v>品牌直发</v>
          </cell>
          <cell r="H260">
            <v>196</v>
          </cell>
        </row>
        <row r="261">
          <cell r="C261">
            <v>12421256</v>
          </cell>
          <cell r="D261" t="str">
            <v>伯希和/PELLIOT</v>
          </cell>
          <cell r="E261" t="str">
            <v>女装-外套-防晒服</v>
          </cell>
          <cell r="F261" t="str">
            <v>一品多商</v>
          </cell>
          <cell r="G261" t="str">
            <v>品牌直发</v>
          </cell>
          <cell r="H261">
            <v>396</v>
          </cell>
        </row>
        <row r="262">
          <cell r="C262">
            <v>11421531</v>
          </cell>
          <cell r="D262" t="str">
            <v>伯希和/PELLIOT</v>
          </cell>
          <cell r="E262" t="str">
            <v>服装-上衣-T恤</v>
          </cell>
          <cell r="F262" t="str">
            <v>一品多商</v>
          </cell>
          <cell r="G262" t="str">
            <v>品牌直发</v>
          </cell>
          <cell r="H262">
            <v>359</v>
          </cell>
        </row>
        <row r="263">
          <cell r="C263">
            <v>12410148</v>
          </cell>
          <cell r="D263" t="str">
            <v>伯希和/PELLIOT</v>
          </cell>
          <cell r="E263" t="str">
            <v>女装-外套-冲锋衣</v>
          </cell>
          <cell r="F263" t="str">
            <v>一品多商</v>
          </cell>
          <cell r="G263" t="str">
            <v>品牌直发</v>
          </cell>
          <cell r="H263">
            <v>597</v>
          </cell>
        </row>
        <row r="264">
          <cell r="C264">
            <v>16702609</v>
          </cell>
          <cell r="D264" t="str">
            <v>伯希和/PELLIOT</v>
          </cell>
          <cell r="E264" t="str">
            <v>箱包-包袋-手机包</v>
          </cell>
          <cell r="F264" t="str">
            <v>一品一商</v>
          </cell>
          <cell r="G264" t="str">
            <v>品牌直发</v>
          </cell>
          <cell r="H264">
            <v>113</v>
          </cell>
        </row>
        <row r="265">
          <cell r="C265">
            <v>124301006</v>
          </cell>
          <cell r="D265" t="str">
            <v>伯希和/PELLIOT</v>
          </cell>
          <cell r="E265" t="str">
            <v>服装-外套-冲锋衣</v>
          </cell>
          <cell r="F265" t="str">
            <v>一品多商</v>
          </cell>
          <cell r="G265" t="str">
            <v>品牌直发</v>
          </cell>
          <cell r="H265">
            <v>1917</v>
          </cell>
        </row>
        <row r="266">
          <cell r="C266">
            <v>16404401</v>
          </cell>
          <cell r="D266" t="str">
            <v>伯希和/PELLIOT</v>
          </cell>
          <cell r="E266" t="str">
            <v>箱包-包袋-户外包</v>
          </cell>
          <cell r="F266" t="str">
            <v>一品一商</v>
          </cell>
          <cell r="G266" t="str">
            <v>品牌直发</v>
          </cell>
          <cell r="H266">
            <v>310</v>
          </cell>
        </row>
        <row r="267">
          <cell r="C267">
            <v>16343453</v>
          </cell>
          <cell r="D267" t="str">
            <v>伯希和/PELLIOT</v>
          </cell>
          <cell r="E267" t="str">
            <v>流行饰品/眼镜/服配-帽子-其他帽子</v>
          </cell>
          <cell r="F267" t="str">
            <v>一品一商</v>
          </cell>
          <cell r="G267" t="str">
            <v>品牌直发</v>
          </cell>
          <cell r="H267">
            <v>126</v>
          </cell>
        </row>
        <row r="268">
          <cell r="C268">
            <v>114310189</v>
          </cell>
          <cell r="D268" t="str">
            <v>伯希和/PELLIOT</v>
          </cell>
          <cell r="E268" t="str">
            <v>服装-户外运动服-抓绒衣</v>
          </cell>
          <cell r="F268" t="str">
            <v>一品一商</v>
          </cell>
          <cell r="G268" t="str">
            <v>品牌直发</v>
          </cell>
          <cell r="H268">
            <v>769</v>
          </cell>
        </row>
        <row r="269">
          <cell r="C269">
            <v>114319017</v>
          </cell>
          <cell r="D269" t="str">
            <v>伯希和/PELLIOT</v>
          </cell>
          <cell r="E269" t="str">
            <v>鞋-运动鞋-登山鞋/徒步鞋</v>
          </cell>
          <cell r="F269" t="str">
            <v>一品一商</v>
          </cell>
          <cell r="G269" t="str">
            <v>品牌直发</v>
          </cell>
          <cell r="H269">
            <v>1365</v>
          </cell>
        </row>
        <row r="270">
          <cell r="C270">
            <v>115102001</v>
          </cell>
          <cell r="D270" t="str">
            <v>伯希和/PELLIOT</v>
          </cell>
          <cell r="E270" t="str">
            <v>服装-长裤-冲锋裤</v>
          </cell>
          <cell r="F270" t="str">
            <v>一品多商</v>
          </cell>
          <cell r="G270" t="str">
            <v>品牌直发</v>
          </cell>
          <cell r="H270">
            <v>2244</v>
          </cell>
        </row>
        <row r="271">
          <cell r="C271">
            <v>115107001</v>
          </cell>
          <cell r="D271" t="str">
            <v>伯希和/PELLIOT</v>
          </cell>
          <cell r="E271" t="str">
            <v>服装-长裤-软壳裤</v>
          </cell>
          <cell r="F271" t="str">
            <v>一品多商</v>
          </cell>
          <cell r="G271" t="str">
            <v>品牌直发</v>
          </cell>
          <cell r="H271">
            <v>1341</v>
          </cell>
        </row>
        <row r="272">
          <cell r="C272">
            <v>115151005</v>
          </cell>
          <cell r="D272" t="str">
            <v>伯希和/PELLIOT</v>
          </cell>
          <cell r="E272" t="str">
            <v>服装-外套-夹克</v>
          </cell>
          <cell r="F272" t="str">
            <v>一品一商</v>
          </cell>
          <cell r="G272" t="str">
            <v>品牌直发</v>
          </cell>
          <cell r="H272">
            <v>1795</v>
          </cell>
        </row>
        <row r="273">
          <cell r="C273">
            <v>125119028</v>
          </cell>
          <cell r="D273" t="str">
            <v>伯希和/PELLIOT</v>
          </cell>
          <cell r="E273" t="str">
            <v>鞋-运动鞋-登山鞋/徒步鞋</v>
          </cell>
          <cell r="F273" t="str">
            <v>一品一商</v>
          </cell>
          <cell r="G273" t="str">
            <v>品牌直发</v>
          </cell>
          <cell r="H273">
            <v>1135</v>
          </cell>
        </row>
        <row r="274">
          <cell r="C274">
            <v>105301059</v>
          </cell>
          <cell r="D274" t="str">
            <v>伯希和/PELLIOT</v>
          </cell>
          <cell r="E274" t="str">
            <v>服装-外套-冲锋衣</v>
          </cell>
          <cell r="F274" t="str">
            <v>一品多商</v>
          </cell>
          <cell r="G274" t="str">
            <v>品牌直发</v>
          </cell>
          <cell r="H274">
            <v>2670</v>
          </cell>
        </row>
        <row r="275">
          <cell r="C275">
            <v>125316033</v>
          </cell>
          <cell r="D275" t="str">
            <v>伯希和/PELLIOT</v>
          </cell>
          <cell r="E275" t="str">
            <v>女装-上衣-T恤</v>
          </cell>
          <cell r="F275" t="str">
            <v>一品多商</v>
          </cell>
          <cell r="G275" t="str">
            <v>品牌直发</v>
          </cell>
          <cell r="H275">
            <v>897</v>
          </cell>
        </row>
        <row r="276">
          <cell r="C276">
            <v>105434006</v>
          </cell>
          <cell r="D276" t="str">
            <v>伯希和/PELLIOT</v>
          </cell>
          <cell r="E276" t="str">
            <v>流行饰品/眼镜/服配-帽子-绒线帽</v>
          </cell>
          <cell r="F276" t="str">
            <v>一品一商</v>
          </cell>
          <cell r="G276" t="str">
            <v>品牌直发</v>
          </cell>
          <cell r="H276">
            <v>369</v>
          </cell>
        </row>
        <row r="277">
          <cell r="C277">
            <v>105301060</v>
          </cell>
          <cell r="D277" t="str">
            <v>伯希和/PELLIOT</v>
          </cell>
          <cell r="E277" t="str">
            <v>服装-外套-冲锋衣</v>
          </cell>
          <cell r="F277" t="str">
            <v>一品一商</v>
          </cell>
          <cell r="G277" t="str">
            <v>品牌直发</v>
          </cell>
          <cell r="H277">
            <v>2061</v>
          </cell>
        </row>
        <row r="278">
          <cell r="C278" t="str">
            <v>16403642-2025</v>
          </cell>
          <cell r="D278" t="str">
            <v>伯希和/PELLIOT</v>
          </cell>
          <cell r="E278" t="str">
            <v>户外装备-徒步/攀登-登山杖/手杖</v>
          </cell>
          <cell r="F278" t="str">
            <v>一品一商</v>
          </cell>
          <cell r="G278" t="str">
            <v>品牌直发</v>
          </cell>
          <cell r="H278">
            <v>195</v>
          </cell>
        </row>
        <row r="279">
          <cell r="C279" t="str">
            <v>125306020-2025</v>
          </cell>
          <cell r="D279" t="str">
            <v>伯希和/PELLIOT</v>
          </cell>
          <cell r="E279" t="str">
            <v>女装-外套-软壳衣</v>
          </cell>
          <cell r="F279" t="str">
            <v>一品多商</v>
          </cell>
          <cell r="G279" t="str">
            <v>品牌直发</v>
          </cell>
          <cell r="H279">
            <v>2071</v>
          </cell>
        </row>
        <row r="280">
          <cell r="C280">
            <v>165034030</v>
          </cell>
          <cell r="D280" t="str">
            <v>伯希和/PELLIOT</v>
          </cell>
          <cell r="E280" t="str">
            <v>流行饰品/眼镜/服配-帽子-绒线帽</v>
          </cell>
          <cell r="F280" t="str">
            <v>一品一商</v>
          </cell>
          <cell r="G280" t="str">
            <v>品牌直发</v>
          </cell>
          <cell r="H280">
            <v>369</v>
          </cell>
        </row>
        <row r="281">
          <cell r="C281">
            <v>115382019</v>
          </cell>
          <cell r="D281" t="str">
            <v>伯希和/PELLIOT</v>
          </cell>
          <cell r="E281" t="str">
            <v>鞋-运动鞋-登山鞋/徒步鞋</v>
          </cell>
          <cell r="F281" t="str">
            <v>一品多商</v>
          </cell>
          <cell r="G281" t="str">
            <v>品牌直发</v>
          </cell>
          <cell r="H281">
            <v>1700</v>
          </cell>
        </row>
        <row r="282">
          <cell r="C282" t="str">
            <v>125307022-2025</v>
          </cell>
          <cell r="D282" t="str">
            <v>伯希和/PELLIOT</v>
          </cell>
          <cell r="E282" t="str">
            <v>女装-长裤-软壳裤</v>
          </cell>
          <cell r="F282" t="str">
            <v>一品一商</v>
          </cell>
          <cell r="G282" t="str">
            <v>品牌直发</v>
          </cell>
          <cell r="H282">
            <v>1797</v>
          </cell>
        </row>
        <row r="283">
          <cell r="C283" t="str">
            <v>124401042-新加色</v>
          </cell>
          <cell r="D283" t="str">
            <v>伯希和/PELLIOT</v>
          </cell>
          <cell r="E283" t="str">
            <v>女装-外套-冲锋衣</v>
          </cell>
          <cell r="F283" t="str">
            <v>一品一商</v>
          </cell>
          <cell r="G283" t="str">
            <v>品牌直发</v>
          </cell>
          <cell r="H283">
            <v>2793</v>
          </cell>
        </row>
        <row r="284">
          <cell r="C284">
            <v>165028443</v>
          </cell>
          <cell r="D284" t="str">
            <v>伯希和/PELLIOT</v>
          </cell>
          <cell r="E284" t="str">
            <v>户外装备-露营/野炊装备-露营防潮垫</v>
          </cell>
          <cell r="F284" t="str">
            <v>一品一商</v>
          </cell>
          <cell r="G284" t="str">
            <v>品牌直发</v>
          </cell>
          <cell r="H284">
            <v>366</v>
          </cell>
        </row>
        <row r="285">
          <cell r="C285">
            <v>116119007</v>
          </cell>
          <cell r="D285" t="str">
            <v>伯希和/PELLIOT</v>
          </cell>
          <cell r="E285" t="str">
            <v>鞋-运动鞋-越野跑鞋</v>
          </cell>
          <cell r="F285" t="str">
            <v>一品多商</v>
          </cell>
          <cell r="G285" t="str">
            <v>普通现货</v>
          </cell>
          <cell r="H285">
            <v>2097</v>
          </cell>
        </row>
        <row r="286">
          <cell r="C286">
            <v>116215053</v>
          </cell>
          <cell r="D286" t="str">
            <v>伯希和/PELLIOT</v>
          </cell>
          <cell r="E286" t="str">
            <v>服装-上衣-Polo衫</v>
          </cell>
          <cell r="F286" t="str">
            <v>一品多商</v>
          </cell>
          <cell r="G286" t="str">
            <v>品牌直发</v>
          </cell>
          <cell r="H286">
            <v>1317</v>
          </cell>
        </row>
        <row r="287">
          <cell r="C287">
            <v>126215059</v>
          </cell>
          <cell r="D287" t="str">
            <v>伯希和/PELLIOT</v>
          </cell>
          <cell r="E287" t="str">
            <v>女装-上衣-T恤</v>
          </cell>
          <cell r="F287" t="str">
            <v>一品多商</v>
          </cell>
          <cell r="G287" t="str">
            <v>品牌直发</v>
          </cell>
          <cell r="H287">
            <v>897</v>
          </cell>
        </row>
        <row r="288">
          <cell r="C288">
            <v>116207034</v>
          </cell>
          <cell r="D288" t="str">
            <v>伯希和/PELLIOT</v>
          </cell>
          <cell r="E288" t="str">
            <v>服装-短裤-休闲短裤</v>
          </cell>
          <cell r="F288" t="str">
            <v>一品一商</v>
          </cell>
          <cell r="G288" t="str">
            <v>品牌直发</v>
          </cell>
          <cell r="H288">
            <v>1017</v>
          </cell>
        </row>
        <row r="289">
          <cell r="C289">
            <v>116212029</v>
          </cell>
          <cell r="D289" t="str">
            <v>伯希和/PELLIOT</v>
          </cell>
          <cell r="E289" t="str">
            <v>服装-外套-防晒服</v>
          </cell>
          <cell r="F289" t="str">
            <v>一品一商</v>
          </cell>
          <cell r="G289" t="str">
            <v>品牌直发</v>
          </cell>
          <cell r="H289">
            <v>1497</v>
          </cell>
        </row>
        <row r="290">
          <cell r="C290">
            <v>126215050</v>
          </cell>
          <cell r="D290" t="str">
            <v>伯希和/PELLIOT</v>
          </cell>
          <cell r="E290" t="str">
            <v>女装-上衣-Polo衫</v>
          </cell>
          <cell r="F290" t="str">
            <v>一品一商</v>
          </cell>
          <cell r="G290" t="str">
            <v>品牌直发</v>
          </cell>
          <cell r="H290">
            <v>777</v>
          </cell>
        </row>
        <row r="291">
          <cell r="C291">
            <v>116101132</v>
          </cell>
          <cell r="D291" t="str">
            <v>伯希和/PELLIOT</v>
          </cell>
          <cell r="E291" t="str">
            <v>服装-外套-冲锋衣</v>
          </cell>
          <cell r="F291" t="str">
            <v>一品多商</v>
          </cell>
          <cell r="G291" t="str">
            <v>品牌直发</v>
          </cell>
          <cell r="H291">
            <v>1407</v>
          </cell>
        </row>
        <row r="292">
          <cell r="C292">
            <v>1126101133</v>
          </cell>
          <cell r="D292" t="str">
            <v>伯希和/PELLIOT</v>
          </cell>
          <cell r="E292" t="str">
            <v>女装-外套-冲锋衣</v>
          </cell>
          <cell r="F292" t="str">
            <v>一品一商</v>
          </cell>
          <cell r="G292" t="str">
            <v>品牌直发</v>
          </cell>
          <cell r="H292">
            <v>1407</v>
          </cell>
        </row>
        <row r="293">
          <cell r="C293">
            <v>166025081</v>
          </cell>
          <cell r="D293" t="str">
            <v>伯希和/PELLIOT</v>
          </cell>
          <cell r="E293" t="str">
            <v>户外装备-徒步/攀登-镁粉袋</v>
          </cell>
          <cell r="F293" t="str">
            <v>一品一商</v>
          </cell>
          <cell r="G293" t="str">
            <v>品牌直发</v>
          </cell>
          <cell r="H293">
            <v>282</v>
          </cell>
        </row>
        <row r="294">
          <cell r="C294">
            <v>12321406</v>
          </cell>
          <cell r="D294" t="str">
            <v>伯希和/PELLIOT</v>
          </cell>
          <cell r="E294" t="str">
            <v>女装-户外运动服-速干裤</v>
          </cell>
          <cell r="F294" t="str">
            <v>一品一商</v>
          </cell>
          <cell r="G294" t="str">
            <v>品牌直发</v>
          </cell>
          <cell r="H294">
            <v>864</v>
          </cell>
        </row>
        <row r="295">
          <cell r="C295">
            <v>136214041</v>
          </cell>
          <cell r="D295" t="str">
            <v>伯希和/PELLIOT</v>
          </cell>
          <cell r="E295" t="str">
            <v>童装-儿童下装-儿童速干裤</v>
          </cell>
          <cell r="F295" t="str">
            <v>一品一商</v>
          </cell>
          <cell r="G295" t="str">
            <v>品牌直发</v>
          </cell>
          <cell r="H295">
            <v>477</v>
          </cell>
        </row>
        <row r="296">
          <cell r="C296">
            <v>136215076</v>
          </cell>
          <cell r="D296" t="str">
            <v>伯希和/PELLIOT</v>
          </cell>
          <cell r="E296" t="str">
            <v>童装-儿童上装-T恤</v>
          </cell>
          <cell r="F296" t="str">
            <v>一品一商</v>
          </cell>
          <cell r="G296" t="str">
            <v>品牌直发</v>
          </cell>
          <cell r="H296">
            <v>309</v>
          </cell>
        </row>
        <row r="297">
          <cell r="C297">
            <v>136278033</v>
          </cell>
          <cell r="D297" t="str">
            <v>伯希和/PELLIOT</v>
          </cell>
          <cell r="E297" t="str">
            <v>童装-儿童下装-短裤</v>
          </cell>
          <cell r="F297" t="str">
            <v>一品一商</v>
          </cell>
          <cell r="G297" t="str">
            <v>品牌直发</v>
          </cell>
          <cell r="H297">
            <v>366</v>
          </cell>
        </row>
        <row r="298">
          <cell r="C298">
            <v>166034045</v>
          </cell>
          <cell r="D298" t="str">
            <v>伯希和/PELLIOT</v>
          </cell>
          <cell r="E298" t="str">
            <v>流行饰品/眼镜/服配-帽子-棒球帽</v>
          </cell>
          <cell r="F298" t="str">
            <v>一品一商</v>
          </cell>
          <cell r="G298" t="str">
            <v>品牌直发</v>
          </cell>
          <cell r="H298">
            <v>366</v>
          </cell>
        </row>
        <row r="299">
          <cell r="C299">
            <v>166034044</v>
          </cell>
          <cell r="D299" t="str">
            <v>伯希和/PELLIOT</v>
          </cell>
          <cell r="E299" t="str">
            <v>流行饰品/眼镜/服配-帽子-棒球帽</v>
          </cell>
          <cell r="F299" t="str">
            <v>一品一商</v>
          </cell>
          <cell r="G299" t="str">
            <v>品牌直发</v>
          </cell>
          <cell r="H299">
            <v>252</v>
          </cell>
        </row>
        <row r="300">
          <cell r="C300">
            <v>12340104</v>
          </cell>
          <cell r="D300" t="str">
            <v>伯希和/PELLIOT</v>
          </cell>
          <cell r="E300" t="str">
            <v>女装-外套-冲锋衣</v>
          </cell>
          <cell r="F300" t="str">
            <v>一品多商</v>
          </cell>
          <cell r="G300" t="str">
            <v>品牌直发</v>
          </cell>
          <cell r="H300">
            <v>1005</v>
          </cell>
        </row>
        <row r="301">
          <cell r="C301">
            <v>126101186</v>
          </cell>
          <cell r="D301" t="str">
            <v>伯希和/PELLIOT</v>
          </cell>
          <cell r="E301" t="str">
            <v>女装-外套-冲锋衣</v>
          </cell>
          <cell r="F301" t="str">
            <v>一品一商</v>
          </cell>
          <cell r="G301" t="str">
            <v>品牌直发</v>
          </cell>
          <cell r="H301">
            <v>2035</v>
          </cell>
        </row>
        <row r="302">
          <cell r="C302">
            <v>12330602</v>
          </cell>
          <cell r="D302" t="str">
            <v>伯希和/PELLIOT</v>
          </cell>
          <cell r="E302" t="str">
            <v>女装-外套-软壳衣</v>
          </cell>
          <cell r="F302" t="str">
            <v>一品多商</v>
          </cell>
          <cell r="G302" t="str">
            <v>品牌直发</v>
          </cell>
          <cell r="H302">
            <v>1174</v>
          </cell>
        </row>
        <row r="303">
          <cell r="C303">
            <v>126381106</v>
          </cell>
          <cell r="D303" t="str">
            <v>伯希和/PELLIOT</v>
          </cell>
          <cell r="E303" t="str">
            <v>鞋-运动鞋-登山鞋/徒步鞋</v>
          </cell>
          <cell r="F303" t="str">
            <v>一品多商</v>
          </cell>
          <cell r="G303" t="str">
            <v>品牌直发</v>
          </cell>
          <cell r="H303">
            <v>1497</v>
          </cell>
        </row>
        <row r="304">
          <cell r="C304">
            <v>116215151</v>
          </cell>
          <cell r="D304" t="str">
            <v>伯希和/PELLIOT</v>
          </cell>
          <cell r="E304" t="str">
            <v>服装-上衣-Polo衫</v>
          </cell>
          <cell r="F304" t="str">
            <v>一品一商</v>
          </cell>
          <cell r="G304" t="str">
            <v>品牌直发</v>
          </cell>
          <cell r="H304">
            <v>783</v>
          </cell>
        </row>
        <row r="305">
          <cell r="C305">
            <v>106301209</v>
          </cell>
          <cell r="D305" t="str">
            <v>伯希和/PELLIOT</v>
          </cell>
          <cell r="E305" t="str">
            <v>服装-外套-冲锋衣</v>
          </cell>
          <cell r="F305" t="str">
            <v>一品多商</v>
          </cell>
          <cell r="G305" t="str">
            <v>普通现货</v>
          </cell>
          <cell r="H305">
            <v>2097</v>
          </cell>
        </row>
        <row r="306">
          <cell r="C306">
            <v>126319034</v>
          </cell>
          <cell r="D306" t="str">
            <v>伯希和/PELLIOT</v>
          </cell>
          <cell r="E306" t="str">
            <v>鞋-运动鞋-越野跑鞋</v>
          </cell>
          <cell r="F306" t="str">
            <v>一品一商</v>
          </cell>
          <cell r="G306" t="str">
            <v>品牌直发</v>
          </cell>
          <cell r="H306">
            <v>2097</v>
          </cell>
        </row>
        <row r="307">
          <cell r="C307">
            <v>11421501</v>
          </cell>
          <cell r="D307" t="str">
            <v>伯希和/PELLIOT</v>
          </cell>
          <cell r="E307" t="str">
            <v>服装-上衣-T恤</v>
          </cell>
          <cell r="F307" t="str">
            <v>一品多商</v>
          </cell>
          <cell r="G307" t="str">
            <v>品牌直发</v>
          </cell>
          <cell r="H307">
            <v>741</v>
          </cell>
        </row>
        <row r="308">
          <cell r="C308">
            <v>12421208</v>
          </cell>
          <cell r="D308" t="str">
            <v>伯希和/PELLIOT</v>
          </cell>
          <cell r="E308" t="str">
            <v>女装-外套-防晒服</v>
          </cell>
          <cell r="F308" t="str">
            <v>一品一商</v>
          </cell>
          <cell r="G308" t="str">
            <v>品牌直发</v>
          </cell>
          <cell r="H308">
            <v>381</v>
          </cell>
        </row>
        <row r="309">
          <cell r="C309" t="str">
            <v>11340105-CF05</v>
          </cell>
          <cell r="D309" t="str">
            <v>伯希和/PELLIOT</v>
          </cell>
          <cell r="E309" t="str">
            <v>服装-外套-冲锋衣</v>
          </cell>
          <cell r="F309" t="str">
            <v>一品多商</v>
          </cell>
          <cell r="G309" t="str">
            <v>品牌直发</v>
          </cell>
          <cell r="H309">
            <v>998</v>
          </cell>
        </row>
        <row r="310">
          <cell r="C310">
            <v>11421517</v>
          </cell>
          <cell r="D310" t="str">
            <v>伯希和/PELLIOT</v>
          </cell>
          <cell r="E310" t="str">
            <v>服装-上衣-Polo衫</v>
          </cell>
          <cell r="F310" t="str">
            <v>一品多商</v>
          </cell>
          <cell r="G310" t="str">
            <v>品牌直发</v>
          </cell>
          <cell r="H310">
            <v>278</v>
          </cell>
        </row>
        <row r="311">
          <cell r="C311">
            <v>124222002</v>
          </cell>
          <cell r="D311" t="str">
            <v>伯希和/PELLIOT</v>
          </cell>
          <cell r="E311" t="str">
            <v>鞋-运动鞋-登山鞋/徒步鞋</v>
          </cell>
          <cell r="F311" t="str">
            <v>一品一商</v>
          </cell>
          <cell r="G311" t="str">
            <v>品牌直发</v>
          </cell>
          <cell r="H311">
            <v>398</v>
          </cell>
        </row>
        <row r="312">
          <cell r="C312">
            <v>114319003</v>
          </cell>
          <cell r="D312" t="str">
            <v>伯希和/PELLIOT</v>
          </cell>
          <cell r="E312" t="str">
            <v>鞋-运动鞋-登山鞋/徒步鞋</v>
          </cell>
          <cell r="F312" t="str">
            <v>一品一商</v>
          </cell>
          <cell r="G312" t="str">
            <v>品牌直发</v>
          </cell>
          <cell r="H312">
            <v>666</v>
          </cell>
        </row>
        <row r="313">
          <cell r="C313">
            <v>124307166</v>
          </cell>
          <cell r="D313" t="str">
            <v>伯希和/PELLIOT</v>
          </cell>
          <cell r="E313" t="str">
            <v>女装-长裤-软壳裤</v>
          </cell>
          <cell r="F313" t="str">
            <v>一品多商</v>
          </cell>
          <cell r="G313" t="str">
            <v>品牌直发</v>
          </cell>
          <cell r="H313">
            <v>518</v>
          </cell>
        </row>
        <row r="314">
          <cell r="C314">
            <v>164334403</v>
          </cell>
          <cell r="D314" t="str">
            <v>伯希和/PELLIOT</v>
          </cell>
          <cell r="E314" t="str">
            <v>流行饰品/眼镜/服配-帽子-绒线帽</v>
          </cell>
          <cell r="F314" t="str">
            <v>一品一商</v>
          </cell>
          <cell r="G314" t="str">
            <v>品牌直发</v>
          </cell>
          <cell r="H314">
            <v>150</v>
          </cell>
        </row>
        <row r="315">
          <cell r="C315">
            <v>124314374</v>
          </cell>
          <cell r="D315" t="str">
            <v>伯希和/PELLIOT</v>
          </cell>
          <cell r="E315" t="str">
            <v>女装-长裤-软壳裤</v>
          </cell>
          <cell r="F315" t="str">
            <v>一品一商</v>
          </cell>
          <cell r="G315" t="str">
            <v>品牌直发</v>
          </cell>
          <cell r="H315">
            <v>398</v>
          </cell>
        </row>
        <row r="316">
          <cell r="C316">
            <v>114306147</v>
          </cell>
          <cell r="D316" t="str">
            <v>伯希和/PELLIOT</v>
          </cell>
          <cell r="E316" t="str">
            <v>服装-外套-软壳衣</v>
          </cell>
          <cell r="F316" t="str">
            <v>一品多商</v>
          </cell>
          <cell r="G316" t="str">
            <v>品牌直发</v>
          </cell>
          <cell r="H316">
            <v>922</v>
          </cell>
        </row>
        <row r="317">
          <cell r="C317">
            <v>124301070</v>
          </cell>
          <cell r="D317" t="str">
            <v>伯希和/PELLIOT</v>
          </cell>
          <cell r="E317" t="str">
            <v>服装-外套-冲锋衣</v>
          </cell>
          <cell r="F317" t="str">
            <v>一品多商</v>
          </cell>
          <cell r="G317" t="str">
            <v>品牌直发</v>
          </cell>
          <cell r="H317">
            <v>1660</v>
          </cell>
        </row>
        <row r="318">
          <cell r="C318">
            <v>16402502</v>
          </cell>
          <cell r="D318" t="str">
            <v>伯希和/PELLIOT</v>
          </cell>
          <cell r="E318" t="str">
            <v>箱包-包袋-户外包</v>
          </cell>
          <cell r="F318" t="str">
            <v>一品一商</v>
          </cell>
          <cell r="G318" t="str">
            <v>品牌直发</v>
          </cell>
          <cell r="H318">
            <v>488</v>
          </cell>
        </row>
        <row r="319">
          <cell r="C319">
            <v>114419011</v>
          </cell>
          <cell r="D319" t="str">
            <v>伯希和/PELLIOT</v>
          </cell>
          <cell r="E319" t="str">
            <v>鞋-运动鞋-登山鞋/徒步鞋</v>
          </cell>
          <cell r="F319" t="str">
            <v>一品一商</v>
          </cell>
          <cell r="G319" t="str">
            <v>品牌直发</v>
          </cell>
          <cell r="H319">
            <v>1090</v>
          </cell>
        </row>
        <row r="320">
          <cell r="C320">
            <v>114401041</v>
          </cell>
          <cell r="D320" t="str">
            <v>伯希和/PELLIOT</v>
          </cell>
          <cell r="E320" t="str">
            <v>服装-外套-冲锋衣</v>
          </cell>
          <cell r="F320" t="str">
            <v>一品多商</v>
          </cell>
          <cell r="G320" t="str">
            <v>品牌直发</v>
          </cell>
          <cell r="H320">
            <v>1861</v>
          </cell>
        </row>
        <row r="321">
          <cell r="C321">
            <v>11340303</v>
          </cell>
          <cell r="D321" t="str">
            <v>伯希和/PELLIOT</v>
          </cell>
          <cell r="E321" t="str">
            <v>服装-外套-棉服</v>
          </cell>
          <cell r="F321" t="str">
            <v>一品多商</v>
          </cell>
          <cell r="G321" t="str">
            <v>品牌直发</v>
          </cell>
          <cell r="H321">
            <v>1780</v>
          </cell>
        </row>
        <row r="322">
          <cell r="C322" t="str">
            <v>PE115106001</v>
          </cell>
          <cell r="D322" t="str">
            <v>伯希和/PELLIOT</v>
          </cell>
          <cell r="E322" t="str">
            <v>服装-外套-软壳衣</v>
          </cell>
          <cell r="F322" t="str">
            <v>一品多商</v>
          </cell>
          <cell r="G322" t="str">
            <v>品牌直发</v>
          </cell>
          <cell r="H322">
            <v>940</v>
          </cell>
        </row>
        <row r="323">
          <cell r="C323">
            <v>125215018</v>
          </cell>
          <cell r="D323" t="str">
            <v>伯希和/PELLIOT</v>
          </cell>
          <cell r="E323" t="str">
            <v>女装-户外运动服-速干T恤</v>
          </cell>
          <cell r="F323" t="str">
            <v>一品一商</v>
          </cell>
          <cell r="G323" t="str">
            <v>品牌直发</v>
          </cell>
          <cell r="H323">
            <v>456</v>
          </cell>
        </row>
        <row r="324">
          <cell r="C324">
            <v>135212024</v>
          </cell>
          <cell r="D324" t="str">
            <v>伯希和/PELLIOT</v>
          </cell>
          <cell r="E324" t="str">
            <v>童装-儿童上装-防晒衣</v>
          </cell>
          <cell r="F324" t="str">
            <v>一品多商</v>
          </cell>
          <cell r="G324" t="str">
            <v>品牌直发</v>
          </cell>
          <cell r="H324">
            <v>394</v>
          </cell>
        </row>
        <row r="325">
          <cell r="C325">
            <v>135178022</v>
          </cell>
          <cell r="D325" t="str">
            <v>伯希和/PELLIOT</v>
          </cell>
          <cell r="E325" t="str">
            <v>童装-儿童下装-儿童运动裤</v>
          </cell>
          <cell r="F325" t="str">
            <v>一品一商</v>
          </cell>
          <cell r="G325" t="str">
            <v>品牌直发</v>
          </cell>
          <cell r="H325">
            <v>262</v>
          </cell>
        </row>
        <row r="326">
          <cell r="C326" t="str">
            <v>11340105-2025</v>
          </cell>
          <cell r="D326" t="str">
            <v>伯希和/PELLIOT</v>
          </cell>
          <cell r="E326" t="str">
            <v>服装-外套-冲锋衣</v>
          </cell>
          <cell r="F326" t="str">
            <v>一品多商</v>
          </cell>
          <cell r="G326" t="str">
            <v>品牌直发</v>
          </cell>
          <cell r="H326">
            <v>998</v>
          </cell>
        </row>
        <row r="327">
          <cell r="C327" t="str">
            <v>115301054-新加色</v>
          </cell>
          <cell r="D327" t="str">
            <v>伯希和/PELLIOT</v>
          </cell>
          <cell r="E327" t="str">
            <v>服装-外套-冲锋衣</v>
          </cell>
          <cell r="F327" t="str">
            <v>一品多商</v>
          </cell>
          <cell r="G327" t="str">
            <v>品牌直发</v>
          </cell>
          <cell r="H327">
            <v>1109</v>
          </cell>
        </row>
        <row r="328">
          <cell r="C328" t="str">
            <v>124301006-2025</v>
          </cell>
          <cell r="D328" t="str">
            <v>伯希和/PELLIOT</v>
          </cell>
          <cell r="E328" t="str">
            <v>女装-外套-冲锋衣</v>
          </cell>
          <cell r="F328" t="str">
            <v>一品多商</v>
          </cell>
          <cell r="G328" t="str">
            <v>品牌直发</v>
          </cell>
          <cell r="H328">
            <v>1336</v>
          </cell>
        </row>
        <row r="329">
          <cell r="C329">
            <v>115382007</v>
          </cell>
          <cell r="D329" t="str">
            <v>伯希和/PELLIOT</v>
          </cell>
          <cell r="E329" t="str">
            <v>鞋-运动鞋-登山鞋/徒步鞋</v>
          </cell>
          <cell r="F329" t="str">
            <v>一品多商</v>
          </cell>
          <cell r="G329" t="str">
            <v>品牌直发</v>
          </cell>
          <cell r="H329">
            <v>1656</v>
          </cell>
        </row>
        <row r="330">
          <cell r="C330">
            <v>165035006</v>
          </cell>
          <cell r="D330" t="str">
            <v>伯希和/PELLIOT</v>
          </cell>
          <cell r="E330" t="str">
            <v>内衣-袜子-短袜</v>
          </cell>
          <cell r="F330" t="str">
            <v>一品一商</v>
          </cell>
          <cell r="G330" t="str">
            <v>品牌直发</v>
          </cell>
          <cell r="H330">
            <v>66</v>
          </cell>
        </row>
        <row r="331">
          <cell r="C331" t="str">
            <v>16504453双肩</v>
          </cell>
          <cell r="D331" t="str">
            <v>伯希和/PELLIOT</v>
          </cell>
          <cell r="E331" t="str">
            <v>箱包-包袋-双肩包</v>
          </cell>
          <cell r="F331" t="str">
            <v>一品一商</v>
          </cell>
          <cell r="G331" t="str">
            <v>品牌直发</v>
          </cell>
          <cell r="H331">
            <v>130</v>
          </cell>
        </row>
        <row r="332">
          <cell r="C332">
            <v>115382013</v>
          </cell>
          <cell r="D332" t="str">
            <v>伯希和/PELLIOT</v>
          </cell>
          <cell r="E332" t="str">
            <v>鞋-运动鞋-登山鞋/徒步鞋</v>
          </cell>
          <cell r="F332" t="str">
            <v>一品多商</v>
          </cell>
          <cell r="G332" t="str">
            <v>品牌直发</v>
          </cell>
          <cell r="H332">
            <v>1980</v>
          </cell>
        </row>
        <row r="333">
          <cell r="C333">
            <v>105301052</v>
          </cell>
          <cell r="D333" t="str">
            <v>伯希和/PELLIOT</v>
          </cell>
          <cell r="E333" t="str">
            <v>服装-外套-冲锋衣</v>
          </cell>
          <cell r="F333" t="str">
            <v>一品多商</v>
          </cell>
          <cell r="G333" t="str">
            <v>普通现货</v>
          </cell>
          <cell r="H333">
            <v>938</v>
          </cell>
        </row>
        <row r="334">
          <cell r="C334">
            <v>115306019</v>
          </cell>
          <cell r="D334" t="str">
            <v>伯希和/PELLIOT</v>
          </cell>
          <cell r="E334" t="str">
            <v>服装-外套-软壳衣</v>
          </cell>
          <cell r="F334" t="str">
            <v>一品多商</v>
          </cell>
          <cell r="G334" t="str">
            <v>品牌直发</v>
          </cell>
          <cell r="H334">
            <v>1398</v>
          </cell>
        </row>
        <row r="335">
          <cell r="C335">
            <v>165041008</v>
          </cell>
          <cell r="D335" t="str">
            <v>伯希和/PELLIOT</v>
          </cell>
          <cell r="E335" t="str">
            <v>流行饰品/眼镜/服配-防晒服配-防晒脖套</v>
          </cell>
          <cell r="F335" t="str">
            <v>一品一商</v>
          </cell>
          <cell r="G335" t="str">
            <v>品牌直发</v>
          </cell>
          <cell r="H335">
            <v>112</v>
          </cell>
        </row>
        <row r="336">
          <cell r="C336">
            <v>11040105</v>
          </cell>
          <cell r="D336" t="str">
            <v>伯希和/PELLIOT</v>
          </cell>
          <cell r="E336" t="str">
            <v>服装-外套-冲锋衣</v>
          </cell>
          <cell r="F336" t="str">
            <v>一品多商</v>
          </cell>
          <cell r="G336" t="str">
            <v>品牌直发</v>
          </cell>
          <cell r="H336">
            <v>1014</v>
          </cell>
        </row>
        <row r="337">
          <cell r="C337">
            <v>165039012</v>
          </cell>
          <cell r="D337" t="str">
            <v>伯希和/PELLIOT</v>
          </cell>
          <cell r="E337" t="str">
            <v>室内及健身运动-运动护具-护膝</v>
          </cell>
          <cell r="F337" t="str">
            <v>一品一商</v>
          </cell>
          <cell r="G337" t="str">
            <v>品牌直发</v>
          </cell>
          <cell r="H337">
            <v>168</v>
          </cell>
        </row>
        <row r="338">
          <cell r="C338">
            <v>115307021</v>
          </cell>
          <cell r="D338" t="str">
            <v>伯希和/PELLIOT</v>
          </cell>
          <cell r="E338" t="str">
            <v>服装-长裤-软壳裤</v>
          </cell>
          <cell r="F338" t="str">
            <v>一品多商</v>
          </cell>
          <cell r="G338" t="str">
            <v>品牌直发</v>
          </cell>
          <cell r="H338">
            <v>1198</v>
          </cell>
        </row>
        <row r="339">
          <cell r="C339" t="str">
            <v>126101105-服</v>
          </cell>
          <cell r="D339" t="str">
            <v>伯希和/PELLIOT</v>
          </cell>
          <cell r="E339" t="str">
            <v>女装-外套-冲锋衣</v>
          </cell>
          <cell r="F339" t="str">
            <v>一品一商</v>
          </cell>
          <cell r="G339" t="str">
            <v>品牌直发</v>
          </cell>
          <cell r="H339">
            <v>1563</v>
          </cell>
        </row>
        <row r="340">
          <cell r="C340">
            <v>126178026</v>
          </cell>
          <cell r="D340" t="str">
            <v>伯希和/PELLIOT</v>
          </cell>
          <cell r="E340" t="str">
            <v>女装-长裤-休闲裤</v>
          </cell>
          <cell r="F340" t="str">
            <v>一品一商</v>
          </cell>
          <cell r="G340" t="str">
            <v>品牌直发</v>
          </cell>
          <cell r="H340">
            <v>738</v>
          </cell>
        </row>
        <row r="341">
          <cell r="C341">
            <v>136101115</v>
          </cell>
          <cell r="D341" t="str">
            <v>伯希和/PELLIOT</v>
          </cell>
          <cell r="E341" t="str">
            <v>童装-儿童上装-冲锋衣</v>
          </cell>
          <cell r="F341" t="str">
            <v>一品一商</v>
          </cell>
          <cell r="G341" t="str">
            <v>品牌直发</v>
          </cell>
          <cell r="H341">
            <v>752</v>
          </cell>
        </row>
        <row r="342">
          <cell r="C342">
            <v>126214031</v>
          </cell>
          <cell r="D342" t="str">
            <v>伯希和/PELLIOT</v>
          </cell>
          <cell r="E342" t="str">
            <v>女装-长裤-休闲裤</v>
          </cell>
          <cell r="F342" t="str">
            <v>一品一商</v>
          </cell>
          <cell r="G342" t="str">
            <v>品牌直发</v>
          </cell>
          <cell r="H342">
            <v>858</v>
          </cell>
        </row>
        <row r="343">
          <cell r="C343">
            <v>126215054</v>
          </cell>
          <cell r="D343" t="str">
            <v>伯希和/PELLIOT</v>
          </cell>
          <cell r="E343" t="str">
            <v>女装-上衣-Polo衫</v>
          </cell>
          <cell r="F343" t="str">
            <v>一品一商</v>
          </cell>
          <cell r="G343" t="str">
            <v>品牌直发</v>
          </cell>
          <cell r="H343">
            <v>878</v>
          </cell>
        </row>
        <row r="344">
          <cell r="C344">
            <v>106101137</v>
          </cell>
          <cell r="D344" t="str">
            <v>伯希和/PELLIOT</v>
          </cell>
          <cell r="E344" t="str">
            <v>服装-外套-冲锋衣</v>
          </cell>
          <cell r="F344" t="str">
            <v>一品多商</v>
          </cell>
          <cell r="G344" t="str">
            <v>品牌直发</v>
          </cell>
          <cell r="H344">
            <v>1383</v>
          </cell>
        </row>
        <row r="345">
          <cell r="C345">
            <v>126212037</v>
          </cell>
          <cell r="D345" t="str">
            <v>伯希和/PELLIOT</v>
          </cell>
          <cell r="E345" t="str">
            <v>女装-外套-防晒服</v>
          </cell>
          <cell r="F345" t="str">
            <v>一品一商</v>
          </cell>
          <cell r="G345" t="str">
            <v>品牌直发</v>
          </cell>
          <cell r="H345">
            <v>918</v>
          </cell>
        </row>
        <row r="346">
          <cell r="C346">
            <v>136101116</v>
          </cell>
          <cell r="D346" t="str">
            <v>伯希和/PELLIOT</v>
          </cell>
          <cell r="E346" t="str">
            <v>童装-儿童上装-冲锋衣</v>
          </cell>
          <cell r="F346" t="str">
            <v>一品一商</v>
          </cell>
          <cell r="G346" t="str">
            <v>品牌直发</v>
          </cell>
          <cell r="H346">
            <v>694</v>
          </cell>
        </row>
        <row r="347">
          <cell r="C347">
            <v>106212034</v>
          </cell>
          <cell r="D347" t="str">
            <v>伯希和/PELLIOT</v>
          </cell>
          <cell r="E347" t="str">
            <v>服装-外套-防晒服</v>
          </cell>
          <cell r="F347" t="str">
            <v>一品一商</v>
          </cell>
          <cell r="G347" t="str">
            <v>品牌直发</v>
          </cell>
          <cell r="H347">
            <v>826</v>
          </cell>
        </row>
        <row r="348">
          <cell r="C348">
            <v>106212039</v>
          </cell>
          <cell r="D348" t="str">
            <v>伯希和/PELLIOT</v>
          </cell>
          <cell r="E348" t="str">
            <v>服装-外套-防晒服</v>
          </cell>
          <cell r="F348" t="str">
            <v>一品一商</v>
          </cell>
          <cell r="G348" t="str">
            <v>品牌直发</v>
          </cell>
          <cell r="H348">
            <v>892</v>
          </cell>
        </row>
        <row r="349">
          <cell r="C349">
            <v>126214033</v>
          </cell>
          <cell r="D349" t="str">
            <v>伯希和/PELLIOT</v>
          </cell>
          <cell r="E349" t="str">
            <v>女装-户外运动服-速干裤</v>
          </cell>
          <cell r="F349" t="str">
            <v>一品多商</v>
          </cell>
          <cell r="G349" t="str">
            <v>品牌直发</v>
          </cell>
          <cell r="H349">
            <v>1058</v>
          </cell>
        </row>
        <row r="350">
          <cell r="C350">
            <v>165034035</v>
          </cell>
          <cell r="D350" t="str">
            <v>伯希和/PELLIOT</v>
          </cell>
          <cell r="E350" t="str">
            <v>流行饰品/眼镜/服配-帽子-棒球帽</v>
          </cell>
          <cell r="F350" t="str">
            <v>一品一商</v>
          </cell>
          <cell r="G350" t="str">
            <v>品牌直发</v>
          </cell>
          <cell r="H350">
            <v>244</v>
          </cell>
        </row>
        <row r="351">
          <cell r="C351">
            <v>12121412</v>
          </cell>
          <cell r="D351" t="str">
            <v>伯希和/PELLIOT</v>
          </cell>
          <cell r="E351" t="str">
            <v>女装-户外运动服-速干裤</v>
          </cell>
          <cell r="F351" t="str">
            <v>一品多商</v>
          </cell>
          <cell r="G351" t="str">
            <v>品牌直发</v>
          </cell>
          <cell r="H351">
            <v>318</v>
          </cell>
        </row>
        <row r="352">
          <cell r="C352">
            <v>11321203</v>
          </cell>
          <cell r="D352" t="str">
            <v>伯希和/PELLIOT</v>
          </cell>
          <cell r="E352" t="str">
            <v>服装-外套-防晒服</v>
          </cell>
          <cell r="F352" t="str">
            <v>一品一商</v>
          </cell>
          <cell r="G352" t="str">
            <v>品牌直发</v>
          </cell>
          <cell r="H352">
            <v>300</v>
          </cell>
        </row>
        <row r="353">
          <cell r="C353">
            <v>13930611</v>
          </cell>
          <cell r="D353" t="str">
            <v>伯希和/PELLIOT</v>
          </cell>
          <cell r="E353" t="str">
            <v>童装-儿童上装-冲锋衣</v>
          </cell>
          <cell r="F353" t="str">
            <v>一品多商</v>
          </cell>
          <cell r="G353" t="str">
            <v>品牌直发</v>
          </cell>
          <cell r="H353">
            <v>318</v>
          </cell>
        </row>
        <row r="354">
          <cell r="C354">
            <v>165025051</v>
          </cell>
          <cell r="D354" t="str">
            <v>伯希和/PELLIOT</v>
          </cell>
          <cell r="E354" t="str">
            <v>箱包-包袋-户外包</v>
          </cell>
          <cell r="F354" t="str">
            <v>一品一商</v>
          </cell>
          <cell r="G354" t="str">
            <v>品牌直发</v>
          </cell>
          <cell r="H354">
            <v>552</v>
          </cell>
        </row>
        <row r="355">
          <cell r="C355">
            <v>166034047</v>
          </cell>
          <cell r="D355" t="str">
            <v>伯希和/PELLIOT</v>
          </cell>
          <cell r="E355" t="str">
            <v>流行饰品/眼镜/服配-帽子-棒球帽</v>
          </cell>
          <cell r="F355" t="str">
            <v>一品一商</v>
          </cell>
          <cell r="G355" t="str">
            <v>品牌直发</v>
          </cell>
          <cell r="H355">
            <v>188</v>
          </cell>
        </row>
        <row r="356">
          <cell r="C356">
            <v>126101188</v>
          </cell>
          <cell r="D356" t="str">
            <v>伯希和/PELLIOT</v>
          </cell>
          <cell r="E356" t="str">
            <v>女装-外套-冲锋衣</v>
          </cell>
          <cell r="F356" t="str">
            <v>一品一商</v>
          </cell>
          <cell r="G356" t="str">
            <v>品牌直发</v>
          </cell>
          <cell r="H356">
            <v>1058</v>
          </cell>
        </row>
        <row r="357">
          <cell r="C357">
            <v>165034018</v>
          </cell>
          <cell r="D357" t="str">
            <v>伯希和/PELLIOT</v>
          </cell>
          <cell r="E357" t="str">
            <v>流行饰品/眼镜/服配-帽子-棒球帽</v>
          </cell>
          <cell r="F357" t="str">
            <v>一品一商</v>
          </cell>
          <cell r="G357" t="str">
            <v>品牌直发</v>
          </cell>
          <cell r="H357">
            <v>150</v>
          </cell>
        </row>
        <row r="358">
          <cell r="C358">
            <v>166034046</v>
          </cell>
          <cell r="D358" t="str">
            <v>伯希和/PELLIOT</v>
          </cell>
          <cell r="E358" t="str">
            <v>流行饰品/眼镜/服配-帽子-棒球帽</v>
          </cell>
          <cell r="F358" t="str">
            <v>一品一商</v>
          </cell>
          <cell r="G358" t="str">
            <v>品牌直发</v>
          </cell>
          <cell r="H358">
            <v>168</v>
          </cell>
        </row>
        <row r="359">
          <cell r="C359">
            <v>11331003</v>
          </cell>
          <cell r="D359" t="str">
            <v>伯希和/PELLIOT</v>
          </cell>
          <cell r="E359" t="str">
            <v>服装-户外运动服-抓绒衣</v>
          </cell>
          <cell r="F359" t="str">
            <v>一品一商</v>
          </cell>
          <cell r="G359" t="str">
            <v>品牌直发</v>
          </cell>
          <cell r="H359">
            <v>493</v>
          </cell>
        </row>
        <row r="360">
          <cell r="C360">
            <v>106378042</v>
          </cell>
          <cell r="D360" t="str">
            <v>伯希和/PELLIOT</v>
          </cell>
          <cell r="E360" t="str">
            <v>服装-长裤-休闲裤</v>
          </cell>
          <cell r="F360" t="str">
            <v>一品一商</v>
          </cell>
          <cell r="G360" t="str">
            <v>品牌直发</v>
          </cell>
          <cell r="H360">
            <v>938</v>
          </cell>
        </row>
        <row r="361">
          <cell r="C361">
            <v>11340821</v>
          </cell>
          <cell r="D361" t="str">
            <v>伯希和/PELLIOT</v>
          </cell>
          <cell r="E361" t="str">
            <v>服装-外套-羽绒服</v>
          </cell>
          <cell r="F361" t="str">
            <v>一品多商</v>
          </cell>
          <cell r="G361" t="str">
            <v>品牌直发</v>
          </cell>
          <cell r="H361">
            <v>1242</v>
          </cell>
        </row>
        <row r="362">
          <cell r="C362">
            <v>116215154</v>
          </cell>
          <cell r="D362" t="str">
            <v>伯希和/PELLIOT</v>
          </cell>
          <cell r="E362" t="str">
            <v>服装-上衣-Polo衫</v>
          </cell>
          <cell r="F362" t="str">
            <v>一品一商</v>
          </cell>
          <cell r="G362" t="str">
            <v>品牌直发</v>
          </cell>
          <cell r="H362">
            <v>398</v>
          </cell>
        </row>
        <row r="363">
          <cell r="C363">
            <v>126215155</v>
          </cell>
          <cell r="D363" t="str">
            <v>伯希和/PELLIOT</v>
          </cell>
          <cell r="E363" t="str">
            <v>女装-上衣-Polo衫</v>
          </cell>
          <cell r="F363" t="str">
            <v>一品一商</v>
          </cell>
          <cell r="G363" t="str">
            <v>品牌直发</v>
          </cell>
          <cell r="H363">
            <v>398</v>
          </cell>
        </row>
        <row r="364">
          <cell r="C364">
            <v>12331802</v>
          </cell>
          <cell r="D364" t="str">
            <v>伯希和/PELLIOT</v>
          </cell>
          <cell r="E364" t="str">
            <v>内衣-内衣裤-保暖套装</v>
          </cell>
          <cell r="F364" t="str">
            <v>一品一商</v>
          </cell>
          <cell r="G364" t="str">
            <v>品牌直发</v>
          </cell>
          <cell r="H364">
            <v>558</v>
          </cell>
        </row>
        <row r="365">
          <cell r="C365">
            <v>11421211</v>
          </cell>
          <cell r="D365" t="str">
            <v>伯希和/PELLIOT</v>
          </cell>
          <cell r="E365" t="str">
            <v>服装-外套-防晒服</v>
          </cell>
          <cell r="F365" t="str">
            <v>一品多商</v>
          </cell>
          <cell r="G365" t="str">
            <v>品牌直发</v>
          </cell>
          <cell r="H365">
            <v>438</v>
          </cell>
        </row>
        <row r="366">
          <cell r="C366">
            <v>12422002</v>
          </cell>
          <cell r="D366" t="str">
            <v>伯希和/PELLIOT</v>
          </cell>
          <cell r="E366" t="str">
            <v>鞋-运动鞋-户外功能鞋</v>
          </cell>
          <cell r="F366" t="str">
            <v>一品多商</v>
          </cell>
          <cell r="G366" t="str">
            <v>品牌直发</v>
          </cell>
          <cell r="H366">
            <v>284</v>
          </cell>
        </row>
        <row r="367">
          <cell r="C367">
            <v>11411907</v>
          </cell>
          <cell r="D367" t="str">
            <v>伯希和/PELLIOT</v>
          </cell>
          <cell r="E367" t="str">
            <v>鞋-运动鞋-登山鞋/徒步鞋</v>
          </cell>
          <cell r="F367" t="str">
            <v>一品一商</v>
          </cell>
          <cell r="G367" t="str">
            <v>品牌直发</v>
          </cell>
          <cell r="H367">
            <v>279</v>
          </cell>
        </row>
        <row r="368">
          <cell r="C368">
            <v>11411909</v>
          </cell>
          <cell r="D368" t="str">
            <v>伯希和/PELLIOT</v>
          </cell>
          <cell r="E368" t="str">
            <v>鞋-运动鞋-登山鞋/徒步鞋</v>
          </cell>
          <cell r="F368" t="str">
            <v>一品多商</v>
          </cell>
          <cell r="G368" t="str">
            <v>品牌直发</v>
          </cell>
          <cell r="H368">
            <v>279</v>
          </cell>
        </row>
        <row r="369">
          <cell r="C369">
            <v>12421216</v>
          </cell>
          <cell r="D369" t="str">
            <v>伯希和/PELLIOT</v>
          </cell>
          <cell r="E369" t="str">
            <v>女装-外套-防晒服</v>
          </cell>
          <cell r="F369" t="str">
            <v>一品多商</v>
          </cell>
          <cell r="G369" t="str">
            <v>品牌直发</v>
          </cell>
          <cell r="H369">
            <v>446</v>
          </cell>
        </row>
        <row r="370">
          <cell r="C370">
            <v>114301023</v>
          </cell>
          <cell r="D370" t="str">
            <v>伯希和/PELLIOT</v>
          </cell>
          <cell r="E370" t="str">
            <v>服装-外套-冲锋衣</v>
          </cell>
          <cell r="F370" t="str">
            <v>一品多商</v>
          </cell>
          <cell r="G370" t="str">
            <v>品牌直发</v>
          </cell>
          <cell r="H370">
            <v>499</v>
          </cell>
        </row>
        <row r="371">
          <cell r="C371">
            <v>124301038</v>
          </cell>
          <cell r="D371" t="str">
            <v>伯希和/PELLIOT</v>
          </cell>
          <cell r="E371" t="str">
            <v>女装-外套-冲锋衣</v>
          </cell>
          <cell r="F371" t="str">
            <v>一品多商</v>
          </cell>
          <cell r="G371" t="str">
            <v>品牌直发</v>
          </cell>
          <cell r="H371">
            <v>650</v>
          </cell>
        </row>
        <row r="372">
          <cell r="C372">
            <v>124301032</v>
          </cell>
          <cell r="D372" t="str">
            <v>伯希和/PELLIOT</v>
          </cell>
          <cell r="E372" t="str">
            <v>女装-外套-冲锋衣</v>
          </cell>
          <cell r="F372" t="str">
            <v>一品多商</v>
          </cell>
          <cell r="G372" t="str">
            <v>品牌直发</v>
          </cell>
          <cell r="H372">
            <v>299</v>
          </cell>
        </row>
        <row r="373">
          <cell r="C373" t="str">
            <v>PE13421430</v>
          </cell>
          <cell r="D373" t="str">
            <v>伯希和/PELLIOT</v>
          </cell>
          <cell r="E373" t="str">
            <v>童装-儿童下装-卫裤</v>
          </cell>
          <cell r="F373" t="str">
            <v>一品一商</v>
          </cell>
          <cell r="G373" t="str">
            <v>品牌直发</v>
          </cell>
          <cell r="H373">
            <v>69</v>
          </cell>
        </row>
        <row r="374">
          <cell r="C374">
            <v>124311232</v>
          </cell>
          <cell r="D374" t="str">
            <v>伯希和/PELLIOT</v>
          </cell>
          <cell r="E374" t="str">
            <v>女装-户外运动服-抓绒裤</v>
          </cell>
          <cell r="F374" t="str">
            <v>一品一商</v>
          </cell>
          <cell r="G374" t="str">
            <v>品牌直发</v>
          </cell>
          <cell r="H374">
            <v>234</v>
          </cell>
        </row>
        <row r="375">
          <cell r="C375">
            <v>114310203</v>
          </cell>
          <cell r="D375" t="str">
            <v>伯希和/PELLIOT</v>
          </cell>
          <cell r="E375" t="str">
            <v>服装-户外运动服-抓绒衣</v>
          </cell>
          <cell r="F375" t="str">
            <v>一品多商</v>
          </cell>
          <cell r="G375" t="str">
            <v>品牌直发</v>
          </cell>
          <cell r="H375">
            <v>234</v>
          </cell>
        </row>
        <row r="376">
          <cell r="C376">
            <v>164334402</v>
          </cell>
          <cell r="D376" t="str">
            <v>伯希和/PELLIOT</v>
          </cell>
          <cell r="E376" t="str">
            <v>流行饰品/眼镜/服配-帽子-绒线帽</v>
          </cell>
          <cell r="F376" t="str">
            <v>一品一商</v>
          </cell>
          <cell r="G376" t="str">
            <v>品牌直发</v>
          </cell>
          <cell r="H376">
            <v>94</v>
          </cell>
        </row>
        <row r="377">
          <cell r="C377" t="str">
            <v>114419005男款</v>
          </cell>
          <cell r="D377" t="str">
            <v>伯希和/PELLIOT</v>
          </cell>
          <cell r="E377" t="str">
            <v>鞋-运动鞋-登山鞋/徒步鞋</v>
          </cell>
          <cell r="F377" t="str">
            <v>一品一商</v>
          </cell>
          <cell r="G377" t="str">
            <v>品牌直发</v>
          </cell>
          <cell r="H377">
            <v>284</v>
          </cell>
        </row>
        <row r="378">
          <cell r="C378" t="str">
            <v>PE114302081</v>
          </cell>
          <cell r="D378" t="str">
            <v>伯希和/PELLIOT</v>
          </cell>
          <cell r="E378" t="str">
            <v>服装-长裤-冲锋裤</v>
          </cell>
          <cell r="F378" t="str">
            <v>一品多商</v>
          </cell>
          <cell r="G378" t="str">
            <v>品牌直发</v>
          </cell>
          <cell r="H378">
            <v>432</v>
          </cell>
        </row>
        <row r="379">
          <cell r="C379" t="str">
            <v>PE124302082</v>
          </cell>
          <cell r="D379" t="str">
            <v>伯希和/PELLIOT</v>
          </cell>
          <cell r="E379" t="str">
            <v>女装-长裤-冲锋裤</v>
          </cell>
          <cell r="F379" t="str">
            <v>一品多商</v>
          </cell>
          <cell r="G379" t="str">
            <v>品牌直发</v>
          </cell>
          <cell r="H379">
            <v>432</v>
          </cell>
        </row>
        <row r="380">
          <cell r="C380" t="str">
            <v>PE124301004</v>
          </cell>
          <cell r="D380" t="str">
            <v>伯希和/PELLIOT</v>
          </cell>
          <cell r="E380" t="str">
            <v>服装-外套-冲锋衣</v>
          </cell>
          <cell r="F380" t="str">
            <v>一品多商</v>
          </cell>
          <cell r="G380" t="str">
            <v>品牌直发</v>
          </cell>
          <cell r="H380">
            <v>632</v>
          </cell>
        </row>
        <row r="381">
          <cell r="C381">
            <v>114310201</v>
          </cell>
          <cell r="D381" t="str">
            <v>伯希和/PELLIOT</v>
          </cell>
          <cell r="E381" t="str">
            <v>服装-户外运动服-抓绒衣</v>
          </cell>
          <cell r="F381" t="str">
            <v>一品多商</v>
          </cell>
          <cell r="G381" t="str">
            <v>品牌直发</v>
          </cell>
          <cell r="H381">
            <v>194</v>
          </cell>
        </row>
        <row r="382">
          <cell r="C382">
            <v>114376129</v>
          </cell>
          <cell r="D382" t="str">
            <v>伯希和/PELLIOT</v>
          </cell>
          <cell r="E382" t="str">
            <v>服装-外套-棉服</v>
          </cell>
          <cell r="F382" t="str">
            <v>一品多商</v>
          </cell>
          <cell r="G382" t="str">
            <v>品牌直发</v>
          </cell>
          <cell r="H382">
            <v>790</v>
          </cell>
        </row>
        <row r="383">
          <cell r="C383">
            <v>124318426</v>
          </cell>
          <cell r="D383" t="str">
            <v>伯希和/PELLIOT</v>
          </cell>
          <cell r="E383" t="str">
            <v>内衣-内衣裤-保暖套装</v>
          </cell>
          <cell r="F383" t="str">
            <v>一品一商</v>
          </cell>
          <cell r="G383" t="str">
            <v>普通现货</v>
          </cell>
          <cell r="H383">
            <v>370</v>
          </cell>
        </row>
        <row r="384">
          <cell r="C384">
            <v>124311234</v>
          </cell>
          <cell r="D384" t="str">
            <v>伯希和/PELLIOT</v>
          </cell>
          <cell r="E384" t="str">
            <v>女装-户外运动服-抓绒裤</v>
          </cell>
          <cell r="F384" t="str">
            <v>一品多商</v>
          </cell>
          <cell r="G384" t="str">
            <v>品牌直发</v>
          </cell>
          <cell r="H384">
            <v>256</v>
          </cell>
        </row>
        <row r="385">
          <cell r="C385">
            <v>114301079</v>
          </cell>
          <cell r="D385" t="str">
            <v>伯希和/PELLIOT</v>
          </cell>
          <cell r="E385" t="str">
            <v>服装-外套-冲锋衣</v>
          </cell>
          <cell r="F385" t="str">
            <v>一品多商</v>
          </cell>
          <cell r="G385" t="str">
            <v>品牌直发</v>
          </cell>
          <cell r="H385">
            <v>931</v>
          </cell>
        </row>
        <row r="386">
          <cell r="C386">
            <v>134301049</v>
          </cell>
          <cell r="D386" t="str">
            <v>伯希和/PELLIOT</v>
          </cell>
          <cell r="E386" t="str">
            <v>童装-儿童上装-冲锋衣</v>
          </cell>
          <cell r="F386" t="str">
            <v>一品一商</v>
          </cell>
          <cell r="G386" t="str">
            <v>品牌直发</v>
          </cell>
          <cell r="H386">
            <v>437</v>
          </cell>
        </row>
        <row r="387">
          <cell r="C387">
            <v>134301043</v>
          </cell>
          <cell r="D387" t="str">
            <v>伯希和/PELLIOT</v>
          </cell>
          <cell r="E387" t="str">
            <v>童装-儿童上装-冲锋衣</v>
          </cell>
          <cell r="F387" t="str">
            <v>一品一商</v>
          </cell>
          <cell r="G387" t="str">
            <v>品牌直发</v>
          </cell>
          <cell r="H387">
            <v>351</v>
          </cell>
        </row>
        <row r="388">
          <cell r="C388">
            <v>16223101</v>
          </cell>
          <cell r="D388" t="str">
            <v>伯希和/PELLIOT</v>
          </cell>
          <cell r="E388" t="str">
            <v>流行饰品/眼镜/服配-防晒服配-防晒手套</v>
          </cell>
          <cell r="F388" t="str">
            <v>一品一商</v>
          </cell>
          <cell r="G388" t="str">
            <v>品牌直发</v>
          </cell>
          <cell r="H388">
            <v>55</v>
          </cell>
        </row>
        <row r="389">
          <cell r="C389">
            <v>1115214009</v>
          </cell>
          <cell r="D389" t="str">
            <v>伯希和/PELLIOT</v>
          </cell>
          <cell r="E389" t="str">
            <v>服装-户外运动服-速干裤</v>
          </cell>
          <cell r="F389" t="str">
            <v>一品多商</v>
          </cell>
          <cell r="G389" t="str">
            <v>品牌直发</v>
          </cell>
          <cell r="H389">
            <v>380</v>
          </cell>
        </row>
        <row r="390">
          <cell r="C390">
            <v>1125214010</v>
          </cell>
          <cell r="D390" t="str">
            <v>伯希和/PELLIOT</v>
          </cell>
          <cell r="E390" t="str">
            <v>女装-户外运动服-速干裤</v>
          </cell>
          <cell r="F390" t="str">
            <v>一品一商</v>
          </cell>
          <cell r="G390" t="str">
            <v>品牌直发</v>
          </cell>
          <cell r="H390">
            <v>380</v>
          </cell>
        </row>
        <row r="391">
          <cell r="C391">
            <v>1125101008</v>
          </cell>
          <cell r="D391" t="str">
            <v>伯希和/PELLIOT</v>
          </cell>
          <cell r="E391" t="str">
            <v>女装-外套-冲锋衣</v>
          </cell>
          <cell r="F391" t="str">
            <v>一品多商</v>
          </cell>
          <cell r="G391" t="str">
            <v>品牌直发</v>
          </cell>
          <cell r="H391">
            <v>460</v>
          </cell>
        </row>
        <row r="392">
          <cell r="C392" t="str">
            <v>125102002-新</v>
          </cell>
          <cell r="D392" t="str">
            <v>伯希和/PELLIOT</v>
          </cell>
          <cell r="E392" t="str">
            <v>女装-长裤-冲锋裤</v>
          </cell>
          <cell r="F392" t="str">
            <v>一品多商</v>
          </cell>
          <cell r="G392" t="str">
            <v>品牌直发</v>
          </cell>
          <cell r="H392">
            <v>727</v>
          </cell>
        </row>
        <row r="393">
          <cell r="C393">
            <v>115101001</v>
          </cell>
          <cell r="D393" t="str">
            <v>伯希和/PELLIOT</v>
          </cell>
          <cell r="E393" t="str">
            <v>服装-外套-冲锋衣</v>
          </cell>
          <cell r="F393" t="str">
            <v>一品多商</v>
          </cell>
          <cell r="G393" t="str">
            <v>品牌直发</v>
          </cell>
          <cell r="H393">
            <v>590</v>
          </cell>
        </row>
        <row r="394">
          <cell r="C394">
            <v>125215008</v>
          </cell>
          <cell r="D394" t="str">
            <v>伯希和/PELLIOT</v>
          </cell>
          <cell r="E394" t="str">
            <v>女装-上衣-Polo衫</v>
          </cell>
          <cell r="F394" t="str">
            <v>一品一商</v>
          </cell>
          <cell r="G394" t="str">
            <v>品牌直发</v>
          </cell>
          <cell r="H394">
            <v>323</v>
          </cell>
        </row>
        <row r="395">
          <cell r="C395">
            <v>125220022</v>
          </cell>
          <cell r="D395" t="str">
            <v>伯希和/PELLIOT</v>
          </cell>
          <cell r="E395" t="str">
            <v>鞋-凉鞋/拖鞋-溯溪鞋</v>
          </cell>
          <cell r="F395" t="str">
            <v>一品多商</v>
          </cell>
          <cell r="G395" t="str">
            <v>品牌直发</v>
          </cell>
          <cell r="H395">
            <v>437</v>
          </cell>
        </row>
        <row r="396">
          <cell r="C396">
            <v>105025008</v>
          </cell>
          <cell r="D396" t="str">
            <v>伯希和/PELLIOT</v>
          </cell>
          <cell r="E396" t="str">
            <v>箱包-包袋-户外包</v>
          </cell>
          <cell r="F396" t="str">
            <v>一品多商</v>
          </cell>
          <cell r="G396" t="str">
            <v>品牌直发</v>
          </cell>
          <cell r="H396">
            <v>326</v>
          </cell>
        </row>
        <row r="397">
          <cell r="C397">
            <v>115212017</v>
          </cell>
          <cell r="D397" t="str">
            <v>伯希和/PELLIOT</v>
          </cell>
          <cell r="E397" t="str">
            <v>服装-外套-防晒服</v>
          </cell>
          <cell r="F397" t="str">
            <v>一品一商</v>
          </cell>
          <cell r="G397" t="str">
            <v>品牌直发</v>
          </cell>
          <cell r="H397">
            <v>540</v>
          </cell>
        </row>
        <row r="398">
          <cell r="C398">
            <v>115214005</v>
          </cell>
          <cell r="D398" t="str">
            <v>伯希和/PELLIOT</v>
          </cell>
          <cell r="E398" t="str">
            <v>服装-户外运动服-速干裤</v>
          </cell>
          <cell r="F398" t="str">
            <v>一品多商</v>
          </cell>
          <cell r="G398" t="str">
            <v>品牌直发</v>
          </cell>
          <cell r="H398">
            <v>234</v>
          </cell>
        </row>
        <row r="399">
          <cell r="C399">
            <v>135214018</v>
          </cell>
          <cell r="D399" t="str">
            <v>伯希和/PELLIOT</v>
          </cell>
          <cell r="E399" t="str">
            <v>童装-儿童下装-儿童速干裤</v>
          </cell>
          <cell r="F399" t="str">
            <v>一品一商</v>
          </cell>
          <cell r="G399" t="str">
            <v>品牌直发</v>
          </cell>
          <cell r="H399">
            <v>94</v>
          </cell>
        </row>
        <row r="400">
          <cell r="C400">
            <v>135215036</v>
          </cell>
          <cell r="D400" t="str">
            <v>伯希和/PELLIOT</v>
          </cell>
          <cell r="E400" t="str">
            <v>童装-儿童上装-T恤</v>
          </cell>
          <cell r="F400" t="str">
            <v>一品一商</v>
          </cell>
          <cell r="G400" t="str">
            <v>品牌直发</v>
          </cell>
          <cell r="H400">
            <v>112</v>
          </cell>
        </row>
        <row r="401">
          <cell r="C401">
            <v>125122024</v>
          </cell>
          <cell r="D401" t="str">
            <v>伯希和/PELLIOT</v>
          </cell>
          <cell r="E401" t="str">
            <v>鞋-运动鞋-登山鞋/徒步鞋</v>
          </cell>
          <cell r="F401" t="str">
            <v>一品一商</v>
          </cell>
          <cell r="G401" t="str">
            <v>品牌直发</v>
          </cell>
          <cell r="H401">
            <v>665</v>
          </cell>
        </row>
        <row r="402">
          <cell r="C402">
            <v>115151007</v>
          </cell>
          <cell r="D402" t="str">
            <v>伯希和/PELLIOT</v>
          </cell>
          <cell r="E402" t="str">
            <v>服装-外套-夹克</v>
          </cell>
          <cell r="F402" t="str">
            <v>一品多商</v>
          </cell>
          <cell r="G402" t="str">
            <v>品牌直发</v>
          </cell>
          <cell r="H402">
            <v>349</v>
          </cell>
        </row>
        <row r="403">
          <cell r="C403">
            <v>125181002</v>
          </cell>
          <cell r="D403" t="str">
            <v>伯希和/PELLIOT</v>
          </cell>
          <cell r="E403" t="str">
            <v>鞋-运动鞋-登山鞋/徒步鞋</v>
          </cell>
          <cell r="F403" t="str">
            <v>一品多商</v>
          </cell>
          <cell r="G403" t="str">
            <v>品牌直发</v>
          </cell>
          <cell r="H403">
            <v>550</v>
          </cell>
        </row>
        <row r="404">
          <cell r="C404">
            <v>125119030</v>
          </cell>
          <cell r="D404" t="str">
            <v>伯希和/PELLIOT</v>
          </cell>
          <cell r="E404" t="str">
            <v>鞋-运动鞋-越野跑鞋</v>
          </cell>
          <cell r="F404" t="str">
            <v>一品多商</v>
          </cell>
          <cell r="G404" t="str">
            <v>品牌直发</v>
          </cell>
          <cell r="H404">
            <v>664</v>
          </cell>
        </row>
        <row r="405">
          <cell r="C405">
            <v>105301056</v>
          </cell>
          <cell r="D405" t="str">
            <v>伯希和/PELLIOT</v>
          </cell>
          <cell r="E405" t="str">
            <v>服装-外套-冲锋衣</v>
          </cell>
          <cell r="F405" t="str">
            <v>一品多商</v>
          </cell>
          <cell r="G405" t="str">
            <v>品牌直发</v>
          </cell>
          <cell r="H405">
            <v>990</v>
          </cell>
        </row>
        <row r="406">
          <cell r="C406" t="str">
            <v>124101048-2025</v>
          </cell>
          <cell r="D406" t="str">
            <v>伯希和/PELLIOT</v>
          </cell>
          <cell r="E406" t="str">
            <v>女装-外套-冲锋衣</v>
          </cell>
          <cell r="F406" t="str">
            <v>一品多商</v>
          </cell>
          <cell r="G406" t="str">
            <v>品牌直发</v>
          </cell>
          <cell r="H406">
            <v>690</v>
          </cell>
        </row>
        <row r="407">
          <cell r="C407" t="str">
            <v>125307006-2025</v>
          </cell>
          <cell r="D407" t="str">
            <v>伯希和/PELLIOT</v>
          </cell>
          <cell r="E407" t="str">
            <v>女装-长裤-软壳裤</v>
          </cell>
          <cell r="F407" t="str">
            <v>一品一商</v>
          </cell>
          <cell r="G407" t="str">
            <v>普通现货</v>
          </cell>
          <cell r="H407">
            <v>390</v>
          </cell>
        </row>
        <row r="408">
          <cell r="C408" t="str">
            <v>16302602-2025</v>
          </cell>
          <cell r="D408" t="str">
            <v>伯希和/PELLIOT</v>
          </cell>
          <cell r="E408" t="str">
            <v>箱包-包袋-手机包</v>
          </cell>
          <cell r="F408" t="str">
            <v>一品一商</v>
          </cell>
          <cell r="G408" t="str">
            <v>品牌直发</v>
          </cell>
          <cell r="H408">
            <v>47</v>
          </cell>
        </row>
        <row r="409">
          <cell r="C409">
            <v>105025023</v>
          </cell>
          <cell r="D409" t="str">
            <v>伯希和/PELLIOT</v>
          </cell>
          <cell r="E409" t="str">
            <v>箱包-包袋-双肩包</v>
          </cell>
          <cell r="F409" t="str">
            <v>一品一商</v>
          </cell>
          <cell r="G409" t="str">
            <v>品牌直发</v>
          </cell>
          <cell r="H409">
            <v>433</v>
          </cell>
        </row>
        <row r="410">
          <cell r="C410" t="str">
            <v>16403602-2025</v>
          </cell>
          <cell r="D410" t="str">
            <v>伯希和/PELLIOT</v>
          </cell>
          <cell r="E410" t="str">
            <v>户外装备-徒步/攀登-登山杖/手杖</v>
          </cell>
          <cell r="F410" t="str">
            <v>一品一商</v>
          </cell>
          <cell r="G410" t="str">
            <v>品牌直发</v>
          </cell>
          <cell r="H410">
            <v>159</v>
          </cell>
        </row>
        <row r="411">
          <cell r="C411" t="str">
            <v>16003601-2025</v>
          </cell>
          <cell r="D411" t="str">
            <v>伯希和/PELLIOT</v>
          </cell>
          <cell r="E411" t="str">
            <v>户外装备-徒步/攀登-登山杖/手杖</v>
          </cell>
          <cell r="F411" t="str">
            <v>一品一商</v>
          </cell>
          <cell r="G411" t="str">
            <v>品牌直发</v>
          </cell>
          <cell r="H411">
            <v>65</v>
          </cell>
        </row>
        <row r="412">
          <cell r="C412">
            <v>115482009</v>
          </cell>
          <cell r="D412" t="str">
            <v>伯希和/PELLIOT</v>
          </cell>
          <cell r="E412" t="str">
            <v>鞋-运动鞋-登山鞋/徒步鞋</v>
          </cell>
          <cell r="F412" t="str">
            <v>一品多商</v>
          </cell>
          <cell r="G412" t="str">
            <v>品牌直发</v>
          </cell>
          <cell r="H412">
            <v>520</v>
          </cell>
        </row>
        <row r="413">
          <cell r="C413">
            <v>115402012</v>
          </cell>
          <cell r="D413" t="str">
            <v>伯希和/PELLIOT</v>
          </cell>
          <cell r="E413" t="str">
            <v>服装-长裤-冲锋裤</v>
          </cell>
          <cell r="F413" t="str">
            <v>一品一商</v>
          </cell>
          <cell r="G413" t="str">
            <v>品牌直发</v>
          </cell>
          <cell r="H413">
            <v>699</v>
          </cell>
        </row>
        <row r="414">
          <cell r="C414">
            <v>115382005</v>
          </cell>
          <cell r="D414" t="str">
            <v>伯希和/PELLIOT</v>
          </cell>
          <cell r="E414" t="str">
            <v>鞋-运动鞋-登山鞋/徒步鞋</v>
          </cell>
          <cell r="F414" t="str">
            <v>一品一商</v>
          </cell>
          <cell r="G414" t="str">
            <v>品牌直发</v>
          </cell>
          <cell r="H414">
            <v>882</v>
          </cell>
        </row>
        <row r="415">
          <cell r="C415">
            <v>125382014</v>
          </cell>
          <cell r="D415" t="str">
            <v>伯希和/PELLIOT</v>
          </cell>
          <cell r="E415" t="str">
            <v>鞋-运动鞋-登山鞋/徒步鞋</v>
          </cell>
          <cell r="F415" t="str">
            <v>一品多商</v>
          </cell>
          <cell r="G415" t="str">
            <v>品牌直发</v>
          </cell>
          <cell r="H415">
            <v>990</v>
          </cell>
        </row>
        <row r="416">
          <cell r="C416">
            <v>115376006</v>
          </cell>
          <cell r="D416" t="str">
            <v>伯希和/PELLIOT</v>
          </cell>
          <cell r="E416" t="str">
            <v>服装-外套-马甲</v>
          </cell>
          <cell r="F416" t="str">
            <v>一品多商</v>
          </cell>
          <cell r="G416" t="str">
            <v>品牌直发</v>
          </cell>
          <cell r="H416">
            <v>628</v>
          </cell>
        </row>
        <row r="417">
          <cell r="C417">
            <v>125306020</v>
          </cell>
          <cell r="D417" t="str">
            <v>伯希和/PELLIOT</v>
          </cell>
          <cell r="E417" t="str">
            <v>女装-外套-软壳衣</v>
          </cell>
          <cell r="F417" t="str">
            <v>一品多商</v>
          </cell>
          <cell r="G417" t="str">
            <v>品牌直发</v>
          </cell>
          <cell r="H417">
            <v>699</v>
          </cell>
        </row>
        <row r="418">
          <cell r="C418">
            <v>115381013</v>
          </cell>
          <cell r="D418" t="str">
            <v>伯希和/PELLIOT</v>
          </cell>
          <cell r="E418" t="str">
            <v>鞋-运动鞋-登山鞋/徒步鞋</v>
          </cell>
          <cell r="F418" t="str">
            <v>一品多商</v>
          </cell>
          <cell r="G418" t="str">
            <v>品牌直发</v>
          </cell>
          <cell r="H418">
            <v>808</v>
          </cell>
        </row>
        <row r="419">
          <cell r="C419">
            <v>125381016</v>
          </cell>
          <cell r="D419" t="str">
            <v>伯希和/PELLIOT</v>
          </cell>
          <cell r="E419" t="str">
            <v>鞋-运动鞋-登山鞋/徒步鞋</v>
          </cell>
          <cell r="F419" t="str">
            <v>一品多商</v>
          </cell>
          <cell r="G419" t="str">
            <v>品牌直发</v>
          </cell>
          <cell r="H419">
            <v>740</v>
          </cell>
        </row>
        <row r="420">
          <cell r="C420">
            <v>115378014</v>
          </cell>
          <cell r="D420" t="str">
            <v>伯希和/PELLIOT</v>
          </cell>
          <cell r="E420" t="str">
            <v>服装-长裤-休闲裤</v>
          </cell>
          <cell r="F420" t="str">
            <v>一品一商</v>
          </cell>
          <cell r="G420" t="str">
            <v>品牌直发</v>
          </cell>
          <cell r="H420">
            <v>440</v>
          </cell>
        </row>
        <row r="421">
          <cell r="C421">
            <v>115378020</v>
          </cell>
          <cell r="D421" t="str">
            <v>伯希和/PELLIOT</v>
          </cell>
          <cell r="E421" t="str">
            <v>服装-长裤-休闲裤</v>
          </cell>
          <cell r="F421" t="str">
            <v>一品一商</v>
          </cell>
          <cell r="G421" t="str">
            <v>品牌直发</v>
          </cell>
          <cell r="H421">
            <v>376</v>
          </cell>
        </row>
        <row r="422">
          <cell r="C422">
            <v>115401066</v>
          </cell>
          <cell r="D422" t="str">
            <v>伯希和/PELLIOT</v>
          </cell>
          <cell r="E422" t="str">
            <v>服装-外套-冲锋衣</v>
          </cell>
          <cell r="F422" t="str">
            <v>一品多商</v>
          </cell>
          <cell r="G422" t="str">
            <v>品牌直发</v>
          </cell>
          <cell r="H422">
            <v>940</v>
          </cell>
        </row>
        <row r="423">
          <cell r="C423">
            <v>125351023</v>
          </cell>
          <cell r="D423" t="str">
            <v>伯希和/PELLIOT</v>
          </cell>
          <cell r="E423" t="str">
            <v>女装-户外运动服-抓绒衣</v>
          </cell>
          <cell r="F423" t="str">
            <v>一品多商</v>
          </cell>
          <cell r="G423" t="str">
            <v>品牌直发</v>
          </cell>
          <cell r="H423">
            <v>664</v>
          </cell>
        </row>
        <row r="424">
          <cell r="C424">
            <v>165341002</v>
          </cell>
          <cell r="D424" t="str">
            <v>伯希和/PELLIOT</v>
          </cell>
          <cell r="E424" t="str">
            <v>流行饰品/眼镜/服配-围巾-围脖</v>
          </cell>
          <cell r="F424" t="str">
            <v>一品一商</v>
          </cell>
          <cell r="G424" t="str">
            <v>品牌直发</v>
          </cell>
          <cell r="H424">
            <v>170</v>
          </cell>
        </row>
        <row r="425">
          <cell r="C425">
            <v>115351022</v>
          </cell>
          <cell r="D425" t="str">
            <v>伯希和/PELLIOT</v>
          </cell>
          <cell r="E425" t="str">
            <v>服装-户外运动服-抓绒衣</v>
          </cell>
          <cell r="F425" t="str">
            <v>一品多商</v>
          </cell>
          <cell r="G425" t="str">
            <v>品牌直发</v>
          </cell>
          <cell r="H425">
            <v>637</v>
          </cell>
        </row>
        <row r="426">
          <cell r="C426">
            <v>115408007</v>
          </cell>
          <cell r="D426" t="str">
            <v>伯希和/PELLIOT</v>
          </cell>
          <cell r="E426" t="str">
            <v>服装-外套-羽绒服</v>
          </cell>
          <cell r="F426" t="str">
            <v>一品多商</v>
          </cell>
          <cell r="G426" t="str">
            <v>品牌直发</v>
          </cell>
          <cell r="H426">
            <v>1799</v>
          </cell>
        </row>
        <row r="427">
          <cell r="C427">
            <v>105401069</v>
          </cell>
          <cell r="D427" t="str">
            <v>伯希和/PELLIOT</v>
          </cell>
          <cell r="E427" t="str">
            <v>服装-外套-冲锋衣</v>
          </cell>
          <cell r="F427" t="str">
            <v>一品多商</v>
          </cell>
          <cell r="G427" t="str">
            <v>品牌直发</v>
          </cell>
          <cell r="H427">
            <v>1606</v>
          </cell>
        </row>
        <row r="428">
          <cell r="C428">
            <v>115301063</v>
          </cell>
          <cell r="D428" t="str">
            <v>伯希和/PELLIOT</v>
          </cell>
          <cell r="E428" t="str">
            <v>服装-外套-冲锋衣</v>
          </cell>
          <cell r="F428" t="str">
            <v>一品多商</v>
          </cell>
          <cell r="G428" t="str">
            <v>品牌直发</v>
          </cell>
          <cell r="H428">
            <v>607</v>
          </cell>
        </row>
        <row r="429">
          <cell r="C429">
            <v>125301064</v>
          </cell>
          <cell r="D429" t="str">
            <v>伯希和/PELLIOT</v>
          </cell>
          <cell r="E429" t="str">
            <v>女装-外套-冲锋衣</v>
          </cell>
          <cell r="F429" t="str">
            <v>一品一商</v>
          </cell>
          <cell r="G429" t="str">
            <v>品牌直发</v>
          </cell>
          <cell r="H429">
            <v>582</v>
          </cell>
        </row>
        <row r="430">
          <cell r="C430">
            <v>135408031</v>
          </cell>
          <cell r="D430" t="str">
            <v>伯希和/PELLIOT</v>
          </cell>
          <cell r="E430" t="str">
            <v>童装-儿童上装-羽绒服</v>
          </cell>
          <cell r="F430" t="str">
            <v>一品一商</v>
          </cell>
          <cell r="G430" t="str">
            <v>品牌直发</v>
          </cell>
          <cell r="H430">
            <v>837</v>
          </cell>
        </row>
        <row r="431">
          <cell r="C431">
            <v>125319012</v>
          </cell>
          <cell r="D431" t="str">
            <v>伯希和/PELLIOT</v>
          </cell>
          <cell r="E431" t="str">
            <v>鞋-运动鞋-越野跑鞋</v>
          </cell>
          <cell r="F431" t="str">
            <v>一品多商</v>
          </cell>
          <cell r="G431" t="str">
            <v>品牌直发</v>
          </cell>
          <cell r="H431">
            <v>699</v>
          </cell>
        </row>
        <row r="432">
          <cell r="C432">
            <v>165034028</v>
          </cell>
          <cell r="D432" t="str">
            <v>伯希和/PELLIOT</v>
          </cell>
          <cell r="E432" t="str">
            <v>流行饰品/眼镜/服配-帽子-其他帽子</v>
          </cell>
          <cell r="F432" t="str">
            <v>一品一商</v>
          </cell>
          <cell r="G432" t="str">
            <v>品牌直发</v>
          </cell>
          <cell r="H432">
            <v>84</v>
          </cell>
        </row>
        <row r="433">
          <cell r="C433">
            <v>125381032</v>
          </cell>
          <cell r="D433" t="str">
            <v>伯希和/PELLIOT</v>
          </cell>
          <cell r="E433" t="str">
            <v>鞋-运动鞋-登山鞋/徒步鞋</v>
          </cell>
          <cell r="F433" t="str">
            <v>一品一商</v>
          </cell>
          <cell r="G433" t="str">
            <v>品牌直发</v>
          </cell>
          <cell r="H433">
            <v>637</v>
          </cell>
        </row>
        <row r="434">
          <cell r="C434">
            <v>135301073</v>
          </cell>
          <cell r="D434" t="str">
            <v>伯希和/PELLIOT</v>
          </cell>
          <cell r="E434" t="str">
            <v>童装-儿童上装-冲锋衣</v>
          </cell>
          <cell r="F434" t="str">
            <v>一品一商</v>
          </cell>
          <cell r="G434" t="str">
            <v>品牌直发</v>
          </cell>
          <cell r="H434">
            <v>404</v>
          </cell>
        </row>
        <row r="435">
          <cell r="C435">
            <v>135301074</v>
          </cell>
          <cell r="D435" t="str">
            <v>伯希和/PELLIOT</v>
          </cell>
          <cell r="E435" t="str">
            <v>童装-儿童上装-冲锋衣</v>
          </cell>
          <cell r="F435" t="str">
            <v>一品一商</v>
          </cell>
          <cell r="G435" t="str">
            <v>品牌直发</v>
          </cell>
          <cell r="H435">
            <v>470</v>
          </cell>
        </row>
        <row r="436">
          <cell r="C436">
            <v>165035014</v>
          </cell>
          <cell r="D436" t="str">
            <v>伯希和/PELLIOT</v>
          </cell>
          <cell r="E436" t="str">
            <v>内衣-袜子-中筒袜</v>
          </cell>
          <cell r="F436" t="str">
            <v>一品一商</v>
          </cell>
          <cell r="G436" t="str">
            <v>品牌直发</v>
          </cell>
          <cell r="H436">
            <v>65</v>
          </cell>
        </row>
        <row r="437">
          <cell r="C437">
            <v>166025077</v>
          </cell>
          <cell r="D437" t="str">
            <v>伯希和/PELLIOT</v>
          </cell>
          <cell r="E437" t="str">
            <v>箱包-包袋-户外包</v>
          </cell>
          <cell r="F437" t="str">
            <v>一品一商</v>
          </cell>
          <cell r="G437" t="str">
            <v>品牌直发</v>
          </cell>
          <cell r="H437">
            <v>423</v>
          </cell>
        </row>
        <row r="438">
          <cell r="C438">
            <v>165030023</v>
          </cell>
          <cell r="D438" t="str">
            <v>伯希和/PELLIOT</v>
          </cell>
          <cell r="E438" t="str">
            <v>户外装备-露营/野炊装备-户外睡袋</v>
          </cell>
          <cell r="F438" t="str">
            <v>一品一商</v>
          </cell>
          <cell r="G438" t="str">
            <v>品牌直发</v>
          </cell>
          <cell r="H438">
            <v>263</v>
          </cell>
        </row>
        <row r="439">
          <cell r="C439" t="str">
            <v>12340822-新加色</v>
          </cell>
          <cell r="D439" t="str">
            <v>伯希和/PELLIOT</v>
          </cell>
          <cell r="E439" t="str">
            <v>女装-外套-羽绒服</v>
          </cell>
          <cell r="F439" t="str">
            <v>一品多商</v>
          </cell>
          <cell r="G439" t="str">
            <v>品牌直发</v>
          </cell>
          <cell r="H439">
            <v>637</v>
          </cell>
        </row>
        <row r="440">
          <cell r="C440">
            <v>165044011</v>
          </cell>
          <cell r="D440" t="str">
            <v>伯希和/PELLIOT</v>
          </cell>
          <cell r="E440" t="str">
            <v>户外装备-露营/野炊装备-户外水袋</v>
          </cell>
          <cell r="F440" t="str">
            <v>一品一商</v>
          </cell>
          <cell r="G440" t="str">
            <v>品牌直发</v>
          </cell>
          <cell r="H440">
            <v>94</v>
          </cell>
        </row>
        <row r="441">
          <cell r="C441">
            <v>112240128</v>
          </cell>
          <cell r="D441" t="str">
            <v>伯希和/PELLIOT</v>
          </cell>
          <cell r="E441" t="str">
            <v>服装-外套-冲锋衣</v>
          </cell>
          <cell r="F441" t="str">
            <v>一品多商</v>
          </cell>
          <cell r="G441" t="str">
            <v>品牌直发</v>
          </cell>
          <cell r="H441">
            <v>899</v>
          </cell>
        </row>
        <row r="442">
          <cell r="C442" t="str">
            <v>114401041-新加色</v>
          </cell>
          <cell r="D442" t="str">
            <v>伯希和/PELLIOT</v>
          </cell>
          <cell r="E442" t="str">
            <v>服装-外套-冲锋衣</v>
          </cell>
          <cell r="F442" t="str">
            <v>一品一商</v>
          </cell>
          <cell r="G442" t="str">
            <v>品牌直发</v>
          </cell>
          <cell r="H442">
            <v>940</v>
          </cell>
        </row>
        <row r="443">
          <cell r="C443">
            <v>126181034</v>
          </cell>
          <cell r="D443" t="str">
            <v>伯希和/PELLIOT</v>
          </cell>
          <cell r="E443" t="str">
            <v>鞋-运动鞋-登山鞋/徒步鞋</v>
          </cell>
          <cell r="F443" t="str">
            <v>一品多商</v>
          </cell>
          <cell r="G443" t="str">
            <v>品牌直发</v>
          </cell>
          <cell r="H443">
            <v>549</v>
          </cell>
        </row>
        <row r="444">
          <cell r="C444">
            <v>126119002</v>
          </cell>
          <cell r="D444" t="str">
            <v>伯希和/PELLIOT</v>
          </cell>
          <cell r="E444" t="str">
            <v>鞋-运动鞋-越野跑鞋</v>
          </cell>
          <cell r="F444" t="str">
            <v>一品多商</v>
          </cell>
          <cell r="G444" t="str">
            <v>品牌直发</v>
          </cell>
          <cell r="H444">
            <v>469</v>
          </cell>
        </row>
        <row r="445">
          <cell r="C445">
            <v>116102015</v>
          </cell>
          <cell r="D445" t="str">
            <v>伯希和/PELLIOT</v>
          </cell>
          <cell r="E445" t="str">
            <v>服装-长裤-冲锋裤</v>
          </cell>
          <cell r="F445" t="str">
            <v>一品一商</v>
          </cell>
          <cell r="G445" t="str">
            <v>品牌直发</v>
          </cell>
          <cell r="H445">
            <v>799</v>
          </cell>
        </row>
        <row r="446">
          <cell r="C446">
            <v>126215056</v>
          </cell>
          <cell r="D446" t="str">
            <v>伯希和/PELLIOT</v>
          </cell>
          <cell r="E446" t="str">
            <v>女装-上衣-Polo衫</v>
          </cell>
          <cell r="F446" t="str">
            <v>一品一商</v>
          </cell>
          <cell r="G446" t="str">
            <v>品牌直发</v>
          </cell>
          <cell r="H446">
            <v>489</v>
          </cell>
        </row>
        <row r="447">
          <cell r="C447">
            <v>165036012</v>
          </cell>
          <cell r="D447" t="str">
            <v>伯希和/PELLIOT</v>
          </cell>
          <cell r="E447" t="str">
            <v>户外装备-徒步/攀登-登山杖/手杖</v>
          </cell>
          <cell r="F447" t="str">
            <v>一品一商</v>
          </cell>
          <cell r="G447" t="str">
            <v>品牌直发</v>
          </cell>
          <cell r="H447">
            <v>413</v>
          </cell>
        </row>
        <row r="448">
          <cell r="C448">
            <v>1126101104</v>
          </cell>
          <cell r="D448" t="str">
            <v>伯希和/PELLIOT</v>
          </cell>
          <cell r="E448" t="str">
            <v>女装-外套-冲锋衣</v>
          </cell>
          <cell r="F448" t="str">
            <v>一品一商</v>
          </cell>
          <cell r="G448" t="str">
            <v>品牌直发</v>
          </cell>
          <cell r="H448">
            <v>699</v>
          </cell>
        </row>
        <row r="449">
          <cell r="C449">
            <v>165028442</v>
          </cell>
          <cell r="D449" t="str">
            <v>伯希和/PELLIOT</v>
          </cell>
          <cell r="E449" t="str">
            <v>户外装备-露营/野炊装备-露营防潮垫</v>
          </cell>
          <cell r="F449" t="str">
            <v>一品一商</v>
          </cell>
          <cell r="G449" t="str">
            <v>品牌直发</v>
          </cell>
          <cell r="H449">
            <v>743</v>
          </cell>
        </row>
        <row r="450">
          <cell r="C450">
            <v>116151027</v>
          </cell>
          <cell r="D450" t="str">
            <v>伯希和/PELLIOT</v>
          </cell>
          <cell r="E450" t="str">
            <v>服装-外套-夹克</v>
          </cell>
          <cell r="F450" t="str">
            <v>一品一商</v>
          </cell>
          <cell r="G450" t="str">
            <v>品牌直发</v>
          </cell>
          <cell r="H450">
            <v>439</v>
          </cell>
        </row>
        <row r="451">
          <cell r="C451">
            <v>126215067</v>
          </cell>
          <cell r="D451" t="str">
            <v>伯希和/PELLIOT</v>
          </cell>
          <cell r="E451" t="str">
            <v>女装-上衣-T恤</v>
          </cell>
          <cell r="F451" t="str">
            <v>一品一商</v>
          </cell>
          <cell r="G451" t="str">
            <v>品牌直发</v>
          </cell>
          <cell r="H451">
            <v>276</v>
          </cell>
        </row>
        <row r="452">
          <cell r="C452">
            <v>116106038</v>
          </cell>
          <cell r="D452" t="str">
            <v>伯希和/PELLIOT</v>
          </cell>
          <cell r="E452" t="str">
            <v>服装-外套-软壳衣</v>
          </cell>
          <cell r="F452" t="str">
            <v>一品多商</v>
          </cell>
          <cell r="G452" t="str">
            <v>品牌直发</v>
          </cell>
          <cell r="H452">
            <v>499</v>
          </cell>
        </row>
        <row r="453">
          <cell r="C453">
            <v>126215065</v>
          </cell>
          <cell r="D453" t="str">
            <v>伯希和/PELLIOT</v>
          </cell>
          <cell r="E453" t="str">
            <v>女装-户外运动服-速干T恤</v>
          </cell>
          <cell r="F453" t="str">
            <v>一品一商</v>
          </cell>
          <cell r="G453" t="str">
            <v>品牌直发</v>
          </cell>
          <cell r="H453">
            <v>309</v>
          </cell>
        </row>
        <row r="454">
          <cell r="C454">
            <v>126220004</v>
          </cell>
          <cell r="D454" t="str">
            <v>伯希和/PELLIOT</v>
          </cell>
          <cell r="E454" t="str">
            <v>鞋-凉鞋/拖鞋-溯溪鞋</v>
          </cell>
          <cell r="F454" t="str">
            <v>一品一商</v>
          </cell>
          <cell r="G454" t="str">
            <v>品牌直发</v>
          </cell>
          <cell r="H454">
            <v>499</v>
          </cell>
        </row>
        <row r="455">
          <cell r="C455">
            <v>116215072</v>
          </cell>
          <cell r="D455" t="str">
            <v>伯希和/PELLIOT</v>
          </cell>
          <cell r="E455" t="str">
            <v>服装-上衣-T恤</v>
          </cell>
          <cell r="F455" t="str">
            <v>一品一商</v>
          </cell>
          <cell r="G455" t="str">
            <v>品牌直发</v>
          </cell>
          <cell r="H455">
            <v>399</v>
          </cell>
        </row>
        <row r="456">
          <cell r="C456">
            <v>136107033</v>
          </cell>
          <cell r="D456" t="str">
            <v>伯希和/PELLIOT</v>
          </cell>
          <cell r="E456" t="str">
            <v>童装-儿童下装-儿童软壳裤</v>
          </cell>
          <cell r="F456" t="str">
            <v>一品一商</v>
          </cell>
          <cell r="G456" t="str">
            <v>品牌直发</v>
          </cell>
          <cell r="H456">
            <v>204</v>
          </cell>
        </row>
        <row r="457">
          <cell r="C457">
            <v>126219004</v>
          </cell>
          <cell r="D457" t="str">
            <v>伯希和/PELLIOT</v>
          </cell>
          <cell r="E457" t="str">
            <v>鞋-运动鞋-越野跑鞋</v>
          </cell>
          <cell r="F457" t="str">
            <v>一品一商</v>
          </cell>
          <cell r="G457" t="str">
            <v>品牌直发</v>
          </cell>
          <cell r="H457">
            <v>699</v>
          </cell>
        </row>
        <row r="458">
          <cell r="C458">
            <v>126101208</v>
          </cell>
          <cell r="D458" t="str">
            <v>伯希和/PELLIOT</v>
          </cell>
          <cell r="E458" t="str">
            <v>女装-外套-冲锋衣</v>
          </cell>
          <cell r="F458" t="str">
            <v>一品多商</v>
          </cell>
          <cell r="G458" t="str">
            <v>品牌直发</v>
          </cell>
          <cell r="H458">
            <v>529</v>
          </cell>
        </row>
        <row r="459">
          <cell r="C459">
            <v>13040127</v>
          </cell>
          <cell r="D459" t="str">
            <v>伯希和/PELLIOT</v>
          </cell>
          <cell r="E459" t="str">
            <v>童装-儿童上装-冲锋衣</v>
          </cell>
          <cell r="F459" t="str">
            <v>一品一商</v>
          </cell>
          <cell r="G459" t="str">
            <v>品牌直发</v>
          </cell>
          <cell r="H459">
            <v>357</v>
          </cell>
        </row>
        <row r="460">
          <cell r="C460">
            <v>116281023</v>
          </cell>
          <cell r="D460" t="str">
            <v>伯希和/PELLIOT</v>
          </cell>
          <cell r="E460" t="str">
            <v>鞋-运动鞋-登山鞋/徒步鞋</v>
          </cell>
          <cell r="F460" t="str">
            <v>一品一商</v>
          </cell>
          <cell r="G460" t="str">
            <v>品牌直发</v>
          </cell>
          <cell r="H460">
            <v>699</v>
          </cell>
        </row>
        <row r="461">
          <cell r="C461">
            <v>126281024</v>
          </cell>
          <cell r="D461" t="str">
            <v>伯希和/PELLIOT</v>
          </cell>
          <cell r="E461" t="str">
            <v>鞋-运动鞋-登山鞋/徒步鞋</v>
          </cell>
          <cell r="F461" t="str">
            <v>一品一商</v>
          </cell>
          <cell r="G461" t="str">
            <v>品牌直发</v>
          </cell>
          <cell r="H461">
            <v>699</v>
          </cell>
        </row>
        <row r="462">
          <cell r="C462">
            <v>23930709</v>
          </cell>
          <cell r="D462" t="str">
            <v>伯希和/PELLIOT</v>
          </cell>
          <cell r="E462" t="str">
            <v>童装-儿童下装-儿童软壳裤</v>
          </cell>
          <cell r="F462" t="str">
            <v>一品一商</v>
          </cell>
          <cell r="G462" t="str">
            <v>品牌直发</v>
          </cell>
          <cell r="H462">
            <v>149</v>
          </cell>
        </row>
        <row r="463">
          <cell r="C463">
            <v>116101197</v>
          </cell>
          <cell r="D463" t="str">
            <v>伯希和/PELLIOT</v>
          </cell>
          <cell r="E463" t="str">
            <v>服装-外套-冲锋衣</v>
          </cell>
          <cell r="F463" t="str">
            <v>一品多商</v>
          </cell>
          <cell r="G463" t="str">
            <v>品牌直发</v>
          </cell>
          <cell r="H463">
            <v>529</v>
          </cell>
        </row>
        <row r="464">
          <cell r="C464" t="str">
            <v>126119008-鞋</v>
          </cell>
          <cell r="D464" t="str">
            <v>伯希和/PELLIOT</v>
          </cell>
          <cell r="E464" t="str">
            <v>鞋-运动鞋-越野跑鞋</v>
          </cell>
          <cell r="F464" t="str">
            <v>一品一商</v>
          </cell>
          <cell r="G464" t="str">
            <v>品牌直发</v>
          </cell>
          <cell r="H464">
            <v>699</v>
          </cell>
        </row>
        <row r="465">
          <cell r="C465">
            <v>116101140</v>
          </cell>
          <cell r="D465" t="str">
            <v>伯希和/PELLIOT</v>
          </cell>
          <cell r="E465" t="str">
            <v>服装-外套-冲锋衣</v>
          </cell>
          <cell r="F465" t="str">
            <v>一品一商</v>
          </cell>
          <cell r="G465" t="str">
            <v>品牌直发</v>
          </cell>
          <cell r="H465">
            <v>699</v>
          </cell>
        </row>
        <row r="466">
          <cell r="C466">
            <v>116101185</v>
          </cell>
          <cell r="D466" t="str">
            <v>伯希和/PELLIOT</v>
          </cell>
          <cell r="E466" t="str">
            <v>服装-外套-冲锋衣</v>
          </cell>
          <cell r="F466" t="str">
            <v>一品一商</v>
          </cell>
          <cell r="G466" t="str">
            <v>品牌直发</v>
          </cell>
          <cell r="H466">
            <v>699</v>
          </cell>
        </row>
        <row r="467">
          <cell r="C467">
            <v>166034068</v>
          </cell>
          <cell r="D467" t="str">
            <v>伯希和/PELLIOT</v>
          </cell>
          <cell r="E467" t="str">
            <v>流行饰品/眼镜/服配-帽子-棒球帽</v>
          </cell>
          <cell r="F467" t="str">
            <v>一品一商</v>
          </cell>
          <cell r="G467" t="str">
            <v>品牌直发</v>
          </cell>
          <cell r="H467">
            <v>149</v>
          </cell>
        </row>
        <row r="468">
          <cell r="C468">
            <v>106301213</v>
          </cell>
          <cell r="D468" t="str">
            <v>伯希和/PELLIOT</v>
          </cell>
          <cell r="E468" t="str">
            <v>服装-外套-冲锋衣</v>
          </cell>
          <cell r="F468" t="str">
            <v>一品一商</v>
          </cell>
          <cell r="G468" t="str">
            <v>品牌直发</v>
          </cell>
          <cell r="H468">
            <v>990</v>
          </cell>
        </row>
        <row r="469">
          <cell r="C469">
            <v>16502703</v>
          </cell>
          <cell r="D469" t="str">
            <v>伯希和/PELLIOT</v>
          </cell>
          <cell r="E469" t="str">
            <v>户外装备-露营帐篷/天幕及配件-营地帐篷</v>
          </cell>
          <cell r="F469" t="str">
            <v>一品一商</v>
          </cell>
          <cell r="G469" t="str">
            <v>品牌直发</v>
          </cell>
          <cell r="H469">
            <v>526</v>
          </cell>
        </row>
        <row r="470">
          <cell r="C470">
            <v>12340822</v>
          </cell>
          <cell r="D470" t="str">
            <v>伯希和/PELLIOT</v>
          </cell>
          <cell r="E470" t="str">
            <v>女装-外套-羽绒服</v>
          </cell>
          <cell r="F470" t="str">
            <v>一品多商</v>
          </cell>
          <cell r="G470" t="str">
            <v>品牌直发</v>
          </cell>
          <cell r="H470">
            <v>592</v>
          </cell>
        </row>
        <row r="471">
          <cell r="C471" t="str">
            <v>126302031-服</v>
          </cell>
          <cell r="D471" t="str">
            <v>伯希和/PELLIOT</v>
          </cell>
          <cell r="E471" t="str">
            <v>女装-长裤-冲锋裤</v>
          </cell>
          <cell r="F471" t="str">
            <v>一品一商</v>
          </cell>
          <cell r="G471" t="str">
            <v>品牌直发</v>
          </cell>
          <cell r="H471">
            <v>440</v>
          </cell>
        </row>
        <row r="472">
          <cell r="C472">
            <v>12340804</v>
          </cell>
          <cell r="D472" t="str">
            <v>伯希和/PELLIOT</v>
          </cell>
          <cell r="E472" t="str">
            <v>女装-外套-羽绒服</v>
          </cell>
          <cell r="F472" t="str">
            <v>一品多商</v>
          </cell>
          <cell r="G472" t="str">
            <v>品牌直发</v>
          </cell>
          <cell r="H472">
            <v>727</v>
          </cell>
        </row>
        <row r="473">
          <cell r="C473">
            <v>114408281</v>
          </cell>
          <cell r="D473" t="str">
            <v>伯希和/PELLIOT</v>
          </cell>
          <cell r="E473" t="str">
            <v>服装-外套-羽绒服</v>
          </cell>
          <cell r="F473" t="str">
            <v>一品多商</v>
          </cell>
          <cell r="G473" t="str">
            <v>品牌直发</v>
          </cell>
          <cell r="H473">
            <v>727</v>
          </cell>
        </row>
        <row r="474">
          <cell r="C474">
            <v>126314048</v>
          </cell>
          <cell r="D474" t="str">
            <v>伯希和/PELLIOT</v>
          </cell>
          <cell r="E474" t="str">
            <v>女装-短裤-休闲短裤</v>
          </cell>
          <cell r="F474" t="str">
            <v>一品一商</v>
          </cell>
          <cell r="G474" t="str">
            <v>品牌直发</v>
          </cell>
          <cell r="H474">
            <v>339</v>
          </cell>
        </row>
        <row r="475">
          <cell r="C475" t="str">
            <v>166041021-四色</v>
          </cell>
          <cell r="D475" t="str">
            <v>伯希和/PELLIOT</v>
          </cell>
          <cell r="E475" t="str">
            <v>流行饰品/眼镜/服配-防晒服配-防晒脖套</v>
          </cell>
          <cell r="F475" t="str">
            <v>一品一商</v>
          </cell>
          <cell r="G475" t="str">
            <v>品牌直发</v>
          </cell>
          <cell r="H475">
            <v>75</v>
          </cell>
        </row>
        <row r="476">
          <cell r="C476">
            <v>116316062</v>
          </cell>
          <cell r="D476" t="str">
            <v>伯希和/PELLIOT</v>
          </cell>
          <cell r="E476" t="str">
            <v>服装-上衣-T恤</v>
          </cell>
          <cell r="F476" t="str">
            <v>一品一商</v>
          </cell>
          <cell r="G476" t="str">
            <v>品牌直发</v>
          </cell>
          <cell r="H476">
            <v>369</v>
          </cell>
        </row>
        <row r="477">
          <cell r="C477">
            <v>126215157</v>
          </cell>
          <cell r="D477" t="str">
            <v>伯希和/PELLIOT</v>
          </cell>
          <cell r="E477" t="str">
            <v>女装-上衣-T恤</v>
          </cell>
          <cell r="F477" t="str">
            <v>一品一商</v>
          </cell>
          <cell r="G477" t="str">
            <v>品牌直发</v>
          </cell>
          <cell r="H477">
            <v>149</v>
          </cell>
        </row>
        <row r="478">
          <cell r="C478">
            <v>126216108</v>
          </cell>
          <cell r="D478" t="str">
            <v>伯希和/PELLIOT</v>
          </cell>
          <cell r="E478" t="str">
            <v>女装-上衣-T恤</v>
          </cell>
          <cell r="F478" t="str">
            <v>一品一商</v>
          </cell>
          <cell r="G478" t="str">
            <v>品牌直发</v>
          </cell>
          <cell r="H478">
            <v>299</v>
          </cell>
        </row>
        <row r="479">
          <cell r="C479" t="str">
            <v>126215153-服</v>
          </cell>
          <cell r="D479" t="str">
            <v>伯希和/PELLIOT</v>
          </cell>
          <cell r="E479" t="str">
            <v>女装-上衣-Polo衫</v>
          </cell>
          <cell r="F479" t="str">
            <v>一品一商</v>
          </cell>
          <cell r="G479" t="str">
            <v>品牌直发</v>
          </cell>
          <cell r="H479">
            <v>269</v>
          </cell>
        </row>
        <row r="480">
          <cell r="C480">
            <v>126215152</v>
          </cell>
          <cell r="D480" t="str">
            <v>伯希和/PELLIOT</v>
          </cell>
          <cell r="E480" t="str">
            <v>女装-上衣-Polo衫</v>
          </cell>
          <cell r="F480" t="str">
            <v>一品一商</v>
          </cell>
          <cell r="G480" t="str">
            <v>品牌直发</v>
          </cell>
          <cell r="H480">
            <v>199</v>
          </cell>
        </row>
        <row r="481">
          <cell r="C481">
            <v>116307058</v>
          </cell>
          <cell r="D481" t="str">
            <v>伯希和/PELLIOT</v>
          </cell>
          <cell r="E481" t="str">
            <v>服装-长裤-软壳裤</v>
          </cell>
          <cell r="F481" t="str">
            <v>一品一商</v>
          </cell>
          <cell r="G481" t="str">
            <v>品牌直发</v>
          </cell>
          <cell r="H481">
            <v>399</v>
          </cell>
        </row>
        <row r="482">
          <cell r="C482">
            <v>166034090</v>
          </cell>
          <cell r="D482" t="str">
            <v>伯希和/PELLIOT</v>
          </cell>
          <cell r="E482" t="str">
            <v>流行饰品/眼镜/服配-帽子-棒球帽</v>
          </cell>
          <cell r="F482" t="str">
            <v>一品一商</v>
          </cell>
          <cell r="G482" t="str">
            <v>品牌直发</v>
          </cell>
          <cell r="H482">
            <v>94</v>
          </cell>
        </row>
        <row r="483">
          <cell r="C483">
            <v>16023203</v>
          </cell>
          <cell r="D483" t="str">
            <v>伯希和/PELLIOT</v>
          </cell>
          <cell r="E483" t="str">
            <v>流行饰品/眼镜/服配-防晒服配-防晒脖套</v>
          </cell>
          <cell r="F483" t="str">
            <v>一品一商</v>
          </cell>
          <cell r="G483" t="str">
            <v>品牌直发</v>
          </cell>
          <cell r="H483">
            <v>37</v>
          </cell>
        </row>
        <row r="484">
          <cell r="C484">
            <v>16423433</v>
          </cell>
          <cell r="D484" t="str">
            <v>伯希和/PELLIOT</v>
          </cell>
          <cell r="E484" t="str">
            <v>流行饰品/眼镜/服配-防晒服配-防晒帽</v>
          </cell>
          <cell r="F484" t="str">
            <v>一品一商</v>
          </cell>
          <cell r="G484" t="str">
            <v>品牌直发</v>
          </cell>
          <cell r="H484">
            <v>65</v>
          </cell>
        </row>
        <row r="485">
          <cell r="C485" t="str">
            <v>112340164-271037</v>
          </cell>
          <cell r="D485" t="str">
            <v>伯希和/PELLIOT</v>
          </cell>
          <cell r="E485" t="str">
            <v>服装-外套-冲锋衣</v>
          </cell>
          <cell r="F485" t="str">
            <v>一品多商</v>
          </cell>
          <cell r="G485" t="str">
            <v>品牌直发</v>
          </cell>
          <cell r="H485">
            <v>699</v>
          </cell>
        </row>
        <row r="486">
          <cell r="C486">
            <v>11421209</v>
          </cell>
          <cell r="D486" t="str">
            <v>伯希和/PELLIOT</v>
          </cell>
          <cell r="E486" t="str">
            <v>服装-外套-防晒服</v>
          </cell>
          <cell r="F486" t="str">
            <v>一品多商</v>
          </cell>
          <cell r="G486" t="str">
            <v>品牌直发</v>
          </cell>
          <cell r="H486">
            <v>361</v>
          </cell>
        </row>
        <row r="487">
          <cell r="C487">
            <v>12421212</v>
          </cell>
          <cell r="D487" t="str">
            <v>伯希和/PELLIOT</v>
          </cell>
          <cell r="E487" t="str">
            <v>女装-外套-防晒服</v>
          </cell>
          <cell r="F487" t="str">
            <v>一品多商</v>
          </cell>
          <cell r="G487" t="str">
            <v>品牌直发</v>
          </cell>
          <cell r="H487">
            <v>219</v>
          </cell>
        </row>
        <row r="488">
          <cell r="C488">
            <v>16123406</v>
          </cell>
          <cell r="D488" t="str">
            <v>伯希和/PELLIOT</v>
          </cell>
          <cell r="E488" t="str">
            <v>流行饰品/眼镜/服配-帽子-鸭舌帽</v>
          </cell>
          <cell r="F488" t="str">
            <v>一品一商</v>
          </cell>
          <cell r="G488" t="str">
            <v>品牌直发</v>
          </cell>
          <cell r="H488">
            <v>0</v>
          </cell>
        </row>
        <row r="489">
          <cell r="C489">
            <v>11011901</v>
          </cell>
          <cell r="D489" t="str">
            <v>伯希和/PELLIOT</v>
          </cell>
          <cell r="E489" t="str">
            <v>鞋-运动鞋-跑步鞋</v>
          </cell>
          <cell r="F489" t="str">
            <v>一品一商</v>
          </cell>
          <cell r="G489" t="str">
            <v>品牌直发</v>
          </cell>
          <cell r="H489">
            <v>0</v>
          </cell>
        </row>
        <row r="490">
          <cell r="C490">
            <v>12111901</v>
          </cell>
          <cell r="D490" t="str">
            <v>伯希和/PELLIOT</v>
          </cell>
          <cell r="E490" t="str">
            <v>鞋-运动鞋-跑步鞋</v>
          </cell>
          <cell r="F490" t="str">
            <v>一品一商</v>
          </cell>
          <cell r="G490" t="str">
            <v>品牌直发</v>
          </cell>
          <cell r="H490">
            <v>0</v>
          </cell>
        </row>
        <row r="491">
          <cell r="C491">
            <v>11211903</v>
          </cell>
          <cell r="D491" t="str">
            <v>伯希和/PELLIOT</v>
          </cell>
          <cell r="E491" t="str">
            <v>鞋-运动鞋-跑步鞋</v>
          </cell>
          <cell r="F491" t="str">
            <v>一品一商</v>
          </cell>
          <cell r="G491" t="str">
            <v>品牌直发</v>
          </cell>
          <cell r="H491">
            <v>0</v>
          </cell>
        </row>
        <row r="492">
          <cell r="C492">
            <v>16402504</v>
          </cell>
          <cell r="D492" t="str">
            <v>伯希和/PELLIOT</v>
          </cell>
          <cell r="E492" t="str">
            <v>箱包-包袋-户外包</v>
          </cell>
          <cell r="F492" t="str">
            <v>一品一商</v>
          </cell>
          <cell r="G492" t="str">
            <v>品牌直发</v>
          </cell>
          <cell r="H492">
            <v>0</v>
          </cell>
        </row>
        <row r="493">
          <cell r="C493">
            <v>11421301</v>
          </cell>
          <cell r="D493" t="str">
            <v>伯希和/PELLIOT</v>
          </cell>
          <cell r="E493" t="str">
            <v>服装-上衣-衬衫</v>
          </cell>
          <cell r="F493" t="str">
            <v>一品一商</v>
          </cell>
          <cell r="G493" t="str">
            <v>品牌直发</v>
          </cell>
          <cell r="H493">
            <v>0</v>
          </cell>
        </row>
        <row r="494">
          <cell r="C494">
            <v>12421240</v>
          </cell>
          <cell r="D494" t="str">
            <v>伯希和/PELLIOT</v>
          </cell>
          <cell r="E494" t="str">
            <v>女装-外套-防晒服</v>
          </cell>
          <cell r="F494" t="str">
            <v>一品一商</v>
          </cell>
          <cell r="G494" t="str">
            <v>品牌直发</v>
          </cell>
          <cell r="H494">
            <v>0</v>
          </cell>
        </row>
        <row r="495">
          <cell r="C495">
            <v>11410147</v>
          </cell>
          <cell r="D495" t="str">
            <v>伯希和/PELLIOT</v>
          </cell>
          <cell r="E495" t="str">
            <v>服装-外套-冲锋衣</v>
          </cell>
          <cell r="F495" t="str">
            <v>一品多商</v>
          </cell>
          <cell r="G495" t="str">
            <v>品牌直发</v>
          </cell>
          <cell r="H495">
            <v>0</v>
          </cell>
        </row>
        <row r="496">
          <cell r="C496">
            <v>11415103</v>
          </cell>
          <cell r="D496" t="str">
            <v>伯希和/PELLIOT</v>
          </cell>
          <cell r="E496" t="str">
            <v>服装-户外运动服-风壳</v>
          </cell>
          <cell r="F496" t="str">
            <v>一品一商</v>
          </cell>
          <cell r="G496" t="str">
            <v>品牌直发</v>
          </cell>
          <cell r="H496">
            <v>0</v>
          </cell>
        </row>
        <row r="497">
          <cell r="C497">
            <v>12415104</v>
          </cell>
          <cell r="D497" t="str">
            <v>伯希和/PELLIOT</v>
          </cell>
          <cell r="E497" t="str">
            <v>女装-外套-软壳衣</v>
          </cell>
          <cell r="F497" t="str">
            <v>一品一商</v>
          </cell>
          <cell r="G497" t="str">
            <v>品牌直发</v>
          </cell>
          <cell r="H497">
            <v>0</v>
          </cell>
        </row>
        <row r="498">
          <cell r="C498">
            <v>112331026</v>
          </cell>
          <cell r="D498" t="str">
            <v>伯希和/PELLIOT</v>
          </cell>
          <cell r="E498" t="str">
            <v>女装-户外运动服-抓绒衣</v>
          </cell>
          <cell r="F498" t="str">
            <v>一品一商</v>
          </cell>
          <cell r="G498" t="str">
            <v>品牌直发</v>
          </cell>
          <cell r="H498">
            <v>0</v>
          </cell>
        </row>
        <row r="499">
          <cell r="C499">
            <v>124301024</v>
          </cell>
          <cell r="D499" t="str">
            <v>伯希和/PELLIOT</v>
          </cell>
          <cell r="E499" t="str">
            <v>女装-外套-冲锋衣</v>
          </cell>
          <cell r="F499" t="str">
            <v>一品多商</v>
          </cell>
          <cell r="G499" t="str">
            <v>品牌直发</v>
          </cell>
          <cell r="H499">
            <v>0</v>
          </cell>
        </row>
        <row r="500">
          <cell r="C500">
            <v>114301001</v>
          </cell>
          <cell r="D500" t="str">
            <v>伯希和/PELLIOT</v>
          </cell>
          <cell r="E500" t="str">
            <v>服装-外套-冲锋衣</v>
          </cell>
          <cell r="F500" t="str">
            <v>一品多商</v>
          </cell>
          <cell r="G500" t="str">
            <v>品牌直发</v>
          </cell>
          <cell r="H500">
            <v>0</v>
          </cell>
        </row>
        <row r="501">
          <cell r="C501">
            <v>124301002</v>
          </cell>
          <cell r="D501" t="str">
            <v>伯希和/PELLIOT</v>
          </cell>
          <cell r="E501" t="str">
            <v>女装-外套-冲锋衣</v>
          </cell>
          <cell r="F501" t="str">
            <v>一品多商</v>
          </cell>
          <cell r="G501" t="str">
            <v>品牌直发</v>
          </cell>
          <cell r="H501">
            <v>0</v>
          </cell>
        </row>
        <row r="502">
          <cell r="C502">
            <v>16702618</v>
          </cell>
          <cell r="D502" t="str">
            <v>伯希和/PELLIOT</v>
          </cell>
          <cell r="E502" t="str">
            <v>箱包-包袋-出行收纳包</v>
          </cell>
          <cell r="F502" t="str">
            <v>一品一商</v>
          </cell>
          <cell r="G502" t="str">
            <v>品牌直发</v>
          </cell>
          <cell r="H502">
            <v>0</v>
          </cell>
        </row>
        <row r="503">
          <cell r="C503">
            <v>112340158</v>
          </cell>
          <cell r="D503" t="str">
            <v>伯希和/PELLIOT</v>
          </cell>
          <cell r="E503" t="str">
            <v>女装-外套-冲锋衣</v>
          </cell>
          <cell r="F503" t="str">
            <v>一品一商</v>
          </cell>
          <cell r="G503" t="str">
            <v>品牌直发</v>
          </cell>
          <cell r="H503">
            <v>0</v>
          </cell>
        </row>
        <row r="504">
          <cell r="C504">
            <v>114301087</v>
          </cell>
          <cell r="D504" t="str">
            <v>伯希和/PELLIOT</v>
          </cell>
          <cell r="E504" t="str">
            <v>服装-外套-冲锋衣</v>
          </cell>
          <cell r="F504" t="str">
            <v>一品多商</v>
          </cell>
          <cell r="G504" t="str">
            <v>品牌直发</v>
          </cell>
          <cell r="H504">
            <v>0</v>
          </cell>
        </row>
        <row r="505">
          <cell r="C505">
            <v>114301037</v>
          </cell>
          <cell r="D505" t="str">
            <v>伯希和/PELLIOT</v>
          </cell>
          <cell r="E505" t="str">
            <v>服装-外套-冲锋衣</v>
          </cell>
          <cell r="F505" t="str">
            <v>一品多商</v>
          </cell>
          <cell r="G505" t="str">
            <v>品牌直发</v>
          </cell>
          <cell r="H505">
            <v>0</v>
          </cell>
        </row>
        <row r="506">
          <cell r="C506">
            <v>114101059</v>
          </cell>
          <cell r="D506" t="str">
            <v>伯希和/PELLIOT</v>
          </cell>
          <cell r="E506" t="str">
            <v>服装-外套-冲锋衣</v>
          </cell>
          <cell r="F506" t="str">
            <v>一品一商</v>
          </cell>
          <cell r="G506" t="str">
            <v>品牌直发</v>
          </cell>
          <cell r="H506">
            <v>0</v>
          </cell>
        </row>
        <row r="507">
          <cell r="C507" t="str">
            <v>PE124101060</v>
          </cell>
          <cell r="D507" t="str">
            <v>伯希和/PELLIOT</v>
          </cell>
          <cell r="E507" t="str">
            <v>女装-外套-冲锋衣</v>
          </cell>
          <cell r="F507" t="str">
            <v>一品一商</v>
          </cell>
          <cell r="G507" t="str">
            <v>品牌直发</v>
          </cell>
          <cell r="H507">
            <v>0</v>
          </cell>
        </row>
        <row r="508">
          <cell r="C508">
            <v>114301033</v>
          </cell>
          <cell r="D508" t="str">
            <v>伯希和/PELLIOT</v>
          </cell>
          <cell r="E508" t="str">
            <v>服装-外套-冲锋衣</v>
          </cell>
          <cell r="F508" t="str">
            <v>一品多商</v>
          </cell>
          <cell r="G508" t="str">
            <v>品牌直发</v>
          </cell>
          <cell r="H508">
            <v>0</v>
          </cell>
        </row>
        <row r="509">
          <cell r="C509">
            <v>124301034</v>
          </cell>
          <cell r="D509" t="str">
            <v>伯希和/PELLIOT</v>
          </cell>
          <cell r="E509" t="str">
            <v>女装-外套-冲锋衣</v>
          </cell>
          <cell r="F509" t="str">
            <v>一品一商</v>
          </cell>
          <cell r="G509" t="str">
            <v>品牌直发</v>
          </cell>
          <cell r="H509">
            <v>0</v>
          </cell>
        </row>
        <row r="510">
          <cell r="C510">
            <v>12421420</v>
          </cell>
          <cell r="D510" t="str">
            <v>伯希和/PELLIOT</v>
          </cell>
          <cell r="E510" t="str">
            <v>女装-短裤-休闲短裤</v>
          </cell>
          <cell r="F510" t="str">
            <v>一品一商</v>
          </cell>
          <cell r="G510" t="str">
            <v>品牌直发</v>
          </cell>
          <cell r="H510">
            <v>0</v>
          </cell>
        </row>
        <row r="511">
          <cell r="C511">
            <v>111331025</v>
          </cell>
          <cell r="D511" t="str">
            <v>伯希和/PELLIOT</v>
          </cell>
          <cell r="E511" t="str">
            <v>服装-外套-绒感外套</v>
          </cell>
          <cell r="F511" t="str">
            <v>一品一商</v>
          </cell>
          <cell r="G511" t="str">
            <v>品牌直发</v>
          </cell>
          <cell r="H511">
            <v>0</v>
          </cell>
        </row>
        <row r="512">
          <cell r="C512">
            <v>12421522</v>
          </cell>
          <cell r="D512" t="str">
            <v>伯希和/PELLIOT</v>
          </cell>
          <cell r="E512" t="str">
            <v>女装-上衣-Polo衫</v>
          </cell>
          <cell r="F512" t="str">
            <v>一品一商</v>
          </cell>
          <cell r="G512" t="str">
            <v>品牌直发</v>
          </cell>
          <cell r="H512">
            <v>0</v>
          </cell>
        </row>
        <row r="513">
          <cell r="C513">
            <v>164335003</v>
          </cell>
          <cell r="D513" t="str">
            <v>伯希和/PELLIOT</v>
          </cell>
          <cell r="E513" t="str">
            <v>内衣-袜子-中筒袜</v>
          </cell>
          <cell r="F513" t="str">
            <v>一品一商</v>
          </cell>
          <cell r="G513" t="str">
            <v>品牌直发</v>
          </cell>
          <cell r="H513">
            <v>0</v>
          </cell>
        </row>
        <row r="514">
          <cell r="C514">
            <v>114311231</v>
          </cell>
          <cell r="D514" t="str">
            <v>伯希和/PELLIOT</v>
          </cell>
          <cell r="E514" t="str">
            <v>服装-长裤-休闲裤</v>
          </cell>
          <cell r="F514" t="str">
            <v>一品一商</v>
          </cell>
          <cell r="G514" t="str">
            <v>品牌直发</v>
          </cell>
          <cell r="H514">
            <v>0</v>
          </cell>
        </row>
        <row r="515">
          <cell r="C515">
            <v>124319004</v>
          </cell>
          <cell r="D515" t="str">
            <v>伯希和/PELLIOT</v>
          </cell>
          <cell r="E515" t="str">
            <v>鞋-运动鞋-登山鞋/徒步鞋</v>
          </cell>
          <cell r="F515" t="str">
            <v>一品一商</v>
          </cell>
          <cell r="G515" t="str">
            <v>品牌直发</v>
          </cell>
          <cell r="H515">
            <v>0</v>
          </cell>
        </row>
        <row r="516">
          <cell r="C516">
            <v>124307164</v>
          </cell>
          <cell r="D516" t="str">
            <v>伯希和/PELLIOT</v>
          </cell>
          <cell r="E516" t="str">
            <v>女装-长裤-软壳裤</v>
          </cell>
          <cell r="F516" t="str">
            <v>一品一商</v>
          </cell>
          <cell r="G516" t="str">
            <v>品牌直发</v>
          </cell>
          <cell r="H516">
            <v>0</v>
          </cell>
        </row>
        <row r="517">
          <cell r="C517">
            <v>114307165</v>
          </cell>
          <cell r="D517" t="str">
            <v>伯希和/PELLIOT</v>
          </cell>
          <cell r="E517" t="str">
            <v>服装-长裤-软壳裤</v>
          </cell>
          <cell r="F517" t="str">
            <v>一品多商</v>
          </cell>
          <cell r="G517" t="str">
            <v>品牌直发</v>
          </cell>
          <cell r="H517">
            <v>0</v>
          </cell>
        </row>
        <row r="518">
          <cell r="C518">
            <v>114302083</v>
          </cell>
          <cell r="D518" t="str">
            <v>伯希和/PELLIOT</v>
          </cell>
          <cell r="E518" t="str">
            <v>服装-长裤-冲锋裤</v>
          </cell>
          <cell r="F518" t="str">
            <v>一品多商</v>
          </cell>
          <cell r="G518" t="str">
            <v>品牌直发</v>
          </cell>
          <cell r="H518">
            <v>0</v>
          </cell>
        </row>
        <row r="519">
          <cell r="C519">
            <v>114306143</v>
          </cell>
          <cell r="D519" t="str">
            <v>伯希和/PELLIOT</v>
          </cell>
          <cell r="E519" t="str">
            <v>服装-外套-软壳衣</v>
          </cell>
          <cell r="F519" t="str">
            <v>一品多商</v>
          </cell>
          <cell r="G519" t="str">
            <v>品牌直发</v>
          </cell>
          <cell r="H519">
            <v>0</v>
          </cell>
        </row>
        <row r="520">
          <cell r="C520">
            <v>114314373</v>
          </cell>
          <cell r="D520" t="str">
            <v>伯希和/PELLIOT</v>
          </cell>
          <cell r="E520" t="str">
            <v>服装-户外运动服-速干裤</v>
          </cell>
          <cell r="F520" t="str">
            <v>一品一商</v>
          </cell>
          <cell r="G520" t="str">
            <v>品牌直发</v>
          </cell>
          <cell r="H520">
            <v>0</v>
          </cell>
        </row>
        <row r="521">
          <cell r="C521">
            <v>164025003</v>
          </cell>
          <cell r="D521" t="str">
            <v>伯希和/PELLIOT</v>
          </cell>
          <cell r="E521" t="str">
            <v>箱包-包袋-户外包</v>
          </cell>
          <cell r="F521" t="str">
            <v>一品一商</v>
          </cell>
          <cell r="G521" t="str">
            <v>品牌直发</v>
          </cell>
          <cell r="H521">
            <v>0</v>
          </cell>
        </row>
        <row r="522">
          <cell r="C522">
            <v>134334002</v>
          </cell>
          <cell r="D522" t="str">
            <v>伯希和/PELLIOT</v>
          </cell>
          <cell r="E522" t="str">
            <v>流行饰品/眼镜/服配-帽子-雷锋帽</v>
          </cell>
          <cell r="F522" t="str">
            <v>一品一商</v>
          </cell>
          <cell r="G522" t="str">
            <v>品牌直发</v>
          </cell>
          <cell r="H522">
            <v>0</v>
          </cell>
        </row>
        <row r="523">
          <cell r="C523" t="str">
            <v>PE124301014</v>
          </cell>
          <cell r="D523" t="str">
            <v>伯希和/PELLIOT</v>
          </cell>
          <cell r="E523" t="str">
            <v>女装-外套-冲锋衣</v>
          </cell>
          <cell r="F523" t="str">
            <v>一品多商</v>
          </cell>
          <cell r="G523" t="str">
            <v>品牌直发</v>
          </cell>
          <cell r="H523">
            <v>0</v>
          </cell>
        </row>
        <row r="524">
          <cell r="C524" t="str">
            <v>PE124301012</v>
          </cell>
          <cell r="D524" t="str">
            <v>伯希和/PELLIOT</v>
          </cell>
          <cell r="E524" t="str">
            <v>女装-外套-冲锋衣</v>
          </cell>
          <cell r="F524" t="str">
            <v>一品一商</v>
          </cell>
          <cell r="G524" t="str">
            <v>品牌直发</v>
          </cell>
          <cell r="H524">
            <v>0</v>
          </cell>
        </row>
        <row r="525">
          <cell r="C525">
            <v>114301039</v>
          </cell>
          <cell r="D525" t="str">
            <v>伯希和/PELLIOT</v>
          </cell>
          <cell r="E525" t="str">
            <v>服装-外套-冲锋衣</v>
          </cell>
          <cell r="F525" t="str">
            <v>一品一商</v>
          </cell>
          <cell r="G525" t="str">
            <v>品牌直发</v>
          </cell>
          <cell r="H525">
            <v>0</v>
          </cell>
        </row>
        <row r="526">
          <cell r="C526">
            <v>124351092</v>
          </cell>
          <cell r="D526" t="str">
            <v>伯希和/PELLIOT</v>
          </cell>
          <cell r="E526" t="str">
            <v>女装-外套-软壳衣</v>
          </cell>
          <cell r="F526" t="str">
            <v>一品多商</v>
          </cell>
          <cell r="G526" t="str">
            <v>品牌直发</v>
          </cell>
          <cell r="H526">
            <v>0</v>
          </cell>
        </row>
        <row r="527">
          <cell r="C527">
            <v>124307168</v>
          </cell>
          <cell r="D527" t="str">
            <v>伯希和/PELLIOT</v>
          </cell>
          <cell r="E527" t="str">
            <v>女装-长裤-软壳裤</v>
          </cell>
          <cell r="F527" t="str">
            <v>一品一商</v>
          </cell>
          <cell r="G527" t="str">
            <v>品牌直发</v>
          </cell>
          <cell r="H527">
            <v>0</v>
          </cell>
        </row>
        <row r="528">
          <cell r="C528">
            <v>124310190</v>
          </cell>
          <cell r="D528" t="str">
            <v>伯希和/PELLIOT</v>
          </cell>
          <cell r="E528" t="str">
            <v>女装-户外运动服-抓绒衣</v>
          </cell>
          <cell r="F528" t="str">
            <v>一品一商</v>
          </cell>
          <cell r="G528" t="str">
            <v>品牌直发</v>
          </cell>
          <cell r="H528">
            <v>0</v>
          </cell>
        </row>
        <row r="529">
          <cell r="C529">
            <v>164334405</v>
          </cell>
          <cell r="D529" t="str">
            <v>伯希和/PELLIOT</v>
          </cell>
          <cell r="E529" t="str">
            <v>流行饰品/眼镜/服配-帽子-绒线帽</v>
          </cell>
          <cell r="F529" t="str">
            <v>一品一商</v>
          </cell>
          <cell r="G529" t="str">
            <v>品牌直发</v>
          </cell>
          <cell r="H529">
            <v>0</v>
          </cell>
        </row>
        <row r="530">
          <cell r="C530">
            <v>114314375</v>
          </cell>
          <cell r="D530" t="str">
            <v>伯希和/PELLIOT</v>
          </cell>
          <cell r="E530" t="str">
            <v>服装-户外运动服-速干裤</v>
          </cell>
          <cell r="F530" t="str">
            <v>一品多商</v>
          </cell>
          <cell r="G530" t="str">
            <v>品牌直发</v>
          </cell>
          <cell r="H530">
            <v>0</v>
          </cell>
        </row>
        <row r="531">
          <cell r="C531" t="str">
            <v>ys124101048</v>
          </cell>
          <cell r="D531" t="str">
            <v>伯希和/PELLIOT</v>
          </cell>
          <cell r="E531" t="str">
            <v>服装-外套-冲锋衣</v>
          </cell>
          <cell r="F531" t="str">
            <v>一品多商</v>
          </cell>
          <cell r="G531" t="str">
            <v>品牌直发</v>
          </cell>
          <cell r="H531">
            <v>0</v>
          </cell>
        </row>
        <row r="532">
          <cell r="C532">
            <v>12340304</v>
          </cell>
          <cell r="D532" t="str">
            <v>伯希和/PELLIOT</v>
          </cell>
          <cell r="E532" t="str">
            <v>女装-外套-棉服</v>
          </cell>
          <cell r="F532" t="str">
            <v>一品多商</v>
          </cell>
          <cell r="G532" t="str">
            <v>品牌直发</v>
          </cell>
          <cell r="H532">
            <v>0</v>
          </cell>
        </row>
        <row r="533">
          <cell r="C533">
            <v>164035001</v>
          </cell>
          <cell r="D533" t="str">
            <v>伯希和/PELLIOT</v>
          </cell>
          <cell r="E533" t="str">
            <v>内衣-袜子-高筒袜</v>
          </cell>
          <cell r="F533" t="str">
            <v>一品一商</v>
          </cell>
          <cell r="G533" t="str">
            <v>品牌直发</v>
          </cell>
          <cell r="H533">
            <v>0</v>
          </cell>
        </row>
        <row r="534">
          <cell r="C534" t="str">
            <v>114419005女款</v>
          </cell>
          <cell r="D534" t="str">
            <v>伯希和/PELLIOT</v>
          </cell>
          <cell r="E534" t="str">
            <v>鞋-运动鞋-登山鞋/徒步鞋</v>
          </cell>
          <cell r="F534" t="str">
            <v>一品一商</v>
          </cell>
          <cell r="G534" t="str">
            <v>品牌直发</v>
          </cell>
          <cell r="H534">
            <v>0</v>
          </cell>
        </row>
        <row r="535">
          <cell r="C535" t="str">
            <v>PE114306141</v>
          </cell>
          <cell r="D535" t="str">
            <v>伯希和/PELLIOT</v>
          </cell>
          <cell r="E535" t="str">
            <v>服装-外套-软壳衣</v>
          </cell>
          <cell r="F535" t="str">
            <v>一品一商</v>
          </cell>
          <cell r="G535" t="str">
            <v>品牌直发</v>
          </cell>
          <cell r="H535">
            <v>0</v>
          </cell>
        </row>
        <row r="536">
          <cell r="C536" t="str">
            <v>PE124319002</v>
          </cell>
          <cell r="D536" t="str">
            <v>伯希和/PELLIOT</v>
          </cell>
          <cell r="E536" t="str">
            <v>鞋-运动鞋-越野跑鞋</v>
          </cell>
          <cell r="F536" t="str">
            <v>一品多商</v>
          </cell>
          <cell r="G536" t="str">
            <v>品牌直发</v>
          </cell>
          <cell r="H536">
            <v>0</v>
          </cell>
        </row>
        <row r="537">
          <cell r="C537" t="str">
            <v>PE114301011</v>
          </cell>
          <cell r="D537" t="str">
            <v>伯希和/PELLIOT</v>
          </cell>
          <cell r="E537" t="str">
            <v>服装-外套-冲锋衣</v>
          </cell>
          <cell r="F537" t="str">
            <v>一品多商</v>
          </cell>
          <cell r="G537" t="str">
            <v>品牌直发</v>
          </cell>
          <cell r="H537">
            <v>0</v>
          </cell>
        </row>
        <row r="538">
          <cell r="C538" t="str">
            <v>PE114301013</v>
          </cell>
          <cell r="D538" t="str">
            <v>伯希和/PELLIOT</v>
          </cell>
          <cell r="E538" t="str">
            <v>服装-外套-冲锋衣</v>
          </cell>
          <cell r="F538" t="str">
            <v>一品多商</v>
          </cell>
          <cell r="G538" t="str">
            <v>品牌直发</v>
          </cell>
          <cell r="H538">
            <v>0</v>
          </cell>
        </row>
        <row r="539">
          <cell r="C539" t="str">
            <v>PE124315382</v>
          </cell>
          <cell r="D539" t="str">
            <v>伯希和/PELLIOT</v>
          </cell>
          <cell r="E539" t="str">
            <v>女装-上衣-T恤</v>
          </cell>
          <cell r="F539" t="str">
            <v>一品一商</v>
          </cell>
          <cell r="G539" t="str">
            <v>品牌直发</v>
          </cell>
          <cell r="H539">
            <v>0</v>
          </cell>
        </row>
        <row r="540">
          <cell r="C540">
            <v>124306148</v>
          </cell>
          <cell r="D540" t="str">
            <v>伯希和/PELLIOT</v>
          </cell>
          <cell r="E540" t="str">
            <v>女装-外套-软壳衣</v>
          </cell>
          <cell r="F540" t="str">
            <v>一品多商</v>
          </cell>
          <cell r="G540" t="str">
            <v>品牌直发</v>
          </cell>
          <cell r="H540">
            <v>0</v>
          </cell>
        </row>
        <row r="541">
          <cell r="C541" t="str">
            <v>PE114376127</v>
          </cell>
          <cell r="D541" t="str">
            <v>伯希和/PELLIOT</v>
          </cell>
          <cell r="E541" t="str">
            <v>服装-外套-马甲</v>
          </cell>
          <cell r="F541" t="str">
            <v>一品多商</v>
          </cell>
          <cell r="G541" t="str">
            <v>品牌直发</v>
          </cell>
          <cell r="H541">
            <v>0</v>
          </cell>
        </row>
        <row r="542">
          <cell r="C542">
            <v>164334406</v>
          </cell>
          <cell r="D542" t="str">
            <v>伯希和/PELLIOT</v>
          </cell>
          <cell r="E542" t="str">
            <v>流行饰品/眼镜/服配-帽子-其他帽子</v>
          </cell>
          <cell r="F542" t="str">
            <v>一品一商</v>
          </cell>
          <cell r="G542" t="str">
            <v>品牌直发</v>
          </cell>
          <cell r="H542">
            <v>0</v>
          </cell>
        </row>
        <row r="543">
          <cell r="C543">
            <v>114306149</v>
          </cell>
          <cell r="D543" t="str">
            <v>伯希和/PELLIOT</v>
          </cell>
          <cell r="E543" t="str">
            <v>服装-外套-软壳衣</v>
          </cell>
          <cell r="F543" t="str">
            <v>一品多商</v>
          </cell>
          <cell r="G543" t="str">
            <v>品牌直发</v>
          </cell>
          <cell r="H543">
            <v>0</v>
          </cell>
        </row>
        <row r="544">
          <cell r="C544" t="str">
            <v>PE124306150</v>
          </cell>
          <cell r="D544" t="str">
            <v>伯希和/PELLIOT</v>
          </cell>
          <cell r="E544" t="str">
            <v>女装-外套-软壳衣</v>
          </cell>
          <cell r="F544" t="str">
            <v>一品一商</v>
          </cell>
          <cell r="G544" t="str">
            <v>品牌直发</v>
          </cell>
          <cell r="H544">
            <v>0</v>
          </cell>
        </row>
        <row r="545">
          <cell r="C545">
            <v>114307169</v>
          </cell>
          <cell r="D545" t="str">
            <v>伯希和/PELLIOT</v>
          </cell>
          <cell r="E545" t="str">
            <v>服装-长裤-软壳裤</v>
          </cell>
          <cell r="F545" t="str">
            <v>一品多商</v>
          </cell>
          <cell r="G545" t="str">
            <v>品牌直发</v>
          </cell>
          <cell r="H545">
            <v>0</v>
          </cell>
        </row>
        <row r="546">
          <cell r="C546">
            <v>134301031</v>
          </cell>
          <cell r="D546" t="str">
            <v>伯希和/PELLIOT</v>
          </cell>
          <cell r="E546" t="str">
            <v>童装-儿童上装-冲锋衣</v>
          </cell>
          <cell r="F546" t="str">
            <v>一品一商</v>
          </cell>
          <cell r="G546" t="str">
            <v>品牌直发</v>
          </cell>
          <cell r="H546">
            <v>0</v>
          </cell>
        </row>
        <row r="547">
          <cell r="C547">
            <v>124315386</v>
          </cell>
          <cell r="D547" t="str">
            <v>伯希和/PELLIOT</v>
          </cell>
          <cell r="E547" t="str">
            <v>女装-上衣-T恤</v>
          </cell>
          <cell r="F547" t="str">
            <v>一品一商</v>
          </cell>
          <cell r="G547" t="str">
            <v>品牌直发</v>
          </cell>
          <cell r="H547">
            <v>0</v>
          </cell>
        </row>
        <row r="548">
          <cell r="C548">
            <v>114314377</v>
          </cell>
          <cell r="D548" t="str">
            <v>伯希和/PELLIOT</v>
          </cell>
          <cell r="E548" t="str">
            <v>服装-长裤-软壳裤</v>
          </cell>
          <cell r="F548" t="str">
            <v>一品多商</v>
          </cell>
          <cell r="G548" t="str">
            <v>品牌直发</v>
          </cell>
          <cell r="H548">
            <v>0</v>
          </cell>
        </row>
        <row r="549">
          <cell r="C549">
            <v>124315390</v>
          </cell>
          <cell r="D549" t="str">
            <v>伯希和/PELLIOT</v>
          </cell>
          <cell r="E549" t="str">
            <v>服装-户外运动服-速干衣</v>
          </cell>
          <cell r="F549" t="str">
            <v>一品一商</v>
          </cell>
          <cell r="G549" t="str">
            <v>品牌直发</v>
          </cell>
          <cell r="H549">
            <v>0</v>
          </cell>
        </row>
        <row r="550">
          <cell r="C550">
            <v>11340305</v>
          </cell>
          <cell r="D550" t="str">
            <v>伯希和/PELLIOT</v>
          </cell>
          <cell r="E550" t="str">
            <v>服装-外套-棉服</v>
          </cell>
          <cell r="F550" t="str">
            <v>一品多商</v>
          </cell>
          <cell r="G550" t="str">
            <v>品牌直发</v>
          </cell>
          <cell r="H550">
            <v>0</v>
          </cell>
        </row>
        <row r="551">
          <cell r="C551">
            <v>114307175</v>
          </cell>
          <cell r="D551" t="str">
            <v>伯希和/PELLIOT</v>
          </cell>
          <cell r="E551" t="str">
            <v>服装-长裤-软壳裤</v>
          </cell>
          <cell r="F551" t="str">
            <v>一品多商</v>
          </cell>
          <cell r="G551" t="str">
            <v>品牌直发</v>
          </cell>
          <cell r="H551">
            <v>0</v>
          </cell>
        </row>
        <row r="552">
          <cell r="C552">
            <v>134310200</v>
          </cell>
          <cell r="D552" t="str">
            <v>伯希和/PELLIOT</v>
          </cell>
          <cell r="E552" t="str">
            <v>童装-儿童上装-儿童抓绒衣</v>
          </cell>
          <cell r="F552" t="str">
            <v>一品一商</v>
          </cell>
          <cell r="G552" t="str">
            <v>品牌直发</v>
          </cell>
          <cell r="H552">
            <v>0</v>
          </cell>
        </row>
        <row r="553">
          <cell r="C553">
            <v>114301065</v>
          </cell>
          <cell r="D553" t="str">
            <v>伯希和/PELLIOT</v>
          </cell>
          <cell r="E553" t="str">
            <v>服装-外套-冲锋衣</v>
          </cell>
          <cell r="F553" t="str">
            <v>一品一商</v>
          </cell>
          <cell r="G553" t="str">
            <v>品牌直发</v>
          </cell>
          <cell r="H553">
            <v>0</v>
          </cell>
        </row>
        <row r="554">
          <cell r="C554">
            <v>124318424</v>
          </cell>
          <cell r="D554" t="str">
            <v>伯希和/PELLIOT</v>
          </cell>
          <cell r="E554" t="str">
            <v>内衣-内衣裤-保暖套装</v>
          </cell>
          <cell r="F554" t="str">
            <v>一品一商</v>
          </cell>
          <cell r="G554" t="str">
            <v>品牌直发</v>
          </cell>
          <cell r="H554">
            <v>0</v>
          </cell>
        </row>
        <row r="555">
          <cell r="C555">
            <v>114315393</v>
          </cell>
          <cell r="D555" t="str">
            <v>伯希和/PELLIOT</v>
          </cell>
          <cell r="E555" t="str">
            <v>服装-上衣-T恤</v>
          </cell>
          <cell r="F555" t="str">
            <v>一品多商</v>
          </cell>
          <cell r="G555" t="str">
            <v>品牌直发</v>
          </cell>
          <cell r="H555">
            <v>0</v>
          </cell>
        </row>
        <row r="556">
          <cell r="C556">
            <v>124307170</v>
          </cell>
          <cell r="D556" t="str">
            <v>伯希和/PELLIOT</v>
          </cell>
          <cell r="E556" t="str">
            <v>女装-长裤-软壳裤</v>
          </cell>
          <cell r="F556" t="str">
            <v>一品多商</v>
          </cell>
          <cell r="G556" t="str">
            <v>品牌直发</v>
          </cell>
          <cell r="H556">
            <v>0</v>
          </cell>
        </row>
        <row r="557">
          <cell r="C557">
            <v>124315394</v>
          </cell>
          <cell r="D557" t="str">
            <v>伯希和/PELLIOT</v>
          </cell>
          <cell r="E557" t="str">
            <v>女装-上衣-T恤</v>
          </cell>
          <cell r="F557" t="str">
            <v>一品一商</v>
          </cell>
          <cell r="G557" t="str">
            <v>品牌直发</v>
          </cell>
          <cell r="H557">
            <v>0</v>
          </cell>
        </row>
        <row r="558">
          <cell r="C558">
            <v>124420014</v>
          </cell>
          <cell r="D558" t="str">
            <v>伯希和/PELLIOT</v>
          </cell>
          <cell r="E558" t="str">
            <v>鞋-潮流休闲鞋-生活休闲鞋</v>
          </cell>
          <cell r="F558" t="str">
            <v>一品一商</v>
          </cell>
          <cell r="G558" t="str">
            <v>品牌直发</v>
          </cell>
          <cell r="H558">
            <v>0</v>
          </cell>
        </row>
        <row r="559">
          <cell r="C559">
            <v>124408268</v>
          </cell>
          <cell r="D559" t="str">
            <v>伯希和/PELLIOT</v>
          </cell>
          <cell r="E559" t="str">
            <v>女装-外套-羽绒服</v>
          </cell>
          <cell r="F559" t="str">
            <v>一品多商</v>
          </cell>
          <cell r="G559" t="str">
            <v>品牌直发</v>
          </cell>
          <cell r="H559">
            <v>0</v>
          </cell>
        </row>
        <row r="560">
          <cell r="C560">
            <v>134408269</v>
          </cell>
          <cell r="D560" t="str">
            <v>伯希和/PELLIOT</v>
          </cell>
          <cell r="E560" t="str">
            <v>童装-儿童上装-羽绒服</v>
          </cell>
          <cell r="F560" t="str">
            <v>一品一商</v>
          </cell>
          <cell r="G560" t="str">
            <v>品牌直发</v>
          </cell>
          <cell r="H560">
            <v>0</v>
          </cell>
        </row>
        <row r="561">
          <cell r="C561">
            <v>114408241</v>
          </cell>
          <cell r="D561" t="str">
            <v>伯希和/PELLIOT</v>
          </cell>
          <cell r="E561" t="str">
            <v>服装-外套-羽绒马甲</v>
          </cell>
          <cell r="F561" t="str">
            <v>一品多商</v>
          </cell>
          <cell r="G561" t="str">
            <v>品牌直发</v>
          </cell>
          <cell r="H561">
            <v>0</v>
          </cell>
        </row>
        <row r="562">
          <cell r="C562">
            <v>114311233</v>
          </cell>
          <cell r="D562" t="str">
            <v>伯希和/PELLIOT</v>
          </cell>
          <cell r="E562" t="str">
            <v>服装-户外运动服-抓绒裤</v>
          </cell>
          <cell r="F562" t="str">
            <v>一品多商</v>
          </cell>
          <cell r="G562" t="str">
            <v>品牌直发</v>
          </cell>
          <cell r="H562">
            <v>0</v>
          </cell>
        </row>
        <row r="563">
          <cell r="C563">
            <v>124419012</v>
          </cell>
          <cell r="D563" t="str">
            <v>伯希和/PELLIOT</v>
          </cell>
          <cell r="E563" t="str">
            <v>鞋-运动鞋-登山鞋/徒步鞋</v>
          </cell>
          <cell r="F563" t="str">
            <v>一品一商</v>
          </cell>
          <cell r="G563" t="str">
            <v>品牌直发</v>
          </cell>
          <cell r="H563">
            <v>0</v>
          </cell>
        </row>
        <row r="564">
          <cell r="C564">
            <v>124376410</v>
          </cell>
          <cell r="D564" t="str">
            <v>伯希和/PELLIOT</v>
          </cell>
          <cell r="E564" t="str">
            <v>服装-外套-棉服</v>
          </cell>
          <cell r="F564" t="str">
            <v>一品多商</v>
          </cell>
          <cell r="G564" t="str">
            <v>品牌直发</v>
          </cell>
          <cell r="H564">
            <v>0</v>
          </cell>
        </row>
        <row r="565">
          <cell r="C565">
            <v>124408244</v>
          </cell>
          <cell r="D565" t="str">
            <v>伯希和/PELLIOT</v>
          </cell>
          <cell r="E565" t="str">
            <v>服装-外套-羽绒服</v>
          </cell>
          <cell r="F565" t="str">
            <v>一品多商</v>
          </cell>
          <cell r="G565" t="str">
            <v>品牌直发</v>
          </cell>
          <cell r="H565">
            <v>0</v>
          </cell>
        </row>
        <row r="566">
          <cell r="C566">
            <v>124408246</v>
          </cell>
          <cell r="D566" t="str">
            <v>伯希和/PELLIOT</v>
          </cell>
          <cell r="E566" t="str">
            <v>女装-外套-羽绒服</v>
          </cell>
          <cell r="F566" t="str">
            <v>一品多商</v>
          </cell>
          <cell r="G566" t="str">
            <v>品牌直发</v>
          </cell>
          <cell r="H566">
            <v>0</v>
          </cell>
        </row>
        <row r="567">
          <cell r="C567">
            <v>124301080</v>
          </cell>
          <cell r="D567" t="str">
            <v>伯希和/PELLIOT</v>
          </cell>
          <cell r="E567" t="str">
            <v>女装-外套-冲锋衣</v>
          </cell>
          <cell r="F567" t="str">
            <v>一品多商</v>
          </cell>
          <cell r="G567" t="str">
            <v>品牌直发</v>
          </cell>
          <cell r="H567">
            <v>0</v>
          </cell>
        </row>
        <row r="568">
          <cell r="C568">
            <v>124315398</v>
          </cell>
          <cell r="D568" t="str">
            <v>伯希和/PELLIOT</v>
          </cell>
          <cell r="E568" t="str">
            <v>女装-上衣-T恤</v>
          </cell>
          <cell r="F568" t="str">
            <v>一品多商</v>
          </cell>
          <cell r="G568" t="str">
            <v>品牌直发</v>
          </cell>
          <cell r="H568">
            <v>0</v>
          </cell>
        </row>
        <row r="569">
          <cell r="C569">
            <v>164334001</v>
          </cell>
          <cell r="D569" t="str">
            <v>伯希和/PELLIOT</v>
          </cell>
          <cell r="E569" t="str">
            <v>流行饰品/眼镜/服配-帽子-其他帽子</v>
          </cell>
          <cell r="F569" t="str">
            <v>一品一商</v>
          </cell>
          <cell r="G569" t="str">
            <v>品牌直发</v>
          </cell>
          <cell r="H569">
            <v>0</v>
          </cell>
        </row>
        <row r="570">
          <cell r="C570">
            <v>114315395</v>
          </cell>
          <cell r="D570" t="str">
            <v>伯希和/PELLIOT</v>
          </cell>
          <cell r="E570" t="str">
            <v>服装-户外运动服-速干衣</v>
          </cell>
          <cell r="F570" t="str">
            <v>一品一商</v>
          </cell>
          <cell r="G570" t="str">
            <v>品牌直发</v>
          </cell>
          <cell r="H570">
            <v>0</v>
          </cell>
        </row>
        <row r="571">
          <cell r="C571">
            <v>124377366</v>
          </cell>
          <cell r="D571" t="str">
            <v>伯希和/PELLIOT</v>
          </cell>
          <cell r="E571" t="str">
            <v>内衣-内衣裤-保暖裤</v>
          </cell>
          <cell r="F571" t="str">
            <v>一品一商</v>
          </cell>
          <cell r="G571" t="str">
            <v>品牌直发</v>
          </cell>
          <cell r="H571">
            <v>0</v>
          </cell>
        </row>
        <row r="572">
          <cell r="C572">
            <v>114351091</v>
          </cell>
          <cell r="D572" t="str">
            <v>伯希和/PELLIOT</v>
          </cell>
          <cell r="E572" t="str">
            <v>服装-外套-软壳衣</v>
          </cell>
          <cell r="F572" t="str">
            <v>一品多商</v>
          </cell>
          <cell r="G572" t="str">
            <v>品牌直发</v>
          </cell>
          <cell r="H572">
            <v>0</v>
          </cell>
        </row>
        <row r="573">
          <cell r="C573">
            <v>124408252</v>
          </cell>
          <cell r="D573" t="str">
            <v>伯希和/PELLIOT</v>
          </cell>
          <cell r="E573" t="str">
            <v>女装-外套-羽绒服</v>
          </cell>
          <cell r="F573" t="str">
            <v>一品多商</v>
          </cell>
          <cell r="G573" t="str">
            <v>品牌直发</v>
          </cell>
          <cell r="H573">
            <v>0</v>
          </cell>
        </row>
        <row r="574">
          <cell r="C574" t="str">
            <v>124319016曜石黑</v>
          </cell>
          <cell r="D574" t="str">
            <v>伯希和/PELLIOT</v>
          </cell>
          <cell r="E574" t="str">
            <v>鞋-运动鞋-登山鞋/徒步鞋</v>
          </cell>
          <cell r="F574" t="str">
            <v>一品一商</v>
          </cell>
          <cell r="G574" t="str">
            <v>品牌直发</v>
          </cell>
          <cell r="H574">
            <v>0</v>
          </cell>
        </row>
        <row r="575">
          <cell r="C575" t="str">
            <v>PE124404116</v>
          </cell>
          <cell r="D575" t="str">
            <v>伯希和/PELLIOT</v>
          </cell>
          <cell r="E575" t="str">
            <v>服装-户外运动服-滑雪裤</v>
          </cell>
          <cell r="F575" t="str">
            <v>一品多商</v>
          </cell>
          <cell r="G575" t="str">
            <v>品牌直发</v>
          </cell>
          <cell r="H575">
            <v>0</v>
          </cell>
        </row>
        <row r="576">
          <cell r="C576">
            <v>124304118</v>
          </cell>
          <cell r="D576" t="str">
            <v>伯希和/PELLIOT</v>
          </cell>
          <cell r="E576" t="str">
            <v>服装-户外运动服-滑雪裤</v>
          </cell>
          <cell r="F576" t="str">
            <v>一品多商</v>
          </cell>
          <cell r="G576" t="str">
            <v>品牌直发</v>
          </cell>
          <cell r="H576">
            <v>0</v>
          </cell>
        </row>
        <row r="577">
          <cell r="C577">
            <v>114409341</v>
          </cell>
          <cell r="D577" t="str">
            <v>伯希和/PELLIOT</v>
          </cell>
          <cell r="E577" t="str">
            <v>服装-长裤-羽绒裤</v>
          </cell>
          <cell r="F577" t="str">
            <v>一品多商</v>
          </cell>
          <cell r="G577" t="str">
            <v>品牌直发</v>
          </cell>
          <cell r="H577">
            <v>0</v>
          </cell>
        </row>
        <row r="578">
          <cell r="C578" t="str">
            <v>PE124408250</v>
          </cell>
          <cell r="D578" t="str">
            <v>伯希和/PELLIOT</v>
          </cell>
          <cell r="E578" t="str">
            <v>女装-外套-羽绒服</v>
          </cell>
          <cell r="F578" t="str">
            <v>一品一商</v>
          </cell>
          <cell r="G578" t="str">
            <v>品牌直发</v>
          </cell>
          <cell r="H578">
            <v>0</v>
          </cell>
        </row>
        <row r="579">
          <cell r="C579">
            <v>164331003</v>
          </cell>
          <cell r="D579" t="str">
            <v>伯希和/PELLIOT</v>
          </cell>
          <cell r="E579" t="str">
            <v>流行饰品/眼镜/服配-手套-绒线手套</v>
          </cell>
          <cell r="F579" t="str">
            <v>一品一商</v>
          </cell>
          <cell r="G579" t="str">
            <v>品牌直发</v>
          </cell>
          <cell r="H579">
            <v>0</v>
          </cell>
        </row>
        <row r="580">
          <cell r="C580">
            <v>114301015</v>
          </cell>
          <cell r="D580" t="str">
            <v>伯希和/PELLIOT</v>
          </cell>
          <cell r="E580" t="str">
            <v>服装-外套-冲锋衣</v>
          </cell>
          <cell r="F580" t="str">
            <v>一品一商</v>
          </cell>
          <cell r="G580" t="str">
            <v>品牌直发</v>
          </cell>
          <cell r="H580">
            <v>0</v>
          </cell>
        </row>
        <row r="581">
          <cell r="C581">
            <v>114401069</v>
          </cell>
          <cell r="D581" t="str">
            <v>伯希和/PELLIOT</v>
          </cell>
          <cell r="E581" t="str">
            <v>服装-外套-冲锋衣</v>
          </cell>
          <cell r="F581" t="str">
            <v>一品一商</v>
          </cell>
          <cell r="G581" t="str">
            <v>品牌直发</v>
          </cell>
          <cell r="H581">
            <v>0</v>
          </cell>
        </row>
        <row r="582">
          <cell r="C582">
            <v>124408258</v>
          </cell>
          <cell r="D582" t="str">
            <v>伯希和/PELLIOT</v>
          </cell>
          <cell r="E582" t="str">
            <v>女装-外套-羽绒服</v>
          </cell>
          <cell r="F582" t="str">
            <v>一品多商</v>
          </cell>
          <cell r="G582" t="str">
            <v>品牌直发</v>
          </cell>
          <cell r="H582">
            <v>0</v>
          </cell>
        </row>
        <row r="583">
          <cell r="C583">
            <v>114408255</v>
          </cell>
          <cell r="D583" t="str">
            <v>伯希和/PELLIOT</v>
          </cell>
          <cell r="E583" t="str">
            <v>服装-外套-羽绒服</v>
          </cell>
          <cell r="F583" t="str">
            <v>一品多商</v>
          </cell>
          <cell r="G583" t="str">
            <v>品牌直发</v>
          </cell>
          <cell r="H583">
            <v>0</v>
          </cell>
        </row>
        <row r="584">
          <cell r="C584" t="str">
            <v>PE124408256</v>
          </cell>
          <cell r="D584" t="str">
            <v>伯希和/PELLIOT</v>
          </cell>
          <cell r="E584" t="str">
            <v>女装-外套-羽绒服</v>
          </cell>
          <cell r="F584" t="str">
            <v>一品多商</v>
          </cell>
          <cell r="G584" t="str">
            <v>品牌直发</v>
          </cell>
          <cell r="H584">
            <v>0</v>
          </cell>
        </row>
        <row r="585">
          <cell r="C585">
            <v>124319018</v>
          </cell>
          <cell r="D585" t="str">
            <v>伯希和/PELLIOT</v>
          </cell>
          <cell r="E585" t="str">
            <v>鞋-运动鞋-登山鞋/徒步鞋</v>
          </cell>
          <cell r="F585" t="str">
            <v>一品一商</v>
          </cell>
          <cell r="G585" t="str">
            <v>品牌直发</v>
          </cell>
          <cell r="H585">
            <v>0</v>
          </cell>
        </row>
        <row r="586">
          <cell r="C586">
            <v>114408265</v>
          </cell>
          <cell r="D586" t="str">
            <v>伯希和/PELLIOT</v>
          </cell>
          <cell r="E586" t="str">
            <v>服装-外套-羽绒服</v>
          </cell>
          <cell r="F586" t="str">
            <v>一品多商</v>
          </cell>
          <cell r="G586" t="str">
            <v>品牌直发</v>
          </cell>
          <cell r="H586">
            <v>0</v>
          </cell>
        </row>
        <row r="587">
          <cell r="C587">
            <v>134306146</v>
          </cell>
          <cell r="D587" t="str">
            <v>伯希和/PELLIOT</v>
          </cell>
          <cell r="E587" t="str">
            <v>童装-儿童上装-夹克</v>
          </cell>
          <cell r="F587" t="str">
            <v>一品多商</v>
          </cell>
          <cell r="G587" t="str">
            <v>品牌直发</v>
          </cell>
          <cell r="H587">
            <v>0</v>
          </cell>
        </row>
        <row r="588">
          <cell r="C588">
            <v>134408267</v>
          </cell>
          <cell r="D588" t="str">
            <v>伯希和/PELLIOT</v>
          </cell>
          <cell r="E588" t="str">
            <v>童装-儿童上装-羽绒服</v>
          </cell>
          <cell r="F588" t="str">
            <v>一品一商</v>
          </cell>
          <cell r="G588" t="str">
            <v>品牌直发</v>
          </cell>
          <cell r="H588">
            <v>0</v>
          </cell>
        </row>
        <row r="589">
          <cell r="C589">
            <v>134409343</v>
          </cell>
          <cell r="D589" t="str">
            <v>伯希和/PELLIOT</v>
          </cell>
          <cell r="E589" t="str">
            <v>童装-儿童下装-儿童运动裤</v>
          </cell>
          <cell r="F589" t="str">
            <v>一品一商</v>
          </cell>
          <cell r="G589" t="str">
            <v>品牌直发</v>
          </cell>
          <cell r="H589">
            <v>0</v>
          </cell>
        </row>
        <row r="590">
          <cell r="C590" t="str">
            <v>PE124310192</v>
          </cell>
          <cell r="D590" t="str">
            <v>伯希和/PELLIOT</v>
          </cell>
          <cell r="E590" t="str">
            <v>女装-户外运动服-抓绒衣</v>
          </cell>
          <cell r="F590" t="str">
            <v>一品多商</v>
          </cell>
          <cell r="G590" t="str">
            <v>品牌直发</v>
          </cell>
          <cell r="H590">
            <v>0</v>
          </cell>
        </row>
        <row r="591">
          <cell r="C591" t="str">
            <v>PE124408278</v>
          </cell>
          <cell r="D591" t="str">
            <v>伯希和/PELLIOT</v>
          </cell>
          <cell r="E591" t="str">
            <v>女装-外套-羽绒服</v>
          </cell>
          <cell r="F591" t="str">
            <v>一品一商</v>
          </cell>
          <cell r="G591" t="str">
            <v>品牌直发</v>
          </cell>
          <cell r="H591">
            <v>0</v>
          </cell>
        </row>
        <row r="592">
          <cell r="C592" t="str">
            <v>PE114401055</v>
          </cell>
          <cell r="D592" t="str">
            <v>伯希和/PELLIOT</v>
          </cell>
          <cell r="E592" t="str">
            <v>服装-外套-冲锋衣</v>
          </cell>
          <cell r="F592" t="str">
            <v>一品一商</v>
          </cell>
          <cell r="G592" t="str">
            <v>品牌直发</v>
          </cell>
          <cell r="H592">
            <v>0</v>
          </cell>
        </row>
        <row r="593">
          <cell r="C593">
            <v>124408240</v>
          </cell>
          <cell r="D593" t="str">
            <v>伯希和/PELLIOT</v>
          </cell>
          <cell r="E593" t="str">
            <v>服装-外套-羽绒服</v>
          </cell>
          <cell r="F593" t="str">
            <v>一品多商</v>
          </cell>
          <cell r="G593" t="str">
            <v>品牌直发</v>
          </cell>
          <cell r="H593">
            <v>0</v>
          </cell>
        </row>
        <row r="594">
          <cell r="C594" t="str">
            <v>PE124408260</v>
          </cell>
          <cell r="D594" t="str">
            <v>伯希和/PELLIOT</v>
          </cell>
          <cell r="E594" t="str">
            <v>女装-外套-羽绒服</v>
          </cell>
          <cell r="F594" t="str">
            <v>一品多商</v>
          </cell>
          <cell r="G594" t="str">
            <v>品牌直发</v>
          </cell>
          <cell r="H594">
            <v>0</v>
          </cell>
        </row>
        <row r="595">
          <cell r="C595">
            <v>134408270</v>
          </cell>
          <cell r="D595" t="str">
            <v>伯希和/PELLIOT</v>
          </cell>
          <cell r="E595" t="str">
            <v>童装-儿童上装-羽绒服</v>
          </cell>
          <cell r="F595" t="str">
            <v>一品一商</v>
          </cell>
          <cell r="G595" t="str">
            <v>品牌直发</v>
          </cell>
          <cell r="H595">
            <v>0</v>
          </cell>
        </row>
        <row r="596">
          <cell r="C596">
            <v>114408273</v>
          </cell>
          <cell r="D596" t="str">
            <v>伯希和/PELLIOT</v>
          </cell>
          <cell r="E596" t="str">
            <v>服装-外套-羽绒服</v>
          </cell>
          <cell r="F596" t="str">
            <v>一品多商</v>
          </cell>
          <cell r="G596" t="str">
            <v>品牌直发</v>
          </cell>
          <cell r="H596">
            <v>0</v>
          </cell>
        </row>
        <row r="597">
          <cell r="C597">
            <v>124403126</v>
          </cell>
          <cell r="D597" t="str">
            <v>伯希和/PELLIOT</v>
          </cell>
          <cell r="E597" t="str">
            <v>服装-户外运动服-滑雪衣</v>
          </cell>
          <cell r="F597" t="str">
            <v>一品一商</v>
          </cell>
          <cell r="G597" t="str">
            <v>品牌直发</v>
          </cell>
          <cell r="H597">
            <v>0</v>
          </cell>
        </row>
        <row r="598">
          <cell r="C598">
            <v>134401045</v>
          </cell>
          <cell r="D598" t="str">
            <v>伯希和/PELLIOT</v>
          </cell>
          <cell r="E598" t="str">
            <v>童装-儿童上装-冲锋衣</v>
          </cell>
          <cell r="F598" t="str">
            <v>一品一商</v>
          </cell>
          <cell r="G598" t="str">
            <v>品牌直发</v>
          </cell>
          <cell r="H598">
            <v>0</v>
          </cell>
        </row>
        <row r="599">
          <cell r="C599">
            <v>114408277</v>
          </cell>
          <cell r="D599" t="str">
            <v>伯希和/PELLIOT</v>
          </cell>
          <cell r="E599" t="str">
            <v>服装-外套-羽绒服</v>
          </cell>
          <cell r="F599" t="str">
            <v>一品多商</v>
          </cell>
          <cell r="G599" t="str">
            <v>品牌直发</v>
          </cell>
          <cell r="H599">
            <v>0</v>
          </cell>
        </row>
        <row r="600">
          <cell r="C600">
            <v>114301071</v>
          </cell>
          <cell r="D600" t="str">
            <v>伯希和/PELLIOT</v>
          </cell>
          <cell r="E600" t="str">
            <v>服装-外套-冲锋衣</v>
          </cell>
          <cell r="F600" t="str">
            <v>一品多商</v>
          </cell>
          <cell r="G600" t="str">
            <v>品牌直发</v>
          </cell>
          <cell r="H600">
            <v>0</v>
          </cell>
        </row>
        <row r="601">
          <cell r="C601">
            <v>124403128</v>
          </cell>
          <cell r="D601" t="str">
            <v>伯希和/PELLIOT</v>
          </cell>
          <cell r="E601" t="str">
            <v>服装-户外运动服-滑雪衣</v>
          </cell>
          <cell r="F601" t="str">
            <v>一品多商</v>
          </cell>
          <cell r="G601" t="str">
            <v>品牌直发</v>
          </cell>
          <cell r="H601">
            <v>0</v>
          </cell>
        </row>
        <row r="602">
          <cell r="C602">
            <v>124408254</v>
          </cell>
          <cell r="D602" t="str">
            <v>伯希和/PELLIOT</v>
          </cell>
          <cell r="E602" t="str">
            <v>服装-外套-羽绒服</v>
          </cell>
          <cell r="F602" t="str">
            <v>一品多商</v>
          </cell>
          <cell r="G602" t="str">
            <v>品牌直发</v>
          </cell>
          <cell r="H602">
            <v>0</v>
          </cell>
        </row>
        <row r="603">
          <cell r="C603">
            <v>124301066</v>
          </cell>
          <cell r="D603" t="str">
            <v>伯希和/PELLIOT</v>
          </cell>
          <cell r="E603" t="str">
            <v>女装-外套-冲锋衣</v>
          </cell>
          <cell r="F603" t="str">
            <v>一品一商</v>
          </cell>
          <cell r="G603" t="str">
            <v>品牌直发</v>
          </cell>
          <cell r="H603">
            <v>0</v>
          </cell>
        </row>
        <row r="604">
          <cell r="C604">
            <v>114408257</v>
          </cell>
          <cell r="D604" t="str">
            <v>伯希和/PELLIOT</v>
          </cell>
          <cell r="E604" t="str">
            <v>服装-外套-羽绒服</v>
          </cell>
          <cell r="F604" t="str">
            <v>一品多商</v>
          </cell>
          <cell r="G604" t="str">
            <v>品牌直发</v>
          </cell>
          <cell r="H604">
            <v>0</v>
          </cell>
        </row>
        <row r="605">
          <cell r="C605">
            <v>114408259</v>
          </cell>
          <cell r="D605" t="str">
            <v>伯希和/PELLIOT</v>
          </cell>
          <cell r="E605" t="str">
            <v>服装-外套-羽绒服</v>
          </cell>
          <cell r="F605" t="str">
            <v>一品多商</v>
          </cell>
          <cell r="G605" t="str">
            <v>品牌直发</v>
          </cell>
          <cell r="H605">
            <v>0</v>
          </cell>
        </row>
        <row r="606">
          <cell r="C606">
            <v>114401061</v>
          </cell>
          <cell r="D606" t="str">
            <v>伯希和/PELLIOT</v>
          </cell>
          <cell r="E606" t="str">
            <v>服装-外套-冲锋衣</v>
          </cell>
          <cell r="F606" t="str">
            <v>一品一商</v>
          </cell>
          <cell r="G606" t="str">
            <v>品牌直发</v>
          </cell>
          <cell r="H606">
            <v>0</v>
          </cell>
        </row>
        <row r="607">
          <cell r="C607" t="str">
            <v>PE124408264</v>
          </cell>
          <cell r="D607" t="str">
            <v>伯希和/PELLIOT</v>
          </cell>
          <cell r="E607" t="str">
            <v>服装-外套-羽绒服</v>
          </cell>
          <cell r="F607" t="str">
            <v>一品多商</v>
          </cell>
          <cell r="G607" t="str">
            <v>品牌直发</v>
          </cell>
          <cell r="H607">
            <v>0</v>
          </cell>
        </row>
        <row r="608">
          <cell r="C608" t="str">
            <v>PE114377365</v>
          </cell>
          <cell r="D608" t="str">
            <v>伯希和/PELLIOT</v>
          </cell>
          <cell r="E608" t="str">
            <v>服装-健身服-运动长裤</v>
          </cell>
          <cell r="F608" t="str">
            <v>一品多商</v>
          </cell>
          <cell r="G608" t="str">
            <v>品牌直发</v>
          </cell>
          <cell r="H608">
            <v>0</v>
          </cell>
        </row>
        <row r="609">
          <cell r="C609">
            <v>124306144</v>
          </cell>
          <cell r="D609" t="str">
            <v>伯希和/PELLIOT</v>
          </cell>
          <cell r="E609" t="str">
            <v>女装-外套-软壳衣</v>
          </cell>
          <cell r="F609" t="str">
            <v>一品多商</v>
          </cell>
          <cell r="G609" t="str">
            <v>品牌直发</v>
          </cell>
          <cell r="H609">
            <v>0</v>
          </cell>
        </row>
        <row r="610">
          <cell r="C610">
            <v>124409342</v>
          </cell>
          <cell r="D610" t="str">
            <v>伯希和/PELLIOT</v>
          </cell>
          <cell r="E610" t="str">
            <v>女装-长裤-羽绒裤</v>
          </cell>
          <cell r="F610" t="str">
            <v>一品多商</v>
          </cell>
          <cell r="G610" t="str">
            <v>品牌直发</v>
          </cell>
          <cell r="H610">
            <v>0</v>
          </cell>
        </row>
        <row r="611">
          <cell r="C611" t="str">
            <v>PE114315381</v>
          </cell>
          <cell r="D611" t="str">
            <v>伯希和/PELLIOT</v>
          </cell>
          <cell r="E611" t="str">
            <v>服装-上衣-T恤</v>
          </cell>
          <cell r="F611" t="str">
            <v>一品一商</v>
          </cell>
          <cell r="G611" t="str">
            <v>品牌直发</v>
          </cell>
          <cell r="H611">
            <v>0</v>
          </cell>
        </row>
        <row r="612">
          <cell r="C612" t="str">
            <v>PE124423019</v>
          </cell>
          <cell r="D612" t="str">
            <v>伯希和/PELLIOT</v>
          </cell>
          <cell r="E612" t="str">
            <v>鞋-靴子-雪地靴</v>
          </cell>
          <cell r="F612" t="str">
            <v>一品一商</v>
          </cell>
          <cell r="G612" t="str">
            <v>品牌直发</v>
          </cell>
          <cell r="H612">
            <v>0</v>
          </cell>
        </row>
        <row r="613">
          <cell r="C613">
            <v>114401077</v>
          </cell>
          <cell r="D613" t="str">
            <v>伯希和/PELLIOT</v>
          </cell>
          <cell r="E613" t="str">
            <v>服装-外套-冲锋衣</v>
          </cell>
          <cell r="F613" t="str">
            <v>一品多商</v>
          </cell>
          <cell r="G613" t="str">
            <v>品牌直发</v>
          </cell>
          <cell r="H613">
            <v>0</v>
          </cell>
        </row>
        <row r="614">
          <cell r="C614">
            <v>114408263</v>
          </cell>
          <cell r="D614" t="str">
            <v>伯希和/PELLIOT</v>
          </cell>
          <cell r="E614" t="str">
            <v>服装-外套-羽绒服</v>
          </cell>
          <cell r="F614" t="str">
            <v>一品多商</v>
          </cell>
          <cell r="G614" t="str">
            <v>品牌直发</v>
          </cell>
          <cell r="H614">
            <v>0</v>
          </cell>
        </row>
        <row r="615">
          <cell r="C615">
            <v>124401056</v>
          </cell>
          <cell r="D615" t="str">
            <v>伯希和/PELLIOT</v>
          </cell>
          <cell r="E615" t="str">
            <v>服装-外套-冲锋衣</v>
          </cell>
          <cell r="F615" t="str">
            <v>一品一商</v>
          </cell>
          <cell r="G615" t="str">
            <v>品牌直发</v>
          </cell>
          <cell r="H615">
            <v>0</v>
          </cell>
        </row>
        <row r="616">
          <cell r="C616">
            <v>16323204</v>
          </cell>
          <cell r="D616" t="str">
            <v>伯希和/PELLIOT</v>
          </cell>
          <cell r="E616" t="str">
            <v>流行饰品/眼镜/服配-防晒服配-防晒脖套</v>
          </cell>
          <cell r="F616" t="str">
            <v>一品一商</v>
          </cell>
          <cell r="G616" t="str">
            <v>品牌直发</v>
          </cell>
          <cell r="H616">
            <v>0</v>
          </cell>
        </row>
        <row r="617">
          <cell r="C617">
            <v>16143205</v>
          </cell>
          <cell r="D617" t="str">
            <v>伯希和/PELLIOT</v>
          </cell>
          <cell r="E617" t="str">
            <v>流行饰品/眼镜/服配-围巾-围脖</v>
          </cell>
          <cell r="F617" t="str">
            <v>一品一商</v>
          </cell>
          <cell r="G617" t="str">
            <v>品牌直发</v>
          </cell>
          <cell r="H617">
            <v>0</v>
          </cell>
        </row>
        <row r="618">
          <cell r="C618">
            <v>16043104</v>
          </cell>
          <cell r="D618" t="str">
            <v>伯希和/PELLIOT</v>
          </cell>
          <cell r="E618" t="str">
            <v>流行饰品/眼镜/服配-手套-其他手套</v>
          </cell>
          <cell r="F618" t="str">
            <v>一品一商</v>
          </cell>
          <cell r="G618" t="str">
            <v>品牌直发</v>
          </cell>
          <cell r="H618">
            <v>0</v>
          </cell>
        </row>
        <row r="619">
          <cell r="C619">
            <v>16223409</v>
          </cell>
          <cell r="D619" t="str">
            <v>伯希和/PELLIOT</v>
          </cell>
          <cell r="E619" t="str">
            <v>流行饰品/眼镜/服配-防晒服配-防晒帽</v>
          </cell>
          <cell r="F619" t="str">
            <v>一品一商</v>
          </cell>
          <cell r="G619" t="str">
            <v>品牌直发</v>
          </cell>
          <cell r="H619">
            <v>0</v>
          </cell>
        </row>
        <row r="620">
          <cell r="C620">
            <v>13931821</v>
          </cell>
          <cell r="D620" t="str">
            <v>伯希和/PELLIOT</v>
          </cell>
          <cell r="E620" t="str">
            <v>童装-儿童内衣-内衣套装</v>
          </cell>
          <cell r="F620" t="str">
            <v>一品一商</v>
          </cell>
          <cell r="G620" t="str">
            <v>品牌直发</v>
          </cell>
          <cell r="H620">
            <v>0</v>
          </cell>
        </row>
        <row r="621">
          <cell r="C621">
            <v>124310206</v>
          </cell>
          <cell r="D621" t="str">
            <v>伯希和/PELLIOT</v>
          </cell>
          <cell r="E621" t="str">
            <v>女装-户外运动服-抓绒衣</v>
          </cell>
          <cell r="F621" t="str">
            <v>一品一商</v>
          </cell>
          <cell r="G621" t="str">
            <v>品牌直发</v>
          </cell>
          <cell r="H621">
            <v>0</v>
          </cell>
        </row>
        <row r="622">
          <cell r="C622" t="str">
            <v>PE124310206</v>
          </cell>
          <cell r="D622" t="str">
            <v>伯希和/PELLIOT</v>
          </cell>
          <cell r="E622" t="str">
            <v>女装-上衣-T恤</v>
          </cell>
          <cell r="F622" t="str">
            <v>一品一商</v>
          </cell>
          <cell r="G622" t="str">
            <v>品牌直发</v>
          </cell>
          <cell r="H622">
            <v>0</v>
          </cell>
        </row>
        <row r="623">
          <cell r="C623" t="str">
            <v>PE105151011</v>
          </cell>
          <cell r="D623" t="str">
            <v>伯希和/PELLIOT</v>
          </cell>
          <cell r="E623" t="str">
            <v>服装-外套-夹克</v>
          </cell>
          <cell r="F623" t="str">
            <v>一品一商</v>
          </cell>
          <cell r="G623" t="str">
            <v>品牌直发</v>
          </cell>
          <cell r="H623">
            <v>0</v>
          </cell>
        </row>
        <row r="624">
          <cell r="C624">
            <v>1125101020</v>
          </cell>
          <cell r="D624" t="str">
            <v>伯希和/PELLIOT</v>
          </cell>
          <cell r="E624" t="str">
            <v>女装-外套-冲锋衣</v>
          </cell>
          <cell r="F624" t="str">
            <v>一品多商</v>
          </cell>
          <cell r="G624" t="str">
            <v>品牌直发</v>
          </cell>
          <cell r="H624">
            <v>0</v>
          </cell>
        </row>
        <row r="625">
          <cell r="C625">
            <v>125151008</v>
          </cell>
          <cell r="D625" t="str">
            <v>伯希和/PELLIOT</v>
          </cell>
          <cell r="E625" t="str">
            <v>女装-外套-夹克</v>
          </cell>
          <cell r="F625" t="str">
            <v>一品一商</v>
          </cell>
          <cell r="G625" t="str">
            <v>品牌直发</v>
          </cell>
          <cell r="H625">
            <v>0</v>
          </cell>
        </row>
        <row r="626">
          <cell r="C626" t="str">
            <v>124101048-新加色</v>
          </cell>
          <cell r="D626" t="str">
            <v>伯希和/PELLIOT</v>
          </cell>
          <cell r="E626" t="str">
            <v>服装-外套-冲锋衣</v>
          </cell>
          <cell r="F626" t="str">
            <v>一品多商</v>
          </cell>
          <cell r="G626" t="str">
            <v>品牌直发</v>
          </cell>
          <cell r="H626">
            <v>0</v>
          </cell>
        </row>
        <row r="627">
          <cell r="C627">
            <v>1125107002</v>
          </cell>
          <cell r="D627" t="str">
            <v>伯希和/PELLIOT</v>
          </cell>
          <cell r="E627" t="str">
            <v>女装-长裤-软壳裤</v>
          </cell>
          <cell r="F627" t="str">
            <v>一品一商</v>
          </cell>
          <cell r="G627" t="str">
            <v>品牌直发</v>
          </cell>
          <cell r="H627">
            <v>0</v>
          </cell>
        </row>
        <row r="628">
          <cell r="C628">
            <v>115101007</v>
          </cell>
          <cell r="D628" t="str">
            <v>伯希和/PELLIOT</v>
          </cell>
          <cell r="E628" t="str">
            <v>服装-外套-冲锋衣</v>
          </cell>
          <cell r="F628" t="str">
            <v>一品多商</v>
          </cell>
          <cell r="G628" t="str">
            <v>品牌直发</v>
          </cell>
          <cell r="H628">
            <v>0</v>
          </cell>
        </row>
        <row r="629">
          <cell r="C629" t="str">
            <v>PE125119032</v>
          </cell>
          <cell r="D629" t="str">
            <v>伯希和/PELLIOT</v>
          </cell>
          <cell r="E629" t="str">
            <v>鞋-运动鞋-登山鞋/徒步鞋</v>
          </cell>
          <cell r="F629" t="str">
            <v>一品多商</v>
          </cell>
          <cell r="G629" t="str">
            <v>品牌直发</v>
          </cell>
          <cell r="H629">
            <v>0</v>
          </cell>
        </row>
        <row r="630">
          <cell r="C630">
            <v>135116010</v>
          </cell>
          <cell r="D630" t="str">
            <v>伯希和/PELLIOT</v>
          </cell>
          <cell r="E630" t="str">
            <v>童装-儿童上装-儿童速干T恤</v>
          </cell>
          <cell r="F630" t="str">
            <v>一品多商</v>
          </cell>
          <cell r="G630" t="str">
            <v>品牌直发</v>
          </cell>
          <cell r="H630">
            <v>0</v>
          </cell>
        </row>
        <row r="631">
          <cell r="C631">
            <v>125106004</v>
          </cell>
          <cell r="D631" t="str">
            <v>伯希和/PELLIOT</v>
          </cell>
          <cell r="E631" t="str">
            <v>女装-外套-软壳衣</v>
          </cell>
          <cell r="F631" t="str">
            <v>一品一商</v>
          </cell>
          <cell r="G631" t="str">
            <v>品牌直发</v>
          </cell>
          <cell r="H631">
            <v>0</v>
          </cell>
        </row>
        <row r="632">
          <cell r="C632">
            <v>125119036</v>
          </cell>
          <cell r="D632" t="str">
            <v>伯希和/PELLIOT</v>
          </cell>
          <cell r="E632" t="str">
            <v>鞋-运动鞋-登山鞋/徒步鞋</v>
          </cell>
          <cell r="F632" t="str">
            <v>一品多商</v>
          </cell>
          <cell r="G632" t="str">
            <v>品牌直发</v>
          </cell>
          <cell r="H632">
            <v>0</v>
          </cell>
        </row>
        <row r="633">
          <cell r="C633">
            <v>125106002</v>
          </cell>
          <cell r="D633" t="str">
            <v>伯希和/PELLIOT</v>
          </cell>
          <cell r="E633" t="str">
            <v>女装-外套-软壳衣</v>
          </cell>
          <cell r="F633" t="str">
            <v>一品一商</v>
          </cell>
          <cell r="G633" t="str">
            <v>品牌直发</v>
          </cell>
          <cell r="H633">
            <v>0</v>
          </cell>
        </row>
        <row r="634">
          <cell r="C634" t="str">
            <v>PE125114002</v>
          </cell>
          <cell r="D634" t="str">
            <v>伯希和/PELLIOT</v>
          </cell>
          <cell r="E634" t="str">
            <v>女装-长裤-休闲裤</v>
          </cell>
          <cell r="F634" t="str">
            <v>一品一商</v>
          </cell>
          <cell r="G634" t="str">
            <v>品牌直发</v>
          </cell>
          <cell r="H634">
            <v>0</v>
          </cell>
        </row>
        <row r="635">
          <cell r="C635">
            <v>115151015</v>
          </cell>
          <cell r="D635" t="str">
            <v>伯希和/PELLIOT</v>
          </cell>
          <cell r="E635" t="str">
            <v>服装-外套-马甲</v>
          </cell>
          <cell r="F635" t="str">
            <v>一品一商</v>
          </cell>
          <cell r="G635" t="str">
            <v>品牌直发</v>
          </cell>
          <cell r="H635">
            <v>0</v>
          </cell>
        </row>
        <row r="636">
          <cell r="C636">
            <v>125215024</v>
          </cell>
          <cell r="D636" t="str">
            <v>伯希和/PELLIOT</v>
          </cell>
          <cell r="E636" t="str">
            <v>女装-户外运动服-速干T恤</v>
          </cell>
          <cell r="F636" t="str">
            <v>一品多商</v>
          </cell>
          <cell r="G636" t="str">
            <v>品牌直发</v>
          </cell>
          <cell r="H636">
            <v>0</v>
          </cell>
        </row>
        <row r="637">
          <cell r="C637">
            <v>105101011</v>
          </cell>
          <cell r="D637" t="str">
            <v>伯希和/PELLIOT</v>
          </cell>
          <cell r="E637" t="str">
            <v>服装-外套-冲锋衣</v>
          </cell>
          <cell r="F637" t="str">
            <v>一品多商</v>
          </cell>
          <cell r="G637" t="str">
            <v>品牌直发</v>
          </cell>
          <cell r="H637">
            <v>0</v>
          </cell>
        </row>
        <row r="638">
          <cell r="C638">
            <v>125212006</v>
          </cell>
          <cell r="D638" t="str">
            <v>伯希和/PELLIOT</v>
          </cell>
          <cell r="E638" t="str">
            <v>女装-外套-防晒服</v>
          </cell>
          <cell r="F638" t="str">
            <v>一品一商</v>
          </cell>
          <cell r="G638" t="str">
            <v>品牌直发</v>
          </cell>
          <cell r="H638">
            <v>0</v>
          </cell>
        </row>
        <row r="639">
          <cell r="C639">
            <v>115122023</v>
          </cell>
          <cell r="D639" t="str">
            <v>伯希和/PELLIOT</v>
          </cell>
          <cell r="E639" t="str">
            <v>鞋-运动鞋-登山鞋/徒步鞋</v>
          </cell>
          <cell r="F639" t="str">
            <v>一品多商</v>
          </cell>
          <cell r="G639" t="str">
            <v>品牌直发</v>
          </cell>
          <cell r="H639">
            <v>0</v>
          </cell>
        </row>
        <row r="640">
          <cell r="C640">
            <v>115251018</v>
          </cell>
          <cell r="D640" t="str">
            <v>伯希和/PELLIOT</v>
          </cell>
          <cell r="E640" t="str">
            <v>服装-外套-夹克</v>
          </cell>
          <cell r="F640" t="str">
            <v>一品多商</v>
          </cell>
          <cell r="G640" t="str">
            <v>品牌直发</v>
          </cell>
          <cell r="H640">
            <v>0</v>
          </cell>
        </row>
        <row r="641">
          <cell r="C641">
            <v>125251019</v>
          </cell>
          <cell r="D641" t="str">
            <v>伯希和/PELLIOT</v>
          </cell>
          <cell r="E641" t="str">
            <v>女装-外套-夹克</v>
          </cell>
          <cell r="F641" t="str">
            <v>一品多商</v>
          </cell>
          <cell r="G641" t="str">
            <v>品牌直发</v>
          </cell>
          <cell r="H641">
            <v>0</v>
          </cell>
        </row>
        <row r="642">
          <cell r="C642">
            <v>135101016</v>
          </cell>
          <cell r="D642" t="str">
            <v>伯希和/PELLIOT</v>
          </cell>
          <cell r="E642" t="str">
            <v>童装-儿童上装-冲锋衣</v>
          </cell>
          <cell r="F642" t="str">
            <v>一品一商</v>
          </cell>
          <cell r="G642" t="str">
            <v>品牌直发</v>
          </cell>
          <cell r="H642">
            <v>0</v>
          </cell>
        </row>
        <row r="643">
          <cell r="C643">
            <v>115106014</v>
          </cell>
          <cell r="D643" t="str">
            <v>伯希和/PELLIOT</v>
          </cell>
          <cell r="E643" t="str">
            <v>服装-外套-软壳衣</v>
          </cell>
          <cell r="F643" t="str">
            <v>一品多商</v>
          </cell>
          <cell r="G643" t="str">
            <v>品牌直发</v>
          </cell>
          <cell r="H643">
            <v>0</v>
          </cell>
        </row>
        <row r="644">
          <cell r="C644">
            <v>115220001</v>
          </cell>
          <cell r="D644" t="str">
            <v>伯希和/PELLIOT</v>
          </cell>
          <cell r="E644" t="str">
            <v>鞋-凉鞋/拖鞋-溯溪鞋</v>
          </cell>
          <cell r="F644" t="str">
            <v>一品多商</v>
          </cell>
          <cell r="G644" t="str">
            <v>品牌直发</v>
          </cell>
          <cell r="H644">
            <v>0</v>
          </cell>
        </row>
        <row r="645">
          <cell r="C645">
            <v>125220002</v>
          </cell>
          <cell r="D645" t="str">
            <v>伯希和/PELLIOT</v>
          </cell>
          <cell r="E645" t="str">
            <v>鞋-凉鞋/拖鞋-溯溪鞋</v>
          </cell>
          <cell r="F645" t="str">
            <v>一品一商</v>
          </cell>
          <cell r="G645" t="str">
            <v>品牌直发</v>
          </cell>
          <cell r="H645">
            <v>0</v>
          </cell>
        </row>
        <row r="646">
          <cell r="C646" t="str">
            <v>11040105-新加色</v>
          </cell>
          <cell r="D646" t="str">
            <v>伯希和/PELLIOT</v>
          </cell>
          <cell r="E646" t="str">
            <v>服装-外套-冲锋衣</v>
          </cell>
          <cell r="F646" t="str">
            <v>一品一商</v>
          </cell>
          <cell r="G646" t="str">
            <v>品牌直发</v>
          </cell>
          <cell r="H646">
            <v>0</v>
          </cell>
        </row>
        <row r="647">
          <cell r="C647">
            <v>105301051</v>
          </cell>
          <cell r="D647" t="str">
            <v>伯希和/PELLIOT</v>
          </cell>
          <cell r="E647" t="str">
            <v>服装-外套-冲锋衣</v>
          </cell>
          <cell r="F647" t="str">
            <v>一品多商</v>
          </cell>
          <cell r="G647" t="str">
            <v>普通现货</v>
          </cell>
          <cell r="H647">
            <v>0</v>
          </cell>
        </row>
        <row r="648">
          <cell r="C648">
            <v>105101023</v>
          </cell>
          <cell r="D648" t="str">
            <v>伯希和/PELLIOT</v>
          </cell>
          <cell r="E648" t="str">
            <v>服装-外套-冲锋衣</v>
          </cell>
          <cell r="F648" t="str">
            <v>一品多商</v>
          </cell>
          <cell r="G648" t="str">
            <v>品牌直发</v>
          </cell>
          <cell r="H648">
            <v>0</v>
          </cell>
        </row>
        <row r="649">
          <cell r="C649" t="str">
            <v>124301070-2025</v>
          </cell>
          <cell r="D649" t="str">
            <v>伯希和/PELLIOT</v>
          </cell>
          <cell r="E649" t="str">
            <v>女装-外套-冲锋衣</v>
          </cell>
          <cell r="F649" t="str">
            <v>一品多商</v>
          </cell>
          <cell r="G649" t="str">
            <v>品牌直发</v>
          </cell>
          <cell r="H649">
            <v>0</v>
          </cell>
        </row>
        <row r="650">
          <cell r="C650" t="str">
            <v>105301056-2025</v>
          </cell>
          <cell r="D650" t="str">
            <v>伯希和/PELLIOT</v>
          </cell>
          <cell r="E650" t="str">
            <v>女装-外套-冲锋衣</v>
          </cell>
          <cell r="F650" t="str">
            <v>一品多商</v>
          </cell>
          <cell r="G650" t="str">
            <v>品牌直发</v>
          </cell>
          <cell r="H650">
            <v>0</v>
          </cell>
        </row>
        <row r="651">
          <cell r="C651">
            <v>115307005</v>
          </cell>
          <cell r="D651" t="str">
            <v>伯希和/PELLIOT</v>
          </cell>
          <cell r="E651" t="str">
            <v>服装-长裤-软壳裤</v>
          </cell>
          <cell r="F651" t="str">
            <v>一品多商</v>
          </cell>
          <cell r="G651" t="str">
            <v>品牌直发</v>
          </cell>
          <cell r="H651">
            <v>0</v>
          </cell>
        </row>
        <row r="652">
          <cell r="C652">
            <v>125408006</v>
          </cell>
          <cell r="D652" t="str">
            <v>伯希和/PELLIOT</v>
          </cell>
          <cell r="E652" t="str">
            <v>女装-外套-羽绒服</v>
          </cell>
          <cell r="F652" t="str">
            <v>一品多商</v>
          </cell>
          <cell r="G652" t="str">
            <v>品牌直发</v>
          </cell>
          <cell r="H652">
            <v>0</v>
          </cell>
        </row>
        <row r="653">
          <cell r="C653">
            <v>115376009</v>
          </cell>
          <cell r="D653" t="str">
            <v>伯希和/PELLIOT</v>
          </cell>
          <cell r="E653" t="str">
            <v>服装-外套-棉服</v>
          </cell>
          <cell r="F653" t="str">
            <v>一品多商</v>
          </cell>
          <cell r="G653" t="str">
            <v>普通现货</v>
          </cell>
          <cell r="H653">
            <v>0</v>
          </cell>
        </row>
        <row r="654">
          <cell r="C654">
            <v>115408005</v>
          </cell>
          <cell r="D654" t="str">
            <v>伯希和/PELLIOT</v>
          </cell>
          <cell r="E654" t="str">
            <v>服装-外套-羽绒服</v>
          </cell>
          <cell r="F654" t="str">
            <v>一品多商</v>
          </cell>
          <cell r="G654" t="str">
            <v>普通现货</v>
          </cell>
          <cell r="H654">
            <v>0</v>
          </cell>
        </row>
        <row r="655">
          <cell r="C655">
            <v>124315396</v>
          </cell>
          <cell r="D655" t="str">
            <v>伯希和/PELLIOT</v>
          </cell>
          <cell r="E655" t="str">
            <v>女装-上衣-T恤</v>
          </cell>
          <cell r="F655" t="str">
            <v>一品多商</v>
          </cell>
          <cell r="G655" t="str">
            <v>品牌直发</v>
          </cell>
          <cell r="H655">
            <v>0</v>
          </cell>
        </row>
        <row r="656">
          <cell r="C656" t="str">
            <v>125179002-2025</v>
          </cell>
          <cell r="D656" t="str">
            <v>伯希和/PELLIOT</v>
          </cell>
          <cell r="E656" t="str">
            <v>女装-健身服-瑜伽短裤</v>
          </cell>
          <cell r="F656" t="str">
            <v>一品一商</v>
          </cell>
          <cell r="G656" t="str">
            <v>普通现货</v>
          </cell>
          <cell r="H656">
            <v>0</v>
          </cell>
        </row>
        <row r="657">
          <cell r="C657">
            <v>124408262</v>
          </cell>
          <cell r="D657" t="str">
            <v>伯希和/PELLIOT</v>
          </cell>
          <cell r="E657" t="str">
            <v>服装-户外运动服-登山服</v>
          </cell>
          <cell r="F657" t="str">
            <v>一品一商</v>
          </cell>
          <cell r="G657" t="str">
            <v>品牌直发</v>
          </cell>
          <cell r="H657">
            <v>0</v>
          </cell>
        </row>
        <row r="658">
          <cell r="C658">
            <v>125307017</v>
          </cell>
          <cell r="D658" t="str">
            <v>伯希和/PELLIOT</v>
          </cell>
          <cell r="E658" t="str">
            <v>女装-长裤-软壳裤</v>
          </cell>
          <cell r="F658" t="str">
            <v>一品多商</v>
          </cell>
          <cell r="G658" t="str">
            <v>品牌直发</v>
          </cell>
          <cell r="H658">
            <v>0</v>
          </cell>
        </row>
        <row r="659">
          <cell r="C659" t="str">
            <v>125316016-2025</v>
          </cell>
          <cell r="D659" t="str">
            <v>伯希和/PELLIOT</v>
          </cell>
          <cell r="E659" t="str">
            <v>女装-上衣-T恤</v>
          </cell>
          <cell r="F659" t="str">
            <v>一品多商</v>
          </cell>
          <cell r="G659" t="str">
            <v>普通现货</v>
          </cell>
          <cell r="H659">
            <v>0</v>
          </cell>
        </row>
        <row r="660">
          <cell r="C660">
            <v>105316019</v>
          </cell>
          <cell r="D660" t="str">
            <v>伯希和/PELLIOT</v>
          </cell>
          <cell r="E660" t="str">
            <v>服装-上衣-T恤</v>
          </cell>
          <cell r="F660" t="str">
            <v>一品多商</v>
          </cell>
          <cell r="G660" t="str">
            <v>品牌直发</v>
          </cell>
          <cell r="H660">
            <v>0</v>
          </cell>
        </row>
        <row r="661">
          <cell r="C661">
            <v>115310009</v>
          </cell>
          <cell r="D661" t="str">
            <v>伯希和/PELLIOT</v>
          </cell>
          <cell r="E661" t="str">
            <v>服装-户外运动服-抓绒衣</v>
          </cell>
          <cell r="F661" t="str">
            <v>一品多商</v>
          </cell>
          <cell r="G661" t="str">
            <v>普通现货</v>
          </cell>
          <cell r="H661">
            <v>0</v>
          </cell>
        </row>
        <row r="662">
          <cell r="C662">
            <v>105408032</v>
          </cell>
          <cell r="D662" t="str">
            <v>伯希和/PELLIOT</v>
          </cell>
          <cell r="E662" t="str">
            <v>服装-外套-羽绒服</v>
          </cell>
          <cell r="F662" t="str">
            <v>一品多商</v>
          </cell>
          <cell r="G662" t="str">
            <v>普通现货</v>
          </cell>
          <cell r="H662">
            <v>0</v>
          </cell>
        </row>
        <row r="663">
          <cell r="C663">
            <v>115316015</v>
          </cell>
          <cell r="D663" t="str">
            <v>伯希和/PELLIOT</v>
          </cell>
          <cell r="E663" t="str">
            <v>服装-户外运动服-抓绒衣</v>
          </cell>
          <cell r="F663" t="str">
            <v>一品多商</v>
          </cell>
          <cell r="G663" t="str">
            <v>普通现货</v>
          </cell>
          <cell r="H663">
            <v>0</v>
          </cell>
        </row>
        <row r="664">
          <cell r="C664" t="str">
            <v>125310010-2025</v>
          </cell>
          <cell r="D664" t="str">
            <v>伯希和/PELLIOT</v>
          </cell>
          <cell r="E664" t="str">
            <v>女装-户外运动服-抓绒衣</v>
          </cell>
          <cell r="F664" t="str">
            <v>一品多商</v>
          </cell>
          <cell r="G664" t="str">
            <v>品牌直发</v>
          </cell>
          <cell r="H664">
            <v>0</v>
          </cell>
        </row>
        <row r="665">
          <cell r="C665">
            <v>165036001</v>
          </cell>
          <cell r="D665" t="str">
            <v>伯希和/PELLIOT</v>
          </cell>
          <cell r="E665" t="str">
            <v>户外装备-徒步/攀登-登山杖/手杖</v>
          </cell>
          <cell r="F665" t="str">
            <v>一品一商</v>
          </cell>
          <cell r="G665" t="str">
            <v>品牌直发</v>
          </cell>
          <cell r="H665">
            <v>0</v>
          </cell>
        </row>
        <row r="666">
          <cell r="C666">
            <v>165036003</v>
          </cell>
          <cell r="D666" t="str">
            <v>伯希和/PELLIOT</v>
          </cell>
          <cell r="E666" t="str">
            <v>户外装备-徒步/攀登-登山杖/手杖</v>
          </cell>
          <cell r="F666" t="str">
            <v>一品一商</v>
          </cell>
          <cell r="G666" t="str">
            <v>品牌直发</v>
          </cell>
          <cell r="H666">
            <v>0</v>
          </cell>
        </row>
        <row r="667">
          <cell r="C667">
            <v>105482003</v>
          </cell>
          <cell r="D667" t="str">
            <v>伯希和/PELLIOT</v>
          </cell>
          <cell r="E667" t="str">
            <v>鞋-靴子-户外靴</v>
          </cell>
          <cell r="F667" t="str">
            <v>一品一商</v>
          </cell>
          <cell r="G667" t="str">
            <v>品牌直发</v>
          </cell>
          <cell r="H667">
            <v>0</v>
          </cell>
        </row>
        <row r="668">
          <cell r="C668">
            <v>115318003</v>
          </cell>
          <cell r="D668" t="str">
            <v>伯希和/PELLIOT</v>
          </cell>
          <cell r="E668" t="str">
            <v>内衣-内衣裤-保暖套装</v>
          </cell>
          <cell r="F668" t="str">
            <v>一品多商</v>
          </cell>
          <cell r="G668" t="str">
            <v>品牌直发</v>
          </cell>
          <cell r="H668">
            <v>0</v>
          </cell>
        </row>
        <row r="669">
          <cell r="C669" t="str">
            <v>125307010-2025</v>
          </cell>
          <cell r="D669" t="str">
            <v>伯希和/PELLIOT</v>
          </cell>
          <cell r="E669" t="str">
            <v>女装-长裤-软壳裤</v>
          </cell>
          <cell r="F669" t="str">
            <v>一品多商</v>
          </cell>
          <cell r="G669" t="str">
            <v>品牌直发</v>
          </cell>
          <cell r="H669">
            <v>0</v>
          </cell>
        </row>
        <row r="670">
          <cell r="C670">
            <v>115307009</v>
          </cell>
          <cell r="D670" t="str">
            <v>伯希和/PELLIOT</v>
          </cell>
          <cell r="E670" t="str">
            <v>服装-长裤-软壳裤</v>
          </cell>
          <cell r="F670" t="str">
            <v>一品多商</v>
          </cell>
          <cell r="G670" t="str">
            <v>品牌直发</v>
          </cell>
          <cell r="H670">
            <v>0</v>
          </cell>
        </row>
        <row r="671">
          <cell r="C671">
            <v>125318004</v>
          </cell>
          <cell r="D671" t="str">
            <v>伯希和/PELLIOT</v>
          </cell>
          <cell r="E671" t="str">
            <v>女装-健身服-运动内衣</v>
          </cell>
          <cell r="F671" t="str">
            <v>一品多商</v>
          </cell>
          <cell r="G671" t="str">
            <v>品牌直发</v>
          </cell>
          <cell r="H671">
            <v>0</v>
          </cell>
        </row>
        <row r="672">
          <cell r="C672">
            <v>115378016</v>
          </cell>
          <cell r="D672" t="str">
            <v>伯希和/PELLIOT</v>
          </cell>
          <cell r="E672" t="str">
            <v>服装-长裤-休闲裤</v>
          </cell>
          <cell r="F672" t="str">
            <v>一品多商</v>
          </cell>
          <cell r="G672" t="str">
            <v>品牌直发</v>
          </cell>
          <cell r="H672">
            <v>0</v>
          </cell>
        </row>
        <row r="673">
          <cell r="C673">
            <v>115301039</v>
          </cell>
          <cell r="D673" t="str">
            <v>伯希和/PELLIOT</v>
          </cell>
          <cell r="E673" t="str">
            <v>服装-外套-冲锋衣</v>
          </cell>
          <cell r="F673" t="str">
            <v>一品多商</v>
          </cell>
          <cell r="G673" t="str">
            <v>品牌直发</v>
          </cell>
          <cell r="H673">
            <v>0</v>
          </cell>
        </row>
        <row r="674">
          <cell r="C674">
            <v>125482010</v>
          </cell>
          <cell r="D674" t="str">
            <v>伯希和/PELLIOT</v>
          </cell>
          <cell r="E674" t="str">
            <v>鞋-运动鞋-登山鞋/徒步鞋</v>
          </cell>
          <cell r="F674" t="str">
            <v>一品多商</v>
          </cell>
          <cell r="G674" t="str">
            <v>品牌直发</v>
          </cell>
          <cell r="H674">
            <v>0</v>
          </cell>
        </row>
        <row r="675">
          <cell r="C675">
            <v>125382006</v>
          </cell>
          <cell r="D675" t="str">
            <v>伯希和/PELLIOT</v>
          </cell>
          <cell r="E675" t="str">
            <v>鞋-运动鞋-登山鞋/徒步鞋</v>
          </cell>
          <cell r="F675" t="str">
            <v>一品一商</v>
          </cell>
          <cell r="G675" t="str">
            <v>品牌直发</v>
          </cell>
          <cell r="H675">
            <v>0</v>
          </cell>
        </row>
        <row r="676">
          <cell r="C676">
            <v>115381007</v>
          </cell>
          <cell r="D676" t="str">
            <v>伯希和/PELLIOT</v>
          </cell>
          <cell r="E676" t="str">
            <v>鞋-运动鞋-登山鞋/徒步鞋</v>
          </cell>
          <cell r="F676" t="str">
            <v>一品多商</v>
          </cell>
          <cell r="G676" t="str">
            <v>品牌直发</v>
          </cell>
          <cell r="H676">
            <v>0</v>
          </cell>
        </row>
        <row r="677">
          <cell r="C677">
            <v>115310015</v>
          </cell>
          <cell r="D677" t="str">
            <v>伯希和/PELLIOT</v>
          </cell>
          <cell r="E677" t="str">
            <v>服装-户外运动服-抓绒衣</v>
          </cell>
          <cell r="F677" t="str">
            <v>一品多商</v>
          </cell>
          <cell r="G677" t="str">
            <v>品牌直发</v>
          </cell>
          <cell r="H677">
            <v>0</v>
          </cell>
        </row>
        <row r="678">
          <cell r="C678">
            <v>115310034</v>
          </cell>
          <cell r="D678" t="str">
            <v>伯希和/PELLIOT</v>
          </cell>
          <cell r="E678" t="str">
            <v>服装-户外运动服-抓绒衣</v>
          </cell>
          <cell r="F678" t="str">
            <v>一品多商</v>
          </cell>
          <cell r="G678" t="str">
            <v>品牌直发</v>
          </cell>
          <cell r="H678">
            <v>0</v>
          </cell>
        </row>
        <row r="679">
          <cell r="C679">
            <v>125381008</v>
          </cell>
          <cell r="D679" t="str">
            <v>伯希和/PELLIOT</v>
          </cell>
          <cell r="E679" t="str">
            <v>鞋-运动鞋-登山鞋/徒步鞋</v>
          </cell>
          <cell r="F679" t="str">
            <v>一品多商</v>
          </cell>
          <cell r="G679" t="str">
            <v>品牌直发</v>
          </cell>
          <cell r="H679">
            <v>0</v>
          </cell>
        </row>
        <row r="680">
          <cell r="C680">
            <v>125318002</v>
          </cell>
          <cell r="D680" t="str">
            <v>伯希和/PELLIOT</v>
          </cell>
          <cell r="E680" t="str">
            <v>内衣-内衣裤-保暖套装</v>
          </cell>
          <cell r="F680" t="str">
            <v>一品一商</v>
          </cell>
          <cell r="G680" t="str">
            <v>品牌直发</v>
          </cell>
          <cell r="H680">
            <v>0</v>
          </cell>
        </row>
        <row r="681">
          <cell r="C681">
            <v>115318001</v>
          </cell>
          <cell r="D681" t="str">
            <v>伯希和/PELLIOT</v>
          </cell>
          <cell r="E681" t="str">
            <v>内衣-内衣裤-保暖套装</v>
          </cell>
          <cell r="F681" t="str">
            <v>一品一商</v>
          </cell>
          <cell r="G681" t="str">
            <v>品牌直发</v>
          </cell>
          <cell r="H681">
            <v>0</v>
          </cell>
        </row>
        <row r="682">
          <cell r="C682" t="str">
            <v>125310008-2025</v>
          </cell>
          <cell r="D682" t="str">
            <v>伯希和/PELLIOT</v>
          </cell>
          <cell r="E682" t="str">
            <v>女装-户外运动服-抓绒衣</v>
          </cell>
          <cell r="F682" t="str">
            <v>一品多商</v>
          </cell>
          <cell r="G682" t="str">
            <v>普通现货</v>
          </cell>
          <cell r="H682">
            <v>0</v>
          </cell>
        </row>
        <row r="683">
          <cell r="C683">
            <v>125310026</v>
          </cell>
          <cell r="D683" t="str">
            <v>伯希和/PELLIOT</v>
          </cell>
          <cell r="E683" t="str">
            <v>女装-户外运动服-抓绒衣</v>
          </cell>
          <cell r="F683" t="str">
            <v>一品多商</v>
          </cell>
          <cell r="G683" t="str">
            <v>品牌直发</v>
          </cell>
          <cell r="H683">
            <v>0</v>
          </cell>
        </row>
        <row r="684">
          <cell r="C684">
            <v>125306008</v>
          </cell>
          <cell r="D684" t="str">
            <v>伯希和/PELLIOT</v>
          </cell>
          <cell r="E684" t="str">
            <v>女装-外套-软壳衣</v>
          </cell>
          <cell r="F684" t="str">
            <v>一品多商</v>
          </cell>
          <cell r="G684" t="str">
            <v>品牌直发</v>
          </cell>
          <cell r="H684">
            <v>0</v>
          </cell>
        </row>
        <row r="685">
          <cell r="C685">
            <v>115310007</v>
          </cell>
          <cell r="D685" t="str">
            <v>伯希和/PELLIOT</v>
          </cell>
          <cell r="E685" t="str">
            <v>服装-户外运动服-抓绒衣</v>
          </cell>
          <cell r="F685" t="str">
            <v>一品多商</v>
          </cell>
          <cell r="G685" t="str">
            <v>品牌直发</v>
          </cell>
          <cell r="H685">
            <v>0</v>
          </cell>
        </row>
        <row r="686">
          <cell r="C686">
            <v>125310038</v>
          </cell>
          <cell r="D686" t="str">
            <v>伯希和/PELLIOT</v>
          </cell>
          <cell r="E686" t="str">
            <v>女装-外套-绒感外套</v>
          </cell>
          <cell r="F686" t="str">
            <v>一品多商</v>
          </cell>
          <cell r="G686" t="str">
            <v>品牌直发</v>
          </cell>
          <cell r="H686">
            <v>0</v>
          </cell>
        </row>
        <row r="687">
          <cell r="C687">
            <v>125408026</v>
          </cell>
          <cell r="D687" t="str">
            <v>伯希和/PELLIOT</v>
          </cell>
          <cell r="E687" t="str">
            <v>女装-外套-羽绒服</v>
          </cell>
          <cell r="F687" t="str">
            <v>一品多商</v>
          </cell>
          <cell r="G687" t="str">
            <v>普通现货</v>
          </cell>
          <cell r="H687">
            <v>0</v>
          </cell>
        </row>
        <row r="688">
          <cell r="C688">
            <v>115310035</v>
          </cell>
          <cell r="D688" t="str">
            <v>伯希和/PELLIOT</v>
          </cell>
          <cell r="E688" t="str">
            <v>服装-户外运动服-抓绒衣</v>
          </cell>
          <cell r="F688" t="str">
            <v>一品多商</v>
          </cell>
          <cell r="G688" t="str">
            <v>普通现货</v>
          </cell>
          <cell r="H688">
            <v>0</v>
          </cell>
        </row>
        <row r="689">
          <cell r="C689">
            <v>125408059</v>
          </cell>
          <cell r="D689" t="str">
            <v>伯希和/PELLIOT</v>
          </cell>
          <cell r="E689" t="str">
            <v>女装-外套-羽绒马甲</v>
          </cell>
          <cell r="F689" t="str">
            <v>一品多商</v>
          </cell>
          <cell r="G689" t="str">
            <v>品牌直发</v>
          </cell>
          <cell r="H689">
            <v>0</v>
          </cell>
        </row>
        <row r="690">
          <cell r="C690">
            <v>125351024</v>
          </cell>
          <cell r="D690" t="str">
            <v>伯希和/PELLIOT</v>
          </cell>
          <cell r="E690" t="str">
            <v>女装-外套-夹克</v>
          </cell>
          <cell r="F690" t="str">
            <v>一品多商</v>
          </cell>
          <cell r="G690" t="str">
            <v>品牌直发</v>
          </cell>
          <cell r="H690">
            <v>0</v>
          </cell>
        </row>
        <row r="691">
          <cell r="C691" t="str">
            <v>115306019重复</v>
          </cell>
          <cell r="D691" t="str">
            <v>伯希和/PELLIOT</v>
          </cell>
          <cell r="E691" t="str">
            <v>服装-外套-软壳衣</v>
          </cell>
          <cell r="F691" t="str">
            <v>一品多商</v>
          </cell>
          <cell r="G691" t="str">
            <v>品牌直发</v>
          </cell>
          <cell r="H691">
            <v>0</v>
          </cell>
        </row>
        <row r="692">
          <cell r="C692">
            <v>105316027</v>
          </cell>
          <cell r="D692" t="str">
            <v>伯希和/PELLIOT</v>
          </cell>
          <cell r="E692" t="str">
            <v>服装-上衣-T恤</v>
          </cell>
          <cell r="F692" t="str">
            <v>一品多商</v>
          </cell>
          <cell r="G692" t="str">
            <v>品牌直发</v>
          </cell>
          <cell r="H692">
            <v>0</v>
          </cell>
        </row>
        <row r="693">
          <cell r="C693">
            <v>125381014</v>
          </cell>
          <cell r="D693" t="str">
            <v>伯希和/PELLIOT</v>
          </cell>
          <cell r="E693" t="str">
            <v>鞋-运动鞋-登山鞋/徒步鞋</v>
          </cell>
          <cell r="F693" t="str">
            <v>一品多商</v>
          </cell>
          <cell r="G693" t="str">
            <v>品牌直发</v>
          </cell>
          <cell r="H693">
            <v>0</v>
          </cell>
        </row>
        <row r="694">
          <cell r="C694">
            <v>135307019</v>
          </cell>
          <cell r="D694" t="str">
            <v>伯希和/PELLIOT</v>
          </cell>
          <cell r="E694" t="str">
            <v>童装-儿童下装-儿童软壳裤</v>
          </cell>
          <cell r="F694" t="str">
            <v>一品一商</v>
          </cell>
          <cell r="G694" t="str">
            <v>品牌直发</v>
          </cell>
          <cell r="H694">
            <v>0</v>
          </cell>
        </row>
        <row r="695">
          <cell r="C695">
            <v>125381004</v>
          </cell>
          <cell r="D695" t="str">
            <v>伯希和/PELLIOT</v>
          </cell>
          <cell r="E695" t="str">
            <v>鞋-运动鞋-登山鞋/徒步鞋</v>
          </cell>
          <cell r="F695" t="str">
            <v>一品多商</v>
          </cell>
          <cell r="G695" t="str">
            <v>品牌直发</v>
          </cell>
          <cell r="H695">
            <v>0</v>
          </cell>
        </row>
        <row r="696">
          <cell r="C696">
            <v>115408058</v>
          </cell>
          <cell r="D696" t="str">
            <v>伯希和/PELLIOT</v>
          </cell>
          <cell r="E696" t="str">
            <v>服装-外套-羽绒马甲</v>
          </cell>
          <cell r="F696" t="str">
            <v>一品多商</v>
          </cell>
          <cell r="G696" t="str">
            <v>品牌直发</v>
          </cell>
          <cell r="H696">
            <v>0</v>
          </cell>
        </row>
        <row r="697">
          <cell r="C697" t="str">
            <v>125107018-2025</v>
          </cell>
          <cell r="D697" t="str">
            <v>伯希和/PELLIOT</v>
          </cell>
          <cell r="E697" t="str">
            <v>女装-长裤-软壳裤</v>
          </cell>
          <cell r="F697" t="str">
            <v>一品多商</v>
          </cell>
          <cell r="G697" t="str">
            <v>品牌直发</v>
          </cell>
          <cell r="H697">
            <v>0</v>
          </cell>
        </row>
        <row r="698">
          <cell r="C698">
            <v>115381015</v>
          </cell>
          <cell r="D698" t="str">
            <v>伯希和/PELLIOT</v>
          </cell>
          <cell r="E698" t="str">
            <v>鞋-运动鞋-登山鞋/徒步鞋</v>
          </cell>
          <cell r="F698" t="str">
            <v>一品多商</v>
          </cell>
          <cell r="G698" t="str">
            <v>品牌直发</v>
          </cell>
          <cell r="H698">
            <v>0</v>
          </cell>
        </row>
        <row r="699">
          <cell r="C699" t="str">
            <v>115307032-2025</v>
          </cell>
          <cell r="D699" t="str">
            <v>伯希和/PELLIOT</v>
          </cell>
          <cell r="E699" t="str">
            <v>服装-长裤-软壳裤</v>
          </cell>
          <cell r="F699" t="str">
            <v>一品多商</v>
          </cell>
          <cell r="G699" t="str">
            <v>品牌直发</v>
          </cell>
          <cell r="H699">
            <v>0</v>
          </cell>
        </row>
        <row r="700">
          <cell r="C700">
            <v>105401084</v>
          </cell>
          <cell r="D700" t="str">
            <v>伯希和/PELLIOT</v>
          </cell>
          <cell r="E700" t="str">
            <v>服装-外套-冲锋衣</v>
          </cell>
          <cell r="F700" t="str">
            <v>一品多商</v>
          </cell>
          <cell r="G700" t="str">
            <v>品牌直发</v>
          </cell>
          <cell r="H700">
            <v>0</v>
          </cell>
        </row>
        <row r="701">
          <cell r="C701">
            <v>125408014</v>
          </cell>
          <cell r="D701" t="str">
            <v>伯希和/PELLIOT</v>
          </cell>
          <cell r="E701" t="str">
            <v>女装-外套-羽绒服</v>
          </cell>
          <cell r="F701" t="str">
            <v>一品多商</v>
          </cell>
          <cell r="G701" t="str">
            <v>普通现货</v>
          </cell>
          <cell r="H701">
            <v>0</v>
          </cell>
        </row>
        <row r="702">
          <cell r="C702">
            <v>115408025</v>
          </cell>
          <cell r="D702" t="str">
            <v>伯希和/PELLIOT</v>
          </cell>
          <cell r="E702" t="str">
            <v>服装-外套-羽绒服</v>
          </cell>
          <cell r="F702" t="str">
            <v>一品多商</v>
          </cell>
          <cell r="G702" t="str">
            <v>品牌直发</v>
          </cell>
          <cell r="H702">
            <v>0</v>
          </cell>
        </row>
        <row r="703">
          <cell r="C703">
            <v>125408022</v>
          </cell>
          <cell r="D703" t="str">
            <v>伯希和/PELLIOT</v>
          </cell>
          <cell r="E703" t="str">
            <v>女装-外套-羽绒服</v>
          </cell>
          <cell r="F703" t="str">
            <v>一品多商</v>
          </cell>
          <cell r="G703" t="str">
            <v>品牌直发</v>
          </cell>
          <cell r="H703">
            <v>0</v>
          </cell>
        </row>
        <row r="704">
          <cell r="C704">
            <v>125376010</v>
          </cell>
          <cell r="D704" t="str">
            <v>伯希和/PELLIOT</v>
          </cell>
          <cell r="E704" t="str">
            <v>女装-外套-棉服</v>
          </cell>
          <cell r="F704" t="str">
            <v>一品多商</v>
          </cell>
          <cell r="G704" t="str">
            <v>品牌直发</v>
          </cell>
          <cell r="H704">
            <v>0</v>
          </cell>
        </row>
        <row r="705">
          <cell r="C705">
            <v>135307020</v>
          </cell>
          <cell r="D705" t="str">
            <v>伯希和/PELLIOT</v>
          </cell>
          <cell r="E705" t="str">
            <v>童装-儿童下装-儿童软壳裤</v>
          </cell>
          <cell r="F705" t="str">
            <v>一品一商</v>
          </cell>
          <cell r="G705" t="str">
            <v>品牌直发</v>
          </cell>
          <cell r="H705">
            <v>0</v>
          </cell>
        </row>
        <row r="706">
          <cell r="C706">
            <v>165434008</v>
          </cell>
          <cell r="D706" t="str">
            <v>伯希和/PELLIOT</v>
          </cell>
          <cell r="E706" t="str">
            <v>流行饰品/眼镜/服配-帽子-雷锋帽</v>
          </cell>
          <cell r="F706" t="str">
            <v>一品一商</v>
          </cell>
          <cell r="G706" t="str">
            <v>品牌直发</v>
          </cell>
          <cell r="H706">
            <v>0</v>
          </cell>
        </row>
        <row r="707">
          <cell r="C707">
            <v>135306016</v>
          </cell>
          <cell r="D707" t="str">
            <v>伯希和/PELLIOT</v>
          </cell>
          <cell r="E707" t="str">
            <v>童装-儿童上装-儿童软壳衣</v>
          </cell>
          <cell r="F707" t="str">
            <v>一品一商</v>
          </cell>
          <cell r="G707" t="str">
            <v>品牌直发</v>
          </cell>
          <cell r="H707">
            <v>0</v>
          </cell>
        </row>
        <row r="708">
          <cell r="C708">
            <v>105308019</v>
          </cell>
          <cell r="D708" t="str">
            <v>伯希和/PELLIOT</v>
          </cell>
          <cell r="E708" t="str">
            <v>服装-外套-羽绒马甲</v>
          </cell>
          <cell r="F708" t="str">
            <v>一品多商</v>
          </cell>
          <cell r="G708" t="str">
            <v>普通现货</v>
          </cell>
          <cell r="H708">
            <v>0</v>
          </cell>
        </row>
        <row r="709">
          <cell r="C709">
            <v>125402011</v>
          </cell>
          <cell r="D709" t="str">
            <v>伯希和/PELLIOT</v>
          </cell>
          <cell r="E709" t="str">
            <v>女装-长裤-冲锋裤</v>
          </cell>
          <cell r="F709" t="str">
            <v>一品多商</v>
          </cell>
          <cell r="G709" t="str">
            <v>品牌直发</v>
          </cell>
          <cell r="H709">
            <v>0</v>
          </cell>
        </row>
        <row r="710">
          <cell r="C710">
            <v>125402013</v>
          </cell>
          <cell r="D710" t="str">
            <v>伯希和/PELLIOT</v>
          </cell>
          <cell r="E710" t="str">
            <v>女装-长裤-冲锋裤</v>
          </cell>
          <cell r="F710" t="str">
            <v>一品多商</v>
          </cell>
          <cell r="G710" t="str">
            <v>品牌直发</v>
          </cell>
          <cell r="H710">
            <v>0</v>
          </cell>
        </row>
        <row r="711">
          <cell r="C711" t="str">
            <v>125308002-2025</v>
          </cell>
          <cell r="D711" t="str">
            <v>伯希和/PELLIOT</v>
          </cell>
          <cell r="E711" t="str">
            <v>女装-外套-羽绒服</v>
          </cell>
          <cell r="F711" t="str">
            <v>一品多商</v>
          </cell>
          <cell r="G711" t="str">
            <v>品牌直发</v>
          </cell>
          <cell r="H711">
            <v>0</v>
          </cell>
        </row>
        <row r="712">
          <cell r="C712" t="str">
            <v>115306007-2025</v>
          </cell>
          <cell r="D712" t="str">
            <v>伯希和/PELLIOT</v>
          </cell>
          <cell r="E712" t="str">
            <v>服装-外套-软壳衣</v>
          </cell>
          <cell r="F712" t="str">
            <v>一品多商</v>
          </cell>
          <cell r="G712" t="str">
            <v>品牌直发</v>
          </cell>
          <cell r="H712">
            <v>0</v>
          </cell>
        </row>
        <row r="713">
          <cell r="C713">
            <v>125401062</v>
          </cell>
          <cell r="D713" t="str">
            <v>伯希和/PELLIOT</v>
          </cell>
          <cell r="E713" t="str">
            <v>女装-外套-冲锋衣</v>
          </cell>
          <cell r="F713" t="str">
            <v>一品多商</v>
          </cell>
          <cell r="G713" t="str">
            <v>品牌直发</v>
          </cell>
          <cell r="H713">
            <v>0</v>
          </cell>
        </row>
        <row r="714">
          <cell r="C714">
            <v>12121262</v>
          </cell>
          <cell r="D714" t="str">
            <v>伯希和/PELLIOT</v>
          </cell>
          <cell r="E714" t="str">
            <v>女装-外套-防晒服</v>
          </cell>
          <cell r="F714" t="str">
            <v>一品多商</v>
          </cell>
          <cell r="G714" t="str">
            <v>品牌直发</v>
          </cell>
          <cell r="H714">
            <v>0</v>
          </cell>
        </row>
        <row r="715">
          <cell r="C715" t="str">
            <v>11040107-CF07</v>
          </cell>
          <cell r="D715" t="str">
            <v>伯希和/PELLIOT</v>
          </cell>
          <cell r="E715" t="str">
            <v>服装-外套-冲锋衣</v>
          </cell>
          <cell r="F715" t="str">
            <v>一品多商</v>
          </cell>
          <cell r="G715" t="str">
            <v>品牌直发</v>
          </cell>
          <cell r="H715">
            <v>0</v>
          </cell>
        </row>
        <row r="716">
          <cell r="C716">
            <v>125301057</v>
          </cell>
          <cell r="D716" t="str">
            <v>伯希和/PELLIOT</v>
          </cell>
          <cell r="E716" t="str">
            <v>女装-外套-冲锋衣</v>
          </cell>
          <cell r="F716" t="str">
            <v>一品多商</v>
          </cell>
          <cell r="G716" t="str">
            <v>品牌直发</v>
          </cell>
          <cell r="H716">
            <v>0</v>
          </cell>
        </row>
        <row r="717">
          <cell r="C717">
            <v>115306011</v>
          </cell>
          <cell r="D717" t="str">
            <v>伯希和/PELLIOT</v>
          </cell>
          <cell r="E717" t="str">
            <v>服装-外套-软壳衣</v>
          </cell>
          <cell r="F717" t="str">
            <v>一品多商</v>
          </cell>
          <cell r="G717" t="str">
            <v>品牌直发</v>
          </cell>
          <cell r="H717">
            <v>0</v>
          </cell>
        </row>
        <row r="718">
          <cell r="C718">
            <v>115401061</v>
          </cell>
          <cell r="D718" t="str">
            <v>伯希和/PELLIOT</v>
          </cell>
          <cell r="E718" t="str">
            <v>服装-外套-冲锋衣</v>
          </cell>
          <cell r="F718" t="str">
            <v>一品多商</v>
          </cell>
          <cell r="G718" t="str">
            <v>普通现货</v>
          </cell>
          <cell r="H718">
            <v>0</v>
          </cell>
        </row>
        <row r="719">
          <cell r="C719">
            <v>115306013</v>
          </cell>
          <cell r="D719" t="str">
            <v>伯希和/PELLIOT</v>
          </cell>
          <cell r="E719" t="str">
            <v>服装-外套-软壳衣</v>
          </cell>
          <cell r="F719" t="str">
            <v>一品多商</v>
          </cell>
          <cell r="G719" t="str">
            <v>品牌直发</v>
          </cell>
          <cell r="H719">
            <v>0</v>
          </cell>
        </row>
        <row r="720">
          <cell r="C720">
            <v>125401067</v>
          </cell>
          <cell r="D720" t="str">
            <v>伯希和/PELLIOT</v>
          </cell>
          <cell r="E720" t="str">
            <v>女装-外套-冲锋衣</v>
          </cell>
          <cell r="F720" t="str">
            <v>一品多商</v>
          </cell>
          <cell r="G720" t="str">
            <v>品牌直发</v>
          </cell>
          <cell r="H720">
            <v>0</v>
          </cell>
        </row>
        <row r="721">
          <cell r="C721">
            <v>105316020</v>
          </cell>
          <cell r="D721" t="str">
            <v>伯希和/PELLIOT</v>
          </cell>
          <cell r="E721" t="str">
            <v>服装-上衣-卫衣</v>
          </cell>
          <cell r="F721" t="str">
            <v>一品多商</v>
          </cell>
          <cell r="G721" t="str">
            <v>品牌直发</v>
          </cell>
          <cell r="H721">
            <v>0</v>
          </cell>
        </row>
        <row r="722">
          <cell r="C722">
            <v>125301040</v>
          </cell>
          <cell r="D722" t="str">
            <v>伯希和/PELLIOT</v>
          </cell>
          <cell r="E722" t="str">
            <v>女装-外套-冲锋衣</v>
          </cell>
          <cell r="F722" t="str">
            <v>一品多商</v>
          </cell>
          <cell r="G722" t="str">
            <v>品牌直发</v>
          </cell>
          <cell r="H722">
            <v>0</v>
          </cell>
        </row>
        <row r="723">
          <cell r="C723">
            <v>125106015</v>
          </cell>
          <cell r="D723" t="str">
            <v>伯希和/PELLIOT</v>
          </cell>
          <cell r="E723" t="str">
            <v>女装-外套-软壳衣</v>
          </cell>
          <cell r="F723" t="str">
            <v>一品一商</v>
          </cell>
          <cell r="G723" t="str">
            <v>品牌直发</v>
          </cell>
          <cell r="H723">
            <v>0</v>
          </cell>
        </row>
        <row r="724">
          <cell r="C724">
            <v>125401046</v>
          </cell>
          <cell r="D724" t="str">
            <v>伯希和/PELLIOT</v>
          </cell>
          <cell r="E724" t="str">
            <v>女装-外套-冲锋衣</v>
          </cell>
          <cell r="F724" t="str">
            <v>一品多商</v>
          </cell>
          <cell r="G724" t="str">
            <v>品牌直发</v>
          </cell>
          <cell r="H724">
            <v>0</v>
          </cell>
        </row>
        <row r="725">
          <cell r="C725">
            <v>125376012</v>
          </cell>
          <cell r="D725" t="str">
            <v>伯希和/PELLIOT</v>
          </cell>
          <cell r="E725" t="str">
            <v>女装-外套-棉服</v>
          </cell>
          <cell r="F725" t="str">
            <v>一品多商</v>
          </cell>
          <cell r="G725" t="str">
            <v>品牌直发</v>
          </cell>
          <cell r="H725">
            <v>0</v>
          </cell>
        </row>
        <row r="726">
          <cell r="C726">
            <v>115401047</v>
          </cell>
          <cell r="D726" t="str">
            <v>伯希和/PELLIOT</v>
          </cell>
          <cell r="E726" t="str">
            <v>服装-外套-冲锋衣</v>
          </cell>
          <cell r="F726" t="str">
            <v>一品多商</v>
          </cell>
          <cell r="G726" t="str">
            <v>品牌直发</v>
          </cell>
          <cell r="H726">
            <v>0</v>
          </cell>
        </row>
        <row r="727">
          <cell r="C727" t="str">
            <v>165034029-2025</v>
          </cell>
          <cell r="D727" t="str">
            <v>伯希和/PELLIOT</v>
          </cell>
          <cell r="E727" t="str">
            <v>流行饰品/眼镜/服配-帽子-绒线帽</v>
          </cell>
          <cell r="F727" t="str">
            <v>一品一商</v>
          </cell>
          <cell r="G727" t="str">
            <v>品牌直发</v>
          </cell>
          <cell r="H727">
            <v>0</v>
          </cell>
        </row>
        <row r="728">
          <cell r="C728">
            <v>125376005</v>
          </cell>
          <cell r="D728" t="str">
            <v>伯希和/PELLIOT</v>
          </cell>
          <cell r="E728" t="str">
            <v>女装-外套-棉服</v>
          </cell>
          <cell r="F728" t="str">
            <v>一品多商</v>
          </cell>
          <cell r="G728" t="str">
            <v>品牌直发</v>
          </cell>
          <cell r="H728">
            <v>0</v>
          </cell>
        </row>
        <row r="729">
          <cell r="C729">
            <v>135311005</v>
          </cell>
          <cell r="D729" t="str">
            <v>伯希和/PELLIOT</v>
          </cell>
          <cell r="E729" t="str">
            <v>童装-儿童下装-儿童运动裤</v>
          </cell>
          <cell r="F729" t="str">
            <v>一品一商</v>
          </cell>
          <cell r="G729" t="str">
            <v>品牌直发</v>
          </cell>
          <cell r="H729">
            <v>0</v>
          </cell>
        </row>
        <row r="730">
          <cell r="C730">
            <v>115376011</v>
          </cell>
          <cell r="D730" t="str">
            <v>伯希和/PELLIOT</v>
          </cell>
          <cell r="E730" t="str">
            <v>服装-外套-棉服</v>
          </cell>
          <cell r="F730" t="str">
            <v>一品多商</v>
          </cell>
          <cell r="G730" t="str">
            <v>品牌直发</v>
          </cell>
          <cell r="H730">
            <v>0</v>
          </cell>
        </row>
        <row r="731">
          <cell r="C731">
            <v>115310025</v>
          </cell>
          <cell r="D731" t="str">
            <v>伯希和/PELLIOT</v>
          </cell>
          <cell r="E731" t="str">
            <v>服装-户外运动服-抓绒衣</v>
          </cell>
          <cell r="F731" t="str">
            <v>一品多商</v>
          </cell>
          <cell r="G731" t="str">
            <v>品牌直发</v>
          </cell>
          <cell r="H731">
            <v>0</v>
          </cell>
        </row>
        <row r="732">
          <cell r="C732">
            <v>125378021</v>
          </cell>
          <cell r="D732" t="str">
            <v>伯希和/PELLIOT</v>
          </cell>
          <cell r="E732" t="str">
            <v>女装-长裤-休闲裤</v>
          </cell>
          <cell r="F732" t="str">
            <v>一品多商</v>
          </cell>
          <cell r="G732" t="str">
            <v>品牌直发</v>
          </cell>
          <cell r="H732">
            <v>0</v>
          </cell>
        </row>
        <row r="733">
          <cell r="C733">
            <v>125408008</v>
          </cell>
          <cell r="D733" t="str">
            <v>伯希和/PELLIOT</v>
          </cell>
          <cell r="E733" t="str">
            <v>女装-外套-羽绒服</v>
          </cell>
          <cell r="F733" t="str">
            <v>一品一商</v>
          </cell>
          <cell r="G733" t="str">
            <v>品牌直发</v>
          </cell>
          <cell r="H733">
            <v>0</v>
          </cell>
        </row>
        <row r="734">
          <cell r="C734">
            <v>165431005</v>
          </cell>
          <cell r="D734" t="str">
            <v>伯希和/PELLIOT</v>
          </cell>
          <cell r="E734" t="str">
            <v>流行饰品/眼镜/服配-手套-运动手套</v>
          </cell>
          <cell r="F734" t="str">
            <v>一品一商</v>
          </cell>
          <cell r="G734" t="str">
            <v>品牌直发</v>
          </cell>
          <cell r="H734">
            <v>0</v>
          </cell>
        </row>
        <row r="735">
          <cell r="C735">
            <v>115316025</v>
          </cell>
          <cell r="D735" t="str">
            <v>伯希和/PELLIOT</v>
          </cell>
          <cell r="E735" t="str">
            <v>服装-上衣-T恤</v>
          </cell>
          <cell r="F735" t="str">
            <v>一品多商</v>
          </cell>
          <cell r="G735" t="str">
            <v>品牌直发</v>
          </cell>
          <cell r="H735">
            <v>0</v>
          </cell>
        </row>
        <row r="736">
          <cell r="C736">
            <v>115308001</v>
          </cell>
          <cell r="D736" t="str">
            <v>伯希和/PELLIOT</v>
          </cell>
          <cell r="E736" t="str">
            <v>服装-外套-羽绒服</v>
          </cell>
          <cell r="F736" t="str">
            <v>一品多商</v>
          </cell>
          <cell r="G736" t="str">
            <v>品牌直发</v>
          </cell>
          <cell r="H736">
            <v>0</v>
          </cell>
        </row>
        <row r="737">
          <cell r="C737">
            <v>135310030</v>
          </cell>
          <cell r="D737" t="str">
            <v>伯希和/PELLIOT</v>
          </cell>
          <cell r="E737" t="str">
            <v>童装-儿童上装-儿童抓绒衣</v>
          </cell>
          <cell r="F737" t="str">
            <v>一品一商</v>
          </cell>
          <cell r="G737" t="str">
            <v>品牌直发</v>
          </cell>
          <cell r="H737">
            <v>0</v>
          </cell>
        </row>
        <row r="738">
          <cell r="C738">
            <v>135408029</v>
          </cell>
          <cell r="D738" t="str">
            <v>伯希和/PELLIOT</v>
          </cell>
          <cell r="E738" t="str">
            <v>童装-儿童上装-羽绒马甲</v>
          </cell>
          <cell r="F738" t="str">
            <v>一品一商</v>
          </cell>
          <cell r="G738" t="str">
            <v>品牌直发</v>
          </cell>
          <cell r="H738">
            <v>0</v>
          </cell>
        </row>
        <row r="739">
          <cell r="C739">
            <v>135316029</v>
          </cell>
          <cell r="D739" t="str">
            <v>伯希和/PELLIOT</v>
          </cell>
          <cell r="E739" t="str">
            <v>童装-儿童上装-T恤</v>
          </cell>
          <cell r="F739" t="str">
            <v>一品一商</v>
          </cell>
          <cell r="G739" t="str">
            <v>品牌直发</v>
          </cell>
          <cell r="H739">
            <v>0</v>
          </cell>
        </row>
        <row r="740">
          <cell r="C740" t="str">
            <v>BXH-MH2</v>
          </cell>
          <cell r="D740" t="str">
            <v>伯希和/PELLIOT</v>
          </cell>
          <cell r="E740" t="str">
            <v>女装-盲盒/礼盒-女装盲盒</v>
          </cell>
          <cell r="F740" t="str">
            <v>一品一商</v>
          </cell>
          <cell r="G740" t="str">
            <v>品牌直发</v>
          </cell>
          <cell r="H740">
            <v>0</v>
          </cell>
        </row>
        <row r="741">
          <cell r="C741">
            <v>105401053</v>
          </cell>
          <cell r="D741" t="str">
            <v>伯希和/PELLIOT</v>
          </cell>
          <cell r="E741" t="str">
            <v>服装-外套-冲锋衣</v>
          </cell>
          <cell r="F741" t="str">
            <v>一品多商</v>
          </cell>
          <cell r="G741" t="str">
            <v>品牌直发</v>
          </cell>
          <cell r="H741">
            <v>0</v>
          </cell>
        </row>
        <row r="742">
          <cell r="C742" t="str">
            <v>BXH-MH4</v>
          </cell>
          <cell r="D742" t="str">
            <v>伯希和/PELLIOT</v>
          </cell>
          <cell r="E742" t="str">
            <v>女装-盲盒/礼盒-女装盲盒</v>
          </cell>
          <cell r="F742" t="str">
            <v>一品一商</v>
          </cell>
          <cell r="G742" t="str">
            <v>品牌直发</v>
          </cell>
          <cell r="H742">
            <v>0</v>
          </cell>
        </row>
        <row r="743">
          <cell r="C743">
            <v>125316026</v>
          </cell>
          <cell r="D743" t="str">
            <v>伯希和/PELLIOT</v>
          </cell>
          <cell r="E743" t="str">
            <v>女装-上衣-T恤</v>
          </cell>
          <cell r="F743" t="str">
            <v>一品多商</v>
          </cell>
          <cell r="G743" t="str">
            <v>品牌直发</v>
          </cell>
          <cell r="H743">
            <v>0</v>
          </cell>
        </row>
        <row r="744">
          <cell r="C744">
            <v>125319014</v>
          </cell>
          <cell r="D744" t="str">
            <v>伯希和/PELLIOT</v>
          </cell>
          <cell r="E744" t="str">
            <v>鞋-运动鞋-越野跑鞋</v>
          </cell>
          <cell r="F744" t="str">
            <v>一品多商</v>
          </cell>
          <cell r="G744" t="str">
            <v>品牌直发</v>
          </cell>
          <cell r="H744">
            <v>0</v>
          </cell>
        </row>
        <row r="745">
          <cell r="C745">
            <v>115376004</v>
          </cell>
          <cell r="D745" t="str">
            <v>伯希和/PELLIOT</v>
          </cell>
          <cell r="E745" t="str">
            <v>服装-外套-棉服</v>
          </cell>
          <cell r="F745" t="str">
            <v>一品多商</v>
          </cell>
          <cell r="G745" t="str">
            <v>品牌直发</v>
          </cell>
          <cell r="H745">
            <v>0</v>
          </cell>
        </row>
        <row r="746">
          <cell r="C746">
            <v>105316028</v>
          </cell>
          <cell r="D746" t="str">
            <v>伯希和/PELLIOT</v>
          </cell>
          <cell r="E746" t="str">
            <v>服装-上衣-T恤</v>
          </cell>
          <cell r="F746" t="str">
            <v>一品一商</v>
          </cell>
          <cell r="G746" t="str">
            <v>品牌直发</v>
          </cell>
          <cell r="H746">
            <v>0</v>
          </cell>
        </row>
        <row r="747">
          <cell r="C747">
            <v>115316017</v>
          </cell>
          <cell r="D747" t="str">
            <v>伯希和/PELLIOT</v>
          </cell>
          <cell r="E747" t="str">
            <v>服装-上衣-T恤</v>
          </cell>
          <cell r="F747" t="str">
            <v>一品多商</v>
          </cell>
          <cell r="G747" t="str">
            <v>品牌直发</v>
          </cell>
          <cell r="H747">
            <v>0</v>
          </cell>
        </row>
        <row r="748">
          <cell r="C748">
            <v>105434005</v>
          </cell>
          <cell r="D748" t="str">
            <v>伯希和/PELLIOT</v>
          </cell>
          <cell r="E748" t="str">
            <v>流行饰品/眼镜/服配-帽子-其他帽子</v>
          </cell>
          <cell r="F748" t="str">
            <v>一品一商</v>
          </cell>
          <cell r="G748" t="str">
            <v>品牌直发</v>
          </cell>
          <cell r="H748">
            <v>0</v>
          </cell>
        </row>
        <row r="749">
          <cell r="C749">
            <v>135107015</v>
          </cell>
          <cell r="D749" t="str">
            <v>伯希和/PELLIOT</v>
          </cell>
          <cell r="E749" t="str">
            <v>童装-儿童下装-儿童软壳裤</v>
          </cell>
          <cell r="F749" t="str">
            <v>一品一商</v>
          </cell>
          <cell r="G749" t="str">
            <v>品牌直发</v>
          </cell>
          <cell r="H749">
            <v>0</v>
          </cell>
        </row>
        <row r="750">
          <cell r="C750" t="str">
            <v>125316018-2025</v>
          </cell>
          <cell r="D750" t="str">
            <v>伯希和/PELLIOT</v>
          </cell>
          <cell r="E750" t="str">
            <v>女装-上衣-T恤</v>
          </cell>
          <cell r="F750" t="str">
            <v>一品多商</v>
          </cell>
          <cell r="G750" t="str">
            <v>品牌直发</v>
          </cell>
          <cell r="H750">
            <v>0</v>
          </cell>
        </row>
        <row r="751">
          <cell r="C751">
            <v>125408033</v>
          </cell>
          <cell r="D751" t="str">
            <v>伯希和/PELLIOT</v>
          </cell>
          <cell r="E751" t="str">
            <v>女装-外套-羽绒服</v>
          </cell>
          <cell r="F751" t="str">
            <v>一品多商</v>
          </cell>
          <cell r="G751" t="str">
            <v>品牌直发</v>
          </cell>
          <cell r="H751">
            <v>0</v>
          </cell>
        </row>
        <row r="752">
          <cell r="C752">
            <v>125419022</v>
          </cell>
          <cell r="D752" t="str">
            <v>伯希和/PELLIOT</v>
          </cell>
          <cell r="E752" t="str">
            <v>鞋-运动鞋-越野跑鞋</v>
          </cell>
          <cell r="F752" t="str">
            <v>一品多商</v>
          </cell>
          <cell r="G752" t="str">
            <v>品牌直发</v>
          </cell>
          <cell r="H752">
            <v>0</v>
          </cell>
        </row>
        <row r="753">
          <cell r="C753">
            <v>115419021</v>
          </cell>
          <cell r="D753" t="str">
            <v>伯希和/PELLIOT</v>
          </cell>
          <cell r="E753" t="str">
            <v>鞋-运动鞋-越野跑鞋</v>
          </cell>
          <cell r="F753" t="str">
            <v>一品多商</v>
          </cell>
          <cell r="G753" t="str">
            <v>品牌直发</v>
          </cell>
          <cell r="H753">
            <v>0</v>
          </cell>
        </row>
        <row r="754">
          <cell r="C754">
            <v>105408020</v>
          </cell>
          <cell r="D754" t="str">
            <v>伯希和/PELLIOT</v>
          </cell>
          <cell r="E754" t="str">
            <v>服装-外套-羽绒服</v>
          </cell>
          <cell r="F754" t="str">
            <v>一品多商</v>
          </cell>
          <cell r="G754" t="str">
            <v>品牌直发</v>
          </cell>
          <cell r="H754">
            <v>0</v>
          </cell>
        </row>
        <row r="755">
          <cell r="C755">
            <v>135408030</v>
          </cell>
          <cell r="D755" t="str">
            <v>伯希和/PELLIOT</v>
          </cell>
          <cell r="E755" t="str">
            <v>童装-儿童上装-羽绒服</v>
          </cell>
          <cell r="F755" t="str">
            <v>一品一商</v>
          </cell>
          <cell r="G755" t="str">
            <v>品牌直发</v>
          </cell>
          <cell r="H755">
            <v>0</v>
          </cell>
        </row>
        <row r="756">
          <cell r="C756">
            <v>135310029</v>
          </cell>
          <cell r="D756" t="str">
            <v>伯希和/PELLIOT</v>
          </cell>
          <cell r="E756" t="str">
            <v>童装-儿童上装-儿童抓绒衣</v>
          </cell>
          <cell r="F756" t="str">
            <v>一品一商</v>
          </cell>
          <cell r="G756" t="str">
            <v>品牌直发</v>
          </cell>
          <cell r="H756">
            <v>0</v>
          </cell>
        </row>
        <row r="757">
          <cell r="C757">
            <v>125306021</v>
          </cell>
          <cell r="D757" t="str">
            <v>伯希和/PELLIOT</v>
          </cell>
          <cell r="E757" t="str">
            <v>女装-外套-软壳衣</v>
          </cell>
          <cell r="F757" t="str">
            <v>一品一商</v>
          </cell>
          <cell r="G757" t="str">
            <v>品牌直发</v>
          </cell>
          <cell r="H757">
            <v>0</v>
          </cell>
        </row>
        <row r="758">
          <cell r="C758">
            <v>125382020</v>
          </cell>
          <cell r="D758" t="str">
            <v>伯希和/PELLIOT</v>
          </cell>
          <cell r="E758" t="str">
            <v>鞋-运动鞋-登山鞋/徒步鞋</v>
          </cell>
          <cell r="F758" t="str">
            <v>一品多商</v>
          </cell>
          <cell r="G758" t="str">
            <v>品牌直发</v>
          </cell>
          <cell r="H758">
            <v>0</v>
          </cell>
        </row>
        <row r="759">
          <cell r="C759">
            <v>135310031</v>
          </cell>
          <cell r="D759" t="str">
            <v>伯希和/PELLIOT</v>
          </cell>
          <cell r="E759" t="str">
            <v>童装-儿童上装-儿童抓绒衣</v>
          </cell>
          <cell r="F759" t="str">
            <v>一品一商</v>
          </cell>
          <cell r="G759" t="str">
            <v>品牌直发</v>
          </cell>
          <cell r="H759">
            <v>0</v>
          </cell>
        </row>
        <row r="760">
          <cell r="C760">
            <v>115408038</v>
          </cell>
          <cell r="D760" t="str">
            <v>伯希和/PELLIOT</v>
          </cell>
          <cell r="E760" t="str">
            <v>服装-外套-羽绒服</v>
          </cell>
          <cell r="F760" t="str">
            <v>一品多商</v>
          </cell>
          <cell r="G760" t="str">
            <v>品牌直发</v>
          </cell>
          <cell r="H760">
            <v>0</v>
          </cell>
        </row>
        <row r="761">
          <cell r="C761">
            <v>125408004</v>
          </cell>
          <cell r="D761" t="str">
            <v>伯希和/PELLIOT</v>
          </cell>
          <cell r="E761" t="str">
            <v>女装-外套-羽绒服</v>
          </cell>
          <cell r="F761" t="str">
            <v>一品多商</v>
          </cell>
          <cell r="G761" t="str">
            <v>品牌直发</v>
          </cell>
          <cell r="H761">
            <v>0</v>
          </cell>
        </row>
        <row r="762">
          <cell r="C762">
            <v>115408003</v>
          </cell>
          <cell r="D762" t="str">
            <v>伯希和/PELLIOT</v>
          </cell>
          <cell r="E762" t="str">
            <v>服装-外套-羽绒服</v>
          </cell>
          <cell r="F762" t="str">
            <v>一品一商</v>
          </cell>
          <cell r="G762" t="str">
            <v>品牌直发</v>
          </cell>
          <cell r="H762">
            <v>0</v>
          </cell>
        </row>
        <row r="763">
          <cell r="C763" t="str">
            <v>11040105-2025</v>
          </cell>
          <cell r="D763" t="str">
            <v>伯希和/PELLIOT</v>
          </cell>
          <cell r="E763" t="str">
            <v>服装-外套-冲锋衣</v>
          </cell>
          <cell r="F763" t="str">
            <v>一品一商</v>
          </cell>
          <cell r="G763" t="str">
            <v>品牌直发</v>
          </cell>
          <cell r="H763">
            <v>0</v>
          </cell>
        </row>
        <row r="764">
          <cell r="C764">
            <v>115401045</v>
          </cell>
          <cell r="D764" t="str">
            <v>伯希和/PELLIOT</v>
          </cell>
          <cell r="E764" t="str">
            <v>服装-外套-冲锋衣</v>
          </cell>
          <cell r="F764" t="str">
            <v>一品多商</v>
          </cell>
          <cell r="G764" t="str">
            <v>品牌直发</v>
          </cell>
          <cell r="H764">
            <v>0</v>
          </cell>
        </row>
        <row r="765">
          <cell r="C765">
            <v>135401075</v>
          </cell>
          <cell r="D765" t="str">
            <v>伯希和/PELLIOT</v>
          </cell>
          <cell r="E765" t="str">
            <v>童装-儿童上装-冲锋衣</v>
          </cell>
          <cell r="F765" t="str">
            <v>一品一商</v>
          </cell>
          <cell r="G765" t="str">
            <v>品牌直发</v>
          </cell>
          <cell r="H765">
            <v>0</v>
          </cell>
        </row>
        <row r="766">
          <cell r="C766">
            <v>115307011</v>
          </cell>
          <cell r="D766" t="str">
            <v>伯希和/PELLIOT</v>
          </cell>
          <cell r="E766" t="str">
            <v>服装-长裤-软壳裤</v>
          </cell>
          <cell r="F766" t="str">
            <v>一品多商</v>
          </cell>
          <cell r="G766" t="str">
            <v>品牌直发</v>
          </cell>
          <cell r="H766">
            <v>0</v>
          </cell>
        </row>
        <row r="767">
          <cell r="C767">
            <v>115307013</v>
          </cell>
          <cell r="D767" t="str">
            <v>伯希和/PELLIOT</v>
          </cell>
          <cell r="E767" t="str">
            <v>服装-长裤-软壳裤</v>
          </cell>
          <cell r="F767" t="str">
            <v>一品一商</v>
          </cell>
          <cell r="G767" t="str">
            <v>品牌直发</v>
          </cell>
          <cell r="H767">
            <v>0</v>
          </cell>
        </row>
        <row r="768">
          <cell r="C768" t="str">
            <v>125307014-2025</v>
          </cell>
          <cell r="D768" t="str">
            <v>伯希和/PELLIOT</v>
          </cell>
          <cell r="E768" t="str">
            <v>女装-长裤-软壳裤</v>
          </cell>
          <cell r="F768" t="str">
            <v>一品多商</v>
          </cell>
          <cell r="G768" t="str">
            <v>品牌直发</v>
          </cell>
          <cell r="H768">
            <v>0</v>
          </cell>
        </row>
        <row r="769">
          <cell r="C769" t="str">
            <v>125307012-2025</v>
          </cell>
          <cell r="D769" t="str">
            <v>伯希和/PELLIOT</v>
          </cell>
          <cell r="E769" t="str">
            <v>女装-长裤-软壳裤</v>
          </cell>
          <cell r="F769" t="str">
            <v>一品一商</v>
          </cell>
          <cell r="G769" t="str">
            <v>品牌直发</v>
          </cell>
          <cell r="H769">
            <v>0</v>
          </cell>
        </row>
        <row r="770">
          <cell r="C770">
            <v>165036020</v>
          </cell>
          <cell r="D770" t="str">
            <v>伯希和/PELLIOT</v>
          </cell>
          <cell r="E770" t="str">
            <v>户外装备-徒步/攀登-登山杖/手杖</v>
          </cell>
          <cell r="F770" t="str">
            <v>一品一商</v>
          </cell>
          <cell r="G770" t="str">
            <v>品牌直发</v>
          </cell>
          <cell r="H770">
            <v>0</v>
          </cell>
        </row>
        <row r="771">
          <cell r="C771">
            <v>165034026</v>
          </cell>
          <cell r="D771" t="str">
            <v>伯希和/PELLIOT</v>
          </cell>
          <cell r="E771" t="str">
            <v>流行饰品/眼镜/服配-帽子-其他帽子</v>
          </cell>
          <cell r="F771" t="str">
            <v>一品一商</v>
          </cell>
          <cell r="G771" t="str">
            <v>品牌直发</v>
          </cell>
          <cell r="H771">
            <v>0</v>
          </cell>
        </row>
        <row r="772">
          <cell r="C772">
            <v>125306012</v>
          </cell>
          <cell r="D772" t="str">
            <v>伯希和/PELLIOT</v>
          </cell>
          <cell r="E772" t="str">
            <v>女装-外套-软壳衣</v>
          </cell>
          <cell r="F772" t="str">
            <v>一品多商</v>
          </cell>
          <cell r="G772" t="str">
            <v>品牌直发</v>
          </cell>
          <cell r="H772">
            <v>0</v>
          </cell>
        </row>
        <row r="773">
          <cell r="C773">
            <v>125310037</v>
          </cell>
          <cell r="D773" t="str">
            <v>伯希和/PELLIOT</v>
          </cell>
          <cell r="E773" t="str">
            <v>女装-户外运动服-抓绒衣</v>
          </cell>
          <cell r="F773" t="str">
            <v>一品多商</v>
          </cell>
          <cell r="G773" t="str">
            <v>品牌直发</v>
          </cell>
          <cell r="H773">
            <v>0</v>
          </cell>
        </row>
        <row r="774">
          <cell r="C774">
            <v>105301068</v>
          </cell>
          <cell r="D774" t="str">
            <v>伯希和/PELLIOT</v>
          </cell>
          <cell r="E774" t="str">
            <v>服装-外套-冲锋衣</v>
          </cell>
          <cell r="F774" t="str">
            <v>一品一商</v>
          </cell>
          <cell r="G774" t="str">
            <v>品牌直发</v>
          </cell>
          <cell r="H774">
            <v>0</v>
          </cell>
        </row>
        <row r="775">
          <cell r="C775">
            <v>165036018</v>
          </cell>
          <cell r="D775" t="str">
            <v>伯希和/PELLIOT</v>
          </cell>
          <cell r="E775" t="str">
            <v>户外装备-徒步/攀登-登山杖/手杖</v>
          </cell>
          <cell r="F775" t="str">
            <v>一品一商</v>
          </cell>
          <cell r="G775" t="str">
            <v>品牌直发</v>
          </cell>
          <cell r="H775">
            <v>0</v>
          </cell>
        </row>
        <row r="776">
          <cell r="C776">
            <v>125301099</v>
          </cell>
          <cell r="D776" t="str">
            <v>伯希和/PELLIOT</v>
          </cell>
          <cell r="E776" t="str">
            <v>女装-外套-冲锋衣</v>
          </cell>
          <cell r="F776" t="str">
            <v>一品多商</v>
          </cell>
          <cell r="G776" t="str">
            <v>品牌直发</v>
          </cell>
          <cell r="H776">
            <v>0</v>
          </cell>
        </row>
        <row r="777">
          <cell r="C777" t="str">
            <v>11340821-新加色</v>
          </cell>
          <cell r="D777" t="str">
            <v>伯希和/PELLIOT</v>
          </cell>
          <cell r="E777" t="str">
            <v>服装-外套-羽绒服</v>
          </cell>
          <cell r="F777" t="str">
            <v>一品多商</v>
          </cell>
          <cell r="G777" t="str">
            <v>品牌直发</v>
          </cell>
          <cell r="H777">
            <v>0</v>
          </cell>
        </row>
        <row r="778">
          <cell r="C778">
            <v>105301082</v>
          </cell>
          <cell r="D778" t="str">
            <v>伯希和/PELLIOT</v>
          </cell>
          <cell r="E778" t="str">
            <v>服装-外套-冲锋衣</v>
          </cell>
          <cell r="F778" t="str">
            <v>一品多商</v>
          </cell>
          <cell r="G778" t="str">
            <v>品牌直发</v>
          </cell>
          <cell r="H778">
            <v>0</v>
          </cell>
        </row>
        <row r="779">
          <cell r="C779">
            <v>115408023</v>
          </cell>
          <cell r="D779" t="str">
            <v>伯希和/PELLIOT</v>
          </cell>
          <cell r="E779" t="str">
            <v>服装-外套-羽绒服</v>
          </cell>
          <cell r="F779" t="str">
            <v>一品多商</v>
          </cell>
          <cell r="G779" t="str">
            <v>品牌直发</v>
          </cell>
          <cell r="H779">
            <v>0</v>
          </cell>
        </row>
        <row r="780">
          <cell r="C780">
            <v>165035016</v>
          </cell>
          <cell r="D780" t="str">
            <v>伯希和/PELLIOT</v>
          </cell>
          <cell r="E780" t="str">
            <v>内衣-袜子-中筒袜</v>
          </cell>
          <cell r="F780" t="str">
            <v>一品一商</v>
          </cell>
          <cell r="G780" t="str">
            <v>品牌直发</v>
          </cell>
          <cell r="H780">
            <v>0</v>
          </cell>
        </row>
        <row r="781">
          <cell r="C781">
            <v>115302009</v>
          </cell>
          <cell r="D781" t="str">
            <v>伯希和/PELLIOT</v>
          </cell>
          <cell r="E781" t="str">
            <v>服装-长裤-冲锋裤</v>
          </cell>
          <cell r="F781" t="str">
            <v>一品多商</v>
          </cell>
          <cell r="G781" t="str">
            <v>品牌直发</v>
          </cell>
          <cell r="H781">
            <v>0</v>
          </cell>
        </row>
        <row r="782">
          <cell r="C782">
            <v>125378015</v>
          </cell>
          <cell r="D782" t="str">
            <v>伯希和/PELLIOT</v>
          </cell>
          <cell r="E782" t="str">
            <v>女装-长裤-软壳裤</v>
          </cell>
          <cell r="F782" t="str">
            <v>一品多商</v>
          </cell>
          <cell r="G782" t="str">
            <v>品牌直发</v>
          </cell>
          <cell r="H782">
            <v>0</v>
          </cell>
        </row>
        <row r="783">
          <cell r="C783">
            <v>125378017</v>
          </cell>
          <cell r="D783" t="str">
            <v>伯希和/PELLIOT</v>
          </cell>
          <cell r="E783" t="str">
            <v>女装-长裤-休闲裤</v>
          </cell>
          <cell r="F783" t="str">
            <v>一品多商</v>
          </cell>
          <cell r="G783" t="str">
            <v>品牌直发</v>
          </cell>
          <cell r="H783">
            <v>0</v>
          </cell>
        </row>
        <row r="784">
          <cell r="C784">
            <v>105432001</v>
          </cell>
          <cell r="D784" t="str">
            <v>伯希和/PELLIOT</v>
          </cell>
          <cell r="E784" t="str">
            <v>流行饰品/眼镜/服配-围巾-绒线围巾</v>
          </cell>
          <cell r="F784" t="str">
            <v>一品一商</v>
          </cell>
          <cell r="G784" t="str">
            <v>品牌直发</v>
          </cell>
          <cell r="H784">
            <v>0</v>
          </cell>
        </row>
        <row r="785">
          <cell r="C785">
            <v>115310036</v>
          </cell>
          <cell r="D785" t="str">
            <v>伯希和/PELLIOT</v>
          </cell>
          <cell r="E785" t="str">
            <v>服装-户外运动服-抓绒衣</v>
          </cell>
          <cell r="F785" t="str">
            <v>一品多商</v>
          </cell>
          <cell r="G785" t="str">
            <v>品牌直发</v>
          </cell>
          <cell r="H785">
            <v>0</v>
          </cell>
        </row>
        <row r="786">
          <cell r="C786">
            <v>165025029</v>
          </cell>
          <cell r="D786" t="str">
            <v>伯希和/PELLIOT</v>
          </cell>
          <cell r="E786" t="str">
            <v>箱包-包袋-出行收纳包</v>
          </cell>
          <cell r="F786" t="str">
            <v>一品一商</v>
          </cell>
          <cell r="G786" t="str">
            <v>品牌直发</v>
          </cell>
          <cell r="H786">
            <v>0</v>
          </cell>
        </row>
        <row r="787">
          <cell r="C787">
            <v>106101129</v>
          </cell>
          <cell r="D787" t="str">
            <v>伯希和/PELLIOT</v>
          </cell>
          <cell r="E787" t="str">
            <v>服装-外套-冲锋衣</v>
          </cell>
          <cell r="F787" t="str">
            <v>一品一商</v>
          </cell>
          <cell r="G787" t="str">
            <v>品牌直发</v>
          </cell>
          <cell r="H787">
            <v>0</v>
          </cell>
        </row>
        <row r="788">
          <cell r="C788">
            <v>125351026</v>
          </cell>
          <cell r="D788" t="str">
            <v>伯希和/PELLIOT</v>
          </cell>
          <cell r="E788" t="str">
            <v>女装-外套-绒感外套</v>
          </cell>
          <cell r="F788" t="str">
            <v>一品一商</v>
          </cell>
          <cell r="G788" t="str">
            <v>品牌直发</v>
          </cell>
          <cell r="H788">
            <v>0</v>
          </cell>
        </row>
        <row r="789">
          <cell r="C789">
            <v>114318423</v>
          </cell>
          <cell r="D789" t="str">
            <v>伯希和/PELLIOT</v>
          </cell>
          <cell r="E789" t="str">
            <v>内衣-内衣裤-保暖套装</v>
          </cell>
          <cell r="F789" t="str">
            <v>一品一商</v>
          </cell>
          <cell r="G789" t="str">
            <v>品牌直发</v>
          </cell>
          <cell r="H789">
            <v>0</v>
          </cell>
        </row>
        <row r="790">
          <cell r="C790">
            <v>126119008</v>
          </cell>
          <cell r="D790" t="str">
            <v>伯希和/PELLIOT</v>
          </cell>
          <cell r="E790" t="str">
            <v>鞋-运动鞋-越野跑鞋</v>
          </cell>
          <cell r="F790" t="str">
            <v>一品一商</v>
          </cell>
          <cell r="G790" t="str">
            <v>品牌直发</v>
          </cell>
          <cell r="H790">
            <v>0</v>
          </cell>
        </row>
        <row r="791">
          <cell r="C791" t="str">
            <v>124301038-新加色</v>
          </cell>
          <cell r="D791" t="str">
            <v>伯希和/PELLIOT</v>
          </cell>
          <cell r="E791" t="str">
            <v>女装-外套-冲锋衣</v>
          </cell>
          <cell r="F791" t="str">
            <v>一品一商</v>
          </cell>
          <cell r="G791" t="str">
            <v>品牌直发</v>
          </cell>
          <cell r="H791">
            <v>0</v>
          </cell>
        </row>
        <row r="792">
          <cell r="C792">
            <v>116116036</v>
          </cell>
          <cell r="D792" t="str">
            <v>伯希和/PELLIOT</v>
          </cell>
          <cell r="E792" t="str">
            <v>服装-上衣-T恤</v>
          </cell>
          <cell r="F792" t="str">
            <v>一品一商</v>
          </cell>
          <cell r="G792" t="str">
            <v>品牌直发</v>
          </cell>
          <cell r="H792">
            <v>0</v>
          </cell>
        </row>
        <row r="793">
          <cell r="C793">
            <v>126116037</v>
          </cell>
          <cell r="D793" t="str">
            <v>伯希和/PELLIOT</v>
          </cell>
          <cell r="E793" t="str">
            <v>女装-上衣-T恤</v>
          </cell>
          <cell r="F793" t="str">
            <v>一品一商</v>
          </cell>
          <cell r="G793" t="str">
            <v>品牌直发</v>
          </cell>
          <cell r="H793">
            <v>0</v>
          </cell>
        </row>
        <row r="794">
          <cell r="C794">
            <v>126216042</v>
          </cell>
          <cell r="D794" t="str">
            <v>伯希和/PELLIOT</v>
          </cell>
          <cell r="E794" t="str">
            <v>女装-上衣-T恤</v>
          </cell>
          <cell r="F794" t="str">
            <v>一品一商</v>
          </cell>
          <cell r="G794" t="str">
            <v>品牌直发</v>
          </cell>
          <cell r="H794">
            <v>0</v>
          </cell>
        </row>
        <row r="795">
          <cell r="C795">
            <v>116216041</v>
          </cell>
          <cell r="D795" t="str">
            <v>伯希和/PELLIOT</v>
          </cell>
          <cell r="E795" t="str">
            <v>服装-上衣-T恤</v>
          </cell>
          <cell r="F795" t="str">
            <v>一品一商</v>
          </cell>
          <cell r="G795" t="str">
            <v>品牌直发</v>
          </cell>
          <cell r="H795">
            <v>0</v>
          </cell>
        </row>
        <row r="796">
          <cell r="C796">
            <v>106101111</v>
          </cell>
          <cell r="D796" t="str">
            <v>伯希和/PELLIOT</v>
          </cell>
          <cell r="E796" t="str">
            <v>服装-外套-冲锋衣</v>
          </cell>
          <cell r="F796" t="str">
            <v>一品一商</v>
          </cell>
          <cell r="G796" t="str">
            <v>品牌直发</v>
          </cell>
          <cell r="H796">
            <v>0</v>
          </cell>
        </row>
        <row r="797">
          <cell r="C797">
            <v>11040139</v>
          </cell>
          <cell r="D797" t="str">
            <v>伯希和/PELLIOT</v>
          </cell>
          <cell r="E797" t="str">
            <v>服装-外套-冲锋衣</v>
          </cell>
          <cell r="F797" t="str">
            <v>一品一商</v>
          </cell>
          <cell r="G797" t="str">
            <v>品牌直发</v>
          </cell>
          <cell r="H797">
            <v>0</v>
          </cell>
        </row>
        <row r="798">
          <cell r="C798">
            <v>166034042</v>
          </cell>
          <cell r="D798" t="str">
            <v>伯希和/PELLIOT</v>
          </cell>
          <cell r="E798" t="str">
            <v>流行饰品/眼镜/服配-帽子-棒球帽</v>
          </cell>
          <cell r="F798" t="str">
            <v>一品一商</v>
          </cell>
          <cell r="G798" t="str">
            <v>品牌直发</v>
          </cell>
          <cell r="H798">
            <v>0</v>
          </cell>
        </row>
        <row r="799">
          <cell r="C799">
            <v>116101102</v>
          </cell>
          <cell r="D799" t="str">
            <v>伯希和/PELLIOT</v>
          </cell>
          <cell r="E799" t="str">
            <v>服装-外套-冲锋衣</v>
          </cell>
          <cell r="F799" t="str">
            <v>一品一商</v>
          </cell>
          <cell r="G799" t="str">
            <v>品牌直发</v>
          </cell>
          <cell r="H799">
            <v>0</v>
          </cell>
        </row>
        <row r="800">
          <cell r="C800">
            <v>116116045</v>
          </cell>
          <cell r="D800" t="str">
            <v>伯希和/PELLIOT</v>
          </cell>
          <cell r="E800" t="str">
            <v>服装-户外运动服-速干衣</v>
          </cell>
          <cell r="F800" t="str">
            <v>一品一商</v>
          </cell>
          <cell r="G800" t="str">
            <v>品牌直发</v>
          </cell>
          <cell r="H800">
            <v>0</v>
          </cell>
        </row>
        <row r="801">
          <cell r="C801">
            <v>126116035</v>
          </cell>
          <cell r="D801" t="str">
            <v>伯希和/PELLIOT</v>
          </cell>
          <cell r="E801" t="str">
            <v>女装-户外运动服-速干衣</v>
          </cell>
          <cell r="F801" t="str">
            <v>一品一商</v>
          </cell>
          <cell r="G801" t="str">
            <v>品牌直发</v>
          </cell>
          <cell r="H801">
            <v>0</v>
          </cell>
        </row>
        <row r="802">
          <cell r="C802">
            <v>116101100</v>
          </cell>
          <cell r="D802" t="str">
            <v>伯希和/PELLIOT</v>
          </cell>
          <cell r="E802" t="str">
            <v>服装-外套-冲锋衣</v>
          </cell>
          <cell r="F802" t="str">
            <v>一品一商</v>
          </cell>
          <cell r="G802" t="str">
            <v>品牌直发</v>
          </cell>
          <cell r="H802">
            <v>0</v>
          </cell>
        </row>
        <row r="803">
          <cell r="C803">
            <v>116106027</v>
          </cell>
          <cell r="D803" t="str">
            <v>伯希和/PELLIOT</v>
          </cell>
          <cell r="E803" t="str">
            <v>服装-外套-软壳衣</v>
          </cell>
          <cell r="F803" t="str">
            <v>一品一商</v>
          </cell>
          <cell r="G803" t="str">
            <v>品牌直发</v>
          </cell>
          <cell r="H803">
            <v>0</v>
          </cell>
        </row>
        <row r="804">
          <cell r="C804">
            <v>115301085</v>
          </cell>
          <cell r="D804" t="str">
            <v>伯希和/PELLIOT</v>
          </cell>
          <cell r="E804" t="str">
            <v>服装-外套-冲锋衣</v>
          </cell>
          <cell r="F804" t="str">
            <v>一品一商</v>
          </cell>
          <cell r="G804" t="str">
            <v>品牌直发</v>
          </cell>
          <cell r="H804">
            <v>0</v>
          </cell>
        </row>
        <row r="805">
          <cell r="C805">
            <v>126116044</v>
          </cell>
          <cell r="D805" t="str">
            <v>伯希和/PELLIOT</v>
          </cell>
          <cell r="E805" t="str">
            <v>女装-上衣-T恤</v>
          </cell>
          <cell r="F805" t="str">
            <v>一品一商</v>
          </cell>
          <cell r="G805" t="str">
            <v>品牌直发</v>
          </cell>
          <cell r="H805">
            <v>0</v>
          </cell>
        </row>
        <row r="806">
          <cell r="C806">
            <v>116116043</v>
          </cell>
          <cell r="D806" t="str">
            <v>伯希和/PELLIOT</v>
          </cell>
          <cell r="E806" t="str">
            <v>服装-上衣-T恤</v>
          </cell>
          <cell r="F806" t="str">
            <v>一品一商</v>
          </cell>
          <cell r="G806" t="str">
            <v>品牌直发</v>
          </cell>
          <cell r="H806">
            <v>0</v>
          </cell>
        </row>
        <row r="807">
          <cell r="C807">
            <v>116106023</v>
          </cell>
          <cell r="D807" t="str">
            <v>伯希和/PELLIOT</v>
          </cell>
          <cell r="E807" t="str">
            <v>服装-外套-软壳衣</v>
          </cell>
          <cell r="F807" t="str">
            <v>一品多商</v>
          </cell>
          <cell r="G807" t="str">
            <v>品牌直发</v>
          </cell>
          <cell r="H807">
            <v>0</v>
          </cell>
        </row>
        <row r="808">
          <cell r="C808">
            <v>106101097</v>
          </cell>
          <cell r="D808" t="str">
            <v>伯希和/PELLIOT</v>
          </cell>
          <cell r="E808" t="str">
            <v>服装-外套-冲锋衣</v>
          </cell>
          <cell r="F808" t="str">
            <v>一品多商</v>
          </cell>
          <cell r="G808" t="str">
            <v>品牌直发</v>
          </cell>
          <cell r="H808">
            <v>0</v>
          </cell>
        </row>
        <row r="809">
          <cell r="C809" t="str">
            <v>11240129-新加色</v>
          </cell>
          <cell r="D809" t="str">
            <v>伯希和/PELLIOT</v>
          </cell>
          <cell r="E809" t="str">
            <v>服装-外套-冲锋衣</v>
          </cell>
          <cell r="F809" t="str">
            <v>一品多商</v>
          </cell>
          <cell r="G809" t="str">
            <v>品牌直发</v>
          </cell>
          <cell r="H809">
            <v>0</v>
          </cell>
        </row>
        <row r="810">
          <cell r="C810">
            <v>165041011</v>
          </cell>
          <cell r="D810" t="str">
            <v>伯希和/PELLIOT</v>
          </cell>
          <cell r="E810" t="str">
            <v>流行饰品/眼镜/服配-发饰-头巾</v>
          </cell>
          <cell r="F810" t="str">
            <v>一品一商</v>
          </cell>
          <cell r="G810" t="str">
            <v>品牌直发</v>
          </cell>
          <cell r="H810">
            <v>0</v>
          </cell>
        </row>
        <row r="811">
          <cell r="C811">
            <v>11240129</v>
          </cell>
          <cell r="D811" t="str">
            <v>伯希和/PELLIOT</v>
          </cell>
          <cell r="E811" t="str">
            <v>服装-外套-冲锋衣</v>
          </cell>
          <cell r="F811" t="str">
            <v>一品多商</v>
          </cell>
          <cell r="G811" t="str">
            <v>品牌直发</v>
          </cell>
          <cell r="H811">
            <v>0</v>
          </cell>
        </row>
        <row r="812">
          <cell r="C812">
            <v>126119006</v>
          </cell>
          <cell r="D812" t="str">
            <v>伯希和/PELLIOT</v>
          </cell>
          <cell r="E812" t="str">
            <v>鞋-运动鞋-越野跑鞋</v>
          </cell>
          <cell r="F812" t="str">
            <v>一品一商</v>
          </cell>
          <cell r="G812" t="str">
            <v>品牌直发</v>
          </cell>
          <cell r="H812">
            <v>0</v>
          </cell>
        </row>
        <row r="813">
          <cell r="C813">
            <v>125301089</v>
          </cell>
          <cell r="D813" t="str">
            <v>伯希和/PELLIOT</v>
          </cell>
          <cell r="E813" t="str">
            <v>女装-外套-冲锋衣</v>
          </cell>
          <cell r="F813" t="str">
            <v>一品多商</v>
          </cell>
          <cell r="G813" t="str">
            <v>品牌直发</v>
          </cell>
          <cell r="H813">
            <v>0</v>
          </cell>
        </row>
        <row r="814">
          <cell r="C814">
            <v>126106024</v>
          </cell>
          <cell r="D814" t="str">
            <v>伯希和/PELLIOT</v>
          </cell>
          <cell r="E814" t="str">
            <v>女装-外套-软壳衣</v>
          </cell>
          <cell r="F814" t="str">
            <v>一品多商</v>
          </cell>
          <cell r="G814" t="str">
            <v>品牌直发</v>
          </cell>
          <cell r="H814">
            <v>0</v>
          </cell>
        </row>
        <row r="815">
          <cell r="C815">
            <v>115306009</v>
          </cell>
          <cell r="D815" t="str">
            <v>伯希和/PELLIOT</v>
          </cell>
          <cell r="E815" t="str">
            <v>服装-外套-软壳衣</v>
          </cell>
          <cell r="F815" t="str">
            <v>一品一商</v>
          </cell>
          <cell r="G815" t="str">
            <v>品牌直发</v>
          </cell>
          <cell r="H815">
            <v>0</v>
          </cell>
        </row>
        <row r="816">
          <cell r="C816">
            <v>115301080</v>
          </cell>
          <cell r="D816" t="str">
            <v>伯希和/PELLIOT</v>
          </cell>
          <cell r="E816" t="str">
            <v>服装-外套-冲锋衣</v>
          </cell>
          <cell r="F816" t="str">
            <v>一品一商</v>
          </cell>
          <cell r="G816" t="str">
            <v>品牌直发</v>
          </cell>
          <cell r="H816">
            <v>0</v>
          </cell>
        </row>
        <row r="817">
          <cell r="C817">
            <v>136116039</v>
          </cell>
          <cell r="D817" t="str">
            <v>伯希和/PELLIOT</v>
          </cell>
          <cell r="E817" t="str">
            <v>童装-儿童上装-T恤</v>
          </cell>
          <cell r="F817" t="str">
            <v>一品一商</v>
          </cell>
          <cell r="G817" t="str">
            <v>品牌直发</v>
          </cell>
          <cell r="H817">
            <v>0</v>
          </cell>
        </row>
        <row r="818">
          <cell r="C818">
            <v>114408279</v>
          </cell>
          <cell r="D818" t="str">
            <v>伯希和/PELLIOT</v>
          </cell>
          <cell r="E818" t="str">
            <v>服装-外套-羽绒服</v>
          </cell>
          <cell r="F818" t="str">
            <v>一品多商</v>
          </cell>
          <cell r="G818" t="str">
            <v>品牌直发</v>
          </cell>
          <cell r="H818">
            <v>0</v>
          </cell>
        </row>
        <row r="819">
          <cell r="C819">
            <v>125301086</v>
          </cell>
          <cell r="D819" t="str">
            <v>伯希和/PELLIOT</v>
          </cell>
          <cell r="E819" t="str">
            <v>女装-外套-冲锋衣</v>
          </cell>
          <cell r="F819" t="str">
            <v>一品一商</v>
          </cell>
          <cell r="G819" t="str">
            <v>品牌直发</v>
          </cell>
          <cell r="H819">
            <v>0</v>
          </cell>
        </row>
        <row r="820">
          <cell r="C820">
            <v>11240828</v>
          </cell>
          <cell r="D820" t="str">
            <v>伯希和/PELLIOT</v>
          </cell>
          <cell r="E820" t="str">
            <v>女装-外套-羽绒服</v>
          </cell>
          <cell r="F820" t="str">
            <v>一品一商</v>
          </cell>
          <cell r="G820" t="str">
            <v>品牌直发</v>
          </cell>
          <cell r="H820">
            <v>0</v>
          </cell>
        </row>
        <row r="821">
          <cell r="C821" t="str">
            <v>126101106-2026</v>
          </cell>
          <cell r="D821" t="str">
            <v>伯希和/PELLIOT</v>
          </cell>
          <cell r="E821" t="str">
            <v>女装-外套-冲锋衣</v>
          </cell>
          <cell r="F821" t="str">
            <v>一品一商</v>
          </cell>
          <cell r="G821" t="str">
            <v>品牌直发</v>
          </cell>
          <cell r="H821">
            <v>0</v>
          </cell>
        </row>
        <row r="822">
          <cell r="C822">
            <v>126101101</v>
          </cell>
          <cell r="D822" t="str">
            <v>伯希和/PELLIOT</v>
          </cell>
          <cell r="E822" t="str">
            <v>女装-外套-冲锋衣</v>
          </cell>
          <cell r="F822" t="str">
            <v>一品一商</v>
          </cell>
          <cell r="G822" t="str">
            <v>品牌直发</v>
          </cell>
          <cell r="H822">
            <v>0</v>
          </cell>
        </row>
        <row r="823">
          <cell r="C823">
            <v>12140102</v>
          </cell>
          <cell r="D823" t="str">
            <v>伯希和/PELLIOT</v>
          </cell>
          <cell r="E823" t="str">
            <v>女装-外套-冲锋衣</v>
          </cell>
          <cell r="F823" t="str">
            <v>一品多商</v>
          </cell>
          <cell r="G823" t="str">
            <v>品牌直发</v>
          </cell>
          <cell r="H823">
            <v>0</v>
          </cell>
        </row>
        <row r="824">
          <cell r="C824">
            <v>11140101</v>
          </cell>
          <cell r="D824" t="str">
            <v>伯希和/PELLIOT</v>
          </cell>
          <cell r="E824" t="str">
            <v>服装-外套-冲锋衣</v>
          </cell>
          <cell r="F824" t="str">
            <v>一品多商</v>
          </cell>
          <cell r="G824" t="str">
            <v>品牌直发</v>
          </cell>
          <cell r="H824">
            <v>0</v>
          </cell>
        </row>
        <row r="825">
          <cell r="C825">
            <v>11240113</v>
          </cell>
          <cell r="D825" t="str">
            <v>伯希和/PELLIOT</v>
          </cell>
          <cell r="E825" t="str">
            <v>服装-外套-冲锋衣</v>
          </cell>
          <cell r="F825" t="str">
            <v>一品一商</v>
          </cell>
          <cell r="G825" t="str">
            <v>品牌直发</v>
          </cell>
          <cell r="H825">
            <v>0</v>
          </cell>
        </row>
        <row r="826">
          <cell r="C826">
            <v>116106033</v>
          </cell>
          <cell r="D826" t="str">
            <v>伯希和/PELLIOT</v>
          </cell>
          <cell r="E826" t="str">
            <v>服装-外套-软壳衣</v>
          </cell>
          <cell r="F826" t="str">
            <v>一品一商</v>
          </cell>
          <cell r="G826" t="str">
            <v>品牌直发</v>
          </cell>
          <cell r="H826">
            <v>0</v>
          </cell>
        </row>
        <row r="827">
          <cell r="C827">
            <v>116113004</v>
          </cell>
          <cell r="D827" t="str">
            <v>伯希和/PELLIOT</v>
          </cell>
          <cell r="E827" t="str">
            <v>服装-上衣-衬衫</v>
          </cell>
          <cell r="F827" t="str">
            <v>一品一商</v>
          </cell>
          <cell r="G827" t="str">
            <v>品牌直发</v>
          </cell>
          <cell r="H827">
            <v>0</v>
          </cell>
        </row>
        <row r="828">
          <cell r="C828">
            <v>116106029</v>
          </cell>
          <cell r="D828" t="str">
            <v>伯希和/PELLIOT</v>
          </cell>
          <cell r="E828" t="str">
            <v>服装-外套-软壳衣</v>
          </cell>
          <cell r="F828" t="str">
            <v>一品一商</v>
          </cell>
          <cell r="G828" t="str">
            <v>品牌直发</v>
          </cell>
          <cell r="H828">
            <v>0</v>
          </cell>
        </row>
        <row r="829">
          <cell r="C829">
            <v>116101112</v>
          </cell>
          <cell r="D829" t="str">
            <v>伯希和/PELLIOT</v>
          </cell>
          <cell r="E829" t="str">
            <v>服装-外套-冲锋衣</v>
          </cell>
          <cell r="F829" t="str">
            <v>一品一商</v>
          </cell>
          <cell r="G829" t="str">
            <v>品牌直发</v>
          </cell>
          <cell r="H829">
            <v>0</v>
          </cell>
        </row>
        <row r="830">
          <cell r="C830">
            <v>126212032</v>
          </cell>
          <cell r="D830" t="str">
            <v>伯希和/PELLIOT</v>
          </cell>
          <cell r="E830" t="str">
            <v>女装-外套-防晒服</v>
          </cell>
          <cell r="F830" t="str">
            <v>一品多商</v>
          </cell>
          <cell r="G830" t="str">
            <v>品牌直发</v>
          </cell>
          <cell r="H830">
            <v>0</v>
          </cell>
        </row>
        <row r="831">
          <cell r="C831">
            <v>126101113</v>
          </cell>
          <cell r="D831" t="str">
            <v>伯希和/PELLIOT</v>
          </cell>
          <cell r="E831" t="str">
            <v>女装-外套-冲锋衣</v>
          </cell>
          <cell r="F831" t="str">
            <v>一品多商</v>
          </cell>
          <cell r="G831" t="str">
            <v>品牌直发</v>
          </cell>
          <cell r="H831">
            <v>0</v>
          </cell>
        </row>
        <row r="832">
          <cell r="C832">
            <v>1126107037</v>
          </cell>
          <cell r="D832" t="str">
            <v>伯希和/PELLIOT</v>
          </cell>
          <cell r="E832" t="str">
            <v>女装-长裤-软壳裤</v>
          </cell>
          <cell r="F832" t="str">
            <v>一品一商</v>
          </cell>
          <cell r="G832" t="str">
            <v>品牌直发</v>
          </cell>
          <cell r="H832">
            <v>0</v>
          </cell>
        </row>
        <row r="833">
          <cell r="C833">
            <v>12140814</v>
          </cell>
          <cell r="D833" t="str">
            <v>伯希和/PELLIOT</v>
          </cell>
          <cell r="E833" t="str">
            <v>女装-外套-羽绒服</v>
          </cell>
          <cell r="F833" t="str">
            <v>一品多商</v>
          </cell>
          <cell r="G833" t="str">
            <v>品牌直发</v>
          </cell>
          <cell r="H833">
            <v>0</v>
          </cell>
        </row>
        <row r="834">
          <cell r="C834">
            <v>11140813</v>
          </cell>
          <cell r="D834" t="str">
            <v>伯希和/PELLIOT</v>
          </cell>
          <cell r="E834" t="str">
            <v>服装-外套-羽绒服</v>
          </cell>
          <cell r="F834" t="str">
            <v>一品多商</v>
          </cell>
          <cell r="G834" t="str">
            <v>品牌直发</v>
          </cell>
          <cell r="H834">
            <v>0</v>
          </cell>
        </row>
        <row r="835">
          <cell r="C835">
            <v>12740808</v>
          </cell>
          <cell r="D835" t="str">
            <v>伯希和/PELLIOT</v>
          </cell>
          <cell r="E835" t="str">
            <v>服装-外套-羽绒服</v>
          </cell>
          <cell r="F835" t="str">
            <v>一品一商</v>
          </cell>
          <cell r="G835" t="str">
            <v>品牌直发</v>
          </cell>
          <cell r="H835">
            <v>0</v>
          </cell>
        </row>
        <row r="836">
          <cell r="C836">
            <v>11230601</v>
          </cell>
          <cell r="D836" t="str">
            <v>伯希和/PELLIOT</v>
          </cell>
          <cell r="E836" t="str">
            <v>服装-外套-软壳衣</v>
          </cell>
          <cell r="F836" t="str">
            <v>一品多商</v>
          </cell>
          <cell r="G836" t="str">
            <v>品牌直发</v>
          </cell>
          <cell r="H836">
            <v>0</v>
          </cell>
        </row>
        <row r="837">
          <cell r="C837">
            <v>11140809</v>
          </cell>
          <cell r="D837" t="str">
            <v>伯希和/PELLIOT</v>
          </cell>
          <cell r="E837" t="str">
            <v>服装-外套-羽绒服</v>
          </cell>
          <cell r="F837" t="str">
            <v>一品多商</v>
          </cell>
          <cell r="G837" t="str">
            <v>品牌直发</v>
          </cell>
          <cell r="H837">
            <v>0</v>
          </cell>
        </row>
        <row r="838">
          <cell r="C838">
            <v>12230602</v>
          </cell>
          <cell r="D838" t="str">
            <v>伯希和/PELLIOT</v>
          </cell>
          <cell r="E838" t="str">
            <v>女装-外套-软壳衣</v>
          </cell>
          <cell r="F838" t="str">
            <v>一品多商</v>
          </cell>
          <cell r="G838" t="str">
            <v>品牌直发</v>
          </cell>
          <cell r="H838">
            <v>0</v>
          </cell>
        </row>
        <row r="839">
          <cell r="C839">
            <v>1126107028</v>
          </cell>
          <cell r="D839" t="str">
            <v>伯希和/PELLIOT</v>
          </cell>
          <cell r="E839" t="str">
            <v>女装-长裤-软壳裤</v>
          </cell>
          <cell r="F839" t="str">
            <v>一品一商</v>
          </cell>
          <cell r="G839" t="str">
            <v>品牌直发</v>
          </cell>
          <cell r="H839">
            <v>0</v>
          </cell>
        </row>
        <row r="840">
          <cell r="C840">
            <v>165027005</v>
          </cell>
          <cell r="D840" t="str">
            <v>伯希和/PELLIOT</v>
          </cell>
          <cell r="E840" t="str">
            <v>户外装备-露营帐篷/天幕及配件-营地帐篷</v>
          </cell>
          <cell r="F840" t="str">
            <v>一品一商</v>
          </cell>
          <cell r="G840" t="str">
            <v>品牌直发</v>
          </cell>
          <cell r="H840">
            <v>0</v>
          </cell>
        </row>
        <row r="841">
          <cell r="C841">
            <v>12231802</v>
          </cell>
          <cell r="D841" t="str">
            <v>伯希和/PELLIOT</v>
          </cell>
          <cell r="E841" t="str">
            <v>内衣-内衣裤-保暖套装</v>
          </cell>
          <cell r="F841" t="str">
            <v>一品一商</v>
          </cell>
          <cell r="G841" t="str">
            <v>品牌直发</v>
          </cell>
          <cell r="H841">
            <v>0</v>
          </cell>
        </row>
        <row r="842">
          <cell r="C842">
            <v>126151028</v>
          </cell>
          <cell r="D842" t="str">
            <v>伯希和/PELLIOT</v>
          </cell>
          <cell r="E842" t="str">
            <v>女装-外套-夹克</v>
          </cell>
          <cell r="F842" t="str">
            <v>一品一商</v>
          </cell>
          <cell r="G842" t="str">
            <v>品牌直发</v>
          </cell>
          <cell r="H842">
            <v>0</v>
          </cell>
        </row>
        <row r="843">
          <cell r="C843">
            <v>116151037</v>
          </cell>
          <cell r="D843" t="str">
            <v>伯希和/PELLIOT</v>
          </cell>
          <cell r="E843" t="str">
            <v>服装-外套-夹克</v>
          </cell>
          <cell r="F843" t="str">
            <v>一品一商</v>
          </cell>
          <cell r="G843" t="str">
            <v>品牌直发</v>
          </cell>
          <cell r="H843">
            <v>0</v>
          </cell>
        </row>
        <row r="844">
          <cell r="C844">
            <v>116151031</v>
          </cell>
          <cell r="D844" t="str">
            <v>伯希和/PELLIOT</v>
          </cell>
          <cell r="E844" t="str">
            <v>服装-外套-夹克</v>
          </cell>
          <cell r="F844" t="str">
            <v>一品一商</v>
          </cell>
          <cell r="G844" t="str">
            <v>品牌直发</v>
          </cell>
          <cell r="H844">
            <v>0</v>
          </cell>
        </row>
        <row r="845">
          <cell r="C845">
            <v>1126102016</v>
          </cell>
          <cell r="D845" t="str">
            <v>伯希和/PELLIOT</v>
          </cell>
          <cell r="E845" t="str">
            <v>女装-长裤-冲锋裤</v>
          </cell>
          <cell r="F845" t="str">
            <v>一品一商</v>
          </cell>
          <cell r="G845" t="str">
            <v>品牌直发</v>
          </cell>
          <cell r="H845">
            <v>0</v>
          </cell>
        </row>
        <row r="846">
          <cell r="C846">
            <v>116151029</v>
          </cell>
          <cell r="D846" t="str">
            <v>伯希和/PELLIOT</v>
          </cell>
          <cell r="E846" t="str">
            <v>服装-外套-夹克</v>
          </cell>
          <cell r="F846" t="str">
            <v>一品一商</v>
          </cell>
          <cell r="G846" t="str">
            <v>品牌直发</v>
          </cell>
          <cell r="H846">
            <v>0</v>
          </cell>
        </row>
        <row r="847">
          <cell r="C847">
            <v>116214032</v>
          </cell>
          <cell r="D847" t="str">
            <v>伯希和/PELLIOT</v>
          </cell>
          <cell r="E847" t="str">
            <v>服装-户外运动服-速干裤</v>
          </cell>
          <cell r="F847" t="str">
            <v>一品一商</v>
          </cell>
          <cell r="G847" t="str">
            <v>品牌直发</v>
          </cell>
          <cell r="H847">
            <v>0</v>
          </cell>
        </row>
        <row r="848">
          <cell r="C848">
            <v>126214035</v>
          </cell>
          <cell r="D848" t="str">
            <v>伯希和/PELLIOT</v>
          </cell>
          <cell r="E848" t="str">
            <v>女装-户外运动服-速干裤</v>
          </cell>
          <cell r="F848" t="str">
            <v>一品一商</v>
          </cell>
          <cell r="G848" t="str">
            <v>品牌直发</v>
          </cell>
          <cell r="H848">
            <v>0</v>
          </cell>
        </row>
        <row r="849">
          <cell r="C849">
            <v>136106030</v>
          </cell>
          <cell r="D849" t="str">
            <v>伯希和/PELLIOT</v>
          </cell>
          <cell r="E849" t="str">
            <v>童装-儿童上装-儿童软壳衣</v>
          </cell>
          <cell r="F849" t="str">
            <v>一品一商</v>
          </cell>
          <cell r="G849" t="str">
            <v>品牌直发</v>
          </cell>
          <cell r="H849">
            <v>0</v>
          </cell>
        </row>
        <row r="850">
          <cell r="C850">
            <v>126151030</v>
          </cell>
          <cell r="D850" t="str">
            <v>伯希和/PELLIOT</v>
          </cell>
          <cell r="E850" t="str">
            <v>女装-户外运动服-抓绒衣</v>
          </cell>
          <cell r="F850" t="str">
            <v>一品一商</v>
          </cell>
          <cell r="G850" t="str">
            <v>品牌直发</v>
          </cell>
          <cell r="H850">
            <v>0</v>
          </cell>
        </row>
        <row r="851">
          <cell r="C851">
            <v>126212030</v>
          </cell>
          <cell r="D851" t="str">
            <v>伯希和/PELLIOT</v>
          </cell>
          <cell r="E851" t="str">
            <v>女装-外套-防晒服</v>
          </cell>
          <cell r="F851" t="str">
            <v>一品一商</v>
          </cell>
          <cell r="G851" t="str">
            <v>品牌直发</v>
          </cell>
          <cell r="H851">
            <v>0</v>
          </cell>
        </row>
        <row r="852">
          <cell r="C852">
            <v>126278032</v>
          </cell>
          <cell r="D852" t="str">
            <v>伯希和/PELLIOT</v>
          </cell>
          <cell r="E852" t="str">
            <v>女装-长裙-休闲长裙</v>
          </cell>
          <cell r="F852" t="str">
            <v>一品一商</v>
          </cell>
          <cell r="G852" t="str">
            <v>品牌直发</v>
          </cell>
          <cell r="H852">
            <v>0</v>
          </cell>
        </row>
        <row r="853">
          <cell r="C853">
            <v>126151034</v>
          </cell>
          <cell r="D853" t="str">
            <v>伯希和/PELLIOT</v>
          </cell>
          <cell r="E853" t="str">
            <v>女装-外套-夹克</v>
          </cell>
          <cell r="F853" t="str">
            <v>一品一商</v>
          </cell>
          <cell r="G853" t="str">
            <v>品牌直发</v>
          </cell>
          <cell r="H853">
            <v>0</v>
          </cell>
        </row>
        <row r="854">
          <cell r="C854">
            <v>126106035</v>
          </cell>
          <cell r="D854" t="str">
            <v>伯希和/PELLIOT</v>
          </cell>
          <cell r="E854" t="str">
            <v>女装-外套-软壳衣</v>
          </cell>
          <cell r="F854" t="str">
            <v>一品一商</v>
          </cell>
          <cell r="G854" t="str">
            <v>品牌直发</v>
          </cell>
          <cell r="H854">
            <v>0</v>
          </cell>
        </row>
        <row r="855">
          <cell r="C855">
            <v>116106034</v>
          </cell>
          <cell r="D855" t="str">
            <v>伯希和/PELLIOT</v>
          </cell>
          <cell r="E855" t="str">
            <v>服装-外套-软壳衣</v>
          </cell>
          <cell r="F855" t="str">
            <v>一品一商</v>
          </cell>
          <cell r="G855" t="str">
            <v>品牌直发</v>
          </cell>
          <cell r="H855">
            <v>0</v>
          </cell>
        </row>
        <row r="856">
          <cell r="C856">
            <v>136101117</v>
          </cell>
          <cell r="D856" t="str">
            <v>伯希和/PELLIOT</v>
          </cell>
          <cell r="E856" t="str">
            <v>童装-儿童上装-冲锋衣</v>
          </cell>
          <cell r="F856" t="str">
            <v>一品多商</v>
          </cell>
          <cell r="G856" t="str">
            <v>品牌直发</v>
          </cell>
          <cell r="H856">
            <v>0</v>
          </cell>
        </row>
        <row r="857">
          <cell r="C857">
            <v>116116034</v>
          </cell>
          <cell r="D857" t="str">
            <v>伯希和/PELLIOT</v>
          </cell>
          <cell r="E857" t="str">
            <v>服装-上衣-T恤</v>
          </cell>
          <cell r="F857" t="str">
            <v>一品一商</v>
          </cell>
          <cell r="G857" t="str">
            <v>品牌直发</v>
          </cell>
          <cell r="H857">
            <v>0</v>
          </cell>
        </row>
        <row r="858">
          <cell r="C858">
            <v>116212035</v>
          </cell>
          <cell r="D858" t="str">
            <v>伯希和/PELLIOT</v>
          </cell>
          <cell r="E858" t="str">
            <v>服装-外套-防晒服</v>
          </cell>
          <cell r="F858" t="str">
            <v>一品一商</v>
          </cell>
          <cell r="G858" t="str">
            <v>品牌直发</v>
          </cell>
          <cell r="H858">
            <v>0</v>
          </cell>
        </row>
        <row r="859">
          <cell r="C859">
            <v>106101114</v>
          </cell>
          <cell r="D859" t="str">
            <v>伯希和/PELLIOT</v>
          </cell>
          <cell r="E859" t="str">
            <v>服装-外套-冲锋衣</v>
          </cell>
          <cell r="F859" t="str">
            <v>一品一商</v>
          </cell>
          <cell r="G859" t="str">
            <v>品牌直发</v>
          </cell>
          <cell r="H859">
            <v>0</v>
          </cell>
        </row>
        <row r="860">
          <cell r="C860">
            <v>166035021</v>
          </cell>
          <cell r="D860" t="str">
            <v>伯希和/PELLIOT</v>
          </cell>
          <cell r="E860" t="str">
            <v>内衣-袜子-短袜</v>
          </cell>
          <cell r="F860" t="str">
            <v>一品一商</v>
          </cell>
          <cell r="G860" t="str">
            <v>品牌直发</v>
          </cell>
          <cell r="H860">
            <v>0</v>
          </cell>
        </row>
        <row r="861">
          <cell r="C861">
            <v>116212027</v>
          </cell>
          <cell r="D861" t="str">
            <v>伯希和/PELLIOT</v>
          </cell>
          <cell r="E861" t="str">
            <v>服装-外套-防晒服</v>
          </cell>
          <cell r="F861" t="str">
            <v>一品多商</v>
          </cell>
          <cell r="G861" t="str">
            <v>品牌直发</v>
          </cell>
          <cell r="H861">
            <v>0</v>
          </cell>
        </row>
        <row r="862">
          <cell r="C862">
            <v>126212028</v>
          </cell>
          <cell r="D862" t="str">
            <v>伯希和/PELLIOT</v>
          </cell>
          <cell r="E862" t="str">
            <v>女装-外套-防晒服</v>
          </cell>
          <cell r="F862" t="str">
            <v>一品一商</v>
          </cell>
          <cell r="G862" t="str">
            <v>品牌直发</v>
          </cell>
          <cell r="H862">
            <v>0</v>
          </cell>
        </row>
        <row r="863">
          <cell r="C863">
            <v>116101110</v>
          </cell>
          <cell r="D863" t="str">
            <v>伯希和/PELLIOT</v>
          </cell>
          <cell r="E863" t="str">
            <v>服装-外套-冲锋衣</v>
          </cell>
          <cell r="F863" t="str">
            <v>一品一商</v>
          </cell>
          <cell r="G863" t="str">
            <v>品牌直发</v>
          </cell>
          <cell r="H863">
            <v>0</v>
          </cell>
        </row>
        <row r="864">
          <cell r="C864">
            <v>125301081</v>
          </cell>
          <cell r="D864" t="str">
            <v>伯希和/PELLIOT</v>
          </cell>
          <cell r="E864" t="str">
            <v>女装-外套-冲锋衣</v>
          </cell>
          <cell r="F864" t="str">
            <v>一品一商</v>
          </cell>
          <cell r="G864" t="str">
            <v>品牌直发</v>
          </cell>
          <cell r="H864">
            <v>0</v>
          </cell>
        </row>
        <row r="865">
          <cell r="C865">
            <v>12321214</v>
          </cell>
          <cell r="D865" t="str">
            <v>伯希和/PELLIOT</v>
          </cell>
          <cell r="E865" t="str">
            <v>女装-外套-防晒服</v>
          </cell>
          <cell r="F865" t="str">
            <v>一品一商</v>
          </cell>
          <cell r="G865" t="str">
            <v>品牌直发</v>
          </cell>
          <cell r="H865">
            <v>0</v>
          </cell>
        </row>
        <row r="866">
          <cell r="C866">
            <v>126101184</v>
          </cell>
          <cell r="D866" t="str">
            <v>伯希和/PELLIOT</v>
          </cell>
          <cell r="E866" t="str">
            <v>女装-外套-冲锋衣</v>
          </cell>
          <cell r="F866" t="str">
            <v>一品一商</v>
          </cell>
          <cell r="G866" t="str">
            <v>品牌直发</v>
          </cell>
          <cell r="H866">
            <v>0</v>
          </cell>
        </row>
        <row r="867">
          <cell r="C867">
            <v>106215090</v>
          </cell>
          <cell r="D867" t="str">
            <v>伯希和/PELLIOT</v>
          </cell>
          <cell r="E867" t="str">
            <v>服装-上衣-T恤</v>
          </cell>
          <cell r="F867" t="str">
            <v>一品一商</v>
          </cell>
          <cell r="G867" t="str">
            <v>品牌直发</v>
          </cell>
          <cell r="H867">
            <v>0</v>
          </cell>
        </row>
        <row r="868">
          <cell r="C868">
            <v>136215075</v>
          </cell>
          <cell r="D868" t="str">
            <v>伯希和/PELLIOT</v>
          </cell>
          <cell r="E868" t="str">
            <v>童装-儿童上装-T恤</v>
          </cell>
          <cell r="F868" t="str">
            <v>一品一商</v>
          </cell>
          <cell r="G868" t="str">
            <v>品牌直发</v>
          </cell>
          <cell r="H868">
            <v>0</v>
          </cell>
        </row>
        <row r="869">
          <cell r="C869">
            <v>12131022</v>
          </cell>
          <cell r="D869" t="str">
            <v>伯希和/PELLIOT</v>
          </cell>
          <cell r="E869" t="str">
            <v>女装-户外运动服-抓绒衣</v>
          </cell>
          <cell r="F869" t="str">
            <v>一品一商</v>
          </cell>
          <cell r="G869" t="str">
            <v>品牌直发</v>
          </cell>
          <cell r="H869">
            <v>0</v>
          </cell>
        </row>
        <row r="870">
          <cell r="C870">
            <v>11131021</v>
          </cell>
          <cell r="D870" t="str">
            <v>伯希和/PELLIOT</v>
          </cell>
          <cell r="E870" t="str">
            <v>服装-户外运动服-抓绒衣</v>
          </cell>
          <cell r="F870" t="str">
            <v>一品多商</v>
          </cell>
          <cell r="G870" t="str">
            <v>品牌直发</v>
          </cell>
          <cell r="H870">
            <v>0</v>
          </cell>
        </row>
        <row r="871">
          <cell r="C871">
            <v>12130608</v>
          </cell>
          <cell r="D871" t="str">
            <v>伯希和/PELLIOT</v>
          </cell>
          <cell r="E871" t="str">
            <v>女装-外套-软壳衣</v>
          </cell>
          <cell r="F871" t="str">
            <v>一品一商</v>
          </cell>
          <cell r="G871" t="str">
            <v>品牌直发</v>
          </cell>
          <cell r="H871">
            <v>0</v>
          </cell>
        </row>
        <row r="872">
          <cell r="C872">
            <v>11040107</v>
          </cell>
          <cell r="D872" t="str">
            <v>伯希和/PELLIOT</v>
          </cell>
          <cell r="E872" t="str">
            <v>服装-外套-冲锋衣</v>
          </cell>
          <cell r="F872" t="str">
            <v>一品多商</v>
          </cell>
          <cell r="G872" t="str">
            <v>品牌直发</v>
          </cell>
          <cell r="H872">
            <v>0</v>
          </cell>
        </row>
        <row r="873">
          <cell r="C873">
            <v>11240203</v>
          </cell>
          <cell r="D873" t="str">
            <v>伯希和/PELLIOT</v>
          </cell>
          <cell r="E873" t="str">
            <v>服装-长裤-冲锋裤</v>
          </cell>
          <cell r="F873" t="str">
            <v>一品多商</v>
          </cell>
          <cell r="G873" t="str">
            <v>品牌直发</v>
          </cell>
          <cell r="H873">
            <v>0</v>
          </cell>
        </row>
        <row r="874">
          <cell r="C874">
            <v>111240115</v>
          </cell>
          <cell r="D874" t="str">
            <v>伯希和/PELLIOT</v>
          </cell>
          <cell r="E874" t="str">
            <v>服装-外套-冲锋衣</v>
          </cell>
          <cell r="F874" t="str">
            <v>一品一商</v>
          </cell>
          <cell r="G874" t="str">
            <v>品牌直发</v>
          </cell>
          <cell r="H874">
            <v>0</v>
          </cell>
        </row>
        <row r="875">
          <cell r="C875">
            <v>11230701</v>
          </cell>
          <cell r="D875" t="str">
            <v>伯希和/PELLIOT</v>
          </cell>
          <cell r="E875" t="str">
            <v>服装-长裤-软壳裤</v>
          </cell>
          <cell r="F875" t="str">
            <v>一品多商</v>
          </cell>
          <cell r="G875" t="str">
            <v>品牌直发</v>
          </cell>
          <cell r="H875">
            <v>0</v>
          </cell>
        </row>
        <row r="876">
          <cell r="C876">
            <v>12230702</v>
          </cell>
          <cell r="D876" t="str">
            <v>伯希和/PELLIOT</v>
          </cell>
          <cell r="E876" t="str">
            <v>女装-长裤-软壳裤</v>
          </cell>
          <cell r="F876" t="str">
            <v>一品多商</v>
          </cell>
          <cell r="G876" t="str">
            <v>品牌直发</v>
          </cell>
          <cell r="H876">
            <v>0</v>
          </cell>
        </row>
        <row r="877">
          <cell r="C877">
            <v>12121502</v>
          </cell>
          <cell r="D877" t="str">
            <v>伯希和/PELLIOT</v>
          </cell>
          <cell r="E877" t="str">
            <v>女装-上衣-T恤</v>
          </cell>
          <cell r="F877" t="str">
            <v>一品多商</v>
          </cell>
          <cell r="G877" t="str">
            <v>品牌直发</v>
          </cell>
          <cell r="H877">
            <v>0</v>
          </cell>
        </row>
        <row r="878">
          <cell r="C878">
            <v>12830604</v>
          </cell>
          <cell r="D878" t="str">
            <v>伯希和/PELLIOT</v>
          </cell>
          <cell r="E878" t="str">
            <v>女装-外套-软壳衣</v>
          </cell>
          <cell r="F878" t="str">
            <v>一品多商</v>
          </cell>
          <cell r="G878" t="str">
            <v>品牌直发</v>
          </cell>
          <cell r="H878">
            <v>0</v>
          </cell>
        </row>
        <row r="879">
          <cell r="C879">
            <v>11321507</v>
          </cell>
          <cell r="D879" t="str">
            <v>伯希和/PELLIOT</v>
          </cell>
          <cell r="E879" t="str">
            <v>服装-上衣-T恤</v>
          </cell>
          <cell r="F879" t="str">
            <v>一品一商</v>
          </cell>
          <cell r="G879" t="str">
            <v>品牌直发</v>
          </cell>
          <cell r="H879">
            <v>0</v>
          </cell>
        </row>
        <row r="880">
          <cell r="C880">
            <v>115107016</v>
          </cell>
          <cell r="D880" t="str">
            <v>伯希和/PELLIOT</v>
          </cell>
          <cell r="E880" t="str">
            <v>服装-长裤-软壳裤</v>
          </cell>
          <cell r="F880" t="str">
            <v>一品多商</v>
          </cell>
          <cell r="G880" t="str">
            <v>品牌直发</v>
          </cell>
          <cell r="H880">
            <v>0</v>
          </cell>
        </row>
        <row r="881">
          <cell r="C881">
            <v>12830708</v>
          </cell>
          <cell r="D881" t="str">
            <v>伯希和/PELLIOT</v>
          </cell>
          <cell r="E881" t="str">
            <v>女装-长裤-软壳裤</v>
          </cell>
          <cell r="F881" t="str">
            <v>一品多商</v>
          </cell>
          <cell r="G881" t="str">
            <v>品牌直发</v>
          </cell>
          <cell r="H881">
            <v>0</v>
          </cell>
        </row>
        <row r="882">
          <cell r="C882">
            <v>12940130</v>
          </cell>
          <cell r="D882" t="str">
            <v>伯希和/PELLIOT</v>
          </cell>
          <cell r="E882" t="str">
            <v>女装-外套-冲锋衣</v>
          </cell>
          <cell r="F882" t="str">
            <v>一品一商</v>
          </cell>
          <cell r="G882" t="str">
            <v>品牌直发</v>
          </cell>
          <cell r="H882">
            <v>0</v>
          </cell>
        </row>
        <row r="883">
          <cell r="C883">
            <v>111021401</v>
          </cell>
          <cell r="D883" t="str">
            <v>伯希和/PELLIOT</v>
          </cell>
          <cell r="E883" t="str">
            <v>服装-短裤-休闲短裤</v>
          </cell>
          <cell r="F883" t="str">
            <v>一品多商</v>
          </cell>
          <cell r="G883" t="str">
            <v>品牌直发</v>
          </cell>
          <cell r="H883">
            <v>0</v>
          </cell>
        </row>
        <row r="884">
          <cell r="C884">
            <v>124408280</v>
          </cell>
          <cell r="D884" t="str">
            <v>伯希和/PELLIOT</v>
          </cell>
          <cell r="E884" t="str">
            <v>女装-外套-羽绒服</v>
          </cell>
          <cell r="F884" t="str">
            <v>一品多商</v>
          </cell>
          <cell r="G884" t="str">
            <v>品牌直发</v>
          </cell>
          <cell r="H884">
            <v>0</v>
          </cell>
        </row>
        <row r="885">
          <cell r="C885">
            <v>112321408</v>
          </cell>
          <cell r="D885" t="str">
            <v>伯希和/PELLIOT</v>
          </cell>
          <cell r="E885" t="str">
            <v>女装-户外运动服-速干裤</v>
          </cell>
          <cell r="F885" t="str">
            <v>一品一商</v>
          </cell>
          <cell r="G885" t="str">
            <v>品牌直发</v>
          </cell>
          <cell r="H885">
            <v>0</v>
          </cell>
        </row>
        <row r="886">
          <cell r="C886">
            <v>13121436</v>
          </cell>
          <cell r="D886" t="str">
            <v>伯希和/PELLIOT</v>
          </cell>
          <cell r="E886" t="str">
            <v>童装-儿童下装-针织运动裤</v>
          </cell>
          <cell r="F886" t="str">
            <v>一品一商</v>
          </cell>
          <cell r="G886" t="str">
            <v>品牌直发</v>
          </cell>
          <cell r="H886">
            <v>0</v>
          </cell>
        </row>
        <row r="887">
          <cell r="C887">
            <v>13221245</v>
          </cell>
          <cell r="D887" t="str">
            <v>伯希和/PELLIOT</v>
          </cell>
          <cell r="E887" t="str">
            <v>童装-儿童上装-防晒衣</v>
          </cell>
          <cell r="F887" t="str">
            <v>一品一商</v>
          </cell>
          <cell r="G887" t="str">
            <v>品牌直发</v>
          </cell>
          <cell r="H887">
            <v>0</v>
          </cell>
        </row>
        <row r="888">
          <cell r="C888">
            <v>13321235</v>
          </cell>
          <cell r="D888" t="str">
            <v>伯希和/PELLIOT</v>
          </cell>
          <cell r="E888" t="str">
            <v>童装-儿童上装-防晒衣</v>
          </cell>
          <cell r="F888" t="str">
            <v>一品一商</v>
          </cell>
          <cell r="G888" t="str">
            <v>品牌直发</v>
          </cell>
          <cell r="H888">
            <v>0</v>
          </cell>
        </row>
        <row r="889">
          <cell r="C889">
            <v>13121274</v>
          </cell>
          <cell r="D889" t="str">
            <v>伯希和/PELLIOT</v>
          </cell>
          <cell r="E889" t="str">
            <v>童装-儿童上装-防晒衣</v>
          </cell>
          <cell r="F889" t="str">
            <v>一品一商</v>
          </cell>
          <cell r="G889" t="str">
            <v>品牌直发</v>
          </cell>
          <cell r="H889">
            <v>0</v>
          </cell>
        </row>
        <row r="890">
          <cell r="C890">
            <v>13245112</v>
          </cell>
          <cell r="D890" t="str">
            <v>伯希和/PELLIOT</v>
          </cell>
          <cell r="E890" t="str">
            <v>童装-儿童上装-冲锋衣</v>
          </cell>
          <cell r="F890" t="str">
            <v>一品多商</v>
          </cell>
          <cell r="G890" t="str">
            <v>品牌直发</v>
          </cell>
          <cell r="H890">
            <v>0</v>
          </cell>
        </row>
        <row r="891">
          <cell r="C891">
            <v>11021525</v>
          </cell>
          <cell r="D891" t="str">
            <v>伯希和/PELLIOT</v>
          </cell>
          <cell r="E891" t="str">
            <v>服装-上衣-T恤</v>
          </cell>
          <cell r="F891" t="str">
            <v>一品一商</v>
          </cell>
          <cell r="G891" t="str">
            <v>品牌直发</v>
          </cell>
          <cell r="H891">
            <v>0</v>
          </cell>
        </row>
        <row r="892">
          <cell r="C892">
            <v>13113805</v>
          </cell>
          <cell r="D892" t="str">
            <v>伯希和/PELLIOT</v>
          </cell>
          <cell r="E892" t="str">
            <v>童装-儿童下装-针织运动裤</v>
          </cell>
          <cell r="F892" t="str">
            <v>一品一商</v>
          </cell>
          <cell r="G892" t="str">
            <v>品牌直发</v>
          </cell>
          <cell r="H892">
            <v>0</v>
          </cell>
        </row>
        <row r="893">
          <cell r="C893">
            <v>113121276</v>
          </cell>
          <cell r="D893" t="str">
            <v>伯希和/PELLIOT</v>
          </cell>
          <cell r="E893" t="str">
            <v>童装-儿童上装-防晒衣</v>
          </cell>
          <cell r="F893" t="str">
            <v>一品一商</v>
          </cell>
          <cell r="G893" t="str">
            <v>品牌直发</v>
          </cell>
          <cell r="H893">
            <v>0</v>
          </cell>
        </row>
        <row r="894">
          <cell r="C894">
            <v>13231018</v>
          </cell>
          <cell r="D894" t="str">
            <v>伯希和/PELLIOT</v>
          </cell>
          <cell r="E894" t="str">
            <v>童装-儿童上装-卫衣</v>
          </cell>
          <cell r="F894" t="str">
            <v>一品一商</v>
          </cell>
          <cell r="G894" t="str">
            <v>品牌直发</v>
          </cell>
          <cell r="H894">
            <v>0</v>
          </cell>
        </row>
        <row r="895">
          <cell r="C895">
            <v>13121426</v>
          </cell>
          <cell r="D895" t="str">
            <v>伯希和/PELLIOT</v>
          </cell>
          <cell r="E895" t="str">
            <v>童装-儿童下装-针织运动裤</v>
          </cell>
          <cell r="F895" t="str">
            <v>一品一商</v>
          </cell>
          <cell r="G895" t="str">
            <v>品牌直发</v>
          </cell>
          <cell r="H895">
            <v>0</v>
          </cell>
        </row>
        <row r="896">
          <cell r="C896">
            <v>136215077</v>
          </cell>
          <cell r="D896" t="str">
            <v>伯希和/PELLIOT</v>
          </cell>
          <cell r="E896" t="str">
            <v>童装-儿童上装-T恤</v>
          </cell>
          <cell r="F896" t="str">
            <v>一品一商</v>
          </cell>
          <cell r="G896" t="str">
            <v>品牌直发</v>
          </cell>
          <cell r="H896">
            <v>0</v>
          </cell>
        </row>
        <row r="897">
          <cell r="C897">
            <v>126215073</v>
          </cell>
          <cell r="D897" t="str">
            <v>伯希和/PELLIOT</v>
          </cell>
          <cell r="E897" t="str">
            <v>女装-上衣-T恤</v>
          </cell>
          <cell r="F897" t="str">
            <v>一品一商</v>
          </cell>
          <cell r="G897" t="str">
            <v>品牌直发</v>
          </cell>
          <cell r="H897">
            <v>0</v>
          </cell>
        </row>
        <row r="898">
          <cell r="C898">
            <v>126106026</v>
          </cell>
          <cell r="D898" t="str">
            <v>伯希和/PELLIOT</v>
          </cell>
          <cell r="E898" t="str">
            <v>女装-外套-软壳衣</v>
          </cell>
          <cell r="F898" t="str">
            <v>一品一商</v>
          </cell>
          <cell r="G898" t="str">
            <v>品牌直发</v>
          </cell>
          <cell r="H898">
            <v>0</v>
          </cell>
        </row>
        <row r="899">
          <cell r="C899">
            <v>11121501</v>
          </cell>
          <cell r="D899" t="str">
            <v>伯希和/PELLIOT</v>
          </cell>
          <cell r="E899" t="str">
            <v>服装-上衣-T恤</v>
          </cell>
          <cell r="F899" t="str">
            <v>一品一商</v>
          </cell>
          <cell r="G899" t="str">
            <v>品牌直发</v>
          </cell>
          <cell r="H899">
            <v>0</v>
          </cell>
        </row>
        <row r="900">
          <cell r="C900">
            <v>165053001</v>
          </cell>
          <cell r="D900" t="str">
            <v>伯希和/PELLIOT</v>
          </cell>
          <cell r="E900" t="str">
            <v>户外装备-徒步/攀登-安全带</v>
          </cell>
          <cell r="F900" t="str">
            <v>一品一商</v>
          </cell>
          <cell r="G900" t="str">
            <v>品牌直发</v>
          </cell>
          <cell r="H900">
            <v>0</v>
          </cell>
        </row>
        <row r="901">
          <cell r="C901">
            <v>106106067</v>
          </cell>
          <cell r="D901" t="str">
            <v>伯希和/PELLIOT</v>
          </cell>
          <cell r="E901" t="str">
            <v>服装-外套-软壳衣</v>
          </cell>
          <cell r="F901" t="str">
            <v>一品多商</v>
          </cell>
          <cell r="G901" t="str">
            <v>品牌直发</v>
          </cell>
          <cell r="H901">
            <v>0</v>
          </cell>
        </row>
        <row r="902">
          <cell r="C902">
            <v>116101183</v>
          </cell>
          <cell r="D902" t="str">
            <v>伯希和/PELLIOT</v>
          </cell>
          <cell r="E902" t="str">
            <v>服装-外套-冲锋衣</v>
          </cell>
          <cell r="F902" t="str">
            <v>一品一商</v>
          </cell>
          <cell r="G902" t="str">
            <v>品牌直发</v>
          </cell>
          <cell r="H902">
            <v>0</v>
          </cell>
        </row>
        <row r="903">
          <cell r="C903">
            <v>126106069</v>
          </cell>
          <cell r="D903" t="str">
            <v>伯希和/PELLIOT</v>
          </cell>
          <cell r="E903" t="str">
            <v>女装-外套-软壳衣</v>
          </cell>
          <cell r="F903" t="str">
            <v>一品多商</v>
          </cell>
          <cell r="G903" t="str">
            <v>品牌直发</v>
          </cell>
          <cell r="H903">
            <v>0</v>
          </cell>
        </row>
        <row r="904">
          <cell r="C904">
            <v>126101200</v>
          </cell>
          <cell r="D904" t="str">
            <v>伯希和/PELLIOT</v>
          </cell>
          <cell r="E904" t="str">
            <v>女装-外套-冲锋衣</v>
          </cell>
          <cell r="F904" t="str">
            <v>一品一商</v>
          </cell>
          <cell r="G904" t="str">
            <v>品牌直发</v>
          </cell>
          <cell r="H904">
            <v>0</v>
          </cell>
        </row>
        <row r="905">
          <cell r="C905">
            <v>13321435</v>
          </cell>
          <cell r="D905" t="str">
            <v>伯希和/PELLIOT</v>
          </cell>
          <cell r="E905" t="str">
            <v>童装-儿童下装-针织运动裤</v>
          </cell>
          <cell r="F905" t="str">
            <v>一品一商</v>
          </cell>
          <cell r="G905" t="str">
            <v>品牌直发</v>
          </cell>
          <cell r="H905">
            <v>0</v>
          </cell>
        </row>
        <row r="906">
          <cell r="C906">
            <v>11813705</v>
          </cell>
          <cell r="D906" t="str">
            <v>伯希和/PELLIOT</v>
          </cell>
          <cell r="E906" t="str">
            <v>服装-上衣-卫衣</v>
          </cell>
          <cell r="F906" t="str">
            <v>一品一商</v>
          </cell>
          <cell r="G906" t="str">
            <v>品牌直发</v>
          </cell>
          <cell r="H906">
            <v>0</v>
          </cell>
        </row>
        <row r="907">
          <cell r="C907">
            <v>12231026</v>
          </cell>
          <cell r="D907" t="str">
            <v>伯希和/PELLIOT</v>
          </cell>
          <cell r="E907" t="str">
            <v>女装-户外运动服-抓绒衣</v>
          </cell>
          <cell r="F907" t="str">
            <v>一品一商</v>
          </cell>
          <cell r="G907" t="str">
            <v>品牌直发</v>
          </cell>
          <cell r="H907">
            <v>0</v>
          </cell>
        </row>
        <row r="908">
          <cell r="C908">
            <v>16502709</v>
          </cell>
          <cell r="D908" t="str">
            <v>伯希和/PELLIOT</v>
          </cell>
          <cell r="E908" t="str">
            <v>户外装备-露营帐篷/天幕及配件-营地帐篷</v>
          </cell>
          <cell r="F908" t="str">
            <v>一品一商</v>
          </cell>
          <cell r="G908" t="str">
            <v>品牌直发</v>
          </cell>
          <cell r="H908">
            <v>0</v>
          </cell>
        </row>
        <row r="909">
          <cell r="C909" t="str">
            <v>BXH-MH10</v>
          </cell>
          <cell r="D909" t="str">
            <v>伯希和/PELLIOT</v>
          </cell>
          <cell r="E909" t="str">
            <v>服装-盲盒/礼盒-服装盲盒</v>
          </cell>
          <cell r="F909" t="str">
            <v>一品一商</v>
          </cell>
          <cell r="G909" t="str">
            <v>品牌直发</v>
          </cell>
          <cell r="H909">
            <v>0</v>
          </cell>
        </row>
        <row r="910">
          <cell r="C910" t="str">
            <v>BXH-MH8</v>
          </cell>
          <cell r="D910" t="str">
            <v>伯希和/PELLIOT</v>
          </cell>
          <cell r="E910" t="str">
            <v>服装-盲盒/礼盒-服装盲盒</v>
          </cell>
          <cell r="F910" t="str">
            <v>一品一商</v>
          </cell>
          <cell r="G910" t="str">
            <v>品牌直发</v>
          </cell>
          <cell r="H910">
            <v>0</v>
          </cell>
        </row>
        <row r="911">
          <cell r="C911" t="str">
            <v>BXH-MH9</v>
          </cell>
          <cell r="D911" t="str">
            <v>伯希和/PELLIOT</v>
          </cell>
          <cell r="E911" t="str">
            <v>女装-盲盒/礼盒-女装盲盒</v>
          </cell>
          <cell r="F911" t="str">
            <v>一品一商</v>
          </cell>
          <cell r="G911" t="str">
            <v>品牌直发</v>
          </cell>
          <cell r="H911">
            <v>0</v>
          </cell>
        </row>
        <row r="912">
          <cell r="C912" t="str">
            <v>12211904-经典黑</v>
          </cell>
          <cell r="D912" t="str">
            <v>伯希和/PELLIOT</v>
          </cell>
          <cell r="E912" t="str">
            <v>鞋-运动鞋-跑步鞋</v>
          </cell>
          <cell r="F912" t="str">
            <v>一品一商</v>
          </cell>
          <cell r="G912" t="str">
            <v>品牌直发</v>
          </cell>
          <cell r="H912">
            <v>0</v>
          </cell>
        </row>
        <row r="913">
          <cell r="C913">
            <v>116101187</v>
          </cell>
          <cell r="D913" t="str">
            <v>伯希和/PELLIOT</v>
          </cell>
          <cell r="E913" t="str">
            <v>服装-外套-冲锋衣</v>
          </cell>
          <cell r="F913" t="str">
            <v>一品一商</v>
          </cell>
          <cell r="G913" t="str">
            <v>品牌直发</v>
          </cell>
          <cell r="H913">
            <v>0</v>
          </cell>
        </row>
        <row r="914">
          <cell r="C914">
            <v>12340130</v>
          </cell>
          <cell r="D914" t="str">
            <v>伯希和/PELLIOT</v>
          </cell>
          <cell r="E914" t="str">
            <v>服装-外套-冲锋衣</v>
          </cell>
          <cell r="F914" t="str">
            <v>一品多商</v>
          </cell>
          <cell r="G914" t="str">
            <v>品牌直发</v>
          </cell>
          <cell r="H914">
            <v>0</v>
          </cell>
        </row>
        <row r="915">
          <cell r="C915">
            <v>166035022</v>
          </cell>
          <cell r="D915" t="str">
            <v>伯希和/PELLIOT</v>
          </cell>
          <cell r="E915" t="str">
            <v>内衣-袜子-中筒袜</v>
          </cell>
          <cell r="F915" t="str">
            <v>一品一商</v>
          </cell>
          <cell r="G915" t="str">
            <v>品牌直发</v>
          </cell>
          <cell r="H915">
            <v>0</v>
          </cell>
        </row>
        <row r="916">
          <cell r="C916" t="str">
            <v>126101141-服装</v>
          </cell>
          <cell r="D916" t="str">
            <v>伯希和/PELLIOT</v>
          </cell>
          <cell r="E916" t="str">
            <v>女装-外套-冲锋衣</v>
          </cell>
          <cell r="F916" t="str">
            <v>一品一商</v>
          </cell>
          <cell r="G916" t="str">
            <v>品牌直发</v>
          </cell>
          <cell r="H916">
            <v>0</v>
          </cell>
        </row>
        <row r="917">
          <cell r="C917">
            <v>11340121</v>
          </cell>
          <cell r="D917" t="str">
            <v>伯希和/PELLIOT</v>
          </cell>
          <cell r="E917" t="str">
            <v>服装-外套-冲锋衣</v>
          </cell>
          <cell r="F917" t="str">
            <v>一品多商</v>
          </cell>
          <cell r="G917" t="str">
            <v>品牌直发</v>
          </cell>
          <cell r="H917">
            <v>0</v>
          </cell>
        </row>
        <row r="918">
          <cell r="C918">
            <v>12340132</v>
          </cell>
          <cell r="D918" t="str">
            <v>伯希和/PELLIOT</v>
          </cell>
          <cell r="E918" t="str">
            <v>服装-外套-冲锋衣</v>
          </cell>
          <cell r="F918" t="str">
            <v>一品一商</v>
          </cell>
          <cell r="G918" t="str">
            <v>品牌直发</v>
          </cell>
          <cell r="H918">
            <v>0</v>
          </cell>
        </row>
        <row r="919">
          <cell r="C919">
            <v>166035026</v>
          </cell>
          <cell r="D919" t="str">
            <v>伯希和/PELLIOT</v>
          </cell>
          <cell r="E919" t="str">
            <v>内衣-袜子-中筒袜</v>
          </cell>
          <cell r="F919" t="str">
            <v>一品一商</v>
          </cell>
          <cell r="G919" t="str">
            <v>品牌直发</v>
          </cell>
          <cell r="H919">
            <v>0</v>
          </cell>
        </row>
        <row r="920">
          <cell r="C920">
            <v>112230602</v>
          </cell>
          <cell r="D920" t="str">
            <v>伯希和/PELLIOT</v>
          </cell>
          <cell r="E920" t="str">
            <v>女装-外套-软壳衣</v>
          </cell>
          <cell r="F920" t="str">
            <v>一品多商</v>
          </cell>
          <cell r="G920" t="str">
            <v>品牌直发</v>
          </cell>
          <cell r="H920">
            <v>0</v>
          </cell>
        </row>
        <row r="921">
          <cell r="C921">
            <v>165052004</v>
          </cell>
          <cell r="D921" t="str">
            <v>伯希和/PELLIOT</v>
          </cell>
          <cell r="E921" t="str">
            <v>户外装备-徒步/攀登-绳索</v>
          </cell>
          <cell r="F921" t="str">
            <v>一品一商</v>
          </cell>
          <cell r="G921" t="str">
            <v>品牌直发</v>
          </cell>
          <cell r="H921">
            <v>0</v>
          </cell>
        </row>
        <row r="922">
          <cell r="C922">
            <v>114301085</v>
          </cell>
          <cell r="D922" t="str">
            <v>伯希和/PELLIOT</v>
          </cell>
          <cell r="E922" t="str">
            <v>服装-外套-冲锋衣</v>
          </cell>
          <cell r="F922" t="str">
            <v>一品多商</v>
          </cell>
          <cell r="G922" t="str">
            <v>品牌直发</v>
          </cell>
          <cell r="H922">
            <v>0</v>
          </cell>
        </row>
        <row r="923">
          <cell r="C923">
            <v>116106025</v>
          </cell>
          <cell r="D923" t="str">
            <v>伯希和/PELLIOT</v>
          </cell>
          <cell r="E923" t="str">
            <v>服装-外套-软壳衣</v>
          </cell>
          <cell r="F923" t="str">
            <v>一品一商</v>
          </cell>
          <cell r="G923" t="str">
            <v>品牌直发</v>
          </cell>
          <cell r="H923">
            <v>0</v>
          </cell>
        </row>
        <row r="924">
          <cell r="C924" t="str">
            <v>12815108-yc</v>
          </cell>
          <cell r="D924" t="str">
            <v>伯希和/PELLIOT</v>
          </cell>
          <cell r="E924" t="str">
            <v>服装-外套-防晒服</v>
          </cell>
          <cell r="F924" t="str">
            <v>一品一商</v>
          </cell>
          <cell r="G924" t="str">
            <v>品牌直发</v>
          </cell>
          <cell r="H924">
            <v>0</v>
          </cell>
        </row>
        <row r="925">
          <cell r="C925">
            <v>16202720</v>
          </cell>
          <cell r="D925" t="str">
            <v>伯希和/PELLIOT</v>
          </cell>
          <cell r="E925" t="str">
            <v>户外装备-露营帐篷/天幕及配件-天幕</v>
          </cell>
          <cell r="F925" t="str">
            <v>一品一商</v>
          </cell>
          <cell r="G925" t="str">
            <v>品牌直发</v>
          </cell>
          <cell r="H925">
            <v>0</v>
          </cell>
        </row>
        <row r="926">
          <cell r="C926">
            <v>16202741</v>
          </cell>
          <cell r="D926" t="str">
            <v>伯希和/PELLIOT</v>
          </cell>
          <cell r="E926" t="str">
            <v>户外装备-露营帐篷/天幕及配件-天幕</v>
          </cell>
          <cell r="F926" t="str">
            <v>一品一商</v>
          </cell>
          <cell r="G926" t="str">
            <v>品牌直发</v>
          </cell>
          <cell r="H926">
            <v>0</v>
          </cell>
        </row>
        <row r="927">
          <cell r="C927">
            <v>16202734</v>
          </cell>
          <cell r="D927" t="str">
            <v>伯希和/PELLIOT</v>
          </cell>
          <cell r="E927" t="str">
            <v>户外装备-露营帐篷/天幕及配件-营地帐篷</v>
          </cell>
          <cell r="F927" t="str">
            <v>一品一商</v>
          </cell>
          <cell r="G927" t="str">
            <v>品牌直发</v>
          </cell>
          <cell r="H927">
            <v>0</v>
          </cell>
        </row>
        <row r="928">
          <cell r="C928" t="str">
            <v>16302702-帐篷</v>
          </cell>
          <cell r="D928" t="str">
            <v>伯希和/PELLIOT</v>
          </cell>
          <cell r="E928" t="str">
            <v>户外装备-露营帐篷/天幕及配件-营地帐篷</v>
          </cell>
          <cell r="F928" t="str">
            <v>一品一商</v>
          </cell>
          <cell r="G928" t="str">
            <v>品牌直发</v>
          </cell>
          <cell r="H928">
            <v>0</v>
          </cell>
        </row>
        <row r="929">
          <cell r="C929" t="str">
            <v>16302704-帐篷</v>
          </cell>
          <cell r="D929" t="str">
            <v>伯希和/PELLIOT</v>
          </cell>
          <cell r="E929" t="str">
            <v>户外装备-露营帐篷/天幕及配件-营地帐篷</v>
          </cell>
          <cell r="F929" t="str">
            <v>一品一商</v>
          </cell>
          <cell r="G929" t="str">
            <v>品牌直发</v>
          </cell>
          <cell r="H929">
            <v>0</v>
          </cell>
        </row>
        <row r="930">
          <cell r="C930">
            <v>16502706</v>
          </cell>
          <cell r="D930" t="str">
            <v>伯希和/PELLIOT</v>
          </cell>
          <cell r="E930" t="str">
            <v>户外装备-露营帐篷/天幕及配件-营地帐篷</v>
          </cell>
          <cell r="F930" t="str">
            <v>一品一商</v>
          </cell>
          <cell r="G930" t="str">
            <v>品牌直发</v>
          </cell>
          <cell r="H930">
            <v>0</v>
          </cell>
        </row>
        <row r="931">
          <cell r="C931">
            <v>16502710</v>
          </cell>
          <cell r="D931" t="str">
            <v>伯希和/PELLIOT</v>
          </cell>
          <cell r="E931" t="str">
            <v>户外装备-露营帐篷/天幕及配件-营地帐篷</v>
          </cell>
          <cell r="F931" t="str">
            <v>一品一商</v>
          </cell>
          <cell r="G931" t="str">
            <v>品牌直发</v>
          </cell>
          <cell r="H931">
            <v>0</v>
          </cell>
        </row>
        <row r="932">
          <cell r="C932">
            <v>16502705</v>
          </cell>
          <cell r="D932" t="str">
            <v>伯希和/PELLIOT</v>
          </cell>
          <cell r="E932" t="str">
            <v>户外装备-露营帐篷/天幕及配件-营地帐篷</v>
          </cell>
          <cell r="F932" t="str">
            <v>一品一商</v>
          </cell>
          <cell r="G932" t="str">
            <v>品牌直发</v>
          </cell>
          <cell r="H932">
            <v>0</v>
          </cell>
        </row>
        <row r="933">
          <cell r="C933">
            <v>126307059</v>
          </cell>
          <cell r="D933" t="str">
            <v>伯希和/PELLIOT</v>
          </cell>
          <cell r="E933" t="str">
            <v>女装-长裤-软壳裤</v>
          </cell>
          <cell r="F933" t="str">
            <v>一品一商</v>
          </cell>
          <cell r="G933" t="str">
            <v>品牌直发</v>
          </cell>
          <cell r="H933">
            <v>0</v>
          </cell>
        </row>
        <row r="934">
          <cell r="C934">
            <v>16202728</v>
          </cell>
          <cell r="D934" t="str">
            <v>伯希和/PELLIOT</v>
          </cell>
          <cell r="E934" t="str">
            <v>户外装备-露营帐篷/天幕及配件-营地帐篷</v>
          </cell>
          <cell r="F934" t="str">
            <v>一品一商</v>
          </cell>
          <cell r="G934" t="str">
            <v>品牌直发</v>
          </cell>
          <cell r="H934">
            <v>0</v>
          </cell>
        </row>
        <row r="935">
          <cell r="C935" t="str">
            <v>16202731-天幕</v>
          </cell>
          <cell r="D935" t="str">
            <v>伯希和/PELLIOT</v>
          </cell>
          <cell r="E935" t="str">
            <v>户外装备-露营帐篷/天幕及配件-天幕</v>
          </cell>
          <cell r="F935" t="str">
            <v>一品一商</v>
          </cell>
          <cell r="G935" t="str">
            <v>品牌直发</v>
          </cell>
          <cell r="H935">
            <v>0</v>
          </cell>
        </row>
        <row r="936">
          <cell r="C936">
            <v>12331012</v>
          </cell>
          <cell r="D936" t="str">
            <v>伯希和/PELLIOT</v>
          </cell>
          <cell r="E936" t="str">
            <v>女装-户外运动服-抓绒衣</v>
          </cell>
          <cell r="F936" t="str">
            <v>一品多商</v>
          </cell>
          <cell r="G936" t="str">
            <v>品牌直发</v>
          </cell>
          <cell r="H936">
            <v>0</v>
          </cell>
        </row>
        <row r="937">
          <cell r="C937">
            <v>11331011</v>
          </cell>
          <cell r="D937" t="str">
            <v>伯希和/PELLIOT</v>
          </cell>
          <cell r="E937" t="str">
            <v>服装-户外运动服-抓绒衣</v>
          </cell>
          <cell r="F937" t="str">
            <v>一品多商</v>
          </cell>
          <cell r="G937" t="str">
            <v>品牌直发</v>
          </cell>
          <cell r="H937">
            <v>0</v>
          </cell>
        </row>
        <row r="938">
          <cell r="C938">
            <v>12331004</v>
          </cell>
          <cell r="D938" t="str">
            <v>伯希和/PELLIOT</v>
          </cell>
          <cell r="E938" t="str">
            <v>女装-户外运动服-抓绒衣</v>
          </cell>
          <cell r="F938" t="str">
            <v>一品一商</v>
          </cell>
          <cell r="G938" t="str">
            <v>品牌直发</v>
          </cell>
          <cell r="H938">
            <v>0</v>
          </cell>
        </row>
        <row r="939">
          <cell r="C939">
            <v>12331026</v>
          </cell>
          <cell r="D939" t="str">
            <v>伯希和/PELLIOT</v>
          </cell>
          <cell r="E939" t="str">
            <v>女装-户外运动服-抓绒衣</v>
          </cell>
          <cell r="F939" t="str">
            <v>一品多商</v>
          </cell>
          <cell r="G939" t="str">
            <v>品牌直发</v>
          </cell>
          <cell r="H939">
            <v>0</v>
          </cell>
        </row>
        <row r="940">
          <cell r="C940" t="str">
            <v>BXH-MH11</v>
          </cell>
          <cell r="D940" t="str">
            <v>伯希和/PELLIOT</v>
          </cell>
          <cell r="E940" t="str">
            <v>童装-童装盲盒-童装盲盒</v>
          </cell>
          <cell r="F940" t="str">
            <v>一品一商</v>
          </cell>
          <cell r="G940" t="str">
            <v>品牌直发</v>
          </cell>
          <cell r="H940">
            <v>0</v>
          </cell>
        </row>
        <row r="941">
          <cell r="C941">
            <v>11340139</v>
          </cell>
          <cell r="D941" t="str">
            <v>伯希和/PELLIOT</v>
          </cell>
          <cell r="E941" t="str">
            <v>服装-外套-冲锋衣</v>
          </cell>
          <cell r="F941" t="str">
            <v>一品多商</v>
          </cell>
          <cell r="G941" t="str">
            <v>品牌直发</v>
          </cell>
          <cell r="H941">
            <v>0</v>
          </cell>
        </row>
        <row r="942">
          <cell r="C942">
            <v>12340814</v>
          </cell>
          <cell r="D942" t="str">
            <v>伯希和/PELLIOT</v>
          </cell>
          <cell r="E942" t="str">
            <v>服装-外套-羽绒服</v>
          </cell>
          <cell r="F942" t="str">
            <v>一品多商</v>
          </cell>
          <cell r="G942" t="str">
            <v>品牌直发</v>
          </cell>
          <cell r="H942">
            <v>0</v>
          </cell>
        </row>
        <row r="943">
          <cell r="C943">
            <v>11340805</v>
          </cell>
          <cell r="D943" t="str">
            <v>伯希和/PELLIOT</v>
          </cell>
          <cell r="E943" t="str">
            <v>服装-外套-羽绒服</v>
          </cell>
          <cell r="F943" t="str">
            <v>一品多商</v>
          </cell>
          <cell r="G943" t="str">
            <v>品牌直发</v>
          </cell>
          <cell r="H943">
            <v>0</v>
          </cell>
        </row>
        <row r="944">
          <cell r="C944">
            <v>12340806</v>
          </cell>
          <cell r="D944" t="str">
            <v>伯希和/PELLIOT</v>
          </cell>
          <cell r="E944" t="str">
            <v>女装-外套-羽绒服</v>
          </cell>
          <cell r="F944" t="str">
            <v>一品多商</v>
          </cell>
          <cell r="G944" t="str">
            <v>品牌直发</v>
          </cell>
          <cell r="H944">
            <v>0</v>
          </cell>
        </row>
        <row r="945">
          <cell r="C945">
            <v>126302037</v>
          </cell>
          <cell r="D945" t="str">
            <v>伯希和/PELLIOT</v>
          </cell>
          <cell r="E945" t="str">
            <v>女装-长裤-冲锋裤</v>
          </cell>
          <cell r="F945" t="str">
            <v>一品一商</v>
          </cell>
          <cell r="G945" t="str">
            <v>品牌直发</v>
          </cell>
          <cell r="H945">
            <v>0</v>
          </cell>
        </row>
        <row r="946">
          <cell r="C946">
            <v>126378035</v>
          </cell>
          <cell r="D946" t="str">
            <v>伯希和/PELLIOT</v>
          </cell>
          <cell r="E946" t="str">
            <v>女装-长裤-休闲裤</v>
          </cell>
          <cell r="F946" t="str">
            <v>一品一商</v>
          </cell>
          <cell r="G946" t="str">
            <v>品牌直发</v>
          </cell>
          <cell r="H946">
            <v>0</v>
          </cell>
        </row>
        <row r="947">
          <cell r="C947" t="str">
            <v>116216107-服</v>
          </cell>
          <cell r="D947" t="str">
            <v>伯希和/PELLIOT</v>
          </cell>
          <cell r="E947" t="str">
            <v>服装-上衣-T恤</v>
          </cell>
          <cell r="F947" t="str">
            <v>一品一商</v>
          </cell>
          <cell r="G947" t="str">
            <v>品牌直发</v>
          </cell>
          <cell r="H947">
            <v>0</v>
          </cell>
        </row>
        <row r="948">
          <cell r="C948">
            <v>126306058</v>
          </cell>
          <cell r="D948" t="str">
            <v>伯希和/PELLIOT</v>
          </cell>
          <cell r="E948" t="str">
            <v>女装-外套-软壳衣</v>
          </cell>
          <cell r="F948" t="str">
            <v>一品一商</v>
          </cell>
          <cell r="G948" t="str">
            <v>品牌直发</v>
          </cell>
          <cell r="H948">
            <v>0</v>
          </cell>
        </row>
        <row r="949">
          <cell r="C949">
            <v>116215156</v>
          </cell>
          <cell r="D949" t="str">
            <v>伯希和/PELLIOT</v>
          </cell>
          <cell r="E949" t="str">
            <v>服装-上衣-T恤</v>
          </cell>
          <cell r="F949" t="str">
            <v>一品一商</v>
          </cell>
          <cell r="G949" t="str">
            <v>品牌直发</v>
          </cell>
          <cell r="H949">
            <v>0</v>
          </cell>
        </row>
        <row r="950">
          <cell r="C950">
            <v>166025078</v>
          </cell>
          <cell r="D950" t="str">
            <v>伯希和/PELLIOT</v>
          </cell>
          <cell r="E950" t="str">
            <v>箱包-包袋-户外包</v>
          </cell>
          <cell r="F950" t="str">
            <v>一品一商</v>
          </cell>
          <cell r="G950" t="str">
            <v>品牌直发</v>
          </cell>
          <cell r="H950">
            <v>0</v>
          </cell>
        </row>
        <row r="951">
          <cell r="C951">
            <v>116307046</v>
          </cell>
          <cell r="D951" t="str">
            <v>伯希和/PELLIOT</v>
          </cell>
          <cell r="E951" t="str">
            <v>服装-长裤-软壳裤</v>
          </cell>
          <cell r="F951" t="str">
            <v>一品一商</v>
          </cell>
          <cell r="G951" t="str">
            <v>品牌直发</v>
          </cell>
          <cell r="H951">
            <v>0</v>
          </cell>
        </row>
        <row r="952">
          <cell r="C952">
            <v>126316063</v>
          </cell>
          <cell r="D952" t="str">
            <v>伯希和/PELLIOT</v>
          </cell>
          <cell r="E952" t="str">
            <v>女装-上衣-T恤</v>
          </cell>
          <cell r="F952" t="str">
            <v>一品一商</v>
          </cell>
          <cell r="G952" t="str">
            <v>品牌直发</v>
          </cell>
          <cell r="H952">
            <v>0</v>
          </cell>
        </row>
        <row r="953">
          <cell r="C953">
            <v>116314047</v>
          </cell>
          <cell r="D953" t="str">
            <v>伯希和/PELLIOT</v>
          </cell>
          <cell r="E953" t="str">
            <v>服装-短裤-休闲短裤</v>
          </cell>
          <cell r="F953" t="str">
            <v>一品一商</v>
          </cell>
          <cell r="G953" t="str">
            <v>品牌直发</v>
          </cell>
          <cell r="H953">
            <v>0</v>
          </cell>
        </row>
        <row r="954">
          <cell r="C954">
            <v>126307047</v>
          </cell>
          <cell r="D954" t="str">
            <v>伯希和/PELLIOT</v>
          </cell>
          <cell r="E954" t="str">
            <v>女装-长裤-软壳裤</v>
          </cell>
          <cell r="F954" t="str">
            <v>一品一商</v>
          </cell>
          <cell r="G954" t="str">
            <v>品牌直发</v>
          </cell>
          <cell r="H954">
            <v>0</v>
          </cell>
        </row>
        <row r="955">
          <cell r="C955">
            <v>136301191</v>
          </cell>
          <cell r="D955" t="str">
            <v>伯希和/PELLIOT</v>
          </cell>
          <cell r="E955" t="str">
            <v>童装-儿童上装-冲锋衣</v>
          </cell>
          <cell r="F955" t="str">
            <v>一品一商</v>
          </cell>
          <cell r="G955" t="str">
            <v>品牌直发</v>
          </cell>
          <cell r="H955">
            <v>0</v>
          </cell>
        </row>
        <row r="956">
          <cell r="C956">
            <v>126316059</v>
          </cell>
          <cell r="D956" t="str">
            <v>伯希和/PELLIOT</v>
          </cell>
          <cell r="E956" t="str">
            <v>女装-上衣-T恤</v>
          </cell>
          <cell r="F956" t="str">
            <v>一品一商</v>
          </cell>
          <cell r="G956" t="str">
            <v>品牌直发</v>
          </cell>
          <cell r="H956">
            <v>0</v>
          </cell>
        </row>
        <row r="957">
          <cell r="C957">
            <v>106301167</v>
          </cell>
          <cell r="D957" t="str">
            <v>伯希和/PELLIOT</v>
          </cell>
          <cell r="E957" t="str">
            <v>服装-外套-冲锋衣</v>
          </cell>
          <cell r="F957" t="str">
            <v>一品一商</v>
          </cell>
          <cell r="G957" t="str">
            <v>品牌直发</v>
          </cell>
          <cell r="H957">
            <v>0</v>
          </cell>
        </row>
        <row r="958">
          <cell r="C958">
            <v>116316058</v>
          </cell>
          <cell r="D958" t="str">
            <v>伯希和/PELLIOT</v>
          </cell>
          <cell r="E958" t="str">
            <v>服装-上衣-T恤</v>
          </cell>
          <cell r="F958" t="str">
            <v>一品一商</v>
          </cell>
          <cell r="G958" t="str">
            <v>品牌直发</v>
          </cell>
          <cell r="H958">
            <v>0</v>
          </cell>
        </row>
        <row r="959">
          <cell r="C959">
            <v>126315094</v>
          </cell>
          <cell r="D959" t="str">
            <v>伯希和/PELLIOT</v>
          </cell>
          <cell r="E959" t="str">
            <v>女装-上衣-T恤</v>
          </cell>
          <cell r="F959" t="str">
            <v>一品一商</v>
          </cell>
          <cell r="G959" t="str">
            <v>品牌直发</v>
          </cell>
          <cell r="H959">
            <v>0</v>
          </cell>
        </row>
        <row r="960">
          <cell r="C960" t="str">
            <v>116378036-服</v>
          </cell>
          <cell r="D960" t="str">
            <v>伯希和/PELLIOT</v>
          </cell>
          <cell r="E960" t="str">
            <v>服装-长裤-休闲裤</v>
          </cell>
          <cell r="F960" t="str">
            <v>一品一商</v>
          </cell>
          <cell r="G960" t="str">
            <v>品牌直发</v>
          </cell>
          <cell r="H960">
            <v>0</v>
          </cell>
        </row>
        <row r="961">
          <cell r="C961" t="str">
            <v>12331902-活力红</v>
          </cell>
          <cell r="D961" t="str">
            <v>伯希和/PELLIOT</v>
          </cell>
          <cell r="E961" t="str">
            <v>鞋-运动鞋-跑步鞋</v>
          </cell>
          <cell r="F961" t="str">
            <v>一品一商</v>
          </cell>
          <cell r="G961" t="str">
            <v>品牌直发</v>
          </cell>
          <cell r="H961">
            <v>0</v>
          </cell>
        </row>
        <row r="962">
          <cell r="C962" t="str">
            <v>12331902-浅卡其</v>
          </cell>
          <cell r="D962" t="str">
            <v>伯希和/PELLIOT</v>
          </cell>
          <cell r="E962" t="str">
            <v>鞋-运动鞋-跑步鞋</v>
          </cell>
          <cell r="F962" t="str">
            <v>一品多商</v>
          </cell>
          <cell r="G962" t="str">
            <v>品牌直发</v>
          </cell>
          <cell r="H962">
            <v>0</v>
          </cell>
        </row>
        <row r="963">
          <cell r="C963" t="str">
            <v>12331902-黑灰色</v>
          </cell>
          <cell r="D963" t="str">
            <v>伯希和/PELLIOT</v>
          </cell>
          <cell r="E963" t="str">
            <v>鞋-运动鞋-跑步鞋</v>
          </cell>
          <cell r="F963" t="str">
            <v>一品一商</v>
          </cell>
          <cell r="G963" t="str">
            <v>品牌直发</v>
          </cell>
          <cell r="H963">
            <v>0</v>
          </cell>
        </row>
        <row r="964">
          <cell r="C964">
            <v>12331906</v>
          </cell>
          <cell r="D964" t="str">
            <v>伯希和/PELLIOT</v>
          </cell>
          <cell r="E964" t="str">
            <v>鞋-运动鞋-跑步鞋</v>
          </cell>
          <cell r="F964" t="str">
            <v>一品一商</v>
          </cell>
          <cell r="G964" t="str">
            <v>品牌直发</v>
          </cell>
          <cell r="H964">
            <v>0</v>
          </cell>
        </row>
        <row r="965">
          <cell r="C965">
            <v>16043429</v>
          </cell>
          <cell r="D965" t="str">
            <v>伯希和/PELLIOT</v>
          </cell>
          <cell r="E965" t="str">
            <v>流行饰品/眼镜/服配-帽子-绒线帽</v>
          </cell>
          <cell r="F965" t="str">
            <v>一品一商</v>
          </cell>
          <cell r="G965" t="str">
            <v>品牌直发</v>
          </cell>
          <cell r="H965">
            <v>0</v>
          </cell>
        </row>
        <row r="966">
          <cell r="C966" t="str">
            <v>12340164-新加色</v>
          </cell>
          <cell r="D966" t="str">
            <v>伯希和/PELLIOT</v>
          </cell>
          <cell r="E966" t="str">
            <v>服装-外套-冲锋衣</v>
          </cell>
          <cell r="F966" t="str">
            <v>一品多商</v>
          </cell>
          <cell r="G966" t="str">
            <v>品牌直发</v>
          </cell>
          <cell r="H966">
            <v>0</v>
          </cell>
        </row>
        <row r="967">
          <cell r="C967">
            <v>11331905</v>
          </cell>
          <cell r="D967" t="str">
            <v>伯希和/PELLIOT</v>
          </cell>
          <cell r="E967" t="str">
            <v>鞋-运动鞋-跑步鞋</v>
          </cell>
          <cell r="F967" t="str">
            <v>一品一商</v>
          </cell>
          <cell r="G967" t="str">
            <v>品牌直发</v>
          </cell>
          <cell r="H967">
            <v>0</v>
          </cell>
        </row>
        <row r="968">
          <cell r="C968">
            <v>12421214</v>
          </cell>
          <cell r="D968" t="str">
            <v>伯希和/PELLIOT</v>
          </cell>
          <cell r="E968" t="str">
            <v>女装-外套-防晒服</v>
          </cell>
          <cell r="F968" t="str">
            <v>一品一商</v>
          </cell>
          <cell r="G968" t="str">
            <v>品牌直发</v>
          </cell>
          <cell r="H968">
            <v>0</v>
          </cell>
        </row>
        <row r="969">
          <cell r="C969">
            <v>16425601</v>
          </cell>
          <cell r="D969" t="str">
            <v>伯希和/PELLIOT</v>
          </cell>
          <cell r="E969" t="str">
            <v>流行饰品/眼镜/服配-防晒服配-防晒面罩</v>
          </cell>
          <cell r="F969" t="str">
            <v>一品一商</v>
          </cell>
          <cell r="G969" t="str">
            <v>品牌直发</v>
          </cell>
          <cell r="H969">
            <v>0</v>
          </cell>
        </row>
        <row r="970">
          <cell r="C970">
            <v>16423406</v>
          </cell>
          <cell r="D970" t="str">
            <v>伯希和/PELLIOT</v>
          </cell>
          <cell r="E970" t="str">
            <v>流行饰品/眼镜/服配-防晒服配-防晒帽</v>
          </cell>
          <cell r="F970" t="str">
            <v>一品一商</v>
          </cell>
          <cell r="G970" t="str">
            <v>品牌直发</v>
          </cell>
          <cell r="H970">
            <v>0</v>
          </cell>
        </row>
        <row r="971">
          <cell r="C971">
            <v>16423401</v>
          </cell>
          <cell r="D971" t="str">
            <v>伯希和/PELLIOT</v>
          </cell>
          <cell r="E971" t="str">
            <v>流行饰品/眼镜/服配-帽子-渔夫帽</v>
          </cell>
          <cell r="F971" t="str">
            <v>一品一商</v>
          </cell>
          <cell r="G971" t="str">
            <v>品牌直发</v>
          </cell>
          <cell r="H971">
            <v>0</v>
          </cell>
        </row>
        <row r="972">
          <cell r="C972">
            <v>116223402</v>
          </cell>
          <cell r="D972" t="str">
            <v>伯希和/PELLIOT</v>
          </cell>
          <cell r="E972" t="str">
            <v>流行饰品/眼镜/服配-防晒服配-防晒帽</v>
          </cell>
          <cell r="F972" t="str">
            <v>一品一商</v>
          </cell>
          <cell r="G972" t="str">
            <v>品牌直发</v>
          </cell>
          <cell r="H972">
            <v>0</v>
          </cell>
        </row>
        <row r="973">
          <cell r="C973">
            <v>116123408</v>
          </cell>
          <cell r="D973" t="str">
            <v>伯希和/PELLIOT</v>
          </cell>
          <cell r="E973" t="str">
            <v>流行饰品/眼镜/服配-防晒服配-防晒帽</v>
          </cell>
          <cell r="F973" t="str">
            <v>一品一商</v>
          </cell>
          <cell r="G973" t="str">
            <v>品牌直发</v>
          </cell>
          <cell r="H973">
            <v>0</v>
          </cell>
        </row>
        <row r="974">
          <cell r="C974">
            <v>11410303</v>
          </cell>
          <cell r="D974" t="str">
            <v>伯希和/PELLIOT</v>
          </cell>
          <cell r="E974" t="str">
            <v>服装-外套-棉服</v>
          </cell>
          <cell r="F974" t="str">
            <v>一品多商</v>
          </cell>
          <cell r="G974" t="str">
            <v>品牌直发</v>
          </cell>
          <cell r="H974">
            <v>0</v>
          </cell>
        </row>
        <row r="975">
          <cell r="C975">
            <v>11410305</v>
          </cell>
          <cell r="D975" t="str">
            <v>伯希和/PELLIOT</v>
          </cell>
          <cell r="E975" t="str">
            <v>服装-户外运动服-滑雪衣</v>
          </cell>
          <cell r="F975" t="str">
            <v>一品多商</v>
          </cell>
          <cell r="G975" t="str">
            <v>品牌直发</v>
          </cell>
          <cell r="H975">
            <v>0</v>
          </cell>
        </row>
        <row r="976">
          <cell r="C976">
            <v>12425112</v>
          </cell>
          <cell r="D976" t="str">
            <v>伯希和/PELLIOT</v>
          </cell>
          <cell r="E976" t="str">
            <v>女装-外套-防晒服</v>
          </cell>
          <cell r="F976" t="str">
            <v>一品多商</v>
          </cell>
          <cell r="G976" t="str">
            <v>品牌直发</v>
          </cell>
          <cell r="H976">
            <v>0</v>
          </cell>
        </row>
        <row r="977">
          <cell r="C977">
            <v>16424601</v>
          </cell>
          <cell r="D977" t="str">
            <v>伯希和/PELLIOT</v>
          </cell>
          <cell r="E977" t="str">
            <v>流行饰品/眼镜/服配-防晒服配-防晒袖</v>
          </cell>
          <cell r="F977" t="str">
            <v>一品一商</v>
          </cell>
          <cell r="G977" t="str">
            <v>品牌直发</v>
          </cell>
          <cell r="H977">
            <v>0</v>
          </cell>
        </row>
        <row r="978">
          <cell r="C978">
            <v>16423407</v>
          </cell>
          <cell r="D978" t="str">
            <v>伯希和/PELLIOT</v>
          </cell>
          <cell r="E978" t="str">
            <v>流行饰品/眼镜/服配-防晒服配-防晒帽</v>
          </cell>
          <cell r="F978" t="str">
            <v>一品一商</v>
          </cell>
          <cell r="G978" t="str">
            <v>品牌直发</v>
          </cell>
          <cell r="H978">
            <v>0</v>
          </cell>
        </row>
        <row r="979">
          <cell r="C979">
            <v>12421514</v>
          </cell>
          <cell r="D979" t="str">
            <v>伯希和/PELLIOT</v>
          </cell>
          <cell r="E979" t="str">
            <v>女装-上衣-T恤</v>
          </cell>
          <cell r="F979" t="str">
            <v>一品一商</v>
          </cell>
          <cell r="G979" t="str">
            <v>品牌直发</v>
          </cell>
          <cell r="H979">
            <v>0</v>
          </cell>
        </row>
        <row r="980">
          <cell r="C980">
            <v>12421502</v>
          </cell>
          <cell r="D980" t="str">
            <v>伯希和/PELLIOT</v>
          </cell>
          <cell r="E980" t="str">
            <v>女装-户外运动服-速干衣</v>
          </cell>
          <cell r="F980" t="str">
            <v>一品多商</v>
          </cell>
          <cell r="G980" t="str">
            <v>品牌直发</v>
          </cell>
          <cell r="H980">
            <v>0</v>
          </cell>
        </row>
        <row r="981">
          <cell r="C981">
            <v>12410306</v>
          </cell>
          <cell r="D981" t="str">
            <v>伯希和/PELLIOT</v>
          </cell>
          <cell r="E981" t="str">
            <v>女装-户外运动服-滑雪衣</v>
          </cell>
          <cell r="F981" t="str">
            <v>一品多商</v>
          </cell>
          <cell r="G981" t="str">
            <v>品牌直发</v>
          </cell>
          <cell r="H981">
            <v>0</v>
          </cell>
        </row>
        <row r="982">
          <cell r="C982">
            <v>12421228</v>
          </cell>
          <cell r="D982" t="str">
            <v>伯希和/PELLIOT</v>
          </cell>
          <cell r="E982" t="str">
            <v>女装-外套-防晒服</v>
          </cell>
          <cell r="F982" t="str">
            <v>一品多商</v>
          </cell>
          <cell r="G982" t="str">
            <v>品牌直发</v>
          </cell>
          <cell r="H982">
            <v>0</v>
          </cell>
        </row>
        <row r="983">
          <cell r="C983">
            <v>11421215</v>
          </cell>
          <cell r="D983" t="str">
            <v>伯希和/PELLIOT</v>
          </cell>
          <cell r="E983" t="str">
            <v>服装-外套-防晒服</v>
          </cell>
          <cell r="F983" t="str">
            <v>一品多商</v>
          </cell>
          <cell r="G983" t="str">
            <v>品牌直发</v>
          </cell>
          <cell r="H983">
            <v>0</v>
          </cell>
        </row>
        <row r="984">
          <cell r="C984">
            <v>12842332</v>
          </cell>
          <cell r="D984" t="str">
            <v>伯希和/PELLIOT</v>
          </cell>
          <cell r="E984" t="str">
            <v>鞋-靴子-雪地靴</v>
          </cell>
          <cell r="F984" t="str">
            <v>一品一商</v>
          </cell>
          <cell r="G984" t="str">
            <v>品牌直发</v>
          </cell>
          <cell r="H984">
            <v>0</v>
          </cell>
        </row>
        <row r="985">
          <cell r="C985">
            <v>12421210</v>
          </cell>
          <cell r="D985" t="str">
            <v>伯希和/PELLIOT</v>
          </cell>
          <cell r="E985" t="str">
            <v>女装-外套-防晒服</v>
          </cell>
          <cell r="F985" t="str">
            <v>一品一商</v>
          </cell>
          <cell r="G985" t="str">
            <v>品牌直发</v>
          </cell>
          <cell r="H985">
            <v>0</v>
          </cell>
        </row>
        <row r="986">
          <cell r="C986">
            <v>11421411</v>
          </cell>
          <cell r="D986" t="str">
            <v>伯希和/PELLIOT</v>
          </cell>
          <cell r="E986" t="str">
            <v>服装-户外运动服-速干裤</v>
          </cell>
          <cell r="F986" t="str">
            <v>一品一商</v>
          </cell>
          <cell r="G986" t="str">
            <v>品牌直发</v>
          </cell>
          <cell r="H986">
            <v>0</v>
          </cell>
        </row>
        <row r="987">
          <cell r="C987">
            <v>12421230</v>
          </cell>
          <cell r="D987" t="str">
            <v>伯希和/PELLIOT</v>
          </cell>
          <cell r="E987" t="str">
            <v>女装-外套-防晒服</v>
          </cell>
          <cell r="F987" t="str">
            <v>一品一商</v>
          </cell>
          <cell r="G987" t="str">
            <v>品牌直发</v>
          </cell>
          <cell r="H987">
            <v>0</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677"/>
  <sheetViews>
    <sheetView workbookViewId="0">
      <selection activeCell="E1" sqref="E$1:E$1048576"/>
    </sheetView>
  </sheetViews>
  <sheetFormatPr defaultColWidth="9" defaultRowHeight="13.5"/>
  <cols>
    <col min="1" max="1" width="9.375"/>
    <col min="3" max="3" width="11.5"/>
    <col min="8" max="11" width="9.375" style="16"/>
    <col min="12" max="12" width="9" style="16"/>
    <col min="13" max="13" width="9.375" style="16"/>
    <col min="14" max="16" width="9" style="16"/>
    <col min="17" max="17" width="9.375" style="1"/>
    <col min="38" max="38" width="9.375"/>
  </cols>
  <sheetData>
    <row r="1" ht="75" spans="1:51">
      <c r="A1" s="2" t="s">
        <v>0</v>
      </c>
      <c r="B1" s="2" t="s">
        <v>1</v>
      </c>
      <c r="C1" s="2" t="s">
        <v>2</v>
      </c>
      <c r="D1" s="2" t="s">
        <v>3</v>
      </c>
      <c r="E1" s="2" t="s">
        <v>4</v>
      </c>
      <c r="F1" s="2" t="s">
        <v>5</v>
      </c>
      <c r="G1" s="2" t="s">
        <v>6</v>
      </c>
      <c r="H1" s="17" t="s">
        <v>7</v>
      </c>
      <c r="I1" s="17">
        <v>7.2</v>
      </c>
      <c r="J1" s="17">
        <v>7.3</v>
      </c>
      <c r="K1" s="17">
        <v>7.4</v>
      </c>
      <c r="L1" s="17">
        <v>7.5</v>
      </c>
      <c r="M1" s="17">
        <v>7.6</v>
      </c>
      <c r="N1" s="17">
        <v>7.7</v>
      </c>
      <c r="O1" s="17">
        <v>7.8</v>
      </c>
      <c r="P1" s="17">
        <v>7.9</v>
      </c>
      <c r="Q1" s="18" t="s">
        <v>8</v>
      </c>
      <c r="R1" s="2" t="s">
        <v>9</v>
      </c>
      <c r="S1" s="2" t="s">
        <v>10</v>
      </c>
      <c r="T1" s="2" t="s">
        <v>11</v>
      </c>
      <c r="U1" s="2" t="s">
        <v>12</v>
      </c>
      <c r="V1" s="2" t="s">
        <v>13</v>
      </c>
      <c r="W1" s="2" t="s">
        <v>14</v>
      </c>
      <c r="X1" s="2" t="s">
        <v>15</v>
      </c>
      <c r="Y1" s="2" t="s">
        <v>16</v>
      </c>
      <c r="Z1" s="2" t="s">
        <v>17</v>
      </c>
      <c r="AA1" s="2" t="s">
        <v>18</v>
      </c>
      <c r="AB1" s="2" t="s">
        <v>19</v>
      </c>
      <c r="AC1" s="2" t="s">
        <v>20</v>
      </c>
      <c r="AD1" s="2" t="s">
        <v>21</v>
      </c>
      <c r="AE1" s="2" t="s">
        <v>22</v>
      </c>
      <c r="AF1" s="2" t="s">
        <v>23</v>
      </c>
      <c r="AG1" s="2" t="s">
        <v>24</v>
      </c>
      <c r="AH1" s="2" t="s">
        <v>25</v>
      </c>
      <c r="AI1" s="2" t="s">
        <v>26</v>
      </c>
      <c r="AJ1" s="2" t="s">
        <v>27</v>
      </c>
      <c r="AK1" s="2" t="s">
        <v>28</v>
      </c>
      <c r="AL1" s="2" t="s">
        <v>29</v>
      </c>
      <c r="AM1" s="2" t="s">
        <v>30</v>
      </c>
      <c r="AN1" s="2" t="s">
        <v>31</v>
      </c>
      <c r="AO1" s="2" t="s">
        <v>32</v>
      </c>
      <c r="AP1" s="2" t="s">
        <v>33</v>
      </c>
      <c r="AQ1" s="2" t="s">
        <v>34</v>
      </c>
      <c r="AR1" s="2" t="s">
        <v>35</v>
      </c>
      <c r="AS1" s="2" t="s">
        <v>36</v>
      </c>
      <c r="AT1" s="2" t="s">
        <v>37</v>
      </c>
      <c r="AU1" s="2" t="s">
        <v>38</v>
      </c>
      <c r="AV1" s="2" t="s">
        <v>39</v>
      </c>
      <c r="AW1" s="2" t="s">
        <v>40</v>
      </c>
      <c r="AX1" s="2" t="s">
        <v>41</v>
      </c>
      <c r="AY1" s="2" t="s">
        <v>42</v>
      </c>
    </row>
    <row r="2" spans="1:51">
      <c r="A2" s="3">
        <v>9477032</v>
      </c>
      <c r="B2" t="s">
        <v>43</v>
      </c>
      <c r="C2" s="3">
        <v>11421507</v>
      </c>
      <c r="D2" t="s">
        <v>44</v>
      </c>
      <c r="E2" t="s">
        <v>45</v>
      </c>
      <c r="F2" t="s">
        <v>46</v>
      </c>
      <c r="G2" t="s">
        <v>47</v>
      </c>
      <c r="H2" s="16">
        <v>13556.92</v>
      </c>
      <c r="I2" s="4">
        <f>VLOOKUP(C2,[1]sheet1!$D:$I,6,0)</f>
        <v>14748.97</v>
      </c>
      <c r="J2" s="4">
        <f>VLOOKUP(C2,[2]sheet1!$D:$I,6,0)</f>
        <v>10676.89</v>
      </c>
      <c r="K2" s="4">
        <f>VLOOKUP(C2,[3]sheet1!$D:$I,6,0)</f>
        <v>11646.75</v>
      </c>
      <c r="L2" s="4">
        <f>VLOOKUP(C2,[4]sheet1!$D:$I,6,0)</f>
        <v>18423</v>
      </c>
      <c r="M2" s="4">
        <f>VLOOKUP(C2,[5]sheet1!$D:$I,6,0)</f>
        <v>18274.77</v>
      </c>
      <c r="N2" s="4">
        <f>VLOOKUP(C2,[6]sheet1!$D:$I,6,0)</f>
        <v>10120</v>
      </c>
      <c r="O2" s="4">
        <f>VLOOKUP(C2,[7]sheet1!$D:$I,6,0)</f>
        <v>9469</v>
      </c>
      <c r="P2" s="4">
        <f>VLOOKUP(C2,[8]sheet1!$D:$I,6,0)</f>
        <v>12387.4</v>
      </c>
      <c r="Q2" s="4">
        <f>SUM(H2:P2)</f>
        <v>119303.7</v>
      </c>
      <c r="R2" s="3">
        <v>95</v>
      </c>
      <c r="S2">
        <v>2756</v>
      </c>
      <c r="T2">
        <v>465</v>
      </c>
      <c r="U2" s="3">
        <v>342</v>
      </c>
      <c r="V2" s="3">
        <v>95</v>
      </c>
      <c r="W2">
        <v>2473</v>
      </c>
      <c r="X2" s="3">
        <v>17</v>
      </c>
      <c r="Y2">
        <v>1905</v>
      </c>
      <c r="Z2" s="3">
        <v>12</v>
      </c>
      <c r="AA2" t="s">
        <v>48</v>
      </c>
      <c r="AB2" s="3">
        <v>154</v>
      </c>
      <c r="AC2">
        <v>156.02</v>
      </c>
      <c r="AD2" t="s">
        <v>49</v>
      </c>
      <c r="AE2">
        <v>142.7</v>
      </c>
      <c r="AF2" s="3">
        <v>90</v>
      </c>
      <c r="AG2" t="s">
        <v>49</v>
      </c>
      <c r="AH2">
        <v>14821.9</v>
      </c>
      <c r="AI2" t="s">
        <v>49</v>
      </c>
      <c r="AJ2">
        <v>136.35</v>
      </c>
      <c r="AK2" t="s">
        <v>49</v>
      </c>
      <c r="AL2">
        <v>12953.25</v>
      </c>
      <c r="AM2" t="s">
        <v>49</v>
      </c>
      <c r="AN2" s="3">
        <v>8201</v>
      </c>
      <c r="AO2" s="19">
        <v>0.6444</v>
      </c>
      <c r="AP2" s="19">
        <v>0.4</v>
      </c>
      <c r="AQ2" s="19">
        <v>0.7871</v>
      </c>
      <c r="AR2" s="19">
        <v>0.4471</v>
      </c>
      <c r="AS2" s="19">
        <v>0.7924</v>
      </c>
      <c r="AT2" s="19">
        <v>0.6082</v>
      </c>
      <c r="AU2" s="3">
        <v>1</v>
      </c>
      <c r="AV2" s="3">
        <v>0</v>
      </c>
      <c r="AW2" s="19">
        <v>1</v>
      </c>
      <c r="AX2" s="3">
        <v>0</v>
      </c>
      <c r="AY2" s="3">
        <v>0</v>
      </c>
    </row>
    <row r="3" spans="1:51">
      <c r="A3" s="3">
        <v>8298814</v>
      </c>
      <c r="B3" t="s">
        <v>50</v>
      </c>
      <c r="C3" s="3">
        <v>12421220</v>
      </c>
      <c r="D3" t="s">
        <v>44</v>
      </c>
      <c r="E3" t="s">
        <v>51</v>
      </c>
      <c r="F3" t="s">
        <v>46</v>
      </c>
      <c r="G3" t="s">
        <v>47</v>
      </c>
      <c r="H3" s="16">
        <v>11902</v>
      </c>
      <c r="I3" s="4">
        <f>VLOOKUP(C3,[1]sheet1!$D:$I,6,0)</f>
        <v>9735.15</v>
      </c>
      <c r="J3" s="4">
        <f>VLOOKUP(C3,[2]sheet1!$D:$I,6,0)</f>
        <v>4412</v>
      </c>
      <c r="K3" s="4">
        <f>VLOOKUP(C3,[3]sheet1!$D:$I,6,0)</f>
        <v>1852</v>
      </c>
      <c r="L3" s="4">
        <f>VLOOKUP(C3,[4]sheet1!$D:$I,6,0)</f>
        <v>2529</v>
      </c>
      <c r="M3" s="4">
        <f>VLOOKUP(C3,[5]sheet1!$D:$I,6,0)</f>
        <v>2514</v>
      </c>
      <c r="N3" s="4">
        <f>VLOOKUP(C3,[6]sheet1!$D:$I,6,0)</f>
        <v>6412</v>
      </c>
      <c r="O3" s="4">
        <f>VLOOKUP(C3,[7]sheet1!$D:$I,6,0)</f>
        <v>4492.46</v>
      </c>
      <c r="P3" s="4">
        <f>VLOOKUP(C3,[8]sheet1!$D:$I,6,0)</f>
        <v>3323</v>
      </c>
      <c r="Q3" s="4">
        <f t="shared" ref="Q3:Q66" si="0">SUM(H3:P3)</f>
        <v>47171.61</v>
      </c>
      <c r="R3" s="3">
        <v>50</v>
      </c>
      <c r="S3">
        <v>2205</v>
      </c>
      <c r="T3">
        <v>406</v>
      </c>
      <c r="U3" s="3">
        <v>254</v>
      </c>
      <c r="V3" s="3">
        <v>50</v>
      </c>
      <c r="W3">
        <v>2076</v>
      </c>
      <c r="X3" s="3">
        <v>8</v>
      </c>
      <c r="Y3">
        <v>2522</v>
      </c>
      <c r="Z3" s="3">
        <v>10</v>
      </c>
      <c r="AA3" t="s">
        <v>52</v>
      </c>
      <c r="AB3" s="3">
        <v>258</v>
      </c>
      <c r="AC3">
        <v>243.92</v>
      </c>
      <c r="AD3" t="s">
        <v>49</v>
      </c>
      <c r="AE3">
        <v>238.04</v>
      </c>
      <c r="AF3" s="3">
        <v>44</v>
      </c>
      <c r="AG3" t="s">
        <v>49</v>
      </c>
      <c r="AH3">
        <v>12196</v>
      </c>
      <c r="AI3" t="s">
        <v>49</v>
      </c>
      <c r="AJ3">
        <v>216.95</v>
      </c>
      <c r="AK3" t="s">
        <v>49</v>
      </c>
      <c r="AL3">
        <v>10847.5</v>
      </c>
      <c r="AM3" t="s">
        <v>49</v>
      </c>
      <c r="AN3" s="3">
        <v>6032</v>
      </c>
      <c r="AO3" s="19">
        <v>0.8182</v>
      </c>
      <c r="AP3" s="19">
        <v>0.4545</v>
      </c>
      <c r="AQ3" s="19">
        <v>0.8464</v>
      </c>
      <c r="AR3" s="19">
        <v>0.4424</v>
      </c>
      <c r="AS3" s="19">
        <v>0.874</v>
      </c>
      <c r="AT3" s="19">
        <v>0.4843</v>
      </c>
      <c r="AU3" s="3">
        <v>0</v>
      </c>
      <c r="AV3" s="3">
        <v>0</v>
      </c>
      <c r="AW3" s="19">
        <v>0</v>
      </c>
      <c r="AX3" s="3">
        <v>0</v>
      </c>
      <c r="AY3" s="3">
        <v>0</v>
      </c>
    </row>
    <row r="4" spans="1:51">
      <c r="A4" s="3">
        <v>8925860</v>
      </c>
      <c r="B4" t="s">
        <v>53</v>
      </c>
      <c r="C4" s="3">
        <v>11421509</v>
      </c>
      <c r="D4" t="s">
        <v>44</v>
      </c>
      <c r="E4" t="s">
        <v>54</v>
      </c>
      <c r="F4" t="s">
        <v>46</v>
      </c>
      <c r="G4" t="s">
        <v>47</v>
      </c>
      <c r="H4" s="16">
        <v>2762</v>
      </c>
      <c r="I4" s="4">
        <f>VLOOKUP(C4,[1]sheet1!$D:$I,6,0)</f>
        <v>2807.72</v>
      </c>
      <c r="J4" s="4">
        <f>VLOOKUP(C4,[2]sheet1!$D:$I,6,0)</f>
        <v>2690</v>
      </c>
      <c r="K4" s="4">
        <f>VLOOKUP(C4,[3]sheet1!$D:$I,6,0)</f>
        <v>3331</v>
      </c>
      <c r="L4" s="4">
        <f>VLOOKUP(C4,[4]sheet1!$D:$I,6,0)</f>
        <v>2534</v>
      </c>
      <c r="M4" s="4">
        <f>VLOOKUP(C4,[5]sheet1!$D:$I,6,0)</f>
        <v>3437.18</v>
      </c>
      <c r="N4" s="4">
        <f>VLOOKUP(C4,[6]sheet1!$D:$I,6,0)</f>
        <v>3645</v>
      </c>
      <c r="O4" s="4">
        <f>VLOOKUP(C4,[7]sheet1!$D:$I,6,0)</f>
        <v>3595</v>
      </c>
      <c r="P4" s="4">
        <f>VLOOKUP(C4,[8]sheet1!$D:$I,6,0)</f>
        <v>3484.45</v>
      </c>
      <c r="Q4" s="4">
        <f t="shared" si="0"/>
        <v>28286.35</v>
      </c>
      <c r="R4" s="3">
        <v>25</v>
      </c>
      <c r="S4">
        <v>1119</v>
      </c>
      <c r="T4">
        <v>592</v>
      </c>
      <c r="U4" s="3">
        <v>34</v>
      </c>
      <c r="V4" s="3">
        <v>25</v>
      </c>
      <c r="W4">
        <v>16</v>
      </c>
      <c r="X4" s="3">
        <v>1</v>
      </c>
      <c r="Y4">
        <v>713</v>
      </c>
      <c r="Z4" s="3">
        <v>6</v>
      </c>
      <c r="AA4" t="s">
        <v>55</v>
      </c>
      <c r="AB4" s="3">
        <v>114</v>
      </c>
      <c r="AC4">
        <v>113.72</v>
      </c>
      <c r="AD4" t="s">
        <v>49</v>
      </c>
      <c r="AE4">
        <v>110.48</v>
      </c>
      <c r="AF4" s="3">
        <v>24</v>
      </c>
      <c r="AG4" t="s">
        <v>49</v>
      </c>
      <c r="AH4">
        <v>2843</v>
      </c>
      <c r="AI4" t="s">
        <v>49</v>
      </c>
      <c r="AJ4">
        <v>91.97</v>
      </c>
      <c r="AK4" t="s">
        <v>49</v>
      </c>
      <c r="AL4">
        <v>2299.25</v>
      </c>
      <c r="AM4" t="s">
        <v>49</v>
      </c>
      <c r="AN4" s="3">
        <v>1206</v>
      </c>
      <c r="AO4" s="19">
        <v>0.5</v>
      </c>
      <c r="AP4" s="19">
        <v>0</v>
      </c>
      <c r="AQ4" s="19">
        <v>0.8141</v>
      </c>
      <c r="AR4" s="19">
        <v>0.2346</v>
      </c>
      <c r="AS4" s="19">
        <v>0.8529</v>
      </c>
      <c r="AT4" s="19">
        <v>0.2059</v>
      </c>
      <c r="AU4" s="3">
        <v>0</v>
      </c>
      <c r="AV4" s="3">
        <v>0</v>
      </c>
      <c r="AW4" s="19">
        <v>0</v>
      </c>
      <c r="AX4" s="3">
        <v>0</v>
      </c>
      <c r="AY4" s="3">
        <v>0</v>
      </c>
    </row>
    <row r="5" spans="1:51">
      <c r="A5" s="3">
        <v>3945985</v>
      </c>
      <c r="B5" t="s">
        <v>56</v>
      </c>
      <c r="C5" s="3">
        <v>115214024</v>
      </c>
      <c r="D5" t="s">
        <v>44</v>
      </c>
      <c r="E5" t="s">
        <v>57</v>
      </c>
      <c r="F5" t="s">
        <v>46</v>
      </c>
      <c r="G5" t="s">
        <v>47</v>
      </c>
      <c r="H5" s="16">
        <v>4696</v>
      </c>
      <c r="I5" s="4">
        <f>VLOOKUP(C5,[1]sheet1!$D:$I,6,0)</f>
        <v>5513.94</v>
      </c>
      <c r="J5" s="4">
        <f>VLOOKUP(C5,[2]sheet1!$D:$I,6,0)</f>
        <v>4777</v>
      </c>
      <c r="K5" s="4">
        <f>VLOOKUP(C5,[3]sheet1!$D:$I,6,0)</f>
        <v>6086</v>
      </c>
      <c r="L5" s="4">
        <f>VLOOKUP(C5,[4]sheet1!$D:$I,6,0)</f>
        <v>6599.5</v>
      </c>
      <c r="M5" s="4">
        <f>VLOOKUP(C5,[5]sheet1!$D:$I,6,0)</f>
        <v>7169</v>
      </c>
      <c r="N5" s="4">
        <f>VLOOKUP(C5,[6]sheet1!$D:$I,6,0)</f>
        <v>2069</v>
      </c>
      <c r="O5" s="4">
        <f>VLOOKUP(C5,[7]sheet1!$D:$I,6,0)</f>
        <v>2439</v>
      </c>
      <c r="P5" s="4">
        <f>VLOOKUP(C5,[8]sheet1!$D:$I,6,0)</f>
        <v>5220</v>
      </c>
      <c r="Q5" s="4">
        <f t="shared" si="0"/>
        <v>44569.44</v>
      </c>
      <c r="R5" s="3">
        <v>23</v>
      </c>
      <c r="S5">
        <v>1243</v>
      </c>
      <c r="T5">
        <v>522</v>
      </c>
      <c r="U5" s="3">
        <v>53</v>
      </c>
      <c r="V5" s="3">
        <v>23</v>
      </c>
      <c r="W5">
        <v>1320</v>
      </c>
      <c r="X5" s="3">
        <v>6</v>
      </c>
      <c r="Y5">
        <v>1125</v>
      </c>
      <c r="Z5" s="3">
        <v>5</v>
      </c>
      <c r="AA5" t="s">
        <v>58</v>
      </c>
      <c r="AB5" s="3">
        <v>174</v>
      </c>
      <c r="AC5">
        <v>181.72</v>
      </c>
      <c r="AD5" t="s">
        <v>49</v>
      </c>
      <c r="AE5">
        <v>204.17</v>
      </c>
      <c r="AF5" s="3">
        <v>23</v>
      </c>
      <c r="AG5" t="s">
        <v>49</v>
      </c>
      <c r="AH5">
        <v>4179.56</v>
      </c>
      <c r="AI5" t="s">
        <v>49</v>
      </c>
      <c r="AJ5">
        <v>142.57</v>
      </c>
      <c r="AK5" t="s">
        <v>49</v>
      </c>
      <c r="AL5">
        <v>3279.11</v>
      </c>
      <c r="AM5" t="s">
        <v>49</v>
      </c>
      <c r="AN5" s="3">
        <v>1517</v>
      </c>
      <c r="AO5" s="19">
        <v>0.7391</v>
      </c>
      <c r="AP5" s="19">
        <v>0.3478</v>
      </c>
      <c r="AQ5" s="19">
        <v>0.7732</v>
      </c>
      <c r="AR5" s="19">
        <v>0.2933</v>
      </c>
      <c r="AS5" s="19">
        <v>0.7358</v>
      </c>
      <c r="AT5" s="19">
        <v>0.3208</v>
      </c>
      <c r="AU5" s="3">
        <v>1</v>
      </c>
      <c r="AV5" s="3">
        <v>0</v>
      </c>
      <c r="AW5" s="19">
        <v>1</v>
      </c>
      <c r="AX5" s="3">
        <v>0</v>
      </c>
      <c r="AY5" s="3">
        <v>0</v>
      </c>
    </row>
    <row r="6" spans="1:51">
      <c r="A6" s="3">
        <v>21341071</v>
      </c>
      <c r="B6" t="s">
        <v>59</v>
      </c>
      <c r="C6" s="3">
        <v>115215019</v>
      </c>
      <c r="D6" t="s">
        <v>44</v>
      </c>
      <c r="E6" t="s">
        <v>45</v>
      </c>
      <c r="F6" t="s">
        <v>46</v>
      </c>
      <c r="G6" t="s">
        <v>47</v>
      </c>
      <c r="H6" s="16">
        <v>2756</v>
      </c>
      <c r="I6" s="4">
        <f>VLOOKUP(C6,[1]sheet1!$D:$I,6,0)</f>
        <v>2712</v>
      </c>
      <c r="J6" s="4">
        <f>VLOOKUP(C6,[2]sheet1!$D:$I,6,0)</f>
        <v>3108</v>
      </c>
      <c r="K6" s="4">
        <f>VLOOKUP(C6,[3]sheet1!$D:$I,6,0)</f>
        <v>2385</v>
      </c>
      <c r="L6" s="4">
        <f>VLOOKUP(C6,[4]sheet1!$D:$I,6,0)</f>
        <v>2205</v>
      </c>
      <c r="M6" s="4">
        <f>VLOOKUP(C6,[5]sheet1!$D:$I,6,0)</f>
        <v>4071.92</v>
      </c>
      <c r="N6" s="4">
        <f>VLOOKUP(C6,[6]sheet1!$D:$I,6,0)</f>
        <v>4482</v>
      </c>
      <c r="O6" s="4">
        <f>VLOOKUP(C6,[7]sheet1!$D:$I,6,0)</f>
        <v>3105</v>
      </c>
      <c r="P6" s="4">
        <f>VLOOKUP(C6,[8]sheet1!$D:$I,6,0)</f>
        <v>2204</v>
      </c>
      <c r="Q6" s="4">
        <f t="shared" si="0"/>
        <v>27028.92</v>
      </c>
      <c r="R6" s="3">
        <v>16</v>
      </c>
      <c r="S6">
        <v>1295</v>
      </c>
      <c r="T6">
        <v>418</v>
      </c>
      <c r="U6" s="3">
        <v>52</v>
      </c>
      <c r="V6" s="3">
        <v>16</v>
      </c>
      <c r="W6">
        <v>1137</v>
      </c>
      <c r="X6" s="3">
        <v>7</v>
      </c>
      <c r="Y6">
        <v>732</v>
      </c>
      <c r="Z6" s="3">
        <v>4</v>
      </c>
      <c r="AA6" t="s">
        <v>48</v>
      </c>
      <c r="AB6" s="3">
        <v>163</v>
      </c>
      <c r="AC6">
        <v>156.02</v>
      </c>
      <c r="AD6" t="s">
        <v>49</v>
      </c>
      <c r="AE6">
        <v>172.25</v>
      </c>
      <c r="AF6" s="3">
        <v>16</v>
      </c>
      <c r="AG6" t="s">
        <v>49</v>
      </c>
      <c r="AH6">
        <v>2496.32</v>
      </c>
      <c r="AI6" t="s">
        <v>49</v>
      </c>
      <c r="AJ6">
        <v>133.4</v>
      </c>
      <c r="AK6" t="s">
        <v>49</v>
      </c>
      <c r="AL6">
        <v>2134.4</v>
      </c>
      <c r="AM6" t="s">
        <v>49</v>
      </c>
      <c r="AN6" s="3">
        <v>1590</v>
      </c>
      <c r="AO6" s="19">
        <v>0.5</v>
      </c>
      <c r="AP6" s="19">
        <v>0.4375</v>
      </c>
      <c r="AQ6" s="19">
        <v>0.8363</v>
      </c>
      <c r="AR6" s="19">
        <v>0.3202</v>
      </c>
      <c r="AS6" s="19">
        <v>0.8846</v>
      </c>
      <c r="AT6" s="19">
        <v>0.25</v>
      </c>
      <c r="AU6" s="3">
        <v>0</v>
      </c>
      <c r="AV6" s="3">
        <v>0</v>
      </c>
      <c r="AW6" s="19">
        <v>0</v>
      </c>
      <c r="AX6" s="3">
        <v>0</v>
      </c>
      <c r="AY6" s="3">
        <v>0</v>
      </c>
    </row>
    <row r="7" spans="1:51">
      <c r="A7" s="3">
        <v>11052387</v>
      </c>
      <c r="B7" t="s">
        <v>60</v>
      </c>
      <c r="C7" s="3">
        <v>11421241</v>
      </c>
      <c r="D7" t="s">
        <v>44</v>
      </c>
      <c r="E7" t="s">
        <v>51</v>
      </c>
      <c r="F7" t="s">
        <v>46</v>
      </c>
      <c r="G7" t="s">
        <v>47</v>
      </c>
      <c r="H7" s="16">
        <v>2009</v>
      </c>
      <c r="I7" s="4">
        <f>VLOOKUP(C7,[1]sheet1!$D:$I,6,0)</f>
        <v>1483</v>
      </c>
      <c r="J7" s="4">
        <f>VLOOKUP(C7,[2]sheet1!$D:$I,6,0)</f>
        <v>2251</v>
      </c>
      <c r="K7" s="4">
        <f>VLOOKUP(C7,[3]sheet1!$D:$I,6,0)</f>
        <v>1243</v>
      </c>
      <c r="L7" s="4">
        <f>VLOOKUP(C7,[4]sheet1!$D:$I,6,0)</f>
        <v>1618</v>
      </c>
      <c r="M7" s="4">
        <f>VLOOKUP(C7,[5]sheet1!$D:$I,6,0)</f>
        <v>1336</v>
      </c>
      <c r="N7" s="4">
        <f>VLOOKUP(C7,[6]sheet1!$D:$I,6,0)</f>
        <v>975</v>
      </c>
      <c r="O7" s="4">
        <f>VLOOKUP(C7,[7]sheet1!$D:$I,6,0)</f>
        <v>486</v>
      </c>
      <c r="P7" s="4">
        <f>VLOOKUP(C7,[8]sheet1!$D:$I,6,0)</f>
        <v>364</v>
      </c>
      <c r="Q7" s="4">
        <f t="shared" si="0"/>
        <v>11765</v>
      </c>
      <c r="R7" s="3">
        <v>16</v>
      </c>
      <c r="S7">
        <v>1222</v>
      </c>
      <c r="T7">
        <v>443</v>
      </c>
      <c r="U7" s="3">
        <v>52</v>
      </c>
      <c r="V7" s="3">
        <v>16</v>
      </c>
      <c r="W7">
        <v>0</v>
      </c>
      <c r="X7" s="3">
        <v>0</v>
      </c>
      <c r="Y7">
        <v>139</v>
      </c>
      <c r="Z7" s="3">
        <v>1</v>
      </c>
      <c r="AA7" t="s">
        <v>61</v>
      </c>
      <c r="AB7" s="3">
        <v>129</v>
      </c>
      <c r="AC7">
        <v>139.52</v>
      </c>
      <c r="AD7" t="s">
        <v>49</v>
      </c>
      <c r="AE7">
        <v>125.56</v>
      </c>
      <c r="AF7" s="3">
        <v>16</v>
      </c>
      <c r="AG7" t="s">
        <v>49</v>
      </c>
      <c r="AH7">
        <v>2232.32</v>
      </c>
      <c r="AI7" t="s">
        <v>49</v>
      </c>
      <c r="AJ7">
        <v>104.72</v>
      </c>
      <c r="AK7" t="s">
        <v>49</v>
      </c>
      <c r="AL7">
        <v>1675.52</v>
      </c>
      <c r="AM7" t="s">
        <v>49</v>
      </c>
      <c r="AN7" s="3">
        <v>1654</v>
      </c>
      <c r="AO7" s="19">
        <v>0.8125</v>
      </c>
      <c r="AP7" s="19">
        <v>0.625</v>
      </c>
      <c r="AQ7" s="19">
        <v>0.8243</v>
      </c>
      <c r="AR7" s="19">
        <v>0.5616</v>
      </c>
      <c r="AS7" s="19">
        <v>0.7692</v>
      </c>
      <c r="AT7" s="19">
        <v>0.6538</v>
      </c>
      <c r="AU7" s="3">
        <v>0</v>
      </c>
      <c r="AV7" s="3">
        <v>0</v>
      </c>
      <c r="AW7" s="19">
        <v>0</v>
      </c>
      <c r="AX7" s="3">
        <v>0</v>
      </c>
      <c r="AY7" s="3">
        <v>0</v>
      </c>
    </row>
    <row r="8" spans="1:51">
      <c r="A8" s="3">
        <v>8895739</v>
      </c>
      <c r="B8" t="s">
        <v>62</v>
      </c>
      <c r="C8" t="s">
        <v>63</v>
      </c>
      <c r="D8" t="s">
        <v>44</v>
      </c>
      <c r="E8" t="s">
        <v>64</v>
      </c>
      <c r="F8" t="s">
        <v>65</v>
      </c>
      <c r="G8" t="s">
        <v>47</v>
      </c>
      <c r="H8" s="16">
        <v>1019</v>
      </c>
      <c r="I8" s="4">
        <f>VLOOKUP(C8,[1]sheet1!$D:$I,6,0)</f>
        <v>1524</v>
      </c>
      <c r="J8" s="4">
        <f>VLOOKUP(C8,[2]sheet1!$D:$I,6,0)</f>
        <v>1635</v>
      </c>
      <c r="K8" s="4">
        <f>VLOOKUP(C8,[3]sheet1!$D:$I,6,0)</f>
        <v>551</v>
      </c>
      <c r="L8" s="4">
        <f>VLOOKUP(C8,[4]sheet1!$D:$I,6,0)</f>
        <v>1271</v>
      </c>
      <c r="M8" s="4">
        <f>VLOOKUP(C8,[5]sheet1!$D:$I,6,0)</f>
        <v>1874</v>
      </c>
      <c r="N8" s="4">
        <f>VLOOKUP(C8,[6]sheet1!$D:$I,6,0)</f>
        <v>1693</v>
      </c>
      <c r="O8" s="4">
        <f>VLOOKUP(C8,[7]sheet1!$D:$I,6,0)</f>
        <v>1110</v>
      </c>
      <c r="P8" s="4">
        <f>VLOOKUP(C8,[8]sheet1!$D:$I,6,0)</f>
        <v>805</v>
      </c>
      <c r="Q8" s="4">
        <f t="shared" si="0"/>
        <v>11482</v>
      </c>
      <c r="R8" s="3">
        <v>14</v>
      </c>
      <c r="S8" s="3">
        <v>567</v>
      </c>
      <c r="T8" s="19">
        <v>0.0229</v>
      </c>
      <c r="U8" s="3">
        <v>29</v>
      </c>
      <c r="V8" s="3">
        <v>14</v>
      </c>
      <c r="W8">
        <v>287</v>
      </c>
      <c r="X8" s="3">
        <v>3</v>
      </c>
      <c r="Y8">
        <v>178</v>
      </c>
      <c r="Z8" s="3">
        <v>2</v>
      </c>
      <c r="AA8" t="s">
        <v>66</v>
      </c>
      <c r="AB8" t="s">
        <v>49</v>
      </c>
      <c r="AC8">
        <v>65.67</v>
      </c>
      <c r="AD8" t="s">
        <v>49</v>
      </c>
      <c r="AE8">
        <v>72.79</v>
      </c>
      <c r="AF8" s="3">
        <v>13</v>
      </c>
      <c r="AG8" t="s">
        <v>49</v>
      </c>
      <c r="AH8">
        <v>919.38</v>
      </c>
      <c r="AI8" t="s">
        <v>49</v>
      </c>
      <c r="AJ8" t="s">
        <v>49</v>
      </c>
      <c r="AK8" t="s">
        <v>49</v>
      </c>
      <c r="AL8" t="s">
        <v>49</v>
      </c>
      <c r="AM8" t="s">
        <v>49</v>
      </c>
      <c r="AN8" s="3">
        <v>749</v>
      </c>
      <c r="AO8" s="19">
        <v>0.8462</v>
      </c>
      <c r="AP8" s="19">
        <v>0.5385</v>
      </c>
      <c r="AQ8" s="19">
        <v>0.8854</v>
      </c>
      <c r="AR8" s="19">
        <v>0.4109</v>
      </c>
      <c r="AS8" s="19">
        <v>0.9655</v>
      </c>
      <c r="AT8" s="19">
        <v>0.6552</v>
      </c>
      <c r="AU8" s="3">
        <v>1</v>
      </c>
      <c r="AV8" s="3">
        <v>0</v>
      </c>
      <c r="AW8" s="19">
        <v>1</v>
      </c>
      <c r="AX8" s="3">
        <v>0</v>
      </c>
      <c r="AY8" s="3">
        <v>0</v>
      </c>
    </row>
    <row r="9" spans="1:51">
      <c r="A9" s="3">
        <v>9985207</v>
      </c>
      <c r="B9" t="s">
        <v>67</v>
      </c>
      <c r="C9" s="3">
        <v>11421415</v>
      </c>
      <c r="D9" t="s">
        <v>44</v>
      </c>
      <c r="E9" t="s">
        <v>57</v>
      </c>
      <c r="F9" t="s">
        <v>46</v>
      </c>
      <c r="G9" t="s">
        <v>47</v>
      </c>
      <c r="H9" s="16">
        <v>3055</v>
      </c>
      <c r="I9" s="4">
        <f>VLOOKUP(C9,[1]sheet1!$D:$I,6,0)</f>
        <v>3271</v>
      </c>
      <c r="J9" s="4">
        <f>VLOOKUP(C9,[2]sheet1!$D:$I,6,0)</f>
        <v>6519.9</v>
      </c>
      <c r="K9" s="4">
        <f>VLOOKUP(C9,[3]sheet1!$D:$I,6,0)</f>
        <v>5979</v>
      </c>
      <c r="L9" s="4">
        <f>VLOOKUP(C9,[4]sheet1!$D:$I,6,0)</f>
        <v>4566</v>
      </c>
      <c r="M9" s="4">
        <f>VLOOKUP(C9,[5]sheet1!$D:$I,6,0)</f>
        <v>3398</v>
      </c>
      <c r="N9" s="4">
        <f>VLOOKUP(C9,[6]sheet1!$D:$I,6,0)</f>
        <v>3295</v>
      </c>
      <c r="O9" s="4">
        <f>VLOOKUP(C9,[7]sheet1!$D:$I,6,0)</f>
        <v>3828</v>
      </c>
      <c r="P9" s="4">
        <f>VLOOKUP(C9,[8]sheet1!$D:$I,6,0)</f>
        <v>4269</v>
      </c>
      <c r="Q9" s="4">
        <f t="shared" si="0"/>
        <v>38180.9</v>
      </c>
      <c r="R9" s="3">
        <v>13</v>
      </c>
      <c r="S9">
        <v>1519</v>
      </c>
      <c r="T9">
        <v>321</v>
      </c>
      <c r="U9" s="3">
        <v>69</v>
      </c>
      <c r="V9" s="3">
        <v>13</v>
      </c>
      <c r="W9">
        <v>996</v>
      </c>
      <c r="X9" s="3">
        <v>4</v>
      </c>
      <c r="Y9">
        <v>504</v>
      </c>
      <c r="Z9" s="3">
        <v>2</v>
      </c>
      <c r="AA9" t="s">
        <v>68</v>
      </c>
      <c r="AB9" s="3">
        <v>201</v>
      </c>
      <c r="AC9">
        <v>166.06</v>
      </c>
      <c r="AD9" t="s">
        <v>49</v>
      </c>
      <c r="AE9">
        <v>235</v>
      </c>
      <c r="AF9" s="3">
        <v>13</v>
      </c>
      <c r="AG9" t="s">
        <v>49</v>
      </c>
      <c r="AH9">
        <v>2158.78</v>
      </c>
      <c r="AI9" t="s">
        <v>49</v>
      </c>
      <c r="AJ9" t="s">
        <v>49</v>
      </c>
      <c r="AK9" t="s">
        <v>49</v>
      </c>
      <c r="AL9" t="s">
        <v>49</v>
      </c>
      <c r="AM9" t="s">
        <v>49</v>
      </c>
      <c r="AN9" s="3">
        <v>2254</v>
      </c>
      <c r="AO9" s="19">
        <v>0.6923</v>
      </c>
      <c r="AP9" s="19">
        <v>0.3077</v>
      </c>
      <c r="AQ9" s="19">
        <v>0.8076</v>
      </c>
      <c r="AR9" s="19">
        <v>0.4323</v>
      </c>
      <c r="AS9" s="19">
        <v>0.7681</v>
      </c>
      <c r="AT9" s="19">
        <v>0.5072</v>
      </c>
      <c r="AU9" s="3">
        <v>0</v>
      </c>
      <c r="AV9" s="3">
        <v>0</v>
      </c>
      <c r="AW9" s="19">
        <v>0</v>
      </c>
      <c r="AX9" s="3">
        <v>0</v>
      </c>
      <c r="AY9" s="3">
        <v>0</v>
      </c>
    </row>
    <row r="10" spans="1:51">
      <c r="A10" s="3">
        <v>19888311</v>
      </c>
      <c r="B10" t="s">
        <v>69</v>
      </c>
      <c r="C10" s="3">
        <v>115214021</v>
      </c>
      <c r="D10" t="s">
        <v>44</v>
      </c>
      <c r="E10" t="s">
        <v>57</v>
      </c>
      <c r="F10" t="s">
        <v>46</v>
      </c>
      <c r="G10" t="s">
        <v>47</v>
      </c>
      <c r="H10" s="16">
        <v>2694</v>
      </c>
      <c r="I10" s="4">
        <f>VLOOKUP(C10,[1]sheet1!$D:$I,6,0)</f>
        <v>1366.93</v>
      </c>
      <c r="J10" s="4">
        <f>VLOOKUP(C10,[2]sheet1!$D:$I,6,0)</f>
        <v>3399</v>
      </c>
      <c r="K10" s="4">
        <f>VLOOKUP(C10,[3]sheet1!$D:$I,6,0)</f>
        <v>1350</v>
      </c>
      <c r="L10" s="4">
        <f>VLOOKUP(C10,[4]sheet1!$D:$I,6,0)</f>
        <v>1776</v>
      </c>
      <c r="M10" s="4">
        <f>VLOOKUP(C10,[5]sheet1!$D:$I,6,0)</f>
        <v>2212</v>
      </c>
      <c r="N10" s="4">
        <f>VLOOKUP(C10,[6]sheet1!$D:$I,6,0)</f>
        <v>3132</v>
      </c>
      <c r="O10" s="4">
        <f>VLOOKUP(C10,[7]sheet1!$D:$I,6,0)</f>
        <v>1989</v>
      </c>
      <c r="P10" s="4">
        <f>VLOOKUP(C10,[8]sheet1!$D:$I,6,0)</f>
        <v>2963</v>
      </c>
      <c r="Q10" s="4">
        <f t="shared" si="0"/>
        <v>20881.93</v>
      </c>
      <c r="R10" s="3">
        <v>12</v>
      </c>
      <c r="S10">
        <v>587</v>
      </c>
      <c r="T10">
        <v>691</v>
      </c>
      <c r="U10" s="3">
        <v>14</v>
      </c>
      <c r="V10" s="3">
        <v>12</v>
      </c>
      <c r="W10">
        <v>1226</v>
      </c>
      <c r="X10" s="3">
        <v>5</v>
      </c>
      <c r="Y10">
        <v>494</v>
      </c>
      <c r="Z10" s="3">
        <v>4</v>
      </c>
      <c r="AA10" t="s">
        <v>70</v>
      </c>
      <c r="AB10" s="3">
        <v>213</v>
      </c>
      <c r="AC10">
        <v>207.82</v>
      </c>
      <c r="AD10" t="s">
        <v>49</v>
      </c>
      <c r="AE10">
        <v>224.5</v>
      </c>
      <c r="AF10" s="3">
        <v>9</v>
      </c>
      <c r="AG10" t="s">
        <v>49</v>
      </c>
      <c r="AH10">
        <v>2493.84</v>
      </c>
      <c r="AI10" t="s">
        <v>49</v>
      </c>
      <c r="AJ10">
        <v>176.5</v>
      </c>
      <c r="AK10" t="s">
        <v>49</v>
      </c>
      <c r="AL10">
        <v>2118</v>
      </c>
      <c r="AM10" t="s">
        <v>49</v>
      </c>
      <c r="AN10" s="3">
        <v>360</v>
      </c>
      <c r="AO10" s="19">
        <v>0.6667</v>
      </c>
      <c r="AP10" s="19">
        <v>0.2222</v>
      </c>
      <c r="AQ10" s="19">
        <v>0.7137</v>
      </c>
      <c r="AR10" s="19">
        <v>0.3176</v>
      </c>
      <c r="AS10" s="19">
        <v>0.5</v>
      </c>
      <c r="AT10" s="19">
        <v>0.3571</v>
      </c>
      <c r="AU10" s="3">
        <v>0</v>
      </c>
      <c r="AV10" s="3">
        <v>0</v>
      </c>
      <c r="AW10" s="19">
        <v>0</v>
      </c>
      <c r="AX10" s="3">
        <v>0</v>
      </c>
      <c r="AY10" s="3">
        <v>0</v>
      </c>
    </row>
    <row r="11" spans="1:51">
      <c r="A11" s="3">
        <v>19692647</v>
      </c>
      <c r="B11" t="s">
        <v>71</v>
      </c>
      <c r="C11" s="3">
        <v>115215025</v>
      </c>
      <c r="D11" t="s">
        <v>44</v>
      </c>
      <c r="E11" t="s">
        <v>72</v>
      </c>
      <c r="F11" t="s">
        <v>46</v>
      </c>
      <c r="G11" t="s">
        <v>47</v>
      </c>
      <c r="H11" s="16">
        <v>3065</v>
      </c>
      <c r="I11" s="4">
        <f>VLOOKUP(C11,[1]sheet1!$D:$I,6,0)</f>
        <v>2201</v>
      </c>
      <c r="J11" s="4">
        <f>VLOOKUP(C11,[2]sheet1!$D:$I,6,0)</f>
        <v>3027</v>
      </c>
      <c r="K11" s="4">
        <f>VLOOKUP(C11,[3]sheet1!$D:$I,6,0)</f>
        <v>3028</v>
      </c>
      <c r="L11" s="4">
        <f>VLOOKUP(C11,[4]sheet1!$D:$I,6,0)</f>
        <v>1768</v>
      </c>
      <c r="M11" s="4">
        <f>VLOOKUP(C11,[5]sheet1!$D:$I,6,0)</f>
        <v>2520</v>
      </c>
      <c r="N11" s="4">
        <f>VLOOKUP(C11,[6]sheet1!$D:$I,6,0)</f>
        <v>2757.64</v>
      </c>
      <c r="O11" s="4">
        <f>VLOOKUP(C11,[7]sheet1!$D:$I,6,0)</f>
        <v>3051</v>
      </c>
      <c r="P11" s="4">
        <f>VLOOKUP(C11,[8]sheet1!$D:$I,6,0)</f>
        <v>2940.64</v>
      </c>
      <c r="Q11" s="4">
        <f t="shared" si="0"/>
        <v>24358.28</v>
      </c>
      <c r="R11" s="3">
        <v>12</v>
      </c>
      <c r="S11">
        <v>1133</v>
      </c>
      <c r="T11">
        <v>396</v>
      </c>
      <c r="U11" s="3">
        <v>38</v>
      </c>
      <c r="V11" s="3">
        <v>12</v>
      </c>
      <c r="W11">
        <v>1317</v>
      </c>
      <c r="X11" s="3">
        <v>5</v>
      </c>
      <c r="Y11">
        <v>1092</v>
      </c>
      <c r="Z11" s="3">
        <v>4</v>
      </c>
      <c r="AA11" t="s">
        <v>73</v>
      </c>
      <c r="AB11" s="3">
        <v>209</v>
      </c>
      <c r="AC11">
        <v>199.22</v>
      </c>
      <c r="AD11" t="s">
        <v>49</v>
      </c>
      <c r="AE11">
        <v>255.42</v>
      </c>
      <c r="AF11" s="3">
        <v>11</v>
      </c>
      <c r="AG11" t="s">
        <v>49</v>
      </c>
      <c r="AH11">
        <v>2390.64</v>
      </c>
      <c r="AI11" t="s">
        <v>49</v>
      </c>
      <c r="AJ11">
        <v>173.12</v>
      </c>
      <c r="AK11" t="s">
        <v>49</v>
      </c>
      <c r="AL11">
        <v>2077.44</v>
      </c>
      <c r="AM11" t="s">
        <v>49</v>
      </c>
      <c r="AN11" s="3">
        <v>1172</v>
      </c>
      <c r="AO11" s="19">
        <v>0.4545</v>
      </c>
      <c r="AP11" s="19">
        <v>0.4545</v>
      </c>
      <c r="AQ11" s="19">
        <v>0.7922</v>
      </c>
      <c r="AR11" s="19">
        <v>0.3534</v>
      </c>
      <c r="AS11" s="19">
        <v>0.6579</v>
      </c>
      <c r="AT11" s="19">
        <v>0.5263</v>
      </c>
      <c r="AU11" s="3">
        <v>0</v>
      </c>
      <c r="AV11" s="3">
        <v>0</v>
      </c>
      <c r="AW11" s="19">
        <v>0</v>
      </c>
      <c r="AX11" s="3">
        <v>0</v>
      </c>
      <c r="AY11" s="3">
        <v>0</v>
      </c>
    </row>
    <row r="12" spans="1:51">
      <c r="A12" s="3">
        <v>15983027</v>
      </c>
      <c r="B12" t="s">
        <v>74</v>
      </c>
      <c r="C12" s="3">
        <v>16403404</v>
      </c>
      <c r="D12" t="s">
        <v>44</v>
      </c>
      <c r="E12" t="s">
        <v>75</v>
      </c>
      <c r="F12" t="s">
        <v>65</v>
      </c>
      <c r="G12" t="s">
        <v>47</v>
      </c>
      <c r="H12" s="16">
        <v>570</v>
      </c>
      <c r="I12" s="4">
        <f>VLOOKUP(C12,[1]sheet1!$D:$I,6,0)</f>
        <v>452</v>
      </c>
      <c r="J12" s="4">
        <f>VLOOKUP(C12,[2]sheet1!$D:$I,6,0)</f>
        <v>276</v>
      </c>
      <c r="K12" s="4">
        <f>VLOOKUP(C12,[3]sheet1!$D:$I,6,0)</f>
        <v>195</v>
      </c>
      <c r="L12" s="4">
        <f>VLOOKUP(C12,[4]sheet1!$D:$I,6,0)</f>
        <v>386</v>
      </c>
      <c r="M12" s="4">
        <f>VLOOKUP(C12,[5]sheet1!$D:$I,6,0)</f>
        <v>386</v>
      </c>
      <c r="N12" s="4">
        <f>VLOOKUP(C12,[6]sheet1!$D:$I,6,0)</f>
        <v>342</v>
      </c>
      <c r="O12" s="4">
        <f>VLOOKUP(C12,[7]sheet1!$D:$I,6,0)</f>
        <v>477</v>
      </c>
      <c r="P12" s="4">
        <f>VLOOKUP(C12,[8]sheet1!$D:$I,6,0)</f>
        <v>351</v>
      </c>
      <c r="Q12" s="4">
        <f t="shared" si="0"/>
        <v>3435</v>
      </c>
      <c r="R12" s="3">
        <v>11</v>
      </c>
      <c r="S12" s="3">
        <v>402</v>
      </c>
      <c r="T12" s="19">
        <v>0.0274</v>
      </c>
      <c r="U12" s="3">
        <v>15</v>
      </c>
      <c r="V12" s="3">
        <v>11</v>
      </c>
      <c r="W12">
        <v>135</v>
      </c>
      <c r="X12" s="3">
        <v>2</v>
      </c>
      <c r="Y12">
        <v>195</v>
      </c>
      <c r="Z12" s="3">
        <v>3</v>
      </c>
      <c r="AA12" t="s">
        <v>76</v>
      </c>
      <c r="AB12" t="s">
        <v>49</v>
      </c>
      <c r="AC12">
        <v>54.57</v>
      </c>
      <c r="AD12" t="s">
        <v>49</v>
      </c>
      <c r="AE12">
        <v>51.82</v>
      </c>
      <c r="AF12" s="3">
        <v>11</v>
      </c>
      <c r="AG12" t="s">
        <v>49</v>
      </c>
      <c r="AH12">
        <v>600.27</v>
      </c>
      <c r="AI12" t="s">
        <v>49</v>
      </c>
      <c r="AJ12" t="s">
        <v>49</v>
      </c>
      <c r="AK12" t="s">
        <v>49</v>
      </c>
      <c r="AL12" t="s">
        <v>49</v>
      </c>
      <c r="AM12" t="s">
        <v>49</v>
      </c>
      <c r="AN12" s="3">
        <v>476</v>
      </c>
      <c r="AO12" s="19">
        <v>0.9091</v>
      </c>
      <c r="AP12" s="19">
        <v>0.4545</v>
      </c>
      <c r="AQ12" s="19">
        <v>0.8905</v>
      </c>
      <c r="AR12" s="19">
        <v>0.4303</v>
      </c>
      <c r="AS12" s="19">
        <v>0.9333</v>
      </c>
      <c r="AT12" s="19">
        <v>0.5333</v>
      </c>
      <c r="AU12" s="3">
        <v>1</v>
      </c>
      <c r="AV12" s="3">
        <v>0</v>
      </c>
      <c r="AW12" s="19">
        <v>1</v>
      </c>
      <c r="AX12" s="3">
        <v>0</v>
      </c>
      <c r="AY12" s="3">
        <v>0</v>
      </c>
    </row>
    <row r="13" spans="1:51">
      <c r="A13" s="3">
        <v>10859160</v>
      </c>
      <c r="B13" t="s">
        <v>77</v>
      </c>
      <c r="C13" s="3">
        <v>16402503</v>
      </c>
      <c r="D13" t="s">
        <v>44</v>
      </c>
      <c r="E13" t="s">
        <v>78</v>
      </c>
      <c r="F13" t="s">
        <v>46</v>
      </c>
      <c r="G13" t="s">
        <v>47</v>
      </c>
      <c r="H13" s="16">
        <v>3251</v>
      </c>
      <c r="I13" s="4">
        <f>VLOOKUP(C13,[1]sheet1!$D:$I,6,0)</f>
        <v>1488</v>
      </c>
      <c r="J13" s="4">
        <f>VLOOKUP(C13,[2]sheet1!$D:$I,6,0)</f>
        <v>1465</v>
      </c>
      <c r="K13" s="4">
        <f>VLOOKUP(C13,[3]sheet1!$D:$I,6,0)</f>
        <v>1738</v>
      </c>
      <c r="L13" s="4">
        <f>VLOOKUP(C13,[4]sheet1!$D:$I,6,0)</f>
        <v>863</v>
      </c>
      <c r="M13" s="4">
        <f>VLOOKUP(C13,[5]sheet1!$D:$I,6,0)</f>
        <v>2363</v>
      </c>
      <c r="N13" s="4">
        <f>VLOOKUP(C13,[6]sheet1!$D:$I,6,0)</f>
        <v>1457</v>
      </c>
      <c r="O13" s="4">
        <f>VLOOKUP(C13,[7]sheet1!$D:$I,6,0)</f>
        <v>5443</v>
      </c>
      <c r="P13" s="4">
        <f>VLOOKUP(C13,[8]sheet1!$D:$I,6,0)</f>
        <v>4493</v>
      </c>
      <c r="Q13" s="4">
        <f t="shared" si="0"/>
        <v>22561</v>
      </c>
      <c r="R13" s="3">
        <v>11</v>
      </c>
      <c r="S13">
        <v>1016</v>
      </c>
      <c r="T13">
        <v>441</v>
      </c>
      <c r="U13" s="3">
        <v>40</v>
      </c>
      <c r="V13" s="3">
        <v>11</v>
      </c>
      <c r="W13">
        <v>299</v>
      </c>
      <c r="X13" s="3">
        <v>1</v>
      </c>
      <c r="Y13">
        <v>319</v>
      </c>
      <c r="Z13" s="3">
        <v>1</v>
      </c>
      <c r="AA13" t="s">
        <v>79</v>
      </c>
      <c r="AB13" s="3">
        <v>273</v>
      </c>
      <c r="AC13">
        <v>265.65</v>
      </c>
      <c r="AD13" t="s">
        <v>49</v>
      </c>
      <c r="AE13">
        <v>295.55</v>
      </c>
      <c r="AF13" s="3">
        <v>11</v>
      </c>
      <c r="AG13" t="s">
        <v>49</v>
      </c>
      <c r="AH13">
        <v>2922.15</v>
      </c>
      <c r="AI13" t="s">
        <v>49</v>
      </c>
      <c r="AJ13">
        <v>224.63</v>
      </c>
      <c r="AK13" t="s">
        <v>49</v>
      </c>
      <c r="AL13">
        <v>2470.93</v>
      </c>
      <c r="AM13" t="s">
        <v>49</v>
      </c>
      <c r="AN13" s="3">
        <v>1077</v>
      </c>
      <c r="AO13" s="19">
        <v>0.5455</v>
      </c>
      <c r="AP13" s="19">
        <v>0.2727</v>
      </c>
      <c r="AQ13" s="19">
        <v>0.9083</v>
      </c>
      <c r="AR13" s="19">
        <v>0.5321</v>
      </c>
      <c r="AS13" s="19">
        <v>0.925</v>
      </c>
      <c r="AT13" s="19">
        <v>0.55</v>
      </c>
      <c r="AU13" s="3">
        <v>0</v>
      </c>
      <c r="AV13" s="3">
        <v>0</v>
      </c>
      <c r="AW13" s="19">
        <v>0</v>
      </c>
      <c r="AX13" s="3">
        <v>0</v>
      </c>
      <c r="AY13" s="3">
        <v>0</v>
      </c>
    </row>
    <row r="14" spans="1:51">
      <c r="A14" s="3">
        <v>9414196</v>
      </c>
      <c r="B14" t="s">
        <v>80</v>
      </c>
      <c r="C14" s="3">
        <v>11421201</v>
      </c>
      <c r="D14" t="s">
        <v>44</v>
      </c>
      <c r="E14" t="s">
        <v>51</v>
      </c>
      <c r="F14" t="s">
        <v>46</v>
      </c>
      <c r="G14" t="s">
        <v>47</v>
      </c>
      <c r="H14" s="16">
        <v>1994</v>
      </c>
      <c r="I14" s="4">
        <f>VLOOKUP(C14,[1]sheet1!$D:$I,6,0)</f>
        <v>1065.9</v>
      </c>
      <c r="J14" s="4">
        <f>VLOOKUP(C14,[2]sheet1!$D:$I,6,0)</f>
        <v>1282</v>
      </c>
      <c r="K14" s="4">
        <f>VLOOKUP(C14,[3]sheet1!$D:$I,6,0)</f>
        <v>1071</v>
      </c>
      <c r="L14" s="4">
        <f>VLOOKUP(C14,[4]sheet1!$D:$I,6,0)</f>
        <v>1684</v>
      </c>
      <c r="M14" s="4">
        <f>VLOOKUP(C14,[5]sheet1!$D:$I,6,0)</f>
        <v>1050</v>
      </c>
      <c r="N14" s="4">
        <f>VLOOKUP(C14,[6]sheet1!$D:$I,6,0)</f>
        <v>221</v>
      </c>
      <c r="O14" s="4">
        <f>VLOOKUP(C14,[7]sheet1!$D:$I,6,0)</f>
        <v>848</v>
      </c>
      <c r="P14" s="4">
        <f>VLOOKUP(C14,[8]sheet1!$D:$I,6,0)</f>
        <v>627</v>
      </c>
      <c r="Q14" s="4">
        <f t="shared" si="0"/>
        <v>9842.9</v>
      </c>
      <c r="R14" s="3">
        <v>9</v>
      </c>
      <c r="S14">
        <v>1547</v>
      </c>
      <c r="T14">
        <v>263</v>
      </c>
      <c r="U14" s="3">
        <v>92</v>
      </c>
      <c r="V14" s="3">
        <v>9</v>
      </c>
      <c r="W14">
        <v>228</v>
      </c>
      <c r="X14" s="3">
        <v>1</v>
      </c>
      <c r="Y14">
        <v>478</v>
      </c>
      <c r="Z14" s="3">
        <v>2</v>
      </c>
      <c r="AA14" t="s">
        <v>70</v>
      </c>
      <c r="AB14" s="3">
        <v>209</v>
      </c>
      <c r="AC14">
        <v>209.12</v>
      </c>
      <c r="AD14" t="s">
        <v>49</v>
      </c>
      <c r="AE14">
        <v>221.56</v>
      </c>
      <c r="AF14" s="3">
        <v>9</v>
      </c>
      <c r="AG14" t="s">
        <v>49</v>
      </c>
      <c r="AH14">
        <v>1882.08</v>
      </c>
      <c r="AI14" t="s">
        <v>49</v>
      </c>
      <c r="AJ14">
        <v>174.32</v>
      </c>
      <c r="AK14" t="s">
        <v>49</v>
      </c>
      <c r="AL14">
        <v>1568.88</v>
      </c>
      <c r="AM14" t="s">
        <v>49</v>
      </c>
      <c r="AN14" s="3">
        <v>2604</v>
      </c>
      <c r="AO14" s="19">
        <v>0.7778</v>
      </c>
      <c r="AP14" s="19">
        <v>0.3333</v>
      </c>
      <c r="AQ14" s="19">
        <v>0.7999</v>
      </c>
      <c r="AR14" s="19">
        <v>0.4585</v>
      </c>
      <c r="AS14" s="19">
        <v>0.837</v>
      </c>
      <c r="AT14" s="19">
        <v>0.4891</v>
      </c>
      <c r="AU14" s="3">
        <v>0</v>
      </c>
      <c r="AV14" s="3">
        <v>0</v>
      </c>
      <c r="AW14" s="19">
        <v>0</v>
      </c>
      <c r="AX14" s="3">
        <v>0</v>
      </c>
      <c r="AY14" s="3">
        <v>0</v>
      </c>
    </row>
    <row r="15" spans="1:51">
      <c r="A15" s="3">
        <v>4460998</v>
      </c>
      <c r="B15" t="s">
        <v>81</v>
      </c>
      <c r="C15" s="3">
        <v>115214025</v>
      </c>
      <c r="D15" t="s">
        <v>44</v>
      </c>
      <c r="E15" t="s">
        <v>57</v>
      </c>
      <c r="F15" t="s">
        <v>46</v>
      </c>
      <c r="G15" t="s">
        <v>47</v>
      </c>
      <c r="H15" s="16">
        <v>1946</v>
      </c>
      <c r="I15" s="4">
        <f>VLOOKUP(C15,[1]sheet1!$D:$I,6,0)</f>
        <v>2704.87</v>
      </c>
      <c r="J15" s="4">
        <f>VLOOKUP(C15,[2]sheet1!$D:$I,6,0)</f>
        <v>1971</v>
      </c>
      <c r="K15" s="4">
        <f>VLOOKUP(C15,[3]sheet1!$D:$I,6,0)</f>
        <v>1466</v>
      </c>
      <c r="L15" s="4">
        <f>VLOOKUP(C15,[4]sheet1!$D:$I,6,0)</f>
        <v>1945</v>
      </c>
      <c r="M15" s="4">
        <f>VLOOKUP(C15,[5]sheet1!$D:$I,6,0)</f>
        <v>1888</v>
      </c>
      <c r="N15" s="4">
        <f>VLOOKUP(C15,[6]sheet1!$D:$I,6,0)</f>
        <v>970</v>
      </c>
      <c r="O15" s="4">
        <f>VLOOKUP(C15,[7]sheet1!$D:$I,6,0)</f>
        <v>1426</v>
      </c>
      <c r="P15" s="4">
        <f>VLOOKUP(C15,[8]sheet1!$D:$I,6,0)</f>
        <v>2551</v>
      </c>
      <c r="Q15" s="4">
        <f t="shared" si="0"/>
        <v>16867.87</v>
      </c>
      <c r="R15" s="3">
        <v>8</v>
      </c>
      <c r="S15">
        <v>685</v>
      </c>
      <c r="T15">
        <v>559</v>
      </c>
      <c r="U15" s="3">
        <v>21</v>
      </c>
      <c r="V15" s="3">
        <v>8</v>
      </c>
      <c r="W15">
        <v>783</v>
      </c>
      <c r="X15" s="3">
        <v>3</v>
      </c>
      <c r="Y15">
        <v>522</v>
      </c>
      <c r="Z15" s="3">
        <v>2</v>
      </c>
      <c r="AA15" t="s">
        <v>52</v>
      </c>
      <c r="AB15" s="3">
        <v>259</v>
      </c>
      <c r="AC15">
        <v>242.62</v>
      </c>
      <c r="AD15" t="s">
        <v>49</v>
      </c>
      <c r="AE15">
        <v>243.25</v>
      </c>
      <c r="AF15" s="3">
        <v>8</v>
      </c>
      <c r="AG15" t="s">
        <v>49</v>
      </c>
      <c r="AH15">
        <v>1940.96</v>
      </c>
      <c r="AI15" t="s">
        <v>49</v>
      </c>
      <c r="AJ15">
        <v>216.52</v>
      </c>
      <c r="AK15" t="s">
        <v>49</v>
      </c>
      <c r="AL15">
        <v>1732.16</v>
      </c>
      <c r="AM15" t="s">
        <v>49</v>
      </c>
      <c r="AN15" s="3">
        <v>487</v>
      </c>
      <c r="AO15" s="19">
        <v>0.5</v>
      </c>
      <c r="AP15" s="19">
        <v>0.125</v>
      </c>
      <c r="AQ15" s="19">
        <v>0.7032</v>
      </c>
      <c r="AR15" s="19">
        <v>0.2968</v>
      </c>
      <c r="AS15" s="19">
        <v>0.5238</v>
      </c>
      <c r="AT15" s="19">
        <v>0.381</v>
      </c>
      <c r="AU15" s="3">
        <v>1</v>
      </c>
      <c r="AV15" s="3">
        <v>0</v>
      </c>
      <c r="AW15" s="19">
        <v>1</v>
      </c>
      <c r="AX15" s="3">
        <v>0</v>
      </c>
      <c r="AY15" s="3">
        <v>0</v>
      </c>
    </row>
    <row r="16" spans="1:51">
      <c r="A16" s="3">
        <v>4460489</v>
      </c>
      <c r="B16" t="s">
        <v>82</v>
      </c>
      <c r="C16" s="3">
        <v>11321405</v>
      </c>
      <c r="D16" t="s">
        <v>44</v>
      </c>
      <c r="E16" t="s">
        <v>57</v>
      </c>
      <c r="F16" t="s">
        <v>46</v>
      </c>
      <c r="G16" t="s">
        <v>47</v>
      </c>
      <c r="H16" s="16">
        <v>1910</v>
      </c>
      <c r="I16" s="4">
        <f>VLOOKUP(C16,[1]sheet1!$D:$I,6,0)</f>
        <v>1715</v>
      </c>
      <c r="J16" s="4">
        <f>VLOOKUP(C16,[2]sheet1!$D:$I,6,0)</f>
        <v>1969</v>
      </c>
      <c r="K16" s="4">
        <f>VLOOKUP(C16,[3]sheet1!$D:$I,6,0)</f>
        <v>1729</v>
      </c>
      <c r="L16" s="4">
        <f>VLOOKUP(C16,[4]sheet1!$D:$I,6,0)</f>
        <v>486</v>
      </c>
      <c r="M16" s="4">
        <f>VLOOKUP(C16,[5]sheet1!$D:$I,6,0)</f>
        <v>2412</v>
      </c>
      <c r="N16" s="4">
        <f>VLOOKUP(C16,[6]sheet1!$D:$I,6,0)</f>
        <v>735</v>
      </c>
      <c r="O16" s="4">
        <f>VLOOKUP(C16,[7]sheet1!$D:$I,6,0)</f>
        <v>2852</v>
      </c>
      <c r="P16" s="4">
        <f>VLOOKUP(C16,[8]sheet1!$D:$I,6,0)</f>
        <v>2607</v>
      </c>
      <c r="Q16" s="4">
        <f t="shared" si="0"/>
        <v>16415</v>
      </c>
      <c r="R16" s="3">
        <v>8</v>
      </c>
      <c r="S16">
        <v>481</v>
      </c>
      <c r="T16">
        <v>796</v>
      </c>
      <c r="U16" s="3">
        <v>8</v>
      </c>
      <c r="V16" s="3">
        <v>8</v>
      </c>
      <c r="W16">
        <v>261</v>
      </c>
      <c r="X16" s="3">
        <v>1</v>
      </c>
      <c r="Y16">
        <v>233</v>
      </c>
      <c r="Z16" s="3">
        <v>1</v>
      </c>
      <c r="AA16" t="s">
        <v>52</v>
      </c>
      <c r="AB16" s="3">
        <v>250</v>
      </c>
      <c r="AC16">
        <v>242.62</v>
      </c>
      <c r="AD16" t="s">
        <v>49</v>
      </c>
      <c r="AE16">
        <v>238.75</v>
      </c>
      <c r="AF16" s="3">
        <v>8</v>
      </c>
      <c r="AG16" t="s">
        <v>49</v>
      </c>
      <c r="AH16">
        <v>1940.96</v>
      </c>
      <c r="AI16" t="s">
        <v>49</v>
      </c>
      <c r="AJ16">
        <v>218.69</v>
      </c>
      <c r="AK16" t="s">
        <v>49</v>
      </c>
      <c r="AL16">
        <v>1749.52</v>
      </c>
      <c r="AM16" t="s">
        <v>49</v>
      </c>
      <c r="AN16" s="3">
        <v>259</v>
      </c>
      <c r="AO16" s="19">
        <v>0.375</v>
      </c>
      <c r="AP16" s="19">
        <v>0.125</v>
      </c>
      <c r="AQ16" s="19">
        <v>0.6959</v>
      </c>
      <c r="AR16" s="19">
        <v>0.2982</v>
      </c>
      <c r="AS16" s="19">
        <v>0.75</v>
      </c>
      <c r="AT16" s="19">
        <v>0.25</v>
      </c>
      <c r="AU16" s="3">
        <v>0</v>
      </c>
      <c r="AV16" s="3">
        <v>0</v>
      </c>
      <c r="AW16" s="19">
        <v>0</v>
      </c>
      <c r="AX16" s="3">
        <v>0</v>
      </c>
      <c r="AY16" s="3">
        <v>0</v>
      </c>
    </row>
    <row r="17" spans="1:51">
      <c r="A17" s="3">
        <v>19807105</v>
      </c>
      <c r="B17" t="s">
        <v>83</v>
      </c>
      <c r="C17" s="3">
        <v>135101022</v>
      </c>
      <c r="D17" t="s">
        <v>44</v>
      </c>
      <c r="E17" t="s">
        <v>84</v>
      </c>
      <c r="F17" t="s">
        <v>65</v>
      </c>
      <c r="G17" t="s">
        <v>47</v>
      </c>
      <c r="H17" s="16">
        <v>2726</v>
      </c>
      <c r="I17" s="4">
        <f>VLOOKUP(C17,[1]sheet1!$D:$I,6,0)</f>
        <v>1016</v>
      </c>
      <c r="J17" s="4">
        <f>VLOOKUP(C17,[2]sheet1!$D:$I,6,0)</f>
        <v>1378</v>
      </c>
      <c r="K17" s="4">
        <f>VLOOKUP(C17,[3]sheet1!$D:$I,6,0)</f>
        <v>342</v>
      </c>
      <c r="L17" s="4">
        <f>VLOOKUP(C17,[4]sheet1!$D:$I,6,0)</f>
        <v>327</v>
      </c>
      <c r="M17" s="4">
        <f>VLOOKUP(C17,[5]sheet1!$D:$I,6,0)</f>
        <v>1016</v>
      </c>
      <c r="N17" s="4">
        <f>VLOOKUP(C17,[6]sheet1!$D:$I,6,0)</f>
        <v>0</v>
      </c>
      <c r="O17" s="4">
        <f>VLOOKUP(C17,[7]sheet1!$D:$I,6,0)</f>
        <v>970</v>
      </c>
      <c r="P17" s="4">
        <f>VLOOKUP(C17,[8]sheet1!$D:$I,6,0)</f>
        <v>1674</v>
      </c>
      <c r="Q17" s="4">
        <f t="shared" si="0"/>
        <v>9449</v>
      </c>
      <c r="R17" s="3">
        <v>8</v>
      </c>
      <c r="S17" s="3">
        <v>592</v>
      </c>
      <c r="T17" s="19">
        <v>0.0118</v>
      </c>
      <c r="U17" s="3">
        <v>29</v>
      </c>
      <c r="V17" s="3">
        <v>8</v>
      </c>
      <c r="W17">
        <v>0</v>
      </c>
      <c r="X17" s="3">
        <v>0</v>
      </c>
      <c r="Y17">
        <v>1440</v>
      </c>
      <c r="Z17" s="3">
        <v>4</v>
      </c>
      <c r="AA17" t="s">
        <v>85</v>
      </c>
      <c r="AB17" t="s">
        <v>49</v>
      </c>
      <c r="AC17">
        <v>295.04</v>
      </c>
      <c r="AD17" t="s">
        <v>49</v>
      </c>
      <c r="AE17">
        <v>340.75</v>
      </c>
      <c r="AF17" s="3">
        <v>7</v>
      </c>
      <c r="AG17" t="s">
        <v>49</v>
      </c>
      <c r="AH17">
        <v>2360.32</v>
      </c>
      <c r="AI17" t="s">
        <v>49</v>
      </c>
      <c r="AJ17" t="s">
        <v>49</v>
      </c>
      <c r="AK17" t="s">
        <v>49</v>
      </c>
      <c r="AL17" t="s">
        <v>49</v>
      </c>
      <c r="AM17" t="s">
        <v>49</v>
      </c>
      <c r="AN17" s="3">
        <v>732</v>
      </c>
      <c r="AO17" s="19">
        <v>1</v>
      </c>
      <c r="AP17" s="19">
        <v>0.7143</v>
      </c>
      <c r="AQ17" s="19">
        <v>0.9054</v>
      </c>
      <c r="AR17" s="19">
        <v>0.6368</v>
      </c>
      <c r="AS17" s="19">
        <v>1</v>
      </c>
      <c r="AT17" s="19">
        <v>0.7241</v>
      </c>
      <c r="AU17" s="3">
        <v>0</v>
      </c>
      <c r="AV17" s="3">
        <v>0</v>
      </c>
      <c r="AW17" s="19">
        <v>0</v>
      </c>
      <c r="AX17" s="3">
        <v>0</v>
      </c>
      <c r="AY17" s="3">
        <v>0</v>
      </c>
    </row>
    <row r="18" spans="1:51">
      <c r="A18" s="3">
        <v>20661018</v>
      </c>
      <c r="B18" t="s">
        <v>86</v>
      </c>
      <c r="C18" s="3">
        <v>115214005</v>
      </c>
      <c r="D18" t="s">
        <v>44</v>
      </c>
      <c r="E18" t="s">
        <v>57</v>
      </c>
      <c r="F18" t="s">
        <v>46</v>
      </c>
      <c r="G18" t="s">
        <v>47</v>
      </c>
      <c r="H18" s="16">
        <v>1694</v>
      </c>
      <c r="I18" s="4">
        <f>VLOOKUP(C18,[1]sheet1!$D:$I,6,0)</f>
        <v>1694</v>
      </c>
      <c r="J18" s="4">
        <f>VLOOKUP(C18,[2]sheet1!$D:$I,6,0)</f>
        <v>489</v>
      </c>
      <c r="K18" s="4">
        <f>VLOOKUP(C18,[3]sheet1!$D:$I,6,0)</f>
        <v>672</v>
      </c>
      <c r="L18" s="4">
        <f>VLOOKUP(C18,[4]sheet1!$D:$I,6,0)</f>
        <v>1381</v>
      </c>
      <c r="M18" s="4">
        <f>VLOOKUP(C18,[5]sheet1!$D:$I,6,0)</f>
        <v>458</v>
      </c>
      <c r="N18" s="4">
        <f>VLOOKUP(C18,[6]sheet1!$D:$I,6,0)</f>
        <v>2392</v>
      </c>
      <c r="O18" s="4">
        <f>VLOOKUP(C18,[7]sheet1!$D:$I,6,0)</f>
        <v>1871</v>
      </c>
      <c r="P18" s="4">
        <f>VLOOKUP(C18,[8]sheet1!$D:$I,6,0)</f>
        <v>713</v>
      </c>
      <c r="Q18" s="4">
        <f t="shared" si="0"/>
        <v>11364</v>
      </c>
      <c r="R18" s="3">
        <v>7</v>
      </c>
      <c r="S18">
        <v>798</v>
      </c>
      <c r="T18">
        <v>449</v>
      </c>
      <c r="U18" s="3">
        <v>14</v>
      </c>
      <c r="V18" s="3">
        <v>7</v>
      </c>
      <c r="W18">
        <v>746</v>
      </c>
      <c r="X18" s="3">
        <v>3</v>
      </c>
      <c r="Y18">
        <v>520</v>
      </c>
      <c r="Z18" s="3">
        <v>2</v>
      </c>
      <c r="AA18" t="s">
        <v>49</v>
      </c>
      <c r="AB18" s="3">
        <v>259</v>
      </c>
      <c r="AC18" t="s">
        <v>49</v>
      </c>
      <c r="AD18" t="s">
        <v>49</v>
      </c>
      <c r="AE18">
        <v>242</v>
      </c>
      <c r="AF18" s="3">
        <v>7</v>
      </c>
      <c r="AG18" t="s">
        <v>49</v>
      </c>
      <c r="AH18" t="s">
        <v>49</v>
      </c>
      <c r="AI18" t="s">
        <v>49</v>
      </c>
      <c r="AJ18">
        <v>216.52</v>
      </c>
      <c r="AK18" t="s">
        <v>49</v>
      </c>
      <c r="AL18">
        <v>1515.64</v>
      </c>
      <c r="AM18" t="s">
        <v>49</v>
      </c>
      <c r="AN18" s="3">
        <v>568</v>
      </c>
      <c r="AO18" s="19">
        <v>0.8571</v>
      </c>
      <c r="AP18" s="19">
        <v>0.1429</v>
      </c>
      <c r="AQ18" s="19">
        <v>0.866</v>
      </c>
      <c r="AR18" s="19">
        <v>0.3191</v>
      </c>
      <c r="AS18" s="19">
        <v>0.8571</v>
      </c>
      <c r="AT18" s="19">
        <v>0.6429</v>
      </c>
      <c r="AU18" s="3">
        <v>0</v>
      </c>
      <c r="AV18" s="3">
        <v>0</v>
      </c>
      <c r="AW18" s="19">
        <v>0</v>
      </c>
      <c r="AX18" s="3">
        <v>0</v>
      </c>
      <c r="AY18" s="3">
        <v>0</v>
      </c>
    </row>
    <row r="19" spans="1:51">
      <c r="A19" s="3">
        <v>15246597</v>
      </c>
      <c r="B19" t="s">
        <v>87</v>
      </c>
      <c r="C19" s="3">
        <v>116202507</v>
      </c>
      <c r="D19" t="s">
        <v>44</v>
      </c>
      <c r="E19" t="s">
        <v>78</v>
      </c>
      <c r="F19" t="s">
        <v>46</v>
      </c>
      <c r="G19" t="s">
        <v>47</v>
      </c>
      <c r="H19" s="16">
        <v>2115</v>
      </c>
      <c r="I19" s="4">
        <f>VLOOKUP(C19,[1]sheet1!$D:$I,6,0)</f>
        <v>2163</v>
      </c>
      <c r="J19" s="4">
        <f>VLOOKUP(C19,[2]sheet1!$D:$I,6,0)</f>
        <v>1228.52</v>
      </c>
      <c r="K19" s="4">
        <f>VLOOKUP(C19,[3]sheet1!$D:$I,6,0)</f>
        <v>308</v>
      </c>
      <c r="L19" s="4">
        <f>VLOOKUP(C19,[4]sheet1!$D:$I,6,0)</f>
        <v>969</v>
      </c>
      <c r="M19" s="4">
        <f>VLOOKUP(C19,[5]sheet1!$D:$I,6,0)</f>
        <v>320</v>
      </c>
      <c r="N19" s="4">
        <f>VLOOKUP(C19,[6]sheet1!$D:$I,6,0)</f>
        <v>696</v>
      </c>
      <c r="O19" s="4">
        <f>VLOOKUP(C19,[7]sheet1!$D:$I,6,0)</f>
        <v>1897</v>
      </c>
      <c r="P19" s="4">
        <f>VLOOKUP(C19,[8]sheet1!$D:$I,6,0)</f>
        <v>2040</v>
      </c>
      <c r="Q19" s="4">
        <f t="shared" si="0"/>
        <v>11736.52</v>
      </c>
      <c r="R19" s="3">
        <v>7</v>
      </c>
      <c r="S19">
        <v>953</v>
      </c>
      <c r="T19">
        <v>375</v>
      </c>
      <c r="U19" s="3">
        <v>27</v>
      </c>
      <c r="V19" s="3">
        <v>7</v>
      </c>
      <c r="W19">
        <v>0</v>
      </c>
      <c r="X19" s="3">
        <v>0</v>
      </c>
      <c r="Y19">
        <v>642</v>
      </c>
      <c r="Z19" s="3">
        <v>2</v>
      </c>
      <c r="AA19" t="s">
        <v>88</v>
      </c>
      <c r="AB19" s="3">
        <v>309</v>
      </c>
      <c r="AC19">
        <v>249.05</v>
      </c>
      <c r="AD19" t="s">
        <v>49</v>
      </c>
      <c r="AE19">
        <v>302.14</v>
      </c>
      <c r="AF19" s="3">
        <v>7</v>
      </c>
      <c r="AG19" t="s">
        <v>49</v>
      </c>
      <c r="AH19">
        <v>1743.35</v>
      </c>
      <c r="AI19" t="s">
        <v>49</v>
      </c>
      <c r="AJ19" t="s">
        <v>49</v>
      </c>
      <c r="AK19" t="s">
        <v>49</v>
      </c>
      <c r="AL19" t="s">
        <v>49</v>
      </c>
      <c r="AM19" t="s">
        <v>49</v>
      </c>
      <c r="AN19" s="3">
        <v>861</v>
      </c>
      <c r="AO19" s="19">
        <v>0.8571</v>
      </c>
      <c r="AP19" s="19">
        <v>0.4286</v>
      </c>
      <c r="AQ19" s="19">
        <v>0.921</v>
      </c>
      <c r="AR19" s="19">
        <v>0.5633</v>
      </c>
      <c r="AS19" s="19">
        <v>0.9259</v>
      </c>
      <c r="AT19" s="19">
        <v>0.7037</v>
      </c>
      <c r="AU19" s="3">
        <v>0</v>
      </c>
      <c r="AV19" s="3">
        <v>0</v>
      </c>
      <c r="AW19" s="19">
        <v>0</v>
      </c>
      <c r="AX19" s="3">
        <v>0</v>
      </c>
      <c r="AY19" s="3">
        <v>0</v>
      </c>
    </row>
    <row r="20" spans="1:51">
      <c r="A20" s="3">
        <v>9077745</v>
      </c>
      <c r="B20" t="s">
        <v>89</v>
      </c>
      <c r="C20" s="3">
        <v>12421534</v>
      </c>
      <c r="D20" t="s">
        <v>44</v>
      </c>
      <c r="E20" t="s">
        <v>90</v>
      </c>
      <c r="F20" t="s">
        <v>46</v>
      </c>
      <c r="G20" t="s">
        <v>47</v>
      </c>
      <c r="H20" s="16">
        <v>1384</v>
      </c>
      <c r="I20" s="4">
        <f>VLOOKUP(C20,[1]sheet1!$D:$I,6,0)</f>
        <v>1415</v>
      </c>
      <c r="J20" s="4">
        <f>VLOOKUP(C20,[2]sheet1!$D:$I,6,0)</f>
        <v>235</v>
      </c>
      <c r="K20" s="4">
        <f>VLOOKUP(C20,[3]sheet1!$D:$I,6,0)</f>
        <v>705</v>
      </c>
      <c r="L20" s="4">
        <f>VLOOKUP(C20,[4]sheet1!$D:$I,6,0)</f>
        <v>1602</v>
      </c>
      <c r="M20" s="4">
        <f>VLOOKUP(C20,[5]sheet1!$D:$I,6,0)</f>
        <v>1107</v>
      </c>
      <c r="N20" s="4">
        <f>VLOOKUP(C20,[6]sheet1!$D:$I,6,0)</f>
        <v>1175</v>
      </c>
      <c r="O20" s="4">
        <f>VLOOKUP(C20,[7]sheet1!$D:$I,6,0)</f>
        <v>2544</v>
      </c>
      <c r="P20" s="4">
        <f>VLOOKUP(C20,[8]sheet1!$D:$I,6,0)</f>
        <v>1573</v>
      </c>
      <c r="Q20" s="4">
        <f t="shared" si="0"/>
        <v>11740</v>
      </c>
      <c r="R20" s="3">
        <v>6</v>
      </c>
      <c r="S20">
        <v>798</v>
      </c>
      <c r="T20">
        <v>416</v>
      </c>
      <c r="U20" s="3">
        <v>8</v>
      </c>
      <c r="V20" s="3">
        <v>6</v>
      </c>
      <c r="W20">
        <v>755</v>
      </c>
      <c r="X20" s="3">
        <v>3</v>
      </c>
      <c r="Y20">
        <v>1239</v>
      </c>
      <c r="Z20" s="3">
        <v>5</v>
      </c>
      <c r="AA20" t="s">
        <v>70</v>
      </c>
      <c r="AB20" s="3">
        <v>229</v>
      </c>
      <c r="AC20">
        <v>206.94</v>
      </c>
      <c r="AD20" t="s">
        <v>49</v>
      </c>
      <c r="AE20">
        <v>230.67</v>
      </c>
      <c r="AF20" s="3">
        <v>6</v>
      </c>
      <c r="AG20" t="s">
        <v>49</v>
      </c>
      <c r="AH20">
        <v>1241.64</v>
      </c>
      <c r="AI20" t="s">
        <v>49</v>
      </c>
      <c r="AJ20">
        <v>189.54</v>
      </c>
      <c r="AK20" t="s">
        <v>49</v>
      </c>
      <c r="AL20">
        <v>1137.24</v>
      </c>
      <c r="AM20" t="s">
        <v>49</v>
      </c>
      <c r="AN20" s="3">
        <v>576</v>
      </c>
      <c r="AO20" s="19">
        <v>0.3333</v>
      </c>
      <c r="AP20" s="19">
        <v>0.1667</v>
      </c>
      <c r="AQ20" s="19">
        <v>0.8213</v>
      </c>
      <c r="AR20" s="19">
        <v>0.3021</v>
      </c>
      <c r="AS20" s="19">
        <v>1</v>
      </c>
      <c r="AT20" s="19">
        <v>0.375</v>
      </c>
      <c r="AU20" s="3">
        <v>0</v>
      </c>
      <c r="AV20" s="3">
        <v>0</v>
      </c>
      <c r="AW20" s="19">
        <v>0</v>
      </c>
      <c r="AX20" s="3">
        <v>0</v>
      </c>
      <c r="AY20" s="3">
        <v>0</v>
      </c>
    </row>
    <row r="21" spans="1:51">
      <c r="A21" s="3">
        <v>4460368</v>
      </c>
      <c r="B21" t="s">
        <v>91</v>
      </c>
      <c r="C21" s="3">
        <v>115116021</v>
      </c>
      <c r="D21" t="s">
        <v>44</v>
      </c>
      <c r="E21" t="s">
        <v>54</v>
      </c>
      <c r="F21" t="s">
        <v>46</v>
      </c>
      <c r="G21" t="s">
        <v>47</v>
      </c>
      <c r="H21" s="16">
        <v>825</v>
      </c>
      <c r="I21" s="4">
        <f>VLOOKUP(C21,[1]sheet1!$D:$I,6,0)</f>
        <v>551</v>
      </c>
      <c r="J21" s="4">
        <f>VLOOKUP(C21,[2]sheet1!$D:$I,6,0)</f>
        <v>793</v>
      </c>
      <c r="K21" s="4">
        <f>VLOOKUP(C21,[3]sheet1!$D:$I,6,0)</f>
        <v>843</v>
      </c>
      <c r="L21" s="4">
        <f>VLOOKUP(C21,[4]sheet1!$D:$I,6,0)</f>
        <v>284</v>
      </c>
      <c r="M21" s="4">
        <f>VLOOKUP(C21,[5]sheet1!$D:$I,6,0)</f>
        <v>691</v>
      </c>
      <c r="N21" s="4">
        <f>VLOOKUP(C21,[6]sheet1!$D:$I,6,0)</f>
        <v>137</v>
      </c>
      <c r="O21" s="4">
        <f>VLOOKUP(C21,[7]sheet1!$D:$I,6,0)</f>
        <v>557</v>
      </c>
      <c r="P21" s="4">
        <f>VLOOKUP(C21,[8]sheet1!$D:$I,6,0)</f>
        <v>551</v>
      </c>
      <c r="Q21" s="4">
        <f t="shared" si="0"/>
        <v>5232</v>
      </c>
      <c r="R21" s="3">
        <v>6</v>
      </c>
      <c r="S21">
        <v>644</v>
      </c>
      <c r="T21">
        <v>515</v>
      </c>
      <c r="U21" s="3">
        <v>18</v>
      </c>
      <c r="V21" s="3">
        <v>6</v>
      </c>
      <c r="W21">
        <v>160</v>
      </c>
      <c r="X21" s="3">
        <v>1</v>
      </c>
      <c r="Y21">
        <v>304</v>
      </c>
      <c r="Z21" s="3">
        <v>2</v>
      </c>
      <c r="AA21" t="s">
        <v>61</v>
      </c>
      <c r="AB21" s="3">
        <v>155</v>
      </c>
      <c r="AC21">
        <v>139.82</v>
      </c>
      <c r="AD21" t="s">
        <v>49</v>
      </c>
      <c r="AE21">
        <v>137.5</v>
      </c>
      <c r="AF21" s="3">
        <v>6</v>
      </c>
      <c r="AG21" t="s">
        <v>49</v>
      </c>
      <c r="AH21">
        <v>838.92</v>
      </c>
      <c r="AI21" t="s">
        <v>49</v>
      </c>
      <c r="AJ21">
        <v>127.64</v>
      </c>
      <c r="AK21" t="s">
        <v>49</v>
      </c>
      <c r="AL21">
        <v>765.84</v>
      </c>
      <c r="AM21" t="s">
        <v>49</v>
      </c>
      <c r="AN21" s="3">
        <v>382</v>
      </c>
      <c r="AO21" s="19">
        <v>0.5</v>
      </c>
      <c r="AP21" s="19">
        <v>0.8333</v>
      </c>
      <c r="AQ21" s="19">
        <v>0.8366</v>
      </c>
      <c r="AR21" s="19">
        <v>0.6111</v>
      </c>
      <c r="AS21" s="19">
        <v>0.7778</v>
      </c>
      <c r="AT21" s="19">
        <v>0.7222</v>
      </c>
      <c r="AU21" s="3">
        <v>0</v>
      </c>
      <c r="AV21" s="3">
        <v>0</v>
      </c>
      <c r="AW21" s="19">
        <v>0</v>
      </c>
      <c r="AX21" s="3">
        <v>0</v>
      </c>
      <c r="AY21" s="3">
        <v>0</v>
      </c>
    </row>
    <row r="22" spans="1:51">
      <c r="A22" s="3">
        <v>20735873</v>
      </c>
      <c r="B22" t="s">
        <v>92</v>
      </c>
      <c r="C22" s="3">
        <v>115215047</v>
      </c>
      <c r="D22" t="s">
        <v>44</v>
      </c>
      <c r="E22" t="s">
        <v>54</v>
      </c>
      <c r="F22" t="s">
        <v>65</v>
      </c>
      <c r="G22" t="s">
        <v>47</v>
      </c>
      <c r="H22" s="16">
        <v>522</v>
      </c>
      <c r="I22" s="4">
        <f>VLOOKUP(C22,[1]sheet1!$D:$I,6,0)</f>
        <v>797</v>
      </c>
      <c r="J22" s="4">
        <f>VLOOKUP(C22,[2]sheet1!$D:$I,6,0)</f>
        <v>615</v>
      </c>
      <c r="K22" s="4">
        <f>VLOOKUP(C22,[3]sheet1!$D:$I,6,0)</f>
        <v>1047</v>
      </c>
      <c r="L22" s="4">
        <f>VLOOKUP(C22,[4]sheet1!$D:$I,6,0)</f>
        <v>1121</v>
      </c>
      <c r="M22" s="4">
        <f>VLOOKUP(C22,[5]sheet1!$D:$I,6,0)</f>
        <v>885</v>
      </c>
      <c r="N22" s="4">
        <f>VLOOKUP(C22,[6]sheet1!$D:$I,6,0)</f>
        <v>1052</v>
      </c>
      <c r="O22" s="4">
        <f>VLOOKUP(C22,[7]sheet1!$D:$I,6,0)</f>
        <v>822</v>
      </c>
      <c r="P22" s="4">
        <f>VLOOKUP(C22,[8]sheet1!$D:$I,6,0)</f>
        <v>875</v>
      </c>
      <c r="Q22" s="4">
        <f t="shared" si="0"/>
        <v>7736</v>
      </c>
      <c r="R22" s="3">
        <v>6</v>
      </c>
      <c r="S22" s="3">
        <v>418</v>
      </c>
      <c r="T22" s="19">
        <v>0.0144</v>
      </c>
      <c r="U22" s="3">
        <v>16</v>
      </c>
      <c r="V22" s="3">
        <v>6</v>
      </c>
      <c r="W22">
        <v>86</v>
      </c>
      <c r="X22" s="3">
        <v>1</v>
      </c>
      <c r="Y22">
        <v>502</v>
      </c>
      <c r="Z22" s="3">
        <v>5</v>
      </c>
      <c r="AA22" t="s">
        <v>93</v>
      </c>
      <c r="AB22" t="s">
        <v>49</v>
      </c>
      <c r="AC22">
        <v>87.62</v>
      </c>
      <c r="AD22" t="s">
        <v>49</v>
      </c>
      <c r="AE22">
        <v>87</v>
      </c>
      <c r="AF22" s="3">
        <v>6</v>
      </c>
      <c r="AG22" t="s">
        <v>49</v>
      </c>
      <c r="AH22">
        <v>525.72</v>
      </c>
      <c r="AI22" t="s">
        <v>49</v>
      </c>
      <c r="AJ22" t="s">
        <v>49</v>
      </c>
      <c r="AK22" t="s">
        <v>49</v>
      </c>
      <c r="AL22" t="s">
        <v>49</v>
      </c>
      <c r="AM22" t="s">
        <v>49</v>
      </c>
      <c r="AN22" s="3">
        <v>499</v>
      </c>
      <c r="AO22" s="19">
        <v>0.5</v>
      </c>
      <c r="AP22" s="19">
        <v>0.1667</v>
      </c>
      <c r="AQ22" s="19">
        <v>0.8373</v>
      </c>
      <c r="AR22" s="19">
        <v>0.2584</v>
      </c>
      <c r="AS22" s="19">
        <v>0.9375</v>
      </c>
      <c r="AT22" s="19">
        <v>0.3125</v>
      </c>
      <c r="AU22" s="3">
        <v>0</v>
      </c>
      <c r="AV22" s="3">
        <v>0</v>
      </c>
      <c r="AW22" s="19">
        <v>0</v>
      </c>
      <c r="AX22" s="3">
        <v>0</v>
      </c>
      <c r="AY22" s="3">
        <v>0</v>
      </c>
    </row>
    <row r="23" spans="1:51">
      <c r="A23" s="3">
        <v>14161394</v>
      </c>
      <c r="B23" t="s">
        <v>94</v>
      </c>
      <c r="C23" s="3">
        <v>16402511</v>
      </c>
      <c r="D23" t="s">
        <v>44</v>
      </c>
      <c r="E23" t="s">
        <v>78</v>
      </c>
      <c r="F23" t="s">
        <v>46</v>
      </c>
      <c r="G23" t="s">
        <v>47</v>
      </c>
      <c r="H23" s="16">
        <v>1512</v>
      </c>
      <c r="I23" s="4">
        <f>VLOOKUP(C23,[1]sheet1!$D:$I,6,0)</f>
        <v>268</v>
      </c>
      <c r="J23" s="4">
        <f>VLOOKUP(C23,[2]sheet1!$D:$I,6,0)</f>
        <v>968</v>
      </c>
      <c r="K23" s="4">
        <f>VLOOKUP(C23,[3]sheet1!$D:$I,6,0)</f>
        <v>484</v>
      </c>
      <c r="L23" s="4">
        <f>VLOOKUP(C23,[4]sheet1!$D:$I,6,0)</f>
        <v>232</v>
      </c>
      <c r="M23" s="4">
        <f>VLOOKUP(C23,[5]sheet1!$D:$I,6,0)</f>
        <v>1203</v>
      </c>
      <c r="N23" s="4">
        <f>VLOOKUP(C23,[6]sheet1!$D:$I,6,0)</f>
        <v>454</v>
      </c>
      <c r="O23" s="4">
        <f>VLOOKUP(C23,[7]sheet1!$D:$I,6,0)</f>
        <v>448</v>
      </c>
      <c r="P23" s="4">
        <f>VLOOKUP(C23,[8]sheet1!$D:$I,6,0)</f>
        <v>0</v>
      </c>
      <c r="Q23" s="4">
        <f t="shared" si="0"/>
        <v>5569</v>
      </c>
      <c r="R23" s="3">
        <v>6</v>
      </c>
      <c r="S23">
        <v>504</v>
      </c>
      <c r="T23">
        <v>600</v>
      </c>
      <c r="U23" s="3">
        <v>9</v>
      </c>
      <c r="V23" s="3">
        <v>6</v>
      </c>
      <c r="W23">
        <v>0</v>
      </c>
      <c r="X23" s="3">
        <v>0</v>
      </c>
      <c r="Y23">
        <v>550</v>
      </c>
      <c r="Z23" s="3">
        <v>2</v>
      </c>
      <c r="AA23" t="s">
        <v>95</v>
      </c>
      <c r="AB23" s="3">
        <v>237</v>
      </c>
      <c r="AC23">
        <v>191.78</v>
      </c>
      <c r="AD23" t="s">
        <v>49</v>
      </c>
      <c r="AE23">
        <v>252</v>
      </c>
      <c r="AF23" s="3">
        <v>5</v>
      </c>
      <c r="AG23" t="s">
        <v>49</v>
      </c>
      <c r="AH23">
        <v>1150.68</v>
      </c>
      <c r="AI23" t="s">
        <v>49</v>
      </c>
      <c r="AJ23">
        <v>194.03</v>
      </c>
      <c r="AK23" t="s">
        <v>49</v>
      </c>
      <c r="AL23">
        <v>1164.18</v>
      </c>
      <c r="AM23" t="s">
        <v>49</v>
      </c>
      <c r="AN23" s="3">
        <v>239</v>
      </c>
      <c r="AO23" s="19">
        <v>1</v>
      </c>
      <c r="AP23" s="19">
        <v>0</v>
      </c>
      <c r="AQ23" s="19">
        <v>0.8298</v>
      </c>
      <c r="AR23" s="19">
        <v>0.2234</v>
      </c>
      <c r="AS23" s="19">
        <v>1</v>
      </c>
      <c r="AT23" s="19">
        <v>0.2222</v>
      </c>
      <c r="AU23" s="3">
        <v>0</v>
      </c>
      <c r="AV23" s="3">
        <v>0</v>
      </c>
      <c r="AW23" s="19">
        <v>0</v>
      </c>
      <c r="AX23" s="3">
        <v>0</v>
      </c>
      <c r="AY23" s="3">
        <v>0</v>
      </c>
    </row>
    <row r="24" spans="1:51">
      <c r="A24" s="3">
        <v>21732311</v>
      </c>
      <c r="B24" t="s">
        <v>96</v>
      </c>
      <c r="C24" s="3">
        <v>165041001</v>
      </c>
      <c r="D24" t="s">
        <v>44</v>
      </c>
      <c r="E24" t="s">
        <v>97</v>
      </c>
      <c r="F24" t="s">
        <v>65</v>
      </c>
      <c r="G24" t="s">
        <v>47</v>
      </c>
      <c r="H24" s="16">
        <v>164</v>
      </c>
      <c r="I24" s="4">
        <f>VLOOKUP(C24,[1]sheet1!$D:$I,6,0)</f>
        <v>34</v>
      </c>
      <c r="J24" s="4">
        <f>VLOOKUP(C24,[2]sheet1!$D:$I,6,0)</f>
        <v>109</v>
      </c>
      <c r="K24" s="4">
        <f>VLOOKUP(C24,[3]sheet1!$D:$I,6,0)</f>
        <v>57</v>
      </c>
      <c r="L24" s="4">
        <f>VLOOKUP(C24,[4]sheet1!$D:$I,6,0)</f>
        <v>219</v>
      </c>
      <c r="M24" s="4">
        <f>VLOOKUP(C24,[5]sheet1!$D:$I,6,0)</f>
        <v>126</v>
      </c>
      <c r="N24" s="4">
        <f>VLOOKUP(C24,[6]sheet1!$D:$I,6,0)</f>
        <v>46</v>
      </c>
      <c r="O24" s="4">
        <f>VLOOKUP(C24,[7]sheet1!$D:$I,6,0)</f>
        <v>116</v>
      </c>
      <c r="P24" s="4">
        <f>VLOOKUP(C24,[8]sheet1!$D:$I,6,0)</f>
        <v>41</v>
      </c>
      <c r="Q24" s="4">
        <f t="shared" si="0"/>
        <v>912</v>
      </c>
      <c r="R24" s="3">
        <v>5</v>
      </c>
      <c r="S24" s="3">
        <v>122</v>
      </c>
      <c r="T24" s="19">
        <v>0.0328</v>
      </c>
      <c r="U24" s="3">
        <v>10</v>
      </c>
      <c r="V24" s="3">
        <v>5</v>
      </c>
      <c r="W24">
        <v>0</v>
      </c>
      <c r="X24" s="3">
        <v>0</v>
      </c>
      <c r="Y24">
        <v>0</v>
      </c>
      <c r="Z24" s="3">
        <v>0</v>
      </c>
      <c r="AA24" t="s">
        <v>98</v>
      </c>
      <c r="AB24" t="s">
        <v>49</v>
      </c>
      <c r="AC24">
        <v>29.91</v>
      </c>
      <c r="AD24" t="s">
        <v>49</v>
      </c>
      <c r="AE24">
        <v>32.8</v>
      </c>
      <c r="AF24" s="3">
        <v>4</v>
      </c>
      <c r="AG24" t="s">
        <v>49</v>
      </c>
      <c r="AH24">
        <v>149.55</v>
      </c>
      <c r="AI24" t="s">
        <v>49</v>
      </c>
      <c r="AJ24" t="s">
        <v>49</v>
      </c>
      <c r="AK24" t="s">
        <v>49</v>
      </c>
      <c r="AL24" t="s">
        <v>49</v>
      </c>
      <c r="AM24" t="s">
        <v>49</v>
      </c>
      <c r="AN24" s="3">
        <v>147</v>
      </c>
      <c r="AO24" s="19">
        <v>0.25</v>
      </c>
      <c r="AP24" s="19">
        <v>0.5</v>
      </c>
      <c r="AQ24" s="19">
        <v>0.8033</v>
      </c>
      <c r="AR24" s="19">
        <v>0.5246</v>
      </c>
      <c r="AS24" s="19">
        <v>0.9</v>
      </c>
      <c r="AT24" s="19">
        <v>0.7</v>
      </c>
      <c r="AU24" s="3">
        <v>0</v>
      </c>
      <c r="AV24" s="3">
        <v>0</v>
      </c>
      <c r="AW24" s="19">
        <v>0</v>
      </c>
      <c r="AX24" s="3">
        <v>0</v>
      </c>
      <c r="AY24" s="3">
        <v>0</v>
      </c>
    </row>
    <row r="25" spans="1:51">
      <c r="A25" s="3">
        <v>21122143</v>
      </c>
      <c r="B25" t="s">
        <v>99</v>
      </c>
      <c r="C25" s="3">
        <v>115181001</v>
      </c>
      <c r="D25" t="s">
        <v>44</v>
      </c>
      <c r="E25" t="s">
        <v>100</v>
      </c>
      <c r="F25" t="s">
        <v>46</v>
      </c>
      <c r="G25" t="s">
        <v>47</v>
      </c>
      <c r="H25" s="16">
        <v>2617</v>
      </c>
      <c r="I25" s="4">
        <f>VLOOKUP(C25,[1]sheet1!$D:$I,6,0)</f>
        <v>2116</v>
      </c>
      <c r="J25" s="4">
        <f>VLOOKUP(C25,[2]sheet1!$D:$I,6,0)</f>
        <v>1589</v>
      </c>
      <c r="K25" s="4">
        <f>VLOOKUP(C25,[3]sheet1!$D:$I,6,0)</f>
        <v>1579</v>
      </c>
      <c r="L25" s="4">
        <f>VLOOKUP(C25,[4]sheet1!$D:$I,6,0)</f>
        <v>2082</v>
      </c>
      <c r="M25" s="4">
        <f>VLOOKUP(C25,[5]sheet1!$D:$I,6,0)</f>
        <v>2086</v>
      </c>
      <c r="N25" s="4">
        <f>VLOOKUP(C25,[6]sheet1!$D:$I,6,0)</f>
        <v>6249</v>
      </c>
      <c r="O25" s="4">
        <f>VLOOKUP(C25,[7]sheet1!$D:$I,6,0)</f>
        <v>3150</v>
      </c>
      <c r="P25" s="4">
        <f>VLOOKUP(C25,[8]sheet1!$D:$I,6,0)</f>
        <v>5217</v>
      </c>
      <c r="Q25" s="4">
        <f t="shared" si="0"/>
        <v>26685</v>
      </c>
      <c r="R25" s="3">
        <v>5</v>
      </c>
      <c r="S25">
        <v>704</v>
      </c>
      <c r="T25">
        <v>431</v>
      </c>
      <c r="U25" s="3">
        <v>20</v>
      </c>
      <c r="V25" s="3">
        <v>5</v>
      </c>
      <c r="W25">
        <v>0</v>
      </c>
      <c r="X25" s="3">
        <v>0</v>
      </c>
      <c r="Y25">
        <v>550</v>
      </c>
      <c r="Z25" s="3">
        <v>1</v>
      </c>
      <c r="AA25" t="s">
        <v>101</v>
      </c>
      <c r="AB25" s="3">
        <v>452</v>
      </c>
      <c r="AC25">
        <v>469.4</v>
      </c>
      <c r="AD25" t="s">
        <v>49</v>
      </c>
      <c r="AE25">
        <v>523.4</v>
      </c>
      <c r="AF25" s="3">
        <v>5</v>
      </c>
      <c r="AG25" t="s">
        <v>49</v>
      </c>
      <c r="AH25">
        <v>2347</v>
      </c>
      <c r="AI25" t="s">
        <v>49</v>
      </c>
      <c r="AJ25">
        <v>384.14</v>
      </c>
      <c r="AK25" t="s">
        <v>49</v>
      </c>
      <c r="AL25">
        <v>1920.7</v>
      </c>
      <c r="AM25" t="s">
        <v>49</v>
      </c>
      <c r="AN25" s="3">
        <v>516</v>
      </c>
      <c r="AO25" s="19">
        <v>0.8</v>
      </c>
      <c r="AP25" s="19">
        <v>0</v>
      </c>
      <c r="AQ25" s="19">
        <v>0.8525</v>
      </c>
      <c r="AR25" s="19">
        <v>0.2951</v>
      </c>
      <c r="AS25" s="19">
        <v>0.85</v>
      </c>
      <c r="AT25" s="19">
        <v>0.45</v>
      </c>
      <c r="AU25" s="3">
        <v>0</v>
      </c>
      <c r="AV25" s="3">
        <v>0</v>
      </c>
      <c r="AW25" s="19">
        <v>0</v>
      </c>
      <c r="AX25" s="3">
        <v>0</v>
      </c>
      <c r="AY25" s="3">
        <v>0</v>
      </c>
    </row>
    <row r="26" spans="1:51">
      <c r="A26" s="3">
        <v>19092701</v>
      </c>
      <c r="B26" t="s">
        <v>102</v>
      </c>
      <c r="C26" t="s">
        <v>103</v>
      </c>
      <c r="D26" t="s">
        <v>44</v>
      </c>
      <c r="E26" t="s">
        <v>104</v>
      </c>
      <c r="F26" t="s">
        <v>46</v>
      </c>
      <c r="G26" t="s">
        <v>47</v>
      </c>
      <c r="H26" s="16">
        <v>3383</v>
      </c>
      <c r="I26" s="4">
        <f>VLOOKUP(C26,[1]sheet1!$D:$I,6,0)</f>
        <v>2729</v>
      </c>
      <c r="J26" s="4">
        <f>VLOOKUP(C26,[2]sheet1!$D:$I,6,0)</f>
        <v>2034</v>
      </c>
      <c r="K26" s="4">
        <f>VLOOKUP(C26,[3]sheet1!$D:$I,6,0)</f>
        <v>672</v>
      </c>
      <c r="L26" s="4">
        <f>VLOOKUP(C26,[4]sheet1!$D:$I,6,0)</f>
        <v>3112</v>
      </c>
      <c r="M26" s="4">
        <f>VLOOKUP(C26,[5]sheet1!$D:$I,6,0)</f>
        <v>4391</v>
      </c>
      <c r="N26" s="4">
        <f>VLOOKUP(C26,[6]sheet1!$D:$I,6,0)</f>
        <v>690</v>
      </c>
      <c r="O26" s="4">
        <f>VLOOKUP(C26,[7]sheet1!$D:$I,6,0)</f>
        <v>2039</v>
      </c>
      <c r="P26" s="4">
        <f>VLOOKUP(C26,[8]sheet1!$D:$I,6,0)</f>
        <v>690</v>
      </c>
      <c r="Q26" s="4">
        <f t="shared" si="0"/>
        <v>19740</v>
      </c>
      <c r="R26" s="3">
        <v>5</v>
      </c>
      <c r="S26">
        <v>949</v>
      </c>
      <c r="T26">
        <v>285</v>
      </c>
      <c r="U26" s="3">
        <v>53</v>
      </c>
      <c r="V26" s="3">
        <v>5</v>
      </c>
      <c r="W26">
        <v>0</v>
      </c>
      <c r="X26" s="3">
        <v>0</v>
      </c>
      <c r="Y26">
        <v>690</v>
      </c>
      <c r="Z26" s="3">
        <v>1</v>
      </c>
      <c r="AA26" t="s">
        <v>105</v>
      </c>
      <c r="AB26" s="3">
        <v>546</v>
      </c>
      <c r="AC26">
        <v>590.69</v>
      </c>
      <c r="AD26" t="s">
        <v>49</v>
      </c>
      <c r="AE26">
        <v>676.6</v>
      </c>
      <c r="AF26" s="3">
        <v>4</v>
      </c>
      <c r="AG26" t="s">
        <v>49</v>
      </c>
      <c r="AH26">
        <v>2953.45</v>
      </c>
      <c r="AI26" t="s">
        <v>49</v>
      </c>
      <c r="AJ26">
        <v>470.87</v>
      </c>
      <c r="AK26" t="s">
        <v>49</v>
      </c>
      <c r="AL26">
        <v>2354.35</v>
      </c>
      <c r="AM26" t="s">
        <v>49</v>
      </c>
      <c r="AN26">
        <v>1114</v>
      </c>
      <c r="AO26" s="19">
        <v>0.5</v>
      </c>
      <c r="AP26" s="19">
        <v>0.5</v>
      </c>
      <c r="AQ26" s="19">
        <v>0.9113</v>
      </c>
      <c r="AR26" s="19">
        <v>0.582</v>
      </c>
      <c r="AS26" s="19">
        <v>0.9434</v>
      </c>
      <c r="AT26" s="19">
        <v>0.6792</v>
      </c>
      <c r="AU26" s="3">
        <v>0</v>
      </c>
      <c r="AV26" s="3">
        <v>0</v>
      </c>
      <c r="AW26" s="19">
        <v>0</v>
      </c>
      <c r="AX26" s="3">
        <v>0</v>
      </c>
      <c r="AY26" s="3">
        <v>0</v>
      </c>
    </row>
    <row r="27" spans="1:51">
      <c r="A27" s="3">
        <v>11032744</v>
      </c>
      <c r="B27" t="s">
        <v>106</v>
      </c>
      <c r="C27" t="s">
        <v>107</v>
      </c>
      <c r="D27" t="s">
        <v>44</v>
      </c>
      <c r="E27" t="s">
        <v>104</v>
      </c>
      <c r="F27" t="s">
        <v>46</v>
      </c>
      <c r="G27" t="s">
        <v>47</v>
      </c>
      <c r="H27" s="16">
        <v>3152</v>
      </c>
      <c r="I27" s="4">
        <f>VLOOKUP(C27,[1]sheet1!$D:$I,6,0)</f>
        <v>7144</v>
      </c>
      <c r="J27" s="4">
        <f>VLOOKUP(C27,[2]sheet1!$D:$I,6,0)</f>
        <v>1886</v>
      </c>
      <c r="K27" s="4">
        <f>VLOOKUP(C27,[3]sheet1!$D:$I,6,0)</f>
        <v>1944</v>
      </c>
      <c r="L27" s="4">
        <f>VLOOKUP(C27,[4]sheet1!$D:$I,6,0)</f>
        <v>1336</v>
      </c>
      <c r="M27" s="4">
        <f>VLOOKUP(C27,[5]sheet1!$D:$I,6,0)</f>
        <v>669</v>
      </c>
      <c r="N27" s="4">
        <f>VLOOKUP(C27,[6]sheet1!$D:$I,6,0)</f>
        <v>2018</v>
      </c>
      <c r="O27" s="4">
        <f>VLOOKUP(C27,[7]sheet1!$D:$I,6,0)</f>
        <v>2013</v>
      </c>
      <c r="P27" s="4">
        <f>VLOOKUP(C27,[8]sheet1!$D:$I,6,0)</f>
        <v>2711</v>
      </c>
      <c r="Q27" s="4">
        <f t="shared" si="0"/>
        <v>22873</v>
      </c>
      <c r="R27" s="3">
        <v>5</v>
      </c>
      <c r="S27">
        <v>1966</v>
      </c>
      <c r="T27">
        <v>97</v>
      </c>
      <c r="U27" s="3">
        <v>250</v>
      </c>
      <c r="V27" s="3">
        <v>5</v>
      </c>
      <c r="W27">
        <v>0</v>
      </c>
      <c r="X27" s="3">
        <v>0</v>
      </c>
      <c r="Y27">
        <v>3245</v>
      </c>
      <c r="Z27" s="3">
        <v>5</v>
      </c>
      <c r="AA27" t="s">
        <v>105</v>
      </c>
      <c r="AB27" s="3">
        <v>499</v>
      </c>
      <c r="AC27">
        <v>590.69</v>
      </c>
      <c r="AD27" t="s">
        <v>49</v>
      </c>
      <c r="AE27">
        <v>630.4</v>
      </c>
      <c r="AF27" s="3">
        <v>2</v>
      </c>
      <c r="AG27" t="s">
        <v>49</v>
      </c>
      <c r="AH27">
        <v>2953.45</v>
      </c>
      <c r="AI27" t="s">
        <v>49</v>
      </c>
      <c r="AJ27">
        <v>434.5</v>
      </c>
      <c r="AK27" t="s">
        <v>49</v>
      </c>
      <c r="AL27">
        <v>2172.5</v>
      </c>
      <c r="AM27" t="s">
        <v>49</v>
      </c>
      <c r="AN27">
        <v>2462</v>
      </c>
      <c r="AO27" s="19">
        <v>1</v>
      </c>
      <c r="AP27" s="19">
        <v>0.5</v>
      </c>
      <c r="AQ27" s="19">
        <v>0.8837</v>
      </c>
      <c r="AR27" s="19">
        <v>0.5989</v>
      </c>
      <c r="AS27" s="19">
        <v>0.912</v>
      </c>
      <c r="AT27" s="19">
        <v>0.72</v>
      </c>
      <c r="AU27" s="3">
        <v>1</v>
      </c>
      <c r="AV27" s="3">
        <v>0</v>
      </c>
      <c r="AW27" s="19">
        <v>1</v>
      </c>
      <c r="AX27" s="3">
        <v>0</v>
      </c>
      <c r="AY27" s="3">
        <v>0</v>
      </c>
    </row>
    <row r="28" spans="1:51">
      <c r="A28" s="3">
        <v>9423402</v>
      </c>
      <c r="B28" t="s">
        <v>108</v>
      </c>
      <c r="C28" s="3">
        <v>12421250</v>
      </c>
      <c r="D28" t="s">
        <v>44</v>
      </c>
      <c r="E28" t="s">
        <v>109</v>
      </c>
      <c r="F28" t="s">
        <v>46</v>
      </c>
      <c r="G28" t="s">
        <v>47</v>
      </c>
      <c r="H28" s="16">
        <v>828</v>
      </c>
      <c r="I28" s="4">
        <f>VLOOKUP(C28,[1]sheet1!$D:$I,6,0)</f>
        <v>611</v>
      </c>
      <c r="J28" s="4">
        <f>VLOOKUP(C28,[2]sheet1!$D:$I,6,0)</f>
        <v>1242</v>
      </c>
      <c r="K28" s="4">
        <f>VLOOKUP(C28,[3]sheet1!$D:$I,6,0)</f>
        <v>619</v>
      </c>
      <c r="L28" s="4">
        <f>VLOOKUP(C28,[4]sheet1!$D:$I,6,0)</f>
        <v>803</v>
      </c>
      <c r="M28" s="4">
        <f>VLOOKUP(C28,[5]sheet1!$D:$I,6,0)</f>
        <v>1219</v>
      </c>
      <c r="N28" s="4">
        <f>VLOOKUP(C28,[6]sheet1!$D:$I,6,0)</f>
        <v>2069.33</v>
      </c>
      <c r="O28" s="4">
        <f>VLOOKUP(C28,[7]sheet1!$D:$I,6,0)</f>
        <v>787</v>
      </c>
      <c r="P28" s="4">
        <f>VLOOKUP(C28,[8]sheet1!$D:$I,6,0)</f>
        <v>1179</v>
      </c>
      <c r="Q28" s="4">
        <f t="shared" si="0"/>
        <v>9357.33</v>
      </c>
      <c r="R28" s="3">
        <v>4</v>
      </c>
      <c r="S28">
        <v>583</v>
      </c>
      <c r="T28">
        <v>464</v>
      </c>
      <c r="U28" s="3">
        <v>11</v>
      </c>
      <c r="V28" s="3">
        <v>4</v>
      </c>
      <c r="W28">
        <v>401</v>
      </c>
      <c r="X28" s="3">
        <v>2</v>
      </c>
      <c r="Y28">
        <v>225</v>
      </c>
      <c r="Z28" s="3">
        <v>1</v>
      </c>
      <c r="AA28" t="s">
        <v>70</v>
      </c>
      <c r="AB28" s="3">
        <v>229</v>
      </c>
      <c r="AC28">
        <v>208.64</v>
      </c>
      <c r="AD28" t="s">
        <v>49</v>
      </c>
      <c r="AE28">
        <v>207</v>
      </c>
      <c r="AF28" s="3">
        <v>4</v>
      </c>
      <c r="AG28" t="s">
        <v>49</v>
      </c>
      <c r="AH28">
        <v>834.56</v>
      </c>
      <c r="AI28" t="s">
        <v>49</v>
      </c>
      <c r="AJ28">
        <v>191.24</v>
      </c>
      <c r="AK28" t="s">
        <v>49</v>
      </c>
      <c r="AL28">
        <v>764.96</v>
      </c>
      <c r="AM28" t="s">
        <v>49</v>
      </c>
      <c r="AN28" s="3">
        <v>335</v>
      </c>
      <c r="AO28" s="19">
        <v>0.5</v>
      </c>
      <c r="AP28" s="19">
        <v>0.75</v>
      </c>
      <c r="AQ28" s="19">
        <v>0.8367</v>
      </c>
      <c r="AR28" s="19">
        <v>0.3586</v>
      </c>
      <c r="AS28" s="19">
        <v>0.6364</v>
      </c>
      <c r="AT28" s="19">
        <v>0.4545</v>
      </c>
      <c r="AU28" s="3">
        <v>1</v>
      </c>
      <c r="AV28" s="3">
        <v>0</v>
      </c>
      <c r="AW28" s="19">
        <v>1</v>
      </c>
      <c r="AX28" s="3">
        <v>0</v>
      </c>
      <c r="AY28" s="3">
        <v>0</v>
      </c>
    </row>
    <row r="29" spans="1:51">
      <c r="A29" s="3">
        <v>8470818</v>
      </c>
      <c r="B29" t="s">
        <v>110</v>
      </c>
      <c r="C29" t="s">
        <v>111</v>
      </c>
      <c r="D29" t="s">
        <v>44</v>
      </c>
      <c r="E29" t="s">
        <v>104</v>
      </c>
      <c r="F29" t="s">
        <v>46</v>
      </c>
      <c r="G29" t="s">
        <v>47</v>
      </c>
      <c r="H29" s="16">
        <v>2736</v>
      </c>
      <c r="I29" s="4">
        <f>VLOOKUP(C29,[1]sheet1!$D:$I,6,0)</f>
        <v>681</v>
      </c>
      <c r="J29" s="4">
        <f>VLOOKUP(C29,[2]sheet1!$D:$I,6,0)</f>
        <v>0</v>
      </c>
      <c r="K29" s="4">
        <f>VLOOKUP(C29,[3]sheet1!$D:$I,6,0)</f>
        <v>667</v>
      </c>
      <c r="L29" s="4">
        <f>VLOOKUP(C29,[4]sheet1!$D:$I,6,0)</f>
        <v>644</v>
      </c>
      <c r="M29" s="4">
        <f>VLOOKUP(C29,[5]sheet1!$D:$I,6,0)</f>
        <v>641</v>
      </c>
      <c r="N29" s="4">
        <f>VLOOKUP(C29,[6]sheet1!$D:$I,6,0)</f>
        <v>0</v>
      </c>
      <c r="O29" s="4">
        <f>VLOOKUP(C29,[7]sheet1!$D:$I,6,0)</f>
        <v>2645</v>
      </c>
      <c r="P29" s="4">
        <f>VLOOKUP(C29,[8]sheet1!$D:$I,6,0)</f>
        <v>622</v>
      </c>
      <c r="Q29" s="4">
        <f t="shared" si="0"/>
        <v>8636</v>
      </c>
      <c r="R29" s="3">
        <v>4</v>
      </c>
      <c r="S29">
        <v>826</v>
      </c>
      <c r="T29">
        <v>285</v>
      </c>
      <c r="U29" s="3">
        <v>22</v>
      </c>
      <c r="V29" s="3">
        <v>4</v>
      </c>
      <c r="W29">
        <v>0</v>
      </c>
      <c r="X29" s="3">
        <v>0</v>
      </c>
      <c r="Y29">
        <v>699</v>
      </c>
      <c r="Z29" s="3">
        <v>1</v>
      </c>
      <c r="AA29" t="s">
        <v>112</v>
      </c>
      <c r="AB29" s="3">
        <v>597</v>
      </c>
      <c r="AC29">
        <v>598.52</v>
      </c>
      <c r="AD29" t="s">
        <v>49</v>
      </c>
      <c r="AE29">
        <v>684</v>
      </c>
      <c r="AF29" s="3">
        <v>3</v>
      </c>
      <c r="AG29" t="s">
        <v>49</v>
      </c>
      <c r="AH29">
        <v>2394.08</v>
      </c>
      <c r="AI29" t="s">
        <v>49</v>
      </c>
      <c r="AJ29">
        <v>533.66</v>
      </c>
      <c r="AK29" t="s">
        <v>49</v>
      </c>
      <c r="AL29">
        <v>2134.64</v>
      </c>
      <c r="AM29" t="s">
        <v>49</v>
      </c>
      <c r="AN29" s="3">
        <v>670</v>
      </c>
      <c r="AO29" s="19">
        <v>0.3333</v>
      </c>
      <c r="AP29" s="19">
        <v>0.3333</v>
      </c>
      <c r="AQ29" s="19">
        <v>0.8929</v>
      </c>
      <c r="AR29" s="19">
        <v>0.4484</v>
      </c>
      <c r="AS29" s="19">
        <v>0.9091</v>
      </c>
      <c r="AT29" s="19">
        <v>0.5455</v>
      </c>
      <c r="AU29" s="3">
        <v>0</v>
      </c>
      <c r="AV29" s="3">
        <v>0</v>
      </c>
      <c r="AW29" s="19">
        <v>0</v>
      </c>
      <c r="AX29" s="3">
        <v>0</v>
      </c>
      <c r="AY29" s="3">
        <v>0</v>
      </c>
    </row>
    <row r="30" spans="1:51">
      <c r="A30" s="3">
        <v>7436559</v>
      </c>
      <c r="B30" t="s">
        <v>113</v>
      </c>
      <c r="C30" s="3">
        <v>11331801</v>
      </c>
      <c r="D30" t="s">
        <v>44</v>
      </c>
      <c r="E30" t="s">
        <v>114</v>
      </c>
      <c r="F30" t="s">
        <v>46</v>
      </c>
      <c r="G30" t="s">
        <v>47</v>
      </c>
      <c r="H30" s="16">
        <v>1032</v>
      </c>
      <c r="I30" s="4">
        <f>VLOOKUP(C30,[1]sheet1!$D:$I,6,0)</f>
        <v>511</v>
      </c>
      <c r="J30" s="4">
        <f>VLOOKUP(C30,[2]sheet1!$D:$I,6,0)</f>
        <v>783</v>
      </c>
      <c r="K30" s="4">
        <f>VLOOKUP(C30,[3]sheet1!$D:$I,6,0)</f>
        <v>250.52</v>
      </c>
      <c r="L30" s="4">
        <f>VLOOKUP(C30,[4]sheet1!$D:$I,6,0)</f>
        <v>250</v>
      </c>
      <c r="M30" s="4">
        <f>VLOOKUP(C30,[5]sheet1!$D:$I,6,0)</f>
        <v>257</v>
      </c>
      <c r="N30" s="4">
        <f>VLOOKUP(C30,[6]sheet1!$D:$I,6,0)</f>
        <v>0</v>
      </c>
      <c r="O30" s="4">
        <f>VLOOKUP(C30,[7]sheet1!$D:$I,6,0)</f>
        <v>516</v>
      </c>
      <c r="P30" s="4">
        <f>VLOOKUP(C30,[8]sheet1!$D:$I,6,0)</f>
        <v>243</v>
      </c>
      <c r="Q30" s="4">
        <f t="shared" si="0"/>
        <v>3842.52</v>
      </c>
      <c r="R30" s="3">
        <v>4</v>
      </c>
      <c r="S30">
        <v>265</v>
      </c>
      <c r="T30">
        <v>1020</v>
      </c>
      <c r="U30" s="3">
        <v>8</v>
      </c>
      <c r="V30" s="3">
        <v>4</v>
      </c>
      <c r="W30">
        <v>0</v>
      </c>
      <c r="X30" s="3">
        <v>0</v>
      </c>
      <c r="Y30">
        <v>279</v>
      </c>
      <c r="Z30" s="3">
        <v>1</v>
      </c>
      <c r="AA30" t="s">
        <v>115</v>
      </c>
      <c r="AB30" s="3">
        <v>237</v>
      </c>
      <c r="AC30">
        <v>235.84</v>
      </c>
      <c r="AD30" t="s">
        <v>49</v>
      </c>
      <c r="AE30">
        <v>258</v>
      </c>
      <c r="AF30" s="3">
        <v>4</v>
      </c>
      <c r="AG30" t="s">
        <v>49</v>
      </c>
      <c r="AH30">
        <v>943.36</v>
      </c>
      <c r="AI30" t="s">
        <v>49</v>
      </c>
      <c r="AJ30">
        <v>199.3</v>
      </c>
      <c r="AK30" t="s">
        <v>49</v>
      </c>
      <c r="AL30">
        <v>797.2</v>
      </c>
      <c r="AM30" t="s">
        <v>49</v>
      </c>
      <c r="AN30" s="3">
        <v>74</v>
      </c>
      <c r="AO30" s="19">
        <v>1</v>
      </c>
      <c r="AP30" s="19">
        <v>1</v>
      </c>
      <c r="AQ30" s="19">
        <v>0.8462</v>
      </c>
      <c r="AR30" s="19">
        <v>0.5962</v>
      </c>
      <c r="AS30" s="19">
        <v>0.875</v>
      </c>
      <c r="AT30" s="19">
        <v>0.875</v>
      </c>
      <c r="AU30" s="3">
        <v>0</v>
      </c>
      <c r="AV30" s="3">
        <v>0</v>
      </c>
      <c r="AW30" s="19">
        <v>0</v>
      </c>
      <c r="AX30" s="3">
        <v>0</v>
      </c>
      <c r="AY30" s="3">
        <v>0</v>
      </c>
    </row>
    <row r="31" spans="1:51">
      <c r="A31" s="3">
        <v>3556777</v>
      </c>
      <c r="B31" t="s">
        <v>116</v>
      </c>
      <c r="C31" s="3">
        <v>115110021</v>
      </c>
      <c r="D31" t="s">
        <v>44</v>
      </c>
      <c r="E31" t="s">
        <v>117</v>
      </c>
      <c r="F31" t="s">
        <v>46</v>
      </c>
      <c r="G31" t="s">
        <v>47</v>
      </c>
      <c r="H31" s="16">
        <v>825</v>
      </c>
      <c r="I31" s="4">
        <f>VLOOKUP(C31,[1]sheet1!$D:$I,6,0)</f>
        <v>411</v>
      </c>
      <c r="J31" s="4">
        <f>VLOOKUP(C31,[2]sheet1!$D:$I,6,0)</f>
        <v>204</v>
      </c>
      <c r="K31" s="4">
        <f>VLOOKUP(C31,[3]sheet1!$D:$I,6,0)</f>
        <v>407</v>
      </c>
      <c r="L31" s="4">
        <f>VLOOKUP(C31,[4]sheet1!$D:$I,6,0)</f>
        <v>833</v>
      </c>
      <c r="M31" s="4">
        <f>VLOOKUP(C31,[5]sheet1!$D:$I,6,0)</f>
        <v>0</v>
      </c>
      <c r="N31" s="4">
        <f>VLOOKUP(C31,[6]sheet1!$D:$I,6,0)</f>
        <v>816</v>
      </c>
      <c r="O31" s="4">
        <f>VLOOKUP(C31,[7]sheet1!$D:$I,6,0)</f>
        <v>378</v>
      </c>
      <c r="P31" s="4">
        <f>VLOOKUP(C31,[8]sheet1!$D:$I,6,0)</f>
        <v>575</v>
      </c>
      <c r="Q31" s="4">
        <f t="shared" si="0"/>
        <v>4449</v>
      </c>
      <c r="R31" s="3">
        <v>4</v>
      </c>
      <c r="S31">
        <v>329</v>
      </c>
      <c r="T31">
        <v>823</v>
      </c>
      <c r="U31" s="3">
        <v>9</v>
      </c>
      <c r="V31" s="3">
        <v>4</v>
      </c>
      <c r="W31">
        <v>228</v>
      </c>
      <c r="X31" s="3">
        <v>1</v>
      </c>
      <c r="Y31">
        <v>0</v>
      </c>
      <c r="Z31" s="3">
        <v>0</v>
      </c>
      <c r="AA31" t="s">
        <v>118</v>
      </c>
      <c r="AB31" s="3">
        <v>214</v>
      </c>
      <c r="AC31">
        <v>189.42</v>
      </c>
      <c r="AD31" t="s">
        <v>49</v>
      </c>
      <c r="AE31">
        <v>206.25</v>
      </c>
      <c r="AF31" s="3">
        <v>4</v>
      </c>
      <c r="AG31" t="s">
        <v>49</v>
      </c>
      <c r="AH31">
        <v>757.68</v>
      </c>
      <c r="AI31" t="s">
        <v>49</v>
      </c>
      <c r="AJ31">
        <v>176.37</v>
      </c>
      <c r="AK31" t="s">
        <v>49</v>
      </c>
      <c r="AL31">
        <v>705.48</v>
      </c>
      <c r="AM31" t="s">
        <v>49</v>
      </c>
      <c r="AN31" s="3">
        <v>121</v>
      </c>
      <c r="AO31" s="19">
        <v>0.5</v>
      </c>
      <c r="AP31" s="19">
        <v>0.5</v>
      </c>
      <c r="AQ31" s="19">
        <v>0.8</v>
      </c>
      <c r="AR31" s="19">
        <v>0.625</v>
      </c>
      <c r="AS31" s="19">
        <v>0.7778</v>
      </c>
      <c r="AT31" s="19">
        <v>0.4444</v>
      </c>
      <c r="AU31" s="3">
        <v>0</v>
      </c>
      <c r="AV31" s="3">
        <v>0</v>
      </c>
      <c r="AW31" s="19">
        <v>0</v>
      </c>
      <c r="AX31" s="3">
        <v>0</v>
      </c>
      <c r="AY31" s="3">
        <v>0</v>
      </c>
    </row>
    <row r="32" spans="1:51">
      <c r="A32" s="3">
        <v>21649774</v>
      </c>
      <c r="B32" t="s">
        <v>119</v>
      </c>
      <c r="C32" t="s">
        <v>120</v>
      </c>
      <c r="D32" t="s">
        <v>44</v>
      </c>
      <c r="E32" t="s">
        <v>104</v>
      </c>
      <c r="F32" t="s">
        <v>46</v>
      </c>
      <c r="G32" t="s">
        <v>47</v>
      </c>
      <c r="H32" s="16">
        <v>1912</v>
      </c>
      <c r="I32" s="4">
        <f>VLOOKUP(C32,[1]sheet1!$D:$I,6,0)</f>
        <v>478</v>
      </c>
      <c r="J32" s="4">
        <f>VLOOKUP(C32,[2]sheet1!$D:$I,6,0)</f>
        <v>0</v>
      </c>
      <c r="K32" s="4">
        <f>VLOOKUP(C32,[3]sheet1!$D:$I,6,0)</f>
        <v>0</v>
      </c>
      <c r="L32" s="4">
        <f>VLOOKUP(C32,[4]sheet1!$D:$I,6,0)</f>
        <v>0</v>
      </c>
      <c r="M32" s="4">
        <f>VLOOKUP(C32,[5]sheet1!$D:$I,6,0)</f>
        <v>0</v>
      </c>
      <c r="N32" s="4">
        <f>VLOOKUP(C32,[6]sheet1!$D:$I,6,0)</f>
        <v>468</v>
      </c>
      <c r="O32" s="4">
        <f>VLOOKUP(C32,[7]sheet1!$D:$I,6,0)</f>
        <v>438</v>
      </c>
      <c r="P32" s="4">
        <f>VLOOKUP(C32,[8]sheet1!$D:$I,6,0)</f>
        <v>0</v>
      </c>
      <c r="Q32" s="4">
        <f t="shared" si="0"/>
        <v>3296</v>
      </c>
      <c r="R32" s="3">
        <v>4</v>
      </c>
      <c r="S32">
        <v>583</v>
      </c>
      <c r="T32">
        <v>403</v>
      </c>
      <c r="U32" s="3">
        <v>10</v>
      </c>
      <c r="V32" s="3">
        <v>4</v>
      </c>
      <c r="W32">
        <v>0</v>
      </c>
      <c r="X32" s="3">
        <v>0</v>
      </c>
      <c r="Y32">
        <v>504</v>
      </c>
      <c r="Z32" s="3">
        <v>2</v>
      </c>
      <c r="AA32" t="s">
        <v>121</v>
      </c>
      <c r="AB32" s="3">
        <v>430</v>
      </c>
      <c r="AC32">
        <v>415.82</v>
      </c>
      <c r="AD32" t="s">
        <v>49</v>
      </c>
      <c r="AE32">
        <v>478</v>
      </c>
      <c r="AF32" s="3">
        <v>3</v>
      </c>
      <c r="AG32" t="s">
        <v>49</v>
      </c>
      <c r="AH32">
        <v>1663.28</v>
      </c>
      <c r="AI32" t="s">
        <v>49</v>
      </c>
      <c r="AJ32">
        <v>364.49</v>
      </c>
      <c r="AK32" t="s">
        <v>49</v>
      </c>
      <c r="AL32">
        <v>1457.96</v>
      </c>
      <c r="AM32" t="s">
        <v>49</v>
      </c>
      <c r="AN32" s="3">
        <v>300</v>
      </c>
      <c r="AO32" s="19">
        <v>0.6667</v>
      </c>
      <c r="AP32" s="19">
        <v>0</v>
      </c>
      <c r="AQ32" s="19">
        <v>0.9283</v>
      </c>
      <c r="AR32" s="19">
        <v>0.4422</v>
      </c>
      <c r="AS32" s="19">
        <v>0.9</v>
      </c>
      <c r="AT32" s="19">
        <v>0.3</v>
      </c>
      <c r="AU32" s="3">
        <v>0</v>
      </c>
      <c r="AV32" s="3">
        <v>0</v>
      </c>
      <c r="AW32" s="19">
        <v>0</v>
      </c>
      <c r="AX32" s="3">
        <v>0</v>
      </c>
      <c r="AY32" s="3">
        <v>0</v>
      </c>
    </row>
    <row r="33" spans="1:51">
      <c r="A33" s="3">
        <v>14825760</v>
      </c>
      <c r="B33" t="s">
        <v>122</v>
      </c>
      <c r="C33" t="s">
        <v>123</v>
      </c>
      <c r="D33" t="s">
        <v>44</v>
      </c>
      <c r="E33" t="s">
        <v>57</v>
      </c>
      <c r="F33" t="s">
        <v>46</v>
      </c>
      <c r="G33" t="s">
        <v>47</v>
      </c>
      <c r="H33" s="16">
        <v>1366</v>
      </c>
      <c r="I33" s="4">
        <f>VLOOKUP(C33,[1]sheet1!$D:$I,6,0)</f>
        <v>0</v>
      </c>
      <c r="J33" s="4">
        <f>VLOOKUP(C33,[2]sheet1!$D:$I,6,0)</f>
        <v>349</v>
      </c>
      <c r="K33" s="4">
        <f>VLOOKUP(C33,[3]sheet1!$D:$I,6,0)</f>
        <v>673</v>
      </c>
      <c r="L33" s="4">
        <f>VLOOKUP(C33,[4]sheet1!$D:$I,6,0)</f>
        <v>0</v>
      </c>
      <c r="M33" s="4">
        <f>VLOOKUP(C33,[5]sheet1!$D:$I,6,0)</f>
        <v>698</v>
      </c>
      <c r="N33" s="4">
        <f>VLOOKUP(C33,[6]sheet1!$D:$I,6,0)</f>
        <v>1338</v>
      </c>
      <c r="O33" s="4">
        <f>VLOOKUP(C33,[7]sheet1!$D:$I,6,0)</f>
        <v>1047</v>
      </c>
      <c r="P33" s="4">
        <f>VLOOKUP(C33,[8]sheet1!$D:$I,6,0)</f>
        <v>1673</v>
      </c>
      <c r="Q33" s="4">
        <f t="shared" si="0"/>
        <v>7144</v>
      </c>
      <c r="R33" s="3">
        <v>4</v>
      </c>
      <c r="S33">
        <v>393</v>
      </c>
      <c r="T33">
        <v>689</v>
      </c>
      <c r="U33" s="3">
        <v>9</v>
      </c>
      <c r="V33" s="3">
        <v>4</v>
      </c>
      <c r="W33">
        <v>367</v>
      </c>
      <c r="X33" s="3">
        <v>1</v>
      </c>
      <c r="Y33">
        <v>0</v>
      </c>
      <c r="Z33" s="3">
        <v>0</v>
      </c>
      <c r="AA33" t="s">
        <v>124</v>
      </c>
      <c r="AB33" s="3">
        <v>341</v>
      </c>
      <c r="AC33">
        <v>321.79</v>
      </c>
      <c r="AD33" t="s">
        <v>49</v>
      </c>
      <c r="AE33">
        <v>341.5</v>
      </c>
      <c r="AF33" s="3">
        <v>4</v>
      </c>
      <c r="AG33" t="s">
        <v>49</v>
      </c>
      <c r="AH33">
        <v>1287.16</v>
      </c>
      <c r="AI33" t="s">
        <v>49</v>
      </c>
      <c r="AJ33">
        <v>287.86</v>
      </c>
      <c r="AK33" t="s">
        <v>49</v>
      </c>
      <c r="AL33">
        <v>1151.44</v>
      </c>
      <c r="AM33" t="s">
        <v>49</v>
      </c>
      <c r="AN33" s="3">
        <v>148</v>
      </c>
      <c r="AO33" s="19">
        <v>0.75</v>
      </c>
      <c r="AP33" s="19">
        <v>0.25</v>
      </c>
      <c r="AQ33" s="19">
        <v>0.6404</v>
      </c>
      <c r="AR33" s="19">
        <v>0.2193</v>
      </c>
      <c r="AS33" s="19">
        <v>0.6667</v>
      </c>
      <c r="AT33" s="19">
        <v>0.1111</v>
      </c>
      <c r="AU33" s="3">
        <v>0</v>
      </c>
      <c r="AV33" s="3">
        <v>0</v>
      </c>
      <c r="AW33" s="19">
        <v>0</v>
      </c>
      <c r="AX33" s="3">
        <v>0</v>
      </c>
      <c r="AY33" s="3">
        <v>0</v>
      </c>
    </row>
    <row r="34" spans="1:51">
      <c r="A34" s="3">
        <v>11296816</v>
      </c>
      <c r="B34" t="s">
        <v>125</v>
      </c>
      <c r="C34" s="3">
        <v>16202612</v>
      </c>
      <c r="D34" t="s">
        <v>44</v>
      </c>
      <c r="E34" t="s">
        <v>78</v>
      </c>
      <c r="F34" t="s">
        <v>65</v>
      </c>
      <c r="G34" t="s">
        <v>47</v>
      </c>
      <c r="H34" s="16">
        <v>124</v>
      </c>
      <c r="I34" s="4">
        <f>VLOOKUP(C34,[1]sheet1!$D:$I,6,0)</f>
        <v>108</v>
      </c>
      <c r="J34" s="4">
        <f>VLOOKUP(C34,[2]sheet1!$D:$I,6,0)</f>
        <v>130</v>
      </c>
      <c r="K34" s="4">
        <f>VLOOKUP(C34,[3]sheet1!$D:$I,6,0)</f>
        <v>158</v>
      </c>
      <c r="L34" s="4">
        <f>VLOOKUP(C34,[4]sheet1!$D:$I,6,0)</f>
        <v>105</v>
      </c>
      <c r="M34" s="4">
        <f>VLOOKUP(C34,[5]sheet1!$D:$I,6,0)</f>
        <v>104.7</v>
      </c>
      <c r="N34" s="4">
        <f>VLOOKUP(C34,[6]sheet1!$D:$I,6,0)</f>
        <v>100</v>
      </c>
      <c r="O34" s="4">
        <f>VLOOKUP(C34,[7]sheet1!$D:$I,6,0)</f>
        <v>61</v>
      </c>
      <c r="P34" s="4">
        <f>VLOOKUP(C34,[8]sheet1!$D:$I,6,0)</f>
        <v>245</v>
      </c>
      <c r="Q34" s="4">
        <f t="shared" si="0"/>
        <v>1135.7</v>
      </c>
      <c r="R34" s="3">
        <v>4</v>
      </c>
      <c r="S34" s="3">
        <v>30</v>
      </c>
      <c r="T34" s="19">
        <v>0.1333</v>
      </c>
      <c r="U34" s="3">
        <v>1</v>
      </c>
      <c r="V34" s="3">
        <v>4</v>
      </c>
      <c r="W34">
        <v>0</v>
      </c>
      <c r="X34" s="3">
        <v>0</v>
      </c>
      <c r="Y34">
        <v>0</v>
      </c>
      <c r="Z34" s="3">
        <v>0</v>
      </c>
      <c r="AA34" t="s">
        <v>126</v>
      </c>
      <c r="AB34" t="s">
        <v>49</v>
      </c>
      <c r="AC34">
        <v>31.58</v>
      </c>
      <c r="AD34" t="s">
        <v>49</v>
      </c>
      <c r="AE34">
        <v>31</v>
      </c>
      <c r="AF34" s="3">
        <v>4</v>
      </c>
      <c r="AG34" t="s">
        <v>49</v>
      </c>
      <c r="AH34">
        <v>126.32</v>
      </c>
      <c r="AI34" t="s">
        <v>49</v>
      </c>
      <c r="AJ34" t="s">
        <v>49</v>
      </c>
      <c r="AK34" t="s">
        <v>49</v>
      </c>
      <c r="AL34" t="s">
        <v>49</v>
      </c>
      <c r="AM34" t="s">
        <v>49</v>
      </c>
      <c r="AN34" s="3">
        <v>39</v>
      </c>
      <c r="AO34" s="19">
        <v>0.75</v>
      </c>
      <c r="AP34" s="19">
        <v>0</v>
      </c>
      <c r="AQ34" s="19">
        <v>0.8333</v>
      </c>
      <c r="AR34" s="19">
        <v>0.2</v>
      </c>
      <c r="AS34" s="19">
        <v>1</v>
      </c>
      <c r="AT34" s="19">
        <v>0</v>
      </c>
      <c r="AU34" s="3">
        <v>0</v>
      </c>
      <c r="AV34" s="3">
        <v>0</v>
      </c>
      <c r="AW34" s="19">
        <v>0</v>
      </c>
      <c r="AX34" s="3">
        <v>0</v>
      </c>
      <c r="AY34" s="3">
        <v>0</v>
      </c>
    </row>
    <row r="35" spans="1:51">
      <c r="A35" s="3">
        <v>11032663</v>
      </c>
      <c r="B35" t="s">
        <v>127</v>
      </c>
      <c r="C35" s="3">
        <v>12421440</v>
      </c>
      <c r="D35" t="s">
        <v>44</v>
      </c>
      <c r="E35" t="s">
        <v>128</v>
      </c>
      <c r="F35" t="s">
        <v>46</v>
      </c>
      <c r="G35" t="s">
        <v>47</v>
      </c>
      <c r="H35" s="16">
        <v>619</v>
      </c>
      <c r="I35" s="4">
        <f>VLOOKUP(C35,[1]sheet1!$D:$I,6,0)</f>
        <v>1383</v>
      </c>
      <c r="J35" s="4">
        <f>VLOOKUP(C35,[2]sheet1!$D:$I,6,0)</f>
        <v>905</v>
      </c>
      <c r="K35" s="4">
        <f>VLOOKUP(C35,[3]sheet1!$D:$I,6,0)</f>
        <v>1356</v>
      </c>
      <c r="L35" s="4">
        <f>VLOOKUP(C35,[4]sheet1!$D:$I,6,0)</f>
        <v>2012</v>
      </c>
      <c r="M35" s="4">
        <f>VLOOKUP(C35,[5]sheet1!$D:$I,6,0)</f>
        <v>2039</v>
      </c>
      <c r="N35" s="4">
        <f>VLOOKUP(C35,[6]sheet1!$D:$I,6,0)</f>
        <v>1242</v>
      </c>
      <c r="O35" s="4">
        <f>VLOOKUP(C35,[7]sheet1!$D:$I,6,0)</f>
        <v>1562</v>
      </c>
      <c r="P35" s="4">
        <f>VLOOKUP(C35,[8]sheet1!$D:$I,6,0)</f>
        <v>1389</v>
      </c>
      <c r="Q35" s="4">
        <f t="shared" si="0"/>
        <v>12507</v>
      </c>
      <c r="R35" s="3">
        <v>4</v>
      </c>
      <c r="S35">
        <v>1037</v>
      </c>
      <c r="T35">
        <v>260</v>
      </c>
      <c r="U35" s="3">
        <v>30</v>
      </c>
      <c r="V35" s="3">
        <v>4</v>
      </c>
      <c r="W35">
        <v>477</v>
      </c>
      <c r="X35" s="3">
        <v>3</v>
      </c>
      <c r="Y35">
        <v>507</v>
      </c>
      <c r="Z35" s="3">
        <v>3</v>
      </c>
      <c r="AA35" t="s">
        <v>129</v>
      </c>
      <c r="AB35" s="3">
        <v>178</v>
      </c>
      <c r="AC35">
        <v>166.22</v>
      </c>
      <c r="AD35" t="s">
        <v>49</v>
      </c>
      <c r="AE35">
        <v>154.75</v>
      </c>
      <c r="AF35" s="3">
        <v>4</v>
      </c>
      <c r="AG35" t="s">
        <v>49</v>
      </c>
      <c r="AH35">
        <v>664.88</v>
      </c>
      <c r="AI35" t="s">
        <v>49</v>
      </c>
      <c r="AJ35">
        <v>147.95</v>
      </c>
      <c r="AK35" t="s">
        <v>49</v>
      </c>
      <c r="AL35">
        <v>591.8</v>
      </c>
      <c r="AM35" t="s">
        <v>49</v>
      </c>
      <c r="AN35" s="3">
        <v>1104</v>
      </c>
      <c r="AO35" s="19">
        <v>0.5</v>
      </c>
      <c r="AP35" s="19">
        <v>0.5</v>
      </c>
      <c r="AQ35" s="19">
        <v>0.7305</v>
      </c>
      <c r="AR35" s="19">
        <v>0.2809</v>
      </c>
      <c r="AS35" s="19">
        <v>0.8</v>
      </c>
      <c r="AT35" s="19">
        <v>0.2333</v>
      </c>
      <c r="AU35" s="3">
        <v>0</v>
      </c>
      <c r="AV35" s="3">
        <v>0</v>
      </c>
      <c r="AW35" s="19">
        <v>0</v>
      </c>
      <c r="AX35" s="3">
        <v>0</v>
      </c>
      <c r="AY35" s="3">
        <v>0</v>
      </c>
    </row>
    <row r="36" spans="1:51">
      <c r="A36" s="3">
        <v>10851829</v>
      </c>
      <c r="B36" t="s">
        <v>130</v>
      </c>
      <c r="C36" t="s">
        <v>131</v>
      </c>
      <c r="D36" t="s">
        <v>44</v>
      </c>
      <c r="E36" t="s">
        <v>104</v>
      </c>
      <c r="F36" t="s">
        <v>46</v>
      </c>
      <c r="G36" t="s">
        <v>47</v>
      </c>
      <c r="H36" s="16">
        <v>1852</v>
      </c>
      <c r="I36" s="4">
        <f>VLOOKUP(C36,[1]sheet1!$D:$I,6,0)</f>
        <v>499</v>
      </c>
      <c r="J36" s="4">
        <f>VLOOKUP(C36,[2]sheet1!$D:$I,6,0)</f>
        <v>484</v>
      </c>
      <c r="K36" s="4">
        <f>VLOOKUP(C36,[3]sheet1!$D:$I,6,0)</f>
        <v>478</v>
      </c>
      <c r="L36" s="4">
        <f>VLOOKUP(C36,[4]sheet1!$D:$I,6,0)</f>
        <v>0</v>
      </c>
      <c r="M36" s="4">
        <f>VLOOKUP(C36,[5]sheet1!$D:$I,6,0)</f>
        <v>955</v>
      </c>
      <c r="N36" s="4">
        <f>VLOOKUP(C36,[6]sheet1!$D:$I,6,0)</f>
        <v>0</v>
      </c>
      <c r="O36" s="4">
        <f>VLOOKUP(C36,[7]sheet1!$D:$I,6,0)</f>
        <v>478</v>
      </c>
      <c r="P36" s="4">
        <f>VLOOKUP(C36,[8]sheet1!$D:$I,6,0)</f>
        <v>993</v>
      </c>
      <c r="Q36" s="4">
        <f t="shared" si="0"/>
        <v>5739</v>
      </c>
      <c r="R36" s="3">
        <v>4</v>
      </c>
      <c r="S36">
        <v>870</v>
      </c>
      <c r="T36">
        <v>270</v>
      </c>
      <c r="U36" s="3">
        <v>25</v>
      </c>
      <c r="V36" s="3">
        <v>4</v>
      </c>
      <c r="W36">
        <v>0</v>
      </c>
      <c r="X36" s="3">
        <v>0</v>
      </c>
      <c r="Y36">
        <v>469</v>
      </c>
      <c r="Z36" s="3">
        <v>1</v>
      </c>
      <c r="AA36" t="s">
        <v>121</v>
      </c>
      <c r="AB36" s="3">
        <v>420</v>
      </c>
      <c r="AC36">
        <v>415.82</v>
      </c>
      <c r="AD36" t="s">
        <v>49</v>
      </c>
      <c r="AE36">
        <v>463</v>
      </c>
      <c r="AF36" s="3">
        <v>3</v>
      </c>
      <c r="AG36" t="s">
        <v>49</v>
      </c>
      <c r="AH36">
        <v>1663.28</v>
      </c>
      <c r="AI36" t="s">
        <v>49</v>
      </c>
      <c r="AJ36">
        <v>359.99</v>
      </c>
      <c r="AK36" t="s">
        <v>49</v>
      </c>
      <c r="AL36">
        <v>1439.96</v>
      </c>
      <c r="AM36" t="s">
        <v>49</v>
      </c>
      <c r="AN36" s="3">
        <v>727</v>
      </c>
      <c r="AO36" s="19">
        <v>1</v>
      </c>
      <c r="AP36" s="19">
        <v>0</v>
      </c>
      <c r="AQ36" s="19">
        <v>0.8962</v>
      </c>
      <c r="AR36" s="19">
        <v>0.5259</v>
      </c>
      <c r="AS36" s="19">
        <v>0.88</v>
      </c>
      <c r="AT36" s="19">
        <v>0.6</v>
      </c>
      <c r="AU36" s="3">
        <v>0</v>
      </c>
      <c r="AV36" s="3">
        <v>0</v>
      </c>
      <c r="AW36" s="19">
        <v>0</v>
      </c>
      <c r="AX36" s="3">
        <v>0</v>
      </c>
      <c r="AY36" s="3">
        <v>0</v>
      </c>
    </row>
    <row r="37" spans="1:51">
      <c r="A37" s="3">
        <v>10559660</v>
      </c>
      <c r="B37" t="s">
        <v>132</v>
      </c>
      <c r="C37" s="3">
        <v>12422002</v>
      </c>
      <c r="D37" t="s">
        <v>44</v>
      </c>
      <c r="E37" t="s">
        <v>133</v>
      </c>
      <c r="F37" t="s">
        <v>46</v>
      </c>
      <c r="G37" t="s">
        <v>47</v>
      </c>
      <c r="H37" s="16">
        <v>1074</v>
      </c>
      <c r="I37" s="4">
        <f>VLOOKUP(C37,[1]sheet1!$D:$I,6,0)</f>
        <v>816</v>
      </c>
      <c r="J37" s="4">
        <f>VLOOKUP(C37,[2]sheet1!$D:$I,6,0)</f>
        <v>0</v>
      </c>
      <c r="K37" s="4">
        <f>VLOOKUP(C37,[3]sheet1!$D:$I,6,0)</f>
        <v>283</v>
      </c>
      <c r="L37" s="4">
        <f>VLOOKUP(C37,[4]sheet1!$D:$I,6,0)</f>
        <v>0</v>
      </c>
      <c r="M37" s="4">
        <f>VLOOKUP(C37,[5]sheet1!$D:$I,6,0)</f>
        <v>540</v>
      </c>
      <c r="N37" s="4">
        <f>VLOOKUP(C37,[6]sheet1!$D:$I,6,0)</f>
        <v>0</v>
      </c>
      <c r="O37" s="4">
        <f>VLOOKUP(C37,[7]sheet1!$D:$I,6,0)</f>
        <v>269</v>
      </c>
      <c r="P37" s="4">
        <f>VLOOKUP(C37,[8]sheet1!$D:$I,6,0)</f>
        <v>0</v>
      </c>
      <c r="Q37" s="4">
        <f t="shared" si="0"/>
        <v>2982</v>
      </c>
      <c r="R37" s="3">
        <v>4</v>
      </c>
      <c r="S37">
        <v>475</v>
      </c>
      <c r="T37">
        <v>494</v>
      </c>
      <c r="U37" s="3">
        <v>2</v>
      </c>
      <c r="V37" s="3">
        <v>4</v>
      </c>
      <c r="W37">
        <v>0</v>
      </c>
      <c r="X37" s="3">
        <v>0</v>
      </c>
      <c r="Y37">
        <v>581</v>
      </c>
      <c r="Z37" s="3">
        <v>2</v>
      </c>
      <c r="AA37" t="s">
        <v>134</v>
      </c>
      <c r="AB37" s="3">
        <v>204</v>
      </c>
      <c r="AC37">
        <v>259.63</v>
      </c>
      <c r="AD37" t="s">
        <v>49</v>
      </c>
      <c r="AE37">
        <v>268.5</v>
      </c>
      <c r="AF37" s="3">
        <v>3</v>
      </c>
      <c r="AG37" t="s">
        <v>49</v>
      </c>
      <c r="AH37">
        <v>1038.52</v>
      </c>
      <c r="AI37" t="s">
        <v>49</v>
      </c>
      <c r="AJ37">
        <v>168.28</v>
      </c>
      <c r="AK37" t="s">
        <v>49</v>
      </c>
      <c r="AL37">
        <v>673.12</v>
      </c>
      <c r="AM37" t="s">
        <v>49</v>
      </c>
      <c r="AN37" s="3">
        <v>206</v>
      </c>
      <c r="AO37" s="19">
        <v>0.6667</v>
      </c>
      <c r="AP37" s="19">
        <v>0</v>
      </c>
      <c r="AQ37" s="19">
        <v>0.8383</v>
      </c>
      <c r="AR37" s="19">
        <v>0.2515</v>
      </c>
      <c r="AS37" s="19">
        <v>1</v>
      </c>
      <c r="AT37" s="19">
        <v>0</v>
      </c>
      <c r="AU37" s="3">
        <v>0</v>
      </c>
      <c r="AV37" s="3">
        <v>0</v>
      </c>
      <c r="AW37" s="19">
        <v>0</v>
      </c>
      <c r="AX37" s="3">
        <v>0</v>
      </c>
      <c r="AY37" s="3">
        <v>0</v>
      </c>
    </row>
    <row r="38" spans="1:51">
      <c r="A38" s="3">
        <v>9488447</v>
      </c>
      <c r="B38" t="s">
        <v>135</v>
      </c>
      <c r="C38" s="3">
        <v>11421519</v>
      </c>
      <c r="D38" t="s">
        <v>44</v>
      </c>
      <c r="E38" t="s">
        <v>45</v>
      </c>
      <c r="F38" t="s">
        <v>65</v>
      </c>
      <c r="G38" t="s">
        <v>47</v>
      </c>
      <c r="H38" s="16">
        <v>843</v>
      </c>
      <c r="I38" s="4">
        <f>VLOOKUP(C38,[1]sheet1!$D:$I,6,0)</f>
        <v>818</v>
      </c>
      <c r="J38" s="4">
        <f>VLOOKUP(C38,[2]sheet1!$D:$I,6,0)</f>
        <v>281</v>
      </c>
      <c r="K38" s="4">
        <f>VLOOKUP(C38,[3]sheet1!$D:$I,6,0)</f>
        <v>0</v>
      </c>
      <c r="L38" s="4">
        <f>VLOOKUP(C38,[4]sheet1!$D:$I,6,0)</f>
        <v>0</v>
      </c>
      <c r="M38" s="4">
        <f>VLOOKUP(C38,[5]sheet1!$D:$I,6,0)</f>
        <v>281</v>
      </c>
      <c r="N38" s="4">
        <f>VLOOKUP(C38,[6]sheet1!$D:$I,6,0)</f>
        <v>281</v>
      </c>
      <c r="O38" s="4">
        <f>VLOOKUP(C38,[7]sheet1!$D:$I,6,0)</f>
        <v>261</v>
      </c>
      <c r="P38" s="4">
        <f>VLOOKUP(C38,[8]sheet1!$D:$I,6,0)</f>
        <v>807</v>
      </c>
      <c r="Q38" s="4">
        <f t="shared" si="0"/>
        <v>3572</v>
      </c>
      <c r="R38" s="3">
        <v>3</v>
      </c>
      <c r="S38" s="3">
        <v>122</v>
      </c>
      <c r="T38" s="19">
        <v>0.0164</v>
      </c>
      <c r="U38" s="3">
        <v>3</v>
      </c>
      <c r="V38" s="3">
        <v>3</v>
      </c>
      <c r="W38">
        <v>0</v>
      </c>
      <c r="X38" s="3">
        <v>0</v>
      </c>
      <c r="Y38">
        <v>0</v>
      </c>
      <c r="Z38" s="3">
        <v>0</v>
      </c>
      <c r="AA38" t="s">
        <v>115</v>
      </c>
      <c r="AB38" t="s">
        <v>49</v>
      </c>
      <c r="AC38">
        <v>234.32</v>
      </c>
      <c r="AD38" t="s">
        <v>49</v>
      </c>
      <c r="AE38">
        <v>281</v>
      </c>
      <c r="AF38" s="3">
        <v>2</v>
      </c>
      <c r="AG38" t="s">
        <v>49</v>
      </c>
      <c r="AH38">
        <v>702.96</v>
      </c>
      <c r="AI38" t="s">
        <v>49</v>
      </c>
      <c r="AJ38" t="s">
        <v>49</v>
      </c>
      <c r="AK38" t="s">
        <v>49</v>
      </c>
      <c r="AL38" t="s">
        <v>49</v>
      </c>
      <c r="AM38" t="s">
        <v>49</v>
      </c>
      <c r="AN38" s="3">
        <v>154</v>
      </c>
      <c r="AO38" s="19">
        <v>0.5</v>
      </c>
      <c r="AP38" s="19">
        <v>0</v>
      </c>
      <c r="AQ38" s="19">
        <v>0.6557</v>
      </c>
      <c r="AR38" s="19">
        <v>0.1639</v>
      </c>
      <c r="AS38" s="19">
        <v>1</v>
      </c>
      <c r="AT38" s="19">
        <v>0</v>
      </c>
      <c r="AU38" s="3">
        <v>0</v>
      </c>
      <c r="AV38" s="3">
        <v>0</v>
      </c>
      <c r="AW38" s="19">
        <v>0</v>
      </c>
      <c r="AX38" s="3">
        <v>0</v>
      </c>
      <c r="AY38" s="3">
        <v>0</v>
      </c>
    </row>
    <row r="39" spans="1:51">
      <c r="A39" s="3">
        <v>9073622</v>
      </c>
      <c r="B39" t="s">
        <v>136</v>
      </c>
      <c r="C39" s="3">
        <v>11421533</v>
      </c>
      <c r="D39" t="s">
        <v>44</v>
      </c>
      <c r="E39" t="s">
        <v>45</v>
      </c>
      <c r="F39" t="s">
        <v>46</v>
      </c>
      <c r="G39" t="s">
        <v>47</v>
      </c>
      <c r="H39" s="16">
        <v>753</v>
      </c>
      <c r="I39" s="4">
        <f>VLOOKUP(C39,[1]sheet1!$D:$I,6,0)</f>
        <v>1260</v>
      </c>
      <c r="J39" s="4">
        <f>VLOOKUP(C39,[2]sheet1!$D:$I,6,0)</f>
        <v>753</v>
      </c>
      <c r="K39" s="4">
        <f>VLOOKUP(C39,[3]sheet1!$D:$I,6,0)</f>
        <v>1476</v>
      </c>
      <c r="L39" s="4">
        <f>VLOOKUP(C39,[4]sheet1!$D:$I,6,0)</f>
        <v>2652</v>
      </c>
      <c r="M39" s="4">
        <f>VLOOKUP(C39,[5]sheet1!$D:$I,6,0)</f>
        <v>2392</v>
      </c>
      <c r="N39" s="4">
        <f>VLOOKUP(C39,[6]sheet1!$D:$I,6,0)</f>
        <v>1265</v>
      </c>
      <c r="O39" s="4">
        <f>VLOOKUP(C39,[7]sheet1!$D:$I,6,0)</f>
        <v>1232</v>
      </c>
      <c r="P39" s="4">
        <f>VLOOKUP(C39,[8]sheet1!$D:$I,6,0)</f>
        <v>484</v>
      </c>
      <c r="Q39" s="4">
        <f t="shared" si="0"/>
        <v>12267</v>
      </c>
      <c r="R39" s="3">
        <v>3</v>
      </c>
      <c r="S39">
        <v>2089</v>
      </c>
      <c r="T39">
        <v>110</v>
      </c>
      <c r="U39" s="3">
        <v>142</v>
      </c>
      <c r="V39" s="3">
        <v>3</v>
      </c>
      <c r="W39">
        <v>443</v>
      </c>
      <c r="X39" s="3">
        <v>2</v>
      </c>
      <c r="Y39">
        <v>269</v>
      </c>
      <c r="Z39" s="3">
        <v>1</v>
      </c>
      <c r="AA39" t="s">
        <v>70</v>
      </c>
      <c r="AB39" s="3">
        <v>201</v>
      </c>
      <c r="AC39">
        <v>208.22</v>
      </c>
      <c r="AD39" t="s">
        <v>49</v>
      </c>
      <c r="AE39">
        <v>251</v>
      </c>
      <c r="AF39" s="3">
        <v>3</v>
      </c>
      <c r="AG39" t="s">
        <v>49</v>
      </c>
      <c r="AH39">
        <v>624.66</v>
      </c>
      <c r="AI39" t="s">
        <v>49</v>
      </c>
      <c r="AJ39">
        <v>166.46</v>
      </c>
      <c r="AK39" t="s">
        <v>49</v>
      </c>
      <c r="AL39">
        <v>499.38</v>
      </c>
      <c r="AM39" t="s">
        <v>49</v>
      </c>
      <c r="AN39" s="3">
        <v>4510</v>
      </c>
      <c r="AO39" s="19">
        <v>1</v>
      </c>
      <c r="AP39" s="19">
        <v>0.6667</v>
      </c>
      <c r="AQ39" s="19">
        <v>0.8344</v>
      </c>
      <c r="AR39" s="19">
        <v>0.4076</v>
      </c>
      <c r="AS39" s="19">
        <v>0.8592</v>
      </c>
      <c r="AT39" s="19">
        <v>0.4718</v>
      </c>
      <c r="AU39" s="3">
        <v>0</v>
      </c>
      <c r="AV39" s="3">
        <v>0</v>
      </c>
      <c r="AW39" s="19">
        <v>0</v>
      </c>
      <c r="AX39" s="3">
        <v>0</v>
      </c>
      <c r="AY39" s="3">
        <v>0</v>
      </c>
    </row>
    <row r="40" spans="1:51">
      <c r="A40" s="3">
        <v>5714302</v>
      </c>
      <c r="B40" t="s">
        <v>137</v>
      </c>
      <c r="C40" s="3">
        <v>112230602</v>
      </c>
      <c r="D40" t="s">
        <v>44</v>
      </c>
      <c r="E40" t="s">
        <v>138</v>
      </c>
      <c r="F40" t="s">
        <v>65</v>
      </c>
      <c r="G40" t="s">
        <v>47</v>
      </c>
      <c r="H40" s="16">
        <v>1017</v>
      </c>
      <c r="I40" s="4">
        <f>VLOOKUP(C40,[1]sheet1!$D:$I,6,0)</f>
        <v>0</v>
      </c>
      <c r="J40" s="4">
        <f>VLOOKUP(C40,[2]sheet1!$D:$I,6,0)</f>
        <v>339</v>
      </c>
      <c r="K40" s="4">
        <f>VLOOKUP(C40,[3]sheet1!$D:$I,6,0)</f>
        <v>0</v>
      </c>
      <c r="L40" s="4">
        <f>VLOOKUP(C40,[4]sheet1!$D:$I,6,0)</f>
        <v>331</v>
      </c>
      <c r="M40" s="4">
        <f>VLOOKUP(C40,[5]sheet1!$D:$I,6,0)</f>
        <v>339</v>
      </c>
      <c r="N40" s="4">
        <f>VLOOKUP(C40,[6]sheet1!$D:$I,6,0)</f>
        <v>339</v>
      </c>
      <c r="O40" s="4">
        <f>VLOOKUP(C40,[7]sheet1!$D:$I,6,0)</f>
        <v>0</v>
      </c>
      <c r="P40" s="4">
        <f>VLOOKUP(C40,[8]sheet1!$D:$I,6,0)</f>
        <v>339</v>
      </c>
      <c r="Q40" s="15">
        <f t="shared" si="0"/>
        <v>2704</v>
      </c>
      <c r="R40" s="3">
        <v>3</v>
      </c>
      <c r="S40" s="3">
        <v>515</v>
      </c>
      <c r="T40" s="19">
        <v>0.0058</v>
      </c>
      <c r="U40" s="3">
        <v>54</v>
      </c>
      <c r="V40" s="3">
        <v>3</v>
      </c>
      <c r="W40">
        <v>0</v>
      </c>
      <c r="X40" s="3">
        <v>0</v>
      </c>
      <c r="Y40">
        <v>357</v>
      </c>
      <c r="Z40" s="3">
        <v>1</v>
      </c>
      <c r="AA40" t="s">
        <v>139</v>
      </c>
      <c r="AB40" t="s">
        <v>49</v>
      </c>
      <c r="AC40">
        <v>308.84</v>
      </c>
      <c r="AD40" t="s">
        <v>49</v>
      </c>
      <c r="AE40">
        <v>339</v>
      </c>
      <c r="AF40" s="3">
        <v>3</v>
      </c>
      <c r="AG40" t="s">
        <v>49</v>
      </c>
      <c r="AH40">
        <v>926.52</v>
      </c>
      <c r="AI40" t="s">
        <v>49</v>
      </c>
      <c r="AJ40" t="s">
        <v>49</v>
      </c>
      <c r="AK40" t="s">
        <v>49</v>
      </c>
      <c r="AL40" t="s">
        <v>49</v>
      </c>
      <c r="AM40" t="s">
        <v>49</v>
      </c>
      <c r="AN40" s="3">
        <v>612</v>
      </c>
      <c r="AO40" s="19">
        <v>1</v>
      </c>
      <c r="AP40" s="19">
        <v>0.6667</v>
      </c>
      <c r="AQ40" s="19">
        <v>0.9495</v>
      </c>
      <c r="AR40" s="19">
        <v>0.8019</v>
      </c>
      <c r="AS40" s="19">
        <v>0.9815</v>
      </c>
      <c r="AT40" s="19">
        <v>0.7963</v>
      </c>
      <c r="AU40" s="3">
        <v>0</v>
      </c>
      <c r="AV40" s="3">
        <v>0</v>
      </c>
      <c r="AW40" s="19">
        <v>0</v>
      </c>
      <c r="AX40" s="3">
        <v>0</v>
      </c>
      <c r="AY40" s="3">
        <v>0</v>
      </c>
    </row>
    <row r="41" spans="1:51">
      <c r="A41" s="3">
        <v>5201435</v>
      </c>
      <c r="B41" t="s">
        <v>140</v>
      </c>
      <c r="C41" s="3">
        <v>12340106</v>
      </c>
      <c r="D41" t="s">
        <v>44</v>
      </c>
      <c r="E41" t="s">
        <v>141</v>
      </c>
      <c r="F41" t="s">
        <v>46</v>
      </c>
      <c r="G41" t="s">
        <v>47</v>
      </c>
      <c r="H41" s="16">
        <v>1437</v>
      </c>
      <c r="I41" s="4">
        <f>VLOOKUP(C41,[1]sheet1!$D:$I,6,0)</f>
        <v>956</v>
      </c>
      <c r="J41" s="4">
        <f>VLOOKUP(C41,[2]sheet1!$D:$I,6,0)</f>
        <v>469</v>
      </c>
      <c r="K41" s="4">
        <f>VLOOKUP(C41,[3]sheet1!$D:$I,6,0)</f>
        <v>932</v>
      </c>
      <c r="L41" s="4">
        <f>VLOOKUP(C41,[4]sheet1!$D:$I,6,0)</f>
        <v>1352</v>
      </c>
      <c r="M41" s="4">
        <f>VLOOKUP(C41,[5]sheet1!$D:$I,6,0)</f>
        <v>2636</v>
      </c>
      <c r="N41" s="4">
        <f>VLOOKUP(C41,[6]sheet1!$D:$I,6,0)</f>
        <v>945</v>
      </c>
      <c r="O41" s="4">
        <f>VLOOKUP(C41,[7]sheet1!$D:$I,6,0)</f>
        <v>1415</v>
      </c>
      <c r="P41" s="4">
        <f>VLOOKUP(C41,[8]sheet1!$D:$I,6,0)</f>
        <v>4772</v>
      </c>
      <c r="Q41" s="4">
        <f t="shared" si="0"/>
        <v>14914</v>
      </c>
      <c r="R41" s="3">
        <v>3</v>
      </c>
      <c r="S41">
        <v>1530</v>
      </c>
      <c r="T41">
        <v>152</v>
      </c>
      <c r="U41" s="3">
        <v>146</v>
      </c>
      <c r="V41" s="3">
        <v>3</v>
      </c>
      <c r="W41">
        <v>455</v>
      </c>
      <c r="X41" s="3">
        <v>1</v>
      </c>
      <c r="Y41">
        <v>499</v>
      </c>
      <c r="Z41" s="3">
        <v>1</v>
      </c>
      <c r="AA41" t="s">
        <v>121</v>
      </c>
      <c r="AB41" s="3">
        <v>365</v>
      </c>
      <c r="AC41">
        <v>414.04</v>
      </c>
      <c r="AD41" t="s">
        <v>49</v>
      </c>
      <c r="AE41">
        <v>479</v>
      </c>
      <c r="AF41" s="3">
        <v>3</v>
      </c>
      <c r="AG41" t="s">
        <v>49</v>
      </c>
      <c r="AH41">
        <v>1242.12</v>
      </c>
      <c r="AI41" t="s">
        <v>49</v>
      </c>
      <c r="AJ41">
        <v>306.16</v>
      </c>
      <c r="AK41" t="s">
        <v>49</v>
      </c>
      <c r="AL41">
        <v>918.48</v>
      </c>
      <c r="AM41" t="s">
        <v>49</v>
      </c>
      <c r="AN41" s="3">
        <v>2504</v>
      </c>
      <c r="AO41" s="19">
        <v>0.3333</v>
      </c>
      <c r="AP41" s="19">
        <v>0.3333</v>
      </c>
      <c r="AQ41" s="19">
        <v>0.9092</v>
      </c>
      <c r="AR41" s="19">
        <v>0.5795</v>
      </c>
      <c r="AS41" s="19">
        <v>0.9521</v>
      </c>
      <c r="AT41" s="19">
        <v>0.4795</v>
      </c>
      <c r="AU41" s="3">
        <v>0</v>
      </c>
      <c r="AV41" s="3">
        <v>0</v>
      </c>
      <c r="AW41" s="19">
        <v>0</v>
      </c>
      <c r="AX41" s="3">
        <v>0</v>
      </c>
      <c r="AY41" s="3">
        <v>0</v>
      </c>
    </row>
    <row r="42" spans="1:51">
      <c r="A42" s="3">
        <v>3662670</v>
      </c>
      <c r="B42" t="s">
        <v>142</v>
      </c>
      <c r="C42" s="3">
        <v>11230601</v>
      </c>
      <c r="D42" t="s">
        <v>44</v>
      </c>
      <c r="E42" t="s">
        <v>143</v>
      </c>
      <c r="F42" t="s">
        <v>46</v>
      </c>
      <c r="G42" t="s">
        <v>47</v>
      </c>
      <c r="H42" s="16">
        <v>972.78</v>
      </c>
      <c r="I42" s="4">
        <f>VLOOKUP(C42,[1]sheet1!$D:$I,6,0)</f>
        <v>674</v>
      </c>
      <c r="J42" s="4">
        <f>VLOOKUP(C42,[2]sheet1!$D:$I,6,0)</f>
        <v>1355</v>
      </c>
      <c r="K42" s="4">
        <f>VLOOKUP(C42,[3]sheet1!$D:$I,6,0)</f>
        <v>0</v>
      </c>
      <c r="L42" s="4">
        <f>VLOOKUP(C42,[4]sheet1!$D:$I,6,0)</f>
        <v>339</v>
      </c>
      <c r="M42" s="4">
        <f>VLOOKUP(C42,[5]sheet1!$D:$I,6,0)</f>
        <v>339</v>
      </c>
      <c r="N42" s="4">
        <f>VLOOKUP(C42,[6]sheet1!$D:$I,6,0)</f>
        <v>0</v>
      </c>
      <c r="O42" s="4">
        <f>VLOOKUP(C42,[7]sheet1!$D:$I,6,0)</f>
        <v>0</v>
      </c>
      <c r="P42" s="4">
        <f>VLOOKUP(C42,[8]sheet1!$D:$I,6,0)</f>
        <v>991</v>
      </c>
      <c r="Q42" s="15">
        <f t="shared" si="0"/>
        <v>4670.78</v>
      </c>
      <c r="R42" s="3">
        <v>3</v>
      </c>
      <c r="S42">
        <v>729</v>
      </c>
      <c r="T42">
        <v>321</v>
      </c>
      <c r="U42" s="3">
        <v>30</v>
      </c>
      <c r="V42" s="3">
        <v>3</v>
      </c>
      <c r="W42">
        <v>0</v>
      </c>
      <c r="X42" s="3">
        <v>0</v>
      </c>
      <c r="Y42">
        <v>336.78</v>
      </c>
      <c r="Z42" s="3">
        <v>1</v>
      </c>
      <c r="AA42" t="s">
        <v>144</v>
      </c>
      <c r="AB42" s="3">
        <v>318</v>
      </c>
      <c r="AC42">
        <v>319.52</v>
      </c>
      <c r="AD42" t="s">
        <v>49</v>
      </c>
      <c r="AE42">
        <v>324.26</v>
      </c>
      <c r="AF42" s="3">
        <v>3</v>
      </c>
      <c r="AG42" t="s">
        <v>49</v>
      </c>
      <c r="AH42">
        <v>958.56</v>
      </c>
      <c r="AI42" t="s">
        <v>49</v>
      </c>
      <c r="AJ42">
        <v>266.45</v>
      </c>
      <c r="AK42" t="s">
        <v>49</v>
      </c>
      <c r="AL42">
        <v>799.35</v>
      </c>
      <c r="AM42" t="s">
        <v>49</v>
      </c>
      <c r="AN42" s="3">
        <v>559</v>
      </c>
      <c r="AO42" s="19">
        <v>1</v>
      </c>
      <c r="AP42" s="19">
        <v>0.6667</v>
      </c>
      <c r="AQ42" s="19">
        <v>0.8473</v>
      </c>
      <c r="AR42" s="19">
        <v>0.6641</v>
      </c>
      <c r="AS42" s="19">
        <v>0.8333</v>
      </c>
      <c r="AT42" s="19">
        <v>0.8</v>
      </c>
      <c r="AU42" s="3">
        <v>0</v>
      </c>
      <c r="AV42" s="3">
        <v>0</v>
      </c>
      <c r="AW42" s="19">
        <v>0</v>
      </c>
      <c r="AX42" s="3">
        <v>0</v>
      </c>
      <c r="AY42" s="3">
        <v>0</v>
      </c>
    </row>
    <row r="43" spans="1:51">
      <c r="A43" s="3">
        <v>24358469</v>
      </c>
      <c r="B43" t="s">
        <v>145</v>
      </c>
      <c r="C43" s="3">
        <v>115302007</v>
      </c>
      <c r="D43" t="s">
        <v>44</v>
      </c>
      <c r="E43" t="s">
        <v>146</v>
      </c>
      <c r="F43" t="s">
        <v>46</v>
      </c>
      <c r="G43" t="s">
        <v>47</v>
      </c>
      <c r="H43" s="16">
        <v>1708</v>
      </c>
      <c r="I43" s="4">
        <f>VLOOKUP(C43,[1]sheet1!$D:$I,6,0)</f>
        <v>0</v>
      </c>
      <c r="J43" s="4">
        <f>VLOOKUP(C43,[2]sheet1!$D:$I,6,0)</f>
        <v>1144</v>
      </c>
      <c r="K43" s="4">
        <f>VLOOKUP(C43,[3]sheet1!$D:$I,6,0)</f>
        <v>572</v>
      </c>
      <c r="L43" s="4">
        <f>VLOOKUP(C43,[4]sheet1!$D:$I,6,0)</f>
        <v>543</v>
      </c>
      <c r="M43" s="4">
        <f>VLOOKUP(C43,[5]sheet1!$D:$I,6,0)</f>
        <v>2171</v>
      </c>
      <c r="N43" s="4">
        <f>VLOOKUP(C43,[6]sheet1!$D:$I,6,0)</f>
        <v>1716</v>
      </c>
      <c r="O43" s="4">
        <f>VLOOKUP(C43,[7]sheet1!$D:$I,6,0)</f>
        <v>572</v>
      </c>
      <c r="P43" s="4">
        <f>VLOOKUP(C43,[8]sheet1!$D:$I,6,0)</f>
        <v>1028</v>
      </c>
      <c r="Q43" s="4">
        <f t="shared" si="0"/>
        <v>9454</v>
      </c>
      <c r="R43" s="3">
        <v>3</v>
      </c>
      <c r="S43">
        <v>771</v>
      </c>
      <c r="T43">
        <v>303</v>
      </c>
      <c r="U43" s="3">
        <v>26</v>
      </c>
      <c r="V43" s="3">
        <v>3</v>
      </c>
      <c r="W43">
        <v>0</v>
      </c>
      <c r="X43" s="3">
        <v>0</v>
      </c>
      <c r="Y43">
        <v>0</v>
      </c>
      <c r="Z43" s="3">
        <v>0</v>
      </c>
      <c r="AA43" t="s">
        <v>147</v>
      </c>
      <c r="AB43" s="3">
        <v>450</v>
      </c>
      <c r="AC43">
        <v>496.99</v>
      </c>
      <c r="AD43" t="s">
        <v>49</v>
      </c>
      <c r="AE43">
        <v>569.33</v>
      </c>
      <c r="AF43" s="3">
        <v>3</v>
      </c>
      <c r="AG43" t="s">
        <v>49</v>
      </c>
      <c r="AH43">
        <v>1490.97</v>
      </c>
      <c r="AI43" t="s">
        <v>49</v>
      </c>
      <c r="AJ43">
        <v>383.89</v>
      </c>
      <c r="AK43" t="s">
        <v>49</v>
      </c>
      <c r="AL43">
        <v>1151.67</v>
      </c>
      <c r="AM43" t="s">
        <v>49</v>
      </c>
      <c r="AN43" s="3">
        <v>565</v>
      </c>
      <c r="AO43" s="19">
        <v>1</v>
      </c>
      <c r="AP43" s="19">
        <v>0</v>
      </c>
      <c r="AQ43" s="19">
        <v>0.8474</v>
      </c>
      <c r="AR43" s="19">
        <v>0.4214</v>
      </c>
      <c r="AS43" s="19">
        <v>0.8077</v>
      </c>
      <c r="AT43" s="19">
        <v>0.4231</v>
      </c>
      <c r="AU43" s="3">
        <v>0</v>
      </c>
      <c r="AV43" s="3">
        <v>0</v>
      </c>
      <c r="AW43" s="19">
        <v>0</v>
      </c>
      <c r="AX43" s="3">
        <v>0</v>
      </c>
      <c r="AY43" s="3">
        <v>0</v>
      </c>
    </row>
    <row r="44" spans="1:51">
      <c r="A44" s="3">
        <v>22514781</v>
      </c>
      <c r="B44" t="s">
        <v>148</v>
      </c>
      <c r="C44" s="3">
        <v>115220001</v>
      </c>
      <c r="D44" t="s">
        <v>44</v>
      </c>
      <c r="E44" t="s">
        <v>149</v>
      </c>
      <c r="F44" t="s">
        <v>46</v>
      </c>
      <c r="G44" t="s">
        <v>47</v>
      </c>
      <c r="H44" s="16">
        <v>1418</v>
      </c>
      <c r="I44" s="4">
        <f>VLOOKUP(C44,[1]sheet1!$D:$I,6,0)</f>
        <v>959</v>
      </c>
      <c r="J44" s="4">
        <f>VLOOKUP(C44,[2]sheet1!$D:$I,6,0)</f>
        <v>478</v>
      </c>
      <c r="K44" s="4">
        <f>VLOOKUP(C44,[3]sheet1!$D:$I,6,0)</f>
        <v>478</v>
      </c>
      <c r="L44" s="4">
        <f>VLOOKUP(C44,[4]sheet1!$D:$I,6,0)</f>
        <v>914</v>
      </c>
      <c r="M44" s="4">
        <f>VLOOKUP(C44,[5]sheet1!$D:$I,6,0)</f>
        <v>0</v>
      </c>
      <c r="N44" s="4">
        <f>VLOOKUP(C44,[6]sheet1!$D:$I,6,0)</f>
        <v>1903</v>
      </c>
      <c r="O44" s="4">
        <f>VLOOKUP(C44,[7]sheet1!$D:$I,6,0)</f>
        <v>478</v>
      </c>
      <c r="P44" s="4">
        <f>VLOOKUP(C44,[8]sheet1!$D:$I,6,0)</f>
        <v>478</v>
      </c>
      <c r="Q44" s="4">
        <f t="shared" si="0"/>
        <v>7106</v>
      </c>
      <c r="R44" s="3">
        <v>3</v>
      </c>
      <c r="S44">
        <v>728</v>
      </c>
      <c r="T44">
        <v>323</v>
      </c>
      <c r="U44" s="3">
        <v>12</v>
      </c>
      <c r="V44" s="3">
        <v>3</v>
      </c>
      <c r="W44">
        <v>499</v>
      </c>
      <c r="X44" s="3">
        <v>1</v>
      </c>
      <c r="Y44">
        <v>499</v>
      </c>
      <c r="Z44" s="3">
        <v>1</v>
      </c>
      <c r="AA44" t="s">
        <v>150</v>
      </c>
      <c r="AB44" s="3">
        <v>479</v>
      </c>
      <c r="AC44">
        <v>407.83</v>
      </c>
      <c r="AD44" t="s">
        <v>49</v>
      </c>
      <c r="AE44">
        <v>472.67</v>
      </c>
      <c r="AF44" s="3">
        <v>3</v>
      </c>
      <c r="AG44" t="s">
        <v>49</v>
      </c>
      <c r="AH44">
        <v>1223.49</v>
      </c>
      <c r="AI44" t="s">
        <v>49</v>
      </c>
      <c r="AJ44" t="s">
        <v>49</v>
      </c>
      <c r="AK44" t="s">
        <v>49</v>
      </c>
      <c r="AL44" t="s">
        <v>49</v>
      </c>
      <c r="AM44" t="s">
        <v>49</v>
      </c>
      <c r="AN44" s="3">
        <v>484</v>
      </c>
      <c r="AO44" s="19">
        <v>0.6667</v>
      </c>
      <c r="AP44" s="19">
        <v>0.3333</v>
      </c>
      <c r="AQ44" s="19">
        <v>0.8929</v>
      </c>
      <c r="AR44" s="19">
        <v>0.1556</v>
      </c>
      <c r="AS44" s="19">
        <v>0.9167</v>
      </c>
      <c r="AT44" s="19">
        <v>0.0833</v>
      </c>
      <c r="AU44" s="3">
        <v>0</v>
      </c>
      <c r="AV44" s="3">
        <v>0</v>
      </c>
      <c r="AW44" s="19">
        <v>0</v>
      </c>
      <c r="AX44" s="3">
        <v>0</v>
      </c>
      <c r="AY44" s="3">
        <v>0</v>
      </c>
    </row>
    <row r="45" spans="1:51">
      <c r="A45" s="3">
        <v>21376537</v>
      </c>
      <c r="B45" t="s">
        <v>151</v>
      </c>
      <c r="C45" s="3">
        <v>125215020</v>
      </c>
      <c r="D45" t="s">
        <v>44</v>
      </c>
      <c r="E45" t="s">
        <v>90</v>
      </c>
      <c r="F45" t="s">
        <v>46</v>
      </c>
      <c r="G45" t="s">
        <v>47</v>
      </c>
      <c r="H45" s="16">
        <v>519</v>
      </c>
      <c r="I45" s="4">
        <f>VLOOKUP(C45,[1]sheet1!$D:$I,6,0)</f>
        <v>868</v>
      </c>
      <c r="J45" s="4">
        <f>VLOOKUP(C45,[2]sheet1!$D:$I,6,0)</f>
        <v>1223</v>
      </c>
      <c r="K45" s="4">
        <f>VLOOKUP(C45,[3]sheet1!$D:$I,6,0)</f>
        <v>865</v>
      </c>
      <c r="L45" s="4">
        <f>VLOOKUP(C45,[4]sheet1!$D:$I,6,0)</f>
        <v>867</v>
      </c>
      <c r="M45" s="4">
        <f>VLOOKUP(C45,[5]sheet1!$D:$I,6,0)</f>
        <v>692</v>
      </c>
      <c r="N45" s="4">
        <f>VLOOKUP(C45,[6]sheet1!$D:$I,6,0)</f>
        <v>1740</v>
      </c>
      <c r="O45" s="4">
        <f>VLOOKUP(C45,[7]sheet1!$D:$I,6,0)</f>
        <v>508</v>
      </c>
      <c r="P45" s="4">
        <f>VLOOKUP(C45,[8]sheet1!$D:$I,6,0)</f>
        <v>346</v>
      </c>
      <c r="Q45" s="4">
        <f t="shared" si="0"/>
        <v>7628</v>
      </c>
      <c r="R45" s="3">
        <v>3</v>
      </c>
      <c r="S45">
        <v>610</v>
      </c>
      <c r="T45">
        <v>384</v>
      </c>
      <c r="U45" s="3">
        <v>18</v>
      </c>
      <c r="V45" s="3">
        <v>3</v>
      </c>
      <c r="W45">
        <v>188</v>
      </c>
      <c r="X45" s="3">
        <v>1</v>
      </c>
      <c r="Y45">
        <v>188</v>
      </c>
      <c r="Z45" s="3">
        <v>1</v>
      </c>
      <c r="AA45" t="s">
        <v>152</v>
      </c>
      <c r="AB45" s="3">
        <v>173</v>
      </c>
      <c r="AC45">
        <v>154.74</v>
      </c>
      <c r="AD45" t="s">
        <v>49</v>
      </c>
      <c r="AE45">
        <v>173</v>
      </c>
      <c r="AF45" s="3">
        <v>3</v>
      </c>
      <c r="AG45" t="s">
        <v>49</v>
      </c>
      <c r="AH45">
        <v>464.22</v>
      </c>
      <c r="AI45" t="s">
        <v>49</v>
      </c>
      <c r="AJ45">
        <v>140.82</v>
      </c>
      <c r="AK45" t="s">
        <v>49</v>
      </c>
      <c r="AL45">
        <v>422.46</v>
      </c>
      <c r="AM45" t="s">
        <v>49</v>
      </c>
      <c r="AN45" s="3">
        <v>350</v>
      </c>
      <c r="AO45" s="19">
        <v>1</v>
      </c>
      <c r="AP45" s="19">
        <v>1</v>
      </c>
      <c r="AQ45" s="19">
        <v>0.8873</v>
      </c>
      <c r="AR45" s="19">
        <v>0.6109</v>
      </c>
      <c r="AS45" s="19">
        <v>0.9444</v>
      </c>
      <c r="AT45" s="19">
        <v>0.8333</v>
      </c>
      <c r="AU45" s="3">
        <v>0</v>
      </c>
      <c r="AV45" s="3">
        <v>0</v>
      </c>
      <c r="AW45" s="19">
        <v>0</v>
      </c>
      <c r="AX45" s="3">
        <v>0</v>
      </c>
      <c r="AY45" s="3">
        <v>0</v>
      </c>
    </row>
    <row r="46" spans="1:51">
      <c r="A46" s="3">
        <v>20699631</v>
      </c>
      <c r="B46" t="s">
        <v>153</v>
      </c>
      <c r="C46" t="s">
        <v>154</v>
      </c>
      <c r="D46" t="s">
        <v>44</v>
      </c>
      <c r="E46" t="s">
        <v>51</v>
      </c>
      <c r="F46" t="s">
        <v>46</v>
      </c>
      <c r="G46" t="s">
        <v>47</v>
      </c>
      <c r="H46" s="16">
        <v>726</v>
      </c>
      <c r="I46" s="4">
        <f>VLOOKUP(C46,[1]sheet1!$D:$I,6,0)</f>
        <v>523</v>
      </c>
      <c r="J46" s="4">
        <f>VLOOKUP(C46,[2]sheet1!$D:$I,6,0)</f>
        <v>726</v>
      </c>
      <c r="K46" s="4">
        <f>VLOOKUP(C46,[3]sheet1!$D:$I,6,0)</f>
        <v>514</v>
      </c>
      <c r="L46" s="4">
        <f>VLOOKUP(C46,[4]sheet1!$D:$I,6,0)</f>
        <v>1063</v>
      </c>
      <c r="M46" s="4">
        <f>VLOOKUP(C46,[5]sheet1!$D:$I,6,0)</f>
        <v>1306</v>
      </c>
      <c r="N46" s="4">
        <f>VLOOKUP(C46,[6]sheet1!$D:$I,6,0)</f>
        <v>0</v>
      </c>
      <c r="O46" s="4">
        <f>VLOOKUP(C46,[7]sheet1!$D:$I,6,0)</f>
        <v>268</v>
      </c>
      <c r="P46" s="4">
        <f>VLOOKUP(C46,[8]sheet1!$D:$I,6,0)</f>
        <v>0</v>
      </c>
      <c r="Q46" s="4">
        <f t="shared" si="0"/>
        <v>5126</v>
      </c>
      <c r="R46" s="3">
        <v>3</v>
      </c>
      <c r="S46">
        <v>867</v>
      </c>
      <c r="T46">
        <v>270</v>
      </c>
      <c r="U46" s="3">
        <v>33</v>
      </c>
      <c r="V46" s="3">
        <v>3</v>
      </c>
      <c r="W46">
        <v>260</v>
      </c>
      <c r="X46" s="3">
        <v>1</v>
      </c>
      <c r="Y46">
        <v>0</v>
      </c>
      <c r="Z46" s="3">
        <v>0</v>
      </c>
      <c r="AA46" t="s">
        <v>52</v>
      </c>
      <c r="AB46" s="3">
        <v>257</v>
      </c>
      <c r="AC46">
        <v>243.92</v>
      </c>
      <c r="AD46" t="s">
        <v>49</v>
      </c>
      <c r="AE46">
        <v>242</v>
      </c>
      <c r="AF46" s="3">
        <v>3</v>
      </c>
      <c r="AG46" t="s">
        <v>49</v>
      </c>
      <c r="AH46">
        <v>731.76</v>
      </c>
      <c r="AI46" t="s">
        <v>49</v>
      </c>
      <c r="AJ46">
        <v>216.08</v>
      </c>
      <c r="AK46" t="s">
        <v>49</v>
      </c>
      <c r="AL46">
        <v>648.24</v>
      </c>
      <c r="AM46" t="s">
        <v>49</v>
      </c>
      <c r="AN46" s="3">
        <v>865</v>
      </c>
      <c r="AO46" s="19">
        <v>0.6667</v>
      </c>
      <c r="AP46" s="19">
        <v>0.3333</v>
      </c>
      <c r="AQ46" s="19">
        <v>0.8523</v>
      </c>
      <c r="AR46" s="19">
        <v>0.4378</v>
      </c>
      <c r="AS46" s="19">
        <v>0.7576</v>
      </c>
      <c r="AT46" s="19">
        <v>0.4848</v>
      </c>
      <c r="AU46" s="3">
        <v>0</v>
      </c>
      <c r="AV46" s="3">
        <v>0</v>
      </c>
      <c r="AW46" s="19">
        <v>0</v>
      </c>
      <c r="AX46" s="3">
        <v>0</v>
      </c>
      <c r="AY46" s="3">
        <v>0</v>
      </c>
    </row>
    <row r="47" spans="1:51">
      <c r="A47" s="3">
        <v>20409664</v>
      </c>
      <c r="B47" t="s">
        <v>155</v>
      </c>
      <c r="C47" s="3">
        <v>105025008</v>
      </c>
      <c r="D47" t="s">
        <v>44</v>
      </c>
      <c r="E47" t="s">
        <v>78</v>
      </c>
      <c r="F47" t="s">
        <v>46</v>
      </c>
      <c r="G47" t="s">
        <v>47</v>
      </c>
      <c r="H47" s="16">
        <v>996</v>
      </c>
      <c r="I47" s="4">
        <f>VLOOKUP(C47,[1]sheet1!$D:$I,6,0)</f>
        <v>0</v>
      </c>
      <c r="J47" s="4">
        <f>VLOOKUP(C47,[2]sheet1!$D:$I,6,0)</f>
        <v>0</v>
      </c>
      <c r="K47" s="4">
        <f>VLOOKUP(C47,[3]sheet1!$D:$I,6,0)</f>
        <v>0</v>
      </c>
      <c r="L47" s="4">
        <f>VLOOKUP(C47,[4]sheet1!$D:$I,6,0)</f>
        <v>332</v>
      </c>
      <c r="M47" s="4">
        <f>VLOOKUP(C47,[5]sheet1!$D:$I,6,0)</f>
        <v>0</v>
      </c>
      <c r="N47" s="4">
        <f>VLOOKUP(C47,[6]sheet1!$D:$I,6,0)</f>
        <v>332</v>
      </c>
      <c r="O47" s="4">
        <f>VLOOKUP(C47,[7]sheet1!$D:$I,6,0)</f>
        <v>0</v>
      </c>
      <c r="P47" s="4">
        <f>VLOOKUP(C47,[8]sheet1!$D:$I,6,0)</f>
        <v>0</v>
      </c>
      <c r="Q47" s="4">
        <f t="shared" si="0"/>
        <v>1660</v>
      </c>
      <c r="R47" s="3">
        <v>3</v>
      </c>
      <c r="S47">
        <v>341</v>
      </c>
      <c r="T47">
        <v>396</v>
      </c>
      <c r="U47" s="3">
        <v>3</v>
      </c>
      <c r="V47" s="3">
        <v>3</v>
      </c>
      <c r="W47">
        <v>0</v>
      </c>
      <c r="X47" s="3">
        <v>0</v>
      </c>
      <c r="Y47">
        <v>350</v>
      </c>
      <c r="Z47" s="3">
        <v>1</v>
      </c>
      <c r="AA47" t="s">
        <v>156</v>
      </c>
      <c r="AB47" s="3">
        <v>320</v>
      </c>
      <c r="AC47">
        <v>283.08</v>
      </c>
      <c r="AD47" t="s">
        <v>49</v>
      </c>
      <c r="AE47">
        <v>332</v>
      </c>
      <c r="AF47" s="3">
        <v>1</v>
      </c>
      <c r="AG47" t="s">
        <v>49</v>
      </c>
      <c r="AH47">
        <v>849.24</v>
      </c>
      <c r="AI47" t="s">
        <v>49</v>
      </c>
      <c r="AJ47">
        <v>258.18</v>
      </c>
      <c r="AK47" t="s">
        <v>49</v>
      </c>
      <c r="AL47">
        <v>774.54</v>
      </c>
      <c r="AM47" t="s">
        <v>49</v>
      </c>
      <c r="AN47" s="3">
        <v>118</v>
      </c>
      <c r="AO47" s="19">
        <v>0</v>
      </c>
      <c r="AP47" s="19">
        <v>0</v>
      </c>
      <c r="AQ47" s="19">
        <v>0.8605</v>
      </c>
      <c r="AR47" s="19">
        <v>0.4767</v>
      </c>
      <c r="AS47" s="19">
        <v>1</v>
      </c>
      <c r="AT47" s="19">
        <v>0.3333</v>
      </c>
      <c r="AU47" s="3">
        <v>0</v>
      </c>
      <c r="AV47" s="3">
        <v>0</v>
      </c>
      <c r="AW47" s="19">
        <v>0</v>
      </c>
      <c r="AX47" s="3">
        <v>0</v>
      </c>
      <c r="AY47" s="3">
        <v>0</v>
      </c>
    </row>
    <row r="48" spans="1:51">
      <c r="A48" s="3">
        <v>19822215</v>
      </c>
      <c r="B48" t="s">
        <v>157</v>
      </c>
      <c r="C48" t="s">
        <v>158</v>
      </c>
      <c r="D48" t="s">
        <v>44</v>
      </c>
      <c r="E48" t="s">
        <v>159</v>
      </c>
      <c r="F48" t="s">
        <v>65</v>
      </c>
      <c r="G48" t="s">
        <v>47</v>
      </c>
      <c r="H48" s="16">
        <v>822</v>
      </c>
      <c r="I48" s="4">
        <f>VLOOKUP(C48,[1]sheet1!$D:$I,6,0)</f>
        <v>0</v>
      </c>
      <c r="J48" s="4">
        <f>VLOOKUP(C48,[2]sheet1!$D:$I,6,0)</f>
        <v>272</v>
      </c>
      <c r="K48" s="4">
        <f>VLOOKUP(C48,[3]sheet1!$D:$I,6,0)</f>
        <v>272</v>
      </c>
      <c r="L48" s="4">
        <f>VLOOKUP(C48,[4]sheet1!$D:$I,6,0)</f>
        <v>0</v>
      </c>
      <c r="M48" s="4">
        <f>VLOOKUP(C48,[5]sheet1!$D:$I,6,0)</f>
        <v>0</v>
      </c>
      <c r="N48" s="4">
        <f>VLOOKUP(C48,[6]sheet1!$D:$I,6,0)</f>
        <v>272</v>
      </c>
      <c r="O48" s="4">
        <f>VLOOKUP(C48,[7]sheet1!$D:$I,6,0)</f>
        <v>0</v>
      </c>
      <c r="P48" s="4">
        <f>VLOOKUP(C48,[8]sheet1!$D:$I,6,0)</f>
        <v>254</v>
      </c>
      <c r="Q48" s="4">
        <f t="shared" si="0"/>
        <v>1892</v>
      </c>
      <c r="R48" s="3">
        <v>3</v>
      </c>
      <c r="S48" s="3">
        <v>38</v>
      </c>
      <c r="T48" s="19">
        <v>0.0526</v>
      </c>
      <c r="U48" s="3">
        <v>4</v>
      </c>
      <c r="V48" s="3">
        <v>3</v>
      </c>
      <c r="W48">
        <v>290</v>
      </c>
      <c r="X48" s="3">
        <v>1</v>
      </c>
      <c r="Y48">
        <v>580</v>
      </c>
      <c r="Z48" s="3">
        <v>2</v>
      </c>
      <c r="AA48" t="s">
        <v>73</v>
      </c>
      <c r="AB48" t="s">
        <v>49</v>
      </c>
      <c r="AC48">
        <v>198.24</v>
      </c>
      <c r="AD48" t="s">
        <v>49</v>
      </c>
      <c r="AE48">
        <v>274</v>
      </c>
      <c r="AF48" s="3">
        <v>2</v>
      </c>
      <c r="AG48" t="s">
        <v>49</v>
      </c>
      <c r="AH48">
        <v>594.72</v>
      </c>
      <c r="AI48" t="s">
        <v>49</v>
      </c>
      <c r="AJ48" t="s">
        <v>49</v>
      </c>
      <c r="AK48" t="s">
        <v>49</v>
      </c>
      <c r="AL48" t="s">
        <v>49</v>
      </c>
      <c r="AM48" t="s">
        <v>49</v>
      </c>
      <c r="AN48" s="3">
        <v>77</v>
      </c>
      <c r="AO48" s="19">
        <v>1</v>
      </c>
      <c r="AP48" s="19">
        <v>0</v>
      </c>
      <c r="AQ48" s="19">
        <v>0.8684</v>
      </c>
      <c r="AR48" s="19">
        <v>0.2105</v>
      </c>
      <c r="AS48" s="19">
        <v>1</v>
      </c>
      <c r="AT48" s="19">
        <v>0.25</v>
      </c>
      <c r="AU48" s="3">
        <v>0</v>
      </c>
      <c r="AV48" s="3">
        <v>0</v>
      </c>
      <c r="AW48" s="19">
        <v>0</v>
      </c>
      <c r="AX48" s="3">
        <v>0</v>
      </c>
      <c r="AY48" s="3">
        <v>0</v>
      </c>
    </row>
    <row r="49" spans="1:51">
      <c r="A49" s="3">
        <v>19281657</v>
      </c>
      <c r="B49" t="s">
        <v>160</v>
      </c>
      <c r="C49" s="3">
        <v>105212020</v>
      </c>
      <c r="D49" t="s">
        <v>44</v>
      </c>
      <c r="E49" t="s">
        <v>51</v>
      </c>
      <c r="F49" t="s">
        <v>46</v>
      </c>
      <c r="G49" t="s">
        <v>47</v>
      </c>
      <c r="H49" s="16">
        <v>829</v>
      </c>
      <c r="I49" s="4">
        <f>VLOOKUP(C49,[1]sheet1!$D:$I,6,0)</f>
        <v>562</v>
      </c>
      <c r="J49" s="4">
        <f>VLOOKUP(C49,[2]sheet1!$D:$I,6,0)</f>
        <v>848</v>
      </c>
      <c r="K49" s="4">
        <f>VLOOKUP(C49,[3]sheet1!$D:$I,6,0)</f>
        <v>281</v>
      </c>
      <c r="L49" s="4">
        <f>VLOOKUP(C49,[4]sheet1!$D:$I,6,0)</f>
        <v>1516</v>
      </c>
      <c r="M49" s="4">
        <f>VLOOKUP(C49,[5]sheet1!$D:$I,6,0)</f>
        <v>1869</v>
      </c>
      <c r="N49" s="4">
        <f>VLOOKUP(C49,[6]sheet1!$D:$I,6,0)</f>
        <v>580</v>
      </c>
      <c r="O49" s="4">
        <f>VLOOKUP(C49,[7]sheet1!$D:$I,6,0)</f>
        <v>263</v>
      </c>
      <c r="P49" s="4">
        <f>VLOOKUP(C49,[8]sheet1!$D:$I,6,0)</f>
        <v>263</v>
      </c>
      <c r="Q49" s="4">
        <f t="shared" si="0"/>
        <v>7011</v>
      </c>
      <c r="R49" s="3">
        <v>3</v>
      </c>
      <c r="S49">
        <v>1349</v>
      </c>
      <c r="T49">
        <v>173</v>
      </c>
      <c r="U49" s="3">
        <v>71</v>
      </c>
      <c r="V49" s="3">
        <v>3</v>
      </c>
      <c r="W49">
        <v>584</v>
      </c>
      <c r="X49" s="3">
        <v>2</v>
      </c>
      <c r="Y49">
        <v>299</v>
      </c>
      <c r="Z49" s="3">
        <v>1</v>
      </c>
      <c r="AA49" t="s">
        <v>52</v>
      </c>
      <c r="AB49" s="3">
        <v>222</v>
      </c>
      <c r="AC49">
        <v>243.92</v>
      </c>
      <c r="AD49" t="s">
        <v>49</v>
      </c>
      <c r="AE49">
        <v>276.33</v>
      </c>
      <c r="AF49" s="3">
        <v>3</v>
      </c>
      <c r="AG49" t="s">
        <v>49</v>
      </c>
      <c r="AH49">
        <v>731.76</v>
      </c>
      <c r="AI49" t="s">
        <v>49</v>
      </c>
      <c r="AJ49">
        <v>185.63</v>
      </c>
      <c r="AK49" t="s">
        <v>49</v>
      </c>
      <c r="AL49">
        <v>556.89</v>
      </c>
      <c r="AM49" t="s">
        <v>49</v>
      </c>
      <c r="AN49" s="3">
        <v>1750</v>
      </c>
      <c r="AO49" s="19">
        <v>0.6667</v>
      </c>
      <c r="AP49" s="19">
        <v>0.3333</v>
      </c>
      <c r="AQ49" s="19">
        <v>0.8891</v>
      </c>
      <c r="AR49" s="19">
        <v>0.3073</v>
      </c>
      <c r="AS49" s="19">
        <v>0.9014</v>
      </c>
      <c r="AT49" s="19">
        <v>0.1972</v>
      </c>
      <c r="AU49" s="3">
        <v>0</v>
      </c>
      <c r="AV49" s="3">
        <v>0</v>
      </c>
      <c r="AW49" s="19">
        <v>0</v>
      </c>
      <c r="AX49" s="3">
        <v>0</v>
      </c>
      <c r="AY49" s="3">
        <v>0</v>
      </c>
    </row>
    <row r="50" spans="1:51">
      <c r="A50" s="3">
        <v>8979811</v>
      </c>
      <c r="B50" t="s">
        <v>161</v>
      </c>
      <c r="C50" s="3">
        <v>12425112</v>
      </c>
      <c r="D50" t="s">
        <v>44</v>
      </c>
      <c r="E50" t="s">
        <v>109</v>
      </c>
      <c r="F50" t="s">
        <v>46</v>
      </c>
      <c r="G50" t="s">
        <v>47</v>
      </c>
      <c r="H50" s="16">
        <v>448</v>
      </c>
      <c r="I50" s="4">
        <f>VLOOKUP(C50,[1]sheet1!$D:$I,6,0)</f>
        <v>211</v>
      </c>
      <c r="J50" s="4">
        <f>VLOOKUP(C50,[2]sheet1!$D:$I,6,0)</f>
        <v>221</v>
      </c>
      <c r="K50" s="4">
        <f>VLOOKUP(C50,[3]sheet1!$D:$I,6,0)</f>
        <v>239</v>
      </c>
      <c r="L50" s="4">
        <f>VLOOKUP(C50,[4]sheet1!$D:$I,6,0)</f>
        <v>196</v>
      </c>
      <c r="M50" s="4">
        <f>VLOOKUP(C50,[5]sheet1!$D:$I,6,0)</f>
        <v>465</v>
      </c>
      <c r="N50" s="4">
        <f>VLOOKUP(C50,[6]sheet1!$D:$I,6,0)</f>
        <v>442</v>
      </c>
      <c r="O50" s="4">
        <f>VLOOKUP(C50,[7]sheet1!$D:$I,6,0)</f>
        <v>455</v>
      </c>
      <c r="P50" s="4">
        <f>VLOOKUP(C50,[8]sheet1!$D:$I,6,0)</f>
        <v>0</v>
      </c>
      <c r="Q50" s="4">
        <f t="shared" si="0"/>
        <v>2677</v>
      </c>
      <c r="R50" s="3">
        <v>2</v>
      </c>
      <c r="S50">
        <v>290</v>
      </c>
      <c r="T50">
        <v>661</v>
      </c>
      <c r="U50" s="3">
        <v>3</v>
      </c>
      <c r="V50" s="3">
        <v>2</v>
      </c>
      <c r="W50">
        <v>0</v>
      </c>
      <c r="X50" s="3">
        <v>0</v>
      </c>
      <c r="Y50">
        <v>0</v>
      </c>
      <c r="Z50" s="3">
        <v>0</v>
      </c>
      <c r="AA50" t="s">
        <v>73</v>
      </c>
      <c r="AB50" s="3">
        <v>160</v>
      </c>
      <c r="AC50">
        <v>199.94</v>
      </c>
      <c r="AD50" t="s">
        <v>49</v>
      </c>
      <c r="AE50">
        <v>224</v>
      </c>
      <c r="AF50" s="3">
        <v>2</v>
      </c>
      <c r="AG50" t="s">
        <v>49</v>
      </c>
      <c r="AH50">
        <v>399.88</v>
      </c>
      <c r="AI50" t="s">
        <v>49</v>
      </c>
      <c r="AJ50">
        <v>131.21</v>
      </c>
      <c r="AK50" t="s">
        <v>49</v>
      </c>
      <c r="AL50">
        <v>262.42</v>
      </c>
      <c r="AM50" t="s">
        <v>49</v>
      </c>
      <c r="AN50">
        <v>339</v>
      </c>
      <c r="AO50" s="19">
        <v>0.5</v>
      </c>
      <c r="AP50" s="19">
        <v>0</v>
      </c>
      <c r="AQ50" s="19">
        <v>0.871</v>
      </c>
      <c r="AR50" s="19">
        <v>0.3871</v>
      </c>
      <c r="AS50" s="19">
        <v>0.6667</v>
      </c>
      <c r="AT50" s="19">
        <v>0.6667</v>
      </c>
      <c r="AU50" s="3">
        <v>0</v>
      </c>
      <c r="AV50" s="3">
        <v>0</v>
      </c>
      <c r="AW50" s="19">
        <v>0</v>
      </c>
      <c r="AX50" s="3">
        <v>0</v>
      </c>
      <c r="AY50" s="3">
        <v>0</v>
      </c>
    </row>
    <row r="51" spans="1:51">
      <c r="A51" s="3">
        <v>8568910</v>
      </c>
      <c r="B51" t="s">
        <v>162</v>
      </c>
      <c r="C51" s="3">
        <v>12421254</v>
      </c>
      <c r="D51" t="s">
        <v>44</v>
      </c>
      <c r="E51" t="s">
        <v>109</v>
      </c>
      <c r="F51" t="s">
        <v>46</v>
      </c>
      <c r="G51" t="s">
        <v>47</v>
      </c>
      <c r="H51" s="16">
        <v>434</v>
      </c>
      <c r="I51" s="4">
        <f>VLOOKUP(C51,[1]sheet1!$D:$I,6,0)</f>
        <v>434</v>
      </c>
      <c r="J51" s="4">
        <f>VLOOKUP(C51,[2]sheet1!$D:$I,6,0)</f>
        <v>0</v>
      </c>
      <c r="K51" s="4">
        <f>VLOOKUP(C51,[3]sheet1!$D:$I,6,0)</f>
        <v>862</v>
      </c>
      <c r="L51" s="4">
        <f>VLOOKUP(C51,[4]sheet1!$D:$I,6,0)</f>
        <v>622</v>
      </c>
      <c r="M51" s="4">
        <f>VLOOKUP(C51,[5]sheet1!$D:$I,6,0)</f>
        <v>428</v>
      </c>
      <c r="N51" s="4">
        <f>VLOOKUP(C51,[6]sheet1!$D:$I,6,0)</f>
        <v>217</v>
      </c>
      <c r="O51" s="4">
        <f>VLOOKUP(C51,[7]sheet1!$D:$I,6,0)</f>
        <v>623</v>
      </c>
      <c r="P51" s="4">
        <f>VLOOKUP(C51,[8]sheet1!$D:$I,6,0)</f>
        <v>416</v>
      </c>
      <c r="Q51" s="4">
        <f t="shared" si="0"/>
        <v>4036</v>
      </c>
      <c r="R51" s="3">
        <v>2</v>
      </c>
      <c r="S51">
        <v>435</v>
      </c>
      <c r="T51">
        <v>440</v>
      </c>
      <c r="U51" s="3">
        <v>9</v>
      </c>
      <c r="V51" s="3">
        <v>2</v>
      </c>
      <c r="W51">
        <v>0</v>
      </c>
      <c r="X51" s="3">
        <v>0</v>
      </c>
      <c r="Y51">
        <v>0</v>
      </c>
      <c r="Z51" s="3">
        <v>0</v>
      </c>
      <c r="AA51" t="s">
        <v>70</v>
      </c>
      <c r="AB51" s="3">
        <v>241</v>
      </c>
      <c r="AC51">
        <v>208.64</v>
      </c>
      <c r="AD51" t="s">
        <v>49</v>
      </c>
      <c r="AE51">
        <v>217</v>
      </c>
      <c r="AF51" s="3">
        <v>2</v>
      </c>
      <c r="AG51" t="s">
        <v>49</v>
      </c>
      <c r="AH51">
        <v>417.28</v>
      </c>
      <c r="AI51" t="s">
        <v>49</v>
      </c>
      <c r="AJ51">
        <v>201.68</v>
      </c>
      <c r="AK51" t="s">
        <v>49</v>
      </c>
      <c r="AL51">
        <v>403.36</v>
      </c>
      <c r="AM51" t="s">
        <v>49</v>
      </c>
      <c r="AN51" s="3">
        <v>176</v>
      </c>
      <c r="AO51" s="19">
        <v>1</v>
      </c>
      <c r="AP51" s="19">
        <v>0</v>
      </c>
      <c r="AQ51" s="19">
        <v>0.8214</v>
      </c>
      <c r="AR51" s="19">
        <v>0.2429</v>
      </c>
      <c r="AS51" s="19">
        <v>0.8889</v>
      </c>
      <c r="AT51" s="19">
        <v>0.3333</v>
      </c>
      <c r="AU51" s="3">
        <v>0</v>
      </c>
      <c r="AV51" s="3">
        <v>0</v>
      </c>
      <c r="AW51" s="19">
        <v>0</v>
      </c>
      <c r="AX51" s="3">
        <v>0</v>
      </c>
      <c r="AY51" s="3">
        <v>0</v>
      </c>
    </row>
    <row r="52" spans="1:51">
      <c r="A52" s="3">
        <v>5201433</v>
      </c>
      <c r="B52" t="s">
        <v>163</v>
      </c>
      <c r="C52" s="3">
        <v>11340105</v>
      </c>
      <c r="D52" t="s">
        <v>44</v>
      </c>
      <c r="E52" t="s">
        <v>104</v>
      </c>
      <c r="F52" t="s">
        <v>46</v>
      </c>
      <c r="G52" t="s">
        <v>47</v>
      </c>
      <c r="H52" s="16">
        <v>936</v>
      </c>
      <c r="I52" s="4">
        <f>VLOOKUP(C52,[1]sheet1!$D:$I,6,0)</f>
        <v>934</v>
      </c>
      <c r="J52" s="4">
        <f>VLOOKUP(C52,[2]sheet1!$D:$I,6,0)</f>
        <v>478</v>
      </c>
      <c r="K52" s="4">
        <f>VLOOKUP(C52,[3]sheet1!$D:$I,6,0)</f>
        <v>1830</v>
      </c>
      <c r="L52" s="4">
        <f>VLOOKUP(C52,[4]sheet1!$D:$I,6,0)</f>
        <v>3999</v>
      </c>
      <c r="M52" s="4">
        <f>VLOOKUP(C52,[5]sheet1!$D:$I,6,0)</f>
        <v>1795</v>
      </c>
      <c r="N52" s="4">
        <f>VLOOKUP(C52,[6]sheet1!$D:$I,6,0)</f>
        <v>499</v>
      </c>
      <c r="O52" s="4">
        <f>VLOOKUP(C52,[7]sheet1!$D:$I,6,0)</f>
        <v>2350</v>
      </c>
      <c r="P52" s="4">
        <f>VLOOKUP(C52,[8]sheet1!$D:$I,6,0)</f>
        <v>2398</v>
      </c>
      <c r="Q52" s="4">
        <f t="shared" si="0"/>
        <v>15219</v>
      </c>
      <c r="R52" s="3">
        <v>2</v>
      </c>
      <c r="S52">
        <v>1430</v>
      </c>
      <c r="T52">
        <v>133</v>
      </c>
      <c r="U52" s="3">
        <v>158</v>
      </c>
      <c r="V52" s="3">
        <v>2</v>
      </c>
      <c r="W52">
        <v>1413.96</v>
      </c>
      <c r="X52" s="3">
        <v>3</v>
      </c>
      <c r="Y52">
        <v>0</v>
      </c>
      <c r="Z52" s="3">
        <v>0</v>
      </c>
      <c r="AA52" t="s">
        <v>121</v>
      </c>
      <c r="AB52" s="3">
        <v>389</v>
      </c>
      <c r="AC52">
        <v>415.82</v>
      </c>
      <c r="AD52" t="s">
        <v>49</v>
      </c>
      <c r="AE52">
        <v>468</v>
      </c>
      <c r="AF52" s="3">
        <v>2</v>
      </c>
      <c r="AG52" t="s">
        <v>49</v>
      </c>
      <c r="AH52">
        <v>831.64</v>
      </c>
      <c r="AI52" t="s">
        <v>49</v>
      </c>
      <c r="AJ52">
        <v>336.6</v>
      </c>
      <c r="AK52" t="s">
        <v>49</v>
      </c>
      <c r="AL52">
        <v>673.2</v>
      </c>
      <c r="AM52" t="s">
        <v>49</v>
      </c>
      <c r="AN52" s="3">
        <v>2399</v>
      </c>
      <c r="AO52" s="19">
        <v>1</v>
      </c>
      <c r="AP52" s="19">
        <v>1</v>
      </c>
      <c r="AQ52" s="19">
        <v>0.8576</v>
      </c>
      <c r="AR52" s="19">
        <v>0.5576</v>
      </c>
      <c r="AS52" s="19">
        <v>0.981</v>
      </c>
      <c r="AT52" s="19">
        <v>0.481</v>
      </c>
      <c r="AU52" s="3">
        <v>0</v>
      </c>
      <c r="AV52" s="3">
        <v>0</v>
      </c>
      <c r="AW52" s="19">
        <v>0</v>
      </c>
      <c r="AX52" s="3">
        <v>0</v>
      </c>
      <c r="AY52" s="3">
        <v>0</v>
      </c>
    </row>
    <row r="53" spans="1:51">
      <c r="A53" s="3">
        <v>3178777</v>
      </c>
      <c r="B53" t="s">
        <v>164</v>
      </c>
      <c r="C53" s="3">
        <v>12040106</v>
      </c>
      <c r="D53" t="s">
        <v>44</v>
      </c>
      <c r="E53" t="s">
        <v>141</v>
      </c>
      <c r="F53" t="s">
        <v>46</v>
      </c>
      <c r="G53" t="s">
        <v>47</v>
      </c>
      <c r="H53" s="16">
        <v>1086</v>
      </c>
      <c r="I53" s="4">
        <f>VLOOKUP(C53,[1]sheet1!$D:$I,6,0)</f>
        <v>543</v>
      </c>
      <c r="J53" s="4">
        <f>VLOOKUP(C53,[2]sheet1!$D:$I,6,0)</f>
        <v>1088</v>
      </c>
      <c r="K53" s="4">
        <f>VLOOKUP(C53,[3]sheet1!$D:$I,6,0)</f>
        <v>1052</v>
      </c>
      <c r="L53" s="4">
        <f>VLOOKUP(C53,[4]sheet1!$D:$I,6,0)</f>
        <v>518</v>
      </c>
      <c r="M53" s="4">
        <f>VLOOKUP(C53,[5]sheet1!$D:$I,6,0)</f>
        <v>0</v>
      </c>
      <c r="N53" s="4">
        <f>VLOOKUP(C53,[6]sheet1!$D:$I,6,0)</f>
        <v>1110</v>
      </c>
      <c r="O53" s="4">
        <f>VLOOKUP(C53,[7]sheet1!$D:$I,6,0)</f>
        <v>599</v>
      </c>
      <c r="P53" s="4">
        <f>VLOOKUP(C53,[8]sheet1!$D:$I,6,0)</f>
        <v>1019</v>
      </c>
      <c r="Q53" s="4">
        <f t="shared" si="0"/>
        <v>7015</v>
      </c>
      <c r="R53" s="3">
        <v>2</v>
      </c>
      <c r="S53">
        <v>457</v>
      </c>
      <c r="T53">
        <v>297</v>
      </c>
      <c r="U53" s="3">
        <v>3</v>
      </c>
      <c r="V53" s="3">
        <v>2</v>
      </c>
      <c r="W53">
        <v>564</v>
      </c>
      <c r="X53" s="3">
        <v>1</v>
      </c>
      <c r="Y53">
        <v>0</v>
      </c>
      <c r="Z53" s="3">
        <v>0</v>
      </c>
      <c r="AA53" t="s">
        <v>165</v>
      </c>
      <c r="AB53" s="3">
        <v>480</v>
      </c>
      <c r="AC53">
        <v>483.64</v>
      </c>
      <c r="AD53" t="s">
        <v>49</v>
      </c>
      <c r="AE53">
        <v>543</v>
      </c>
      <c r="AF53" s="3">
        <v>1</v>
      </c>
      <c r="AG53" t="s">
        <v>49</v>
      </c>
      <c r="AH53">
        <v>967.28</v>
      </c>
      <c r="AI53" t="s">
        <v>49</v>
      </c>
      <c r="AJ53">
        <v>406.21</v>
      </c>
      <c r="AK53" t="s">
        <v>49</v>
      </c>
      <c r="AL53">
        <v>812.42</v>
      </c>
      <c r="AM53" t="s">
        <v>49</v>
      </c>
      <c r="AN53" s="3">
        <v>203</v>
      </c>
      <c r="AO53" s="19">
        <v>0</v>
      </c>
      <c r="AP53" s="19">
        <v>0</v>
      </c>
      <c r="AQ53" s="19">
        <v>0.8701</v>
      </c>
      <c r="AR53" s="19">
        <v>0.3571</v>
      </c>
      <c r="AS53" s="19">
        <v>0.6667</v>
      </c>
      <c r="AT53" s="19">
        <v>0</v>
      </c>
      <c r="AU53" s="3">
        <v>0</v>
      </c>
      <c r="AV53" s="3">
        <v>0</v>
      </c>
      <c r="AW53" s="19">
        <v>0</v>
      </c>
      <c r="AX53" s="3">
        <v>0</v>
      </c>
      <c r="AY53" s="3">
        <v>0</v>
      </c>
    </row>
    <row r="54" spans="1:51">
      <c r="A54" s="3">
        <v>20678278</v>
      </c>
      <c r="B54" t="s">
        <v>166</v>
      </c>
      <c r="C54" s="3">
        <v>115215045</v>
      </c>
      <c r="D54" t="s">
        <v>44</v>
      </c>
      <c r="E54" t="s">
        <v>54</v>
      </c>
      <c r="F54" t="s">
        <v>65</v>
      </c>
      <c r="G54" t="s">
        <v>47</v>
      </c>
      <c r="H54" s="16">
        <v>225</v>
      </c>
      <c r="I54" s="4">
        <f>VLOOKUP(C54,[1]sheet1!$D:$I,6,0)</f>
        <v>467</v>
      </c>
      <c r="J54" s="4">
        <f>VLOOKUP(C54,[2]sheet1!$D:$I,6,0)</f>
        <v>232</v>
      </c>
      <c r="K54" s="4">
        <f>VLOOKUP(C54,[3]sheet1!$D:$I,6,0)</f>
        <v>559</v>
      </c>
      <c r="L54" s="4">
        <f>VLOOKUP(C54,[4]sheet1!$D:$I,6,0)</f>
        <v>646</v>
      </c>
      <c r="M54" s="4">
        <f>VLOOKUP(C54,[5]sheet1!$D:$I,6,0)</f>
        <v>302</v>
      </c>
      <c r="N54" s="4">
        <f>VLOOKUP(C54,[6]sheet1!$D:$I,6,0)</f>
        <v>568.1</v>
      </c>
      <c r="O54" s="4">
        <f>VLOOKUP(C54,[7]sheet1!$D:$I,6,0)</f>
        <v>1274</v>
      </c>
      <c r="P54" s="4">
        <f>VLOOKUP(C54,[8]sheet1!$D:$I,6,0)</f>
        <v>936</v>
      </c>
      <c r="Q54" s="4">
        <f t="shared" si="0"/>
        <v>5209.1</v>
      </c>
      <c r="R54" s="3">
        <v>2</v>
      </c>
      <c r="S54" s="3">
        <v>165</v>
      </c>
      <c r="T54" s="19">
        <v>0.0121</v>
      </c>
      <c r="U54" s="3">
        <v>11</v>
      </c>
      <c r="V54" s="3">
        <v>2</v>
      </c>
      <c r="W54">
        <v>0</v>
      </c>
      <c r="X54" s="3">
        <v>0</v>
      </c>
      <c r="Y54">
        <v>122</v>
      </c>
      <c r="Z54" s="3">
        <v>1</v>
      </c>
      <c r="AA54" t="s">
        <v>167</v>
      </c>
      <c r="AB54" t="s">
        <v>49</v>
      </c>
      <c r="AC54">
        <v>122.42</v>
      </c>
      <c r="AD54" t="s">
        <v>49</v>
      </c>
      <c r="AE54">
        <v>112.5</v>
      </c>
      <c r="AF54" s="3">
        <v>2</v>
      </c>
      <c r="AG54" t="s">
        <v>49</v>
      </c>
      <c r="AH54">
        <v>244.84</v>
      </c>
      <c r="AI54" t="s">
        <v>49</v>
      </c>
      <c r="AJ54" t="s">
        <v>49</v>
      </c>
      <c r="AK54" t="s">
        <v>49</v>
      </c>
      <c r="AL54" t="s">
        <v>49</v>
      </c>
      <c r="AM54" t="s">
        <v>49</v>
      </c>
      <c r="AN54" s="3">
        <v>210</v>
      </c>
      <c r="AO54" s="19">
        <v>0.5</v>
      </c>
      <c r="AP54" s="19">
        <v>0.5</v>
      </c>
      <c r="AQ54" s="19">
        <v>0.8</v>
      </c>
      <c r="AR54" s="19">
        <v>0.1939</v>
      </c>
      <c r="AS54" s="19">
        <v>0.7273</v>
      </c>
      <c r="AT54" s="19">
        <v>0.2727</v>
      </c>
      <c r="AU54" s="3">
        <v>0</v>
      </c>
      <c r="AV54" s="3">
        <v>0</v>
      </c>
      <c r="AW54" s="19">
        <v>0</v>
      </c>
      <c r="AX54" s="3">
        <v>0</v>
      </c>
      <c r="AY54" s="3">
        <v>0</v>
      </c>
    </row>
    <row r="55" spans="1:51">
      <c r="A55" s="3">
        <v>19906698</v>
      </c>
      <c r="B55" t="s">
        <v>168</v>
      </c>
      <c r="C55" s="3">
        <v>115220021</v>
      </c>
      <c r="D55" t="s">
        <v>44</v>
      </c>
      <c r="E55" t="s">
        <v>149</v>
      </c>
      <c r="F55" t="s">
        <v>65</v>
      </c>
      <c r="G55" t="s">
        <v>47</v>
      </c>
      <c r="H55" s="16">
        <v>848</v>
      </c>
      <c r="I55" s="4">
        <f>VLOOKUP(C55,[1]sheet1!$D:$I,6,0)</f>
        <v>1287</v>
      </c>
      <c r="J55" s="4">
        <f>VLOOKUP(C55,[2]sheet1!$D:$I,6,0)</f>
        <v>846</v>
      </c>
      <c r="K55" s="4">
        <f>VLOOKUP(C55,[3]sheet1!$D:$I,6,0)</f>
        <v>2929</v>
      </c>
      <c r="L55" s="4">
        <f>VLOOKUP(C55,[4]sheet1!$D:$I,6,0)</f>
        <v>1279</v>
      </c>
      <c r="M55" s="4">
        <f>VLOOKUP(C55,[5]sheet1!$D:$I,6,0)</f>
        <v>2113</v>
      </c>
      <c r="N55" s="4">
        <f>VLOOKUP(C55,[6]sheet1!$D:$I,6,0)</f>
        <v>0</v>
      </c>
      <c r="O55" s="4">
        <f>VLOOKUP(C55,[7]sheet1!$D:$I,6,0)</f>
        <v>2074</v>
      </c>
      <c r="P55" s="4">
        <f>VLOOKUP(C55,[8]sheet1!$D:$I,6,0)</f>
        <v>845</v>
      </c>
      <c r="Q55" s="4">
        <f t="shared" si="0"/>
        <v>12221</v>
      </c>
      <c r="R55" s="3">
        <v>2</v>
      </c>
      <c r="S55" s="3">
        <v>357</v>
      </c>
      <c r="T55" s="19">
        <v>0.0056</v>
      </c>
      <c r="U55" s="3">
        <v>15</v>
      </c>
      <c r="V55" s="3">
        <v>2</v>
      </c>
      <c r="W55">
        <v>0</v>
      </c>
      <c r="X55" s="3">
        <v>0</v>
      </c>
      <c r="Y55">
        <v>0</v>
      </c>
      <c r="Z55" s="3">
        <v>0</v>
      </c>
      <c r="AA55" t="s">
        <v>49</v>
      </c>
      <c r="AB55" t="s">
        <v>49</v>
      </c>
      <c r="AC55" t="s">
        <v>49</v>
      </c>
      <c r="AD55" t="s">
        <v>49</v>
      </c>
      <c r="AE55">
        <v>424</v>
      </c>
      <c r="AF55" s="3">
        <v>2</v>
      </c>
      <c r="AG55" t="s">
        <v>49</v>
      </c>
      <c r="AH55" t="s">
        <v>49</v>
      </c>
      <c r="AI55" t="s">
        <v>49</v>
      </c>
      <c r="AJ55" t="s">
        <v>49</v>
      </c>
      <c r="AK55" t="s">
        <v>49</v>
      </c>
      <c r="AL55" t="s">
        <v>49</v>
      </c>
      <c r="AM55" t="s">
        <v>49</v>
      </c>
      <c r="AN55" s="3">
        <v>455</v>
      </c>
      <c r="AO55" s="19">
        <v>1</v>
      </c>
      <c r="AP55" s="19">
        <v>0</v>
      </c>
      <c r="AQ55" s="19">
        <v>0.9076</v>
      </c>
      <c r="AR55" s="19">
        <v>0.1989</v>
      </c>
      <c r="AS55" s="19">
        <v>0.8667</v>
      </c>
      <c r="AT55" s="19">
        <v>0.2667</v>
      </c>
      <c r="AU55" s="3">
        <v>0</v>
      </c>
      <c r="AV55" s="3">
        <v>0</v>
      </c>
      <c r="AW55" s="19">
        <v>0</v>
      </c>
      <c r="AX55" s="3">
        <v>0</v>
      </c>
      <c r="AY55" s="3">
        <v>0</v>
      </c>
    </row>
    <row r="56" spans="1:51">
      <c r="A56" s="3">
        <v>19855889</v>
      </c>
      <c r="B56" t="s">
        <v>169</v>
      </c>
      <c r="C56" s="3">
        <v>115215039</v>
      </c>
      <c r="D56" t="s">
        <v>44</v>
      </c>
      <c r="E56" t="s">
        <v>45</v>
      </c>
      <c r="F56" t="s">
        <v>46</v>
      </c>
      <c r="G56" t="s">
        <v>47</v>
      </c>
      <c r="H56" s="16">
        <v>744</v>
      </c>
      <c r="I56" s="4">
        <f>VLOOKUP(C56,[1]sheet1!$D:$I,6,0)</f>
        <v>0</v>
      </c>
      <c r="J56" s="4">
        <f>VLOOKUP(C56,[2]sheet1!$D:$I,6,0)</f>
        <v>372</v>
      </c>
      <c r="K56" s="4">
        <f>VLOOKUP(C56,[3]sheet1!$D:$I,6,0)</f>
        <v>0</v>
      </c>
      <c r="L56" s="4">
        <f>VLOOKUP(C56,[4]sheet1!$D:$I,6,0)</f>
        <v>744</v>
      </c>
      <c r="M56" s="4">
        <f>VLOOKUP(C56,[5]sheet1!$D:$I,6,0)</f>
        <v>377</v>
      </c>
      <c r="N56" s="4">
        <f>VLOOKUP(C56,[6]sheet1!$D:$I,6,0)</f>
        <v>744</v>
      </c>
      <c r="O56" s="4">
        <f>VLOOKUP(C56,[7]sheet1!$D:$I,6,0)</f>
        <v>0</v>
      </c>
      <c r="P56" s="4">
        <f>VLOOKUP(C56,[8]sheet1!$D:$I,6,0)</f>
        <v>0</v>
      </c>
      <c r="Q56" s="4">
        <f t="shared" si="0"/>
        <v>2981</v>
      </c>
      <c r="R56" s="3">
        <v>2</v>
      </c>
      <c r="S56">
        <v>370</v>
      </c>
      <c r="T56">
        <v>366</v>
      </c>
      <c r="U56" s="3">
        <v>5</v>
      </c>
      <c r="V56" s="3">
        <v>2</v>
      </c>
      <c r="W56">
        <v>0</v>
      </c>
      <c r="X56" s="3">
        <v>0</v>
      </c>
      <c r="Y56">
        <v>390</v>
      </c>
      <c r="Z56" s="3">
        <v>1</v>
      </c>
      <c r="AA56" t="s">
        <v>170</v>
      </c>
      <c r="AB56" s="3">
        <v>299</v>
      </c>
      <c r="AC56">
        <v>251.72</v>
      </c>
      <c r="AD56" t="s">
        <v>49</v>
      </c>
      <c r="AE56">
        <v>372</v>
      </c>
      <c r="AF56" s="3">
        <v>1</v>
      </c>
      <c r="AG56" t="s">
        <v>49</v>
      </c>
      <c r="AH56">
        <v>503.44</v>
      </c>
      <c r="AI56" t="s">
        <v>49</v>
      </c>
      <c r="AJ56" t="s">
        <v>49</v>
      </c>
      <c r="AK56" t="s">
        <v>49</v>
      </c>
      <c r="AL56" t="s">
        <v>49</v>
      </c>
      <c r="AM56" t="s">
        <v>49</v>
      </c>
      <c r="AN56" s="3">
        <v>129</v>
      </c>
      <c r="AO56" s="19">
        <v>1</v>
      </c>
      <c r="AP56" s="19">
        <v>0</v>
      </c>
      <c r="AQ56" s="19">
        <v>0.8218</v>
      </c>
      <c r="AR56" s="19">
        <v>0.3465</v>
      </c>
      <c r="AS56" s="19">
        <v>0.8</v>
      </c>
      <c r="AT56" s="19">
        <v>0.6</v>
      </c>
      <c r="AU56" s="3">
        <v>0</v>
      </c>
      <c r="AV56" s="3">
        <v>0</v>
      </c>
      <c r="AW56" s="19">
        <v>0</v>
      </c>
      <c r="AX56" s="3">
        <v>0</v>
      </c>
      <c r="AY56" s="3">
        <v>0</v>
      </c>
    </row>
    <row r="57" spans="1:51">
      <c r="A57" s="3">
        <v>19428410</v>
      </c>
      <c r="B57" t="s">
        <v>171</v>
      </c>
      <c r="C57" s="3">
        <v>105112021</v>
      </c>
      <c r="D57" t="s">
        <v>44</v>
      </c>
      <c r="E57" t="s">
        <v>51</v>
      </c>
      <c r="F57" t="s">
        <v>46</v>
      </c>
      <c r="G57" t="s">
        <v>47</v>
      </c>
      <c r="H57" s="16">
        <v>669</v>
      </c>
      <c r="I57" s="4">
        <f>VLOOKUP(C57,[1]sheet1!$D:$I,6,0)</f>
        <v>0</v>
      </c>
      <c r="J57" s="4">
        <f>VLOOKUP(C57,[2]sheet1!$D:$I,6,0)</f>
        <v>332</v>
      </c>
      <c r="K57" s="4">
        <f>VLOOKUP(C57,[3]sheet1!$D:$I,6,0)</f>
        <v>332</v>
      </c>
      <c r="L57" s="4">
        <f>VLOOKUP(C57,[4]sheet1!$D:$I,6,0)</f>
        <v>0</v>
      </c>
      <c r="M57" s="4">
        <f>VLOOKUP(C57,[5]sheet1!$D:$I,6,0)</f>
        <v>314</v>
      </c>
      <c r="N57" s="4">
        <f>VLOOKUP(C57,[6]sheet1!$D:$I,6,0)</f>
        <v>0</v>
      </c>
      <c r="O57" s="4">
        <f>VLOOKUP(C57,[7]sheet1!$D:$I,6,0)</f>
        <v>0</v>
      </c>
      <c r="P57" s="4">
        <f>VLOOKUP(C57,[8]sheet1!$D:$I,6,0)</f>
        <v>0</v>
      </c>
      <c r="Q57" s="4">
        <f t="shared" si="0"/>
        <v>1647</v>
      </c>
      <c r="R57" s="3">
        <v>2</v>
      </c>
      <c r="S57">
        <v>795</v>
      </c>
      <c r="T57">
        <v>241</v>
      </c>
      <c r="U57" s="3">
        <v>29</v>
      </c>
      <c r="V57" s="3">
        <v>2</v>
      </c>
      <c r="W57">
        <v>0</v>
      </c>
      <c r="X57" s="3">
        <v>0</v>
      </c>
      <c r="Y57">
        <v>0</v>
      </c>
      <c r="Z57" s="3">
        <v>0</v>
      </c>
      <c r="AA57" t="s">
        <v>172</v>
      </c>
      <c r="AB57" s="3">
        <v>270</v>
      </c>
      <c r="AC57">
        <v>296.12</v>
      </c>
      <c r="AD57" t="s">
        <v>49</v>
      </c>
      <c r="AE57">
        <v>334.5</v>
      </c>
      <c r="AF57" s="3">
        <v>2</v>
      </c>
      <c r="AG57" t="s">
        <v>49</v>
      </c>
      <c r="AH57">
        <v>592.24</v>
      </c>
      <c r="AI57" t="s">
        <v>49</v>
      </c>
      <c r="AJ57">
        <v>248.99</v>
      </c>
      <c r="AK57" t="s">
        <v>49</v>
      </c>
      <c r="AL57">
        <v>497.98</v>
      </c>
      <c r="AM57" t="s">
        <v>49</v>
      </c>
      <c r="AN57" s="3">
        <v>662</v>
      </c>
      <c r="AO57" s="19">
        <v>0.5</v>
      </c>
      <c r="AP57" s="19">
        <v>0.5</v>
      </c>
      <c r="AQ57" s="19">
        <v>0.8266</v>
      </c>
      <c r="AR57" s="19">
        <v>0.4176</v>
      </c>
      <c r="AS57" s="19">
        <v>0.8276</v>
      </c>
      <c r="AT57" s="19">
        <v>0.3448</v>
      </c>
      <c r="AU57" s="3">
        <v>0</v>
      </c>
      <c r="AV57" s="3">
        <v>0</v>
      </c>
      <c r="AW57" s="19">
        <v>0</v>
      </c>
      <c r="AX57" s="3">
        <v>0</v>
      </c>
      <c r="AY57" s="3">
        <v>0</v>
      </c>
    </row>
    <row r="58" spans="1:51">
      <c r="A58" s="3">
        <v>15705754</v>
      </c>
      <c r="B58" t="s">
        <v>173</v>
      </c>
      <c r="C58" s="3">
        <v>114311233</v>
      </c>
      <c r="D58" t="s">
        <v>44</v>
      </c>
      <c r="E58" t="s">
        <v>174</v>
      </c>
      <c r="F58" t="s">
        <v>46</v>
      </c>
      <c r="G58" t="s">
        <v>47</v>
      </c>
      <c r="H58" s="16">
        <v>544</v>
      </c>
      <c r="I58" s="4">
        <f>VLOOKUP(C58,[1]sheet1!$D:$I,6,0)</f>
        <v>272</v>
      </c>
      <c r="J58" s="4">
        <f>VLOOKUP(C58,[2]sheet1!$D:$I,6,0)</f>
        <v>272</v>
      </c>
      <c r="K58" s="4">
        <f>VLOOKUP(C58,[3]sheet1!$D:$I,6,0)</f>
        <v>0</v>
      </c>
      <c r="L58" s="4">
        <f>VLOOKUP(C58,[4]sheet1!$D:$I,6,0)</f>
        <v>0</v>
      </c>
      <c r="M58" s="4">
        <f>VLOOKUP(C58,[5]sheet1!$D:$I,6,0)</f>
        <v>0</v>
      </c>
      <c r="N58" s="4">
        <f>VLOOKUP(C58,[6]sheet1!$D:$I,6,0)</f>
        <v>0</v>
      </c>
      <c r="O58" s="4">
        <f>VLOOKUP(C58,[7]sheet1!$D:$I,6,0)</f>
        <v>523</v>
      </c>
      <c r="P58" s="4">
        <f>VLOOKUP(C58,[8]sheet1!$D:$I,6,0)</f>
        <v>272</v>
      </c>
      <c r="Q58" s="4">
        <f t="shared" si="0"/>
        <v>1883</v>
      </c>
      <c r="R58" s="3">
        <v>2</v>
      </c>
      <c r="S58">
        <v>224</v>
      </c>
      <c r="T58">
        <v>856</v>
      </c>
      <c r="U58" s="3">
        <v>5</v>
      </c>
      <c r="V58" s="3">
        <v>2</v>
      </c>
      <c r="W58">
        <v>0</v>
      </c>
      <c r="X58" s="3">
        <v>0</v>
      </c>
      <c r="Y58">
        <v>290</v>
      </c>
      <c r="Z58" s="3">
        <v>1</v>
      </c>
      <c r="AA58" t="s">
        <v>175</v>
      </c>
      <c r="AB58" s="3">
        <v>242</v>
      </c>
      <c r="AC58">
        <v>242.99</v>
      </c>
      <c r="AD58" t="s">
        <v>49</v>
      </c>
      <c r="AE58">
        <v>272</v>
      </c>
      <c r="AF58" s="3">
        <v>2</v>
      </c>
      <c r="AG58" t="s">
        <v>49</v>
      </c>
      <c r="AH58">
        <v>485.98</v>
      </c>
      <c r="AI58" t="s">
        <v>49</v>
      </c>
      <c r="AJ58">
        <v>201.23</v>
      </c>
      <c r="AK58" t="s">
        <v>49</v>
      </c>
      <c r="AL58">
        <v>402.46</v>
      </c>
      <c r="AM58" t="s">
        <v>49</v>
      </c>
      <c r="AN58">
        <v>265</v>
      </c>
      <c r="AO58" s="19">
        <v>0.5</v>
      </c>
      <c r="AP58" s="19">
        <v>1</v>
      </c>
      <c r="AQ58" s="19">
        <v>0.7568</v>
      </c>
      <c r="AR58" s="19">
        <v>0.6216</v>
      </c>
      <c r="AS58" s="19">
        <v>1</v>
      </c>
      <c r="AT58" s="19">
        <v>0.6</v>
      </c>
      <c r="AU58" s="3">
        <v>0</v>
      </c>
      <c r="AV58" s="3">
        <v>0</v>
      </c>
      <c r="AW58" s="19">
        <v>0</v>
      </c>
      <c r="AX58" s="3">
        <v>0</v>
      </c>
      <c r="AY58" s="3">
        <v>0</v>
      </c>
    </row>
    <row r="59" spans="1:51">
      <c r="A59" s="3">
        <v>14157838</v>
      </c>
      <c r="B59" t="s">
        <v>176</v>
      </c>
      <c r="C59" s="3">
        <v>164334405</v>
      </c>
      <c r="D59" t="s">
        <v>44</v>
      </c>
      <c r="E59" t="s">
        <v>177</v>
      </c>
      <c r="F59" t="s">
        <v>65</v>
      </c>
      <c r="G59" t="s">
        <v>47</v>
      </c>
      <c r="H59" s="16">
        <v>174</v>
      </c>
      <c r="I59" s="4">
        <f>VLOOKUP(C59,[1]sheet1!$D:$I,6,0)</f>
        <v>168</v>
      </c>
      <c r="J59" s="4">
        <f>VLOOKUP(C59,[2]sheet1!$D:$I,6,0)</f>
        <v>239</v>
      </c>
      <c r="K59" s="4">
        <f>VLOOKUP(C59,[3]sheet1!$D:$I,6,0)</f>
        <v>87</v>
      </c>
      <c r="L59" s="4">
        <f>VLOOKUP(C59,[4]sheet1!$D:$I,6,0)</f>
        <v>0</v>
      </c>
      <c r="M59" s="4">
        <f>VLOOKUP(C59,[5]sheet1!$D:$I,6,0)</f>
        <v>0</v>
      </c>
      <c r="N59" s="4">
        <f>VLOOKUP(C59,[6]sheet1!$D:$I,6,0)</f>
        <v>84</v>
      </c>
      <c r="O59" s="4">
        <f>VLOOKUP(C59,[7]sheet1!$D:$I,6,0)</f>
        <v>0</v>
      </c>
      <c r="P59" s="4">
        <f>VLOOKUP(C59,[8]sheet1!$D:$I,6,0)</f>
        <v>0</v>
      </c>
      <c r="Q59" s="4">
        <f t="shared" si="0"/>
        <v>752</v>
      </c>
      <c r="R59" s="3">
        <v>2</v>
      </c>
      <c r="S59" s="3">
        <v>11</v>
      </c>
      <c r="T59" s="19">
        <v>0.0909</v>
      </c>
      <c r="U59" s="3">
        <v>0</v>
      </c>
      <c r="V59" s="3">
        <v>2</v>
      </c>
      <c r="W59">
        <v>0</v>
      </c>
      <c r="X59" s="3">
        <v>0</v>
      </c>
      <c r="Y59">
        <v>0</v>
      </c>
      <c r="Z59" s="3">
        <v>0</v>
      </c>
      <c r="AA59" t="s">
        <v>66</v>
      </c>
      <c r="AB59" t="s">
        <v>49</v>
      </c>
      <c r="AC59">
        <v>65.37</v>
      </c>
      <c r="AD59" t="s">
        <v>49</v>
      </c>
      <c r="AE59">
        <v>87</v>
      </c>
      <c r="AF59" s="3">
        <v>1</v>
      </c>
      <c r="AG59" t="s">
        <v>49</v>
      </c>
      <c r="AH59">
        <v>130.74</v>
      </c>
      <c r="AI59" t="s">
        <v>49</v>
      </c>
      <c r="AJ59" t="s">
        <v>49</v>
      </c>
      <c r="AK59" t="s">
        <v>49</v>
      </c>
      <c r="AL59" t="s">
        <v>49</v>
      </c>
      <c r="AM59" t="s">
        <v>49</v>
      </c>
      <c r="AN59" s="3">
        <v>20</v>
      </c>
      <c r="AO59" s="19">
        <v>0</v>
      </c>
      <c r="AP59" s="19">
        <v>0</v>
      </c>
      <c r="AQ59" s="19">
        <v>0.9091</v>
      </c>
      <c r="AR59" s="19">
        <v>0.6364</v>
      </c>
      <c r="AS59" s="19">
        <v>0</v>
      </c>
      <c r="AT59" s="19">
        <v>0</v>
      </c>
      <c r="AU59" s="3">
        <v>0</v>
      </c>
      <c r="AV59" s="3">
        <v>0</v>
      </c>
      <c r="AW59" s="19">
        <v>0</v>
      </c>
      <c r="AX59" s="3">
        <v>0</v>
      </c>
      <c r="AY59" s="3">
        <v>0</v>
      </c>
    </row>
    <row r="60" spans="1:51">
      <c r="A60" s="3">
        <v>11277723</v>
      </c>
      <c r="B60" t="s">
        <v>178</v>
      </c>
      <c r="C60" s="3">
        <v>11421429</v>
      </c>
      <c r="D60" t="s">
        <v>44</v>
      </c>
      <c r="E60" t="s">
        <v>179</v>
      </c>
      <c r="F60" t="s">
        <v>65</v>
      </c>
      <c r="G60" t="s">
        <v>47</v>
      </c>
      <c r="H60" s="16">
        <v>416.03</v>
      </c>
      <c r="I60" s="4">
        <f>VLOOKUP(C60,[1]sheet1!$D:$I,6,0)</f>
        <v>442</v>
      </c>
      <c r="J60" s="4">
        <f>VLOOKUP(C60,[2]sheet1!$D:$I,6,0)</f>
        <v>0</v>
      </c>
      <c r="K60" s="4">
        <f>VLOOKUP(C60,[3]sheet1!$D:$I,6,0)</f>
        <v>195.03</v>
      </c>
      <c r="L60" s="4">
        <f>VLOOKUP(C60,[4]sheet1!$D:$I,6,0)</f>
        <v>442</v>
      </c>
      <c r="M60" s="4">
        <f>VLOOKUP(C60,[5]sheet1!$D:$I,6,0)</f>
        <v>0</v>
      </c>
      <c r="N60" s="4">
        <f>VLOOKUP(C60,[6]sheet1!$D:$I,6,0)</f>
        <v>658</v>
      </c>
      <c r="O60" s="4">
        <f>VLOOKUP(C60,[7]sheet1!$D:$I,6,0)</f>
        <v>221</v>
      </c>
      <c r="P60" s="4">
        <f>VLOOKUP(C60,[8]sheet1!$D:$I,6,0)</f>
        <v>412</v>
      </c>
      <c r="Q60" s="4">
        <f t="shared" si="0"/>
        <v>2786.06</v>
      </c>
      <c r="R60" s="3">
        <v>2</v>
      </c>
      <c r="S60" s="3">
        <v>45</v>
      </c>
      <c r="T60" s="19">
        <v>0.0444</v>
      </c>
      <c r="U60" s="3">
        <v>3</v>
      </c>
      <c r="V60" s="3">
        <v>2</v>
      </c>
      <c r="W60">
        <v>0</v>
      </c>
      <c r="X60" s="3">
        <v>0</v>
      </c>
      <c r="Y60">
        <v>0</v>
      </c>
      <c r="Z60" s="3">
        <v>0</v>
      </c>
      <c r="AA60" t="s">
        <v>118</v>
      </c>
      <c r="AB60" t="s">
        <v>49</v>
      </c>
      <c r="AC60">
        <v>192.02</v>
      </c>
      <c r="AD60" t="s">
        <v>49</v>
      </c>
      <c r="AE60">
        <v>208.02</v>
      </c>
      <c r="AF60" s="3">
        <v>2</v>
      </c>
      <c r="AG60" t="s">
        <v>49</v>
      </c>
      <c r="AH60">
        <v>384.04</v>
      </c>
      <c r="AI60" t="s">
        <v>49</v>
      </c>
      <c r="AJ60" t="s">
        <v>49</v>
      </c>
      <c r="AK60" t="s">
        <v>49</v>
      </c>
      <c r="AL60" t="s">
        <v>49</v>
      </c>
      <c r="AM60" t="s">
        <v>49</v>
      </c>
      <c r="AN60" s="3">
        <v>67</v>
      </c>
      <c r="AO60" s="19">
        <v>0</v>
      </c>
      <c r="AP60" s="19">
        <v>0</v>
      </c>
      <c r="AQ60" s="19">
        <v>0.5556</v>
      </c>
      <c r="AR60" s="19">
        <v>0.2</v>
      </c>
      <c r="AS60" s="19">
        <v>0.3333</v>
      </c>
      <c r="AT60" s="19">
        <v>0.3333</v>
      </c>
      <c r="AU60" s="3">
        <v>0</v>
      </c>
      <c r="AV60" s="3">
        <v>0</v>
      </c>
      <c r="AW60" s="19">
        <v>0</v>
      </c>
      <c r="AX60" s="3">
        <v>0</v>
      </c>
      <c r="AY60" s="3">
        <v>0</v>
      </c>
    </row>
    <row r="61" spans="1:51">
      <c r="A61" s="3">
        <v>10859220</v>
      </c>
      <c r="B61" t="s">
        <v>180</v>
      </c>
      <c r="C61" s="3">
        <v>165025069</v>
      </c>
      <c r="D61" t="s">
        <v>44</v>
      </c>
      <c r="E61" t="s">
        <v>78</v>
      </c>
      <c r="F61" t="s">
        <v>65</v>
      </c>
      <c r="G61" t="s">
        <v>47</v>
      </c>
      <c r="H61" s="16">
        <v>197</v>
      </c>
      <c r="I61" s="4">
        <f>VLOOKUP(C61,[1]sheet1!$D:$I,6,0)</f>
        <v>101</v>
      </c>
      <c r="J61" s="4">
        <f>VLOOKUP(C61,[2]sheet1!$D:$I,6,0)</f>
        <v>0</v>
      </c>
      <c r="K61" s="4">
        <f>VLOOKUP(C61,[3]sheet1!$D:$I,6,0)</f>
        <v>104</v>
      </c>
      <c r="L61" s="4">
        <f>VLOOKUP(C61,[4]sheet1!$D:$I,6,0)</f>
        <v>84</v>
      </c>
      <c r="M61" s="4">
        <f>VLOOKUP(C61,[5]sheet1!$D:$I,6,0)</f>
        <v>0</v>
      </c>
      <c r="N61" s="4">
        <f>VLOOKUP(C61,[6]sheet1!$D:$I,6,0)</f>
        <v>100</v>
      </c>
      <c r="O61" s="4">
        <f>VLOOKUP(C61,[7]sheet1!$D:$I,6,0)</f>
        <v>0</v>
      </c>
      <c r="P61" s="4">
        <f>VLOOKUP(C61,[8]sheet1!$D:$I,6,0)</f>
        <v>104</v>
      </c>
      <c r="Q61" s="4">
        <f t="shared" si="0"/>
        <v>690</v>
      </c>
      <c r="R61" s="3">
        <v>2</v>
      </c>
      <c r="S61" s="3">
        <v>18</v>
      </c>
      <c r="T61" s="19">
        <v>0.1111</v>
      </c>
      <c r="U61" s="3">
        <v>2</v>
      </c>
      <c r="V61" s="3">
        <v>2</v>
      </c>
      <c r="W61">
        <v>0</v>
      </c>
      <c r="X61" s="3">
        <v>0</v>
      </c>
      <c r="Y61">
        <v>0</v>
      </c>
      <c r="Z61" s="3">
        <v>0</v>
      </c>
      <c r="AA61" t="s">
        <v>181</v>
      </c>
      <c r="AB61" t="s">
        <v>49</v>
      </c>
      <c r="AC61">
        <v>91.35</v>
      </c>
      <c r="AD61" t="s">
        <v>49</v>
      </c>
      <c r="AE61">
        <v>98.5</v>
      </c>
      <c r="AF61" s="3">
        <v>2</v>
      </c>
      <c r="AG61" t="s">
        <v>49</v>
      </c>
      <c r="AH61">
        <v>182.7</v>
      </c>
      <c r="AI61" t="s">
        <v>49</v>
      </c>
      <c r="AJ61" t="s">
        <v>49</v>
      </c>
      <c r="AK61" t="s">
        <v>49</v>
      </c>
      <c r="AL61" t="s">
        <v>49</v>
      </c>
      <c r="AM61" t="s">
        <v>49</v>
      </c>
      <c r="AN61" s="3">
        <v>27</v>
      </c>
      <c r="AO61" s="19">
        <v>1</v>
      </c>
      <c r="AP61" s="19">
        <v>0</v>
      </c>
      <c r="AQ61" s="19">
        <v>0.7778</v>
      </c>
      <c r="AR61" s="19">
        <v>0.3333</v>
      </c>
      <c r="AS61" s="19">
        <v>1</v>
      </c>
      <c r="AT61" s="19">
        <v>0</v>
      </c>
      <c r="AU61" s="3">
        <v>0</v>
      </c>
      <c r="AV61" s="3">
        <v>0</v>
      </c>
      <c r="AW61" s="19">
        <v>0</v>
      </c>
      <c r="AX61" s="3">
        <v>0</v>
      </c>
      <c r="AY61" s="3">
        <v>0</v>
      </c>
    </row>
    <row r="62" spans="1:51">
      <c r="A62" s="3">
        <v>9755754</v>
      </c>
      <c r="B62" t="s">
        <v>182</v>
      </c>
      <c r="C62" s="3">
        <v>12421252</v>
      </c>
      <c r="D62" t="s">
        <v>44</v>
      </c>
      <c r="E62" t="s">
        <v>109</v>
      </c>
      <c r="F62" t="s">
        <v>46</v>
      </c>
      <c r="G62" t="s">
        <v>47</v>
      </c>
      <c r="H62" s="16">
        <v>164</v>
      </c>
      <c r="I62" s="4">
        <f>VLOOKUP(C62,[1]sheet1!$D:$I,6,0)</f>
        <v>0</v>
      </c>
      <c r="J62" s="4">
        <f>VLOOKUP(C62,[2]sheet1!$D:$I,6,0)</f>
        <v>167</v>
      </c>
      <c r="K62" s="4">
        <f>VLOOKUP(C62,[3]sheet1!$D:$I,6,0)</f>
        <v>0</v>
      </c>
      <c r="L62" s="4">
        <f>VLOOKUP(C62,[4]sheet1!$D:$I,6,0)</f>
        <v>0</v>
      </c>
      <c r="M62" s="4">
        <f>VLOOKUP(C62,[5]sheet1!$D:$I,6,0)</f>
        <v>334</v>
      </c>
      <c r="N62" s="4">
        <f>VLOOKUP(C62,[6]sheet1!$D:$I,6,0)</f>
        <v>331</v>
      </c>
      <c r="O62" s="4">
        <f>VLOOKUP(C62,[7]sheet1!$D:$I,6,0)</f>
        <v>0</v>
      </c>
      <c r="P62" s="4">
        <f>VLOOKUP(C62,[8]sheet1!$D:$I,6,0)</f>
        <v>0</v>
      </c>
      <c r="Q62" s="4">
        <f t="shared" si="0"/>
        <v>996</v>
      </c>
      <c r="R62" s="3">
        <v>1</v>
      </c>
      <c r="S62">
        <v>573</v>
      </c>
      <c r="T62">
        <v>236</v>
      </c>
      <c r="U62" s="3">
        <v>7</v>
      </c>
      <c r="V62" s="3">
        <v>1</v>
      </c>
      <c r="W62">
        <v>0</v>
      </c>
      <c r="X62" s="3">
        <v>0</v>
      </c>
      <c r="Y62">
        <v>0</v>
      </c>
      <c r="Z62" s="3">
        <v>0</v>
      </c>
      <c r="AA62" t="s">
        <v>183</v>
      </c>
      <c r="AB62" s="3">
        <v>93</v>
      </c>
      <c r="AC62">
        <v>147.74</v>
      </c>
      <c r="AD62" t="s">
        <v>49</v>
      </c>
      <c r="AE62">
        <v>164</v>
      </c>
      <c r="AF62" s="3">
        <v>1</v>
      </c>
      <c r="AG62" t="s">
        <v>49</v>
      </c>
      <c r="AH62">
        <v>147.74</v>
      </c>
      <c r="AI62" t="s">
        <v>49</v>
      </c>
      <c r="AJ62">
        <v>72.92</v>
      </c>
      <c r="AK62" t="s">
        <v>49</v>
      </c>
      <c r="AL62">
        <v>72.92</v>
      </c>
      <c r="AM62" t="s">
        <v>49</v>
      </c>
      <c r="AN62" s="3">
        <v>360</v>
      </c>
      <c r="AO62" s="19">
        <v>0</v>
      </c>
      <c r="AP62" s="19">
        <v>0</v>
      </c>
      <c r="AQ62" s="19">
        <v>0.7531</v>
      </c>
      <c r="AR62" s="19">
        <v>0.4444</v>
      </c>
      <c r="AS62" s="19">
        <v>0.8571</v>
      </c>
      <c r="AT62" s="19">
        <v>0.5714</v>
      </c>
      <c r="AU62" s="3">
        <v>0</v>
      </c>
      <c r="AV62" s="3">
        <v>0</v>
      </c>
      <c r="AW62" s="19">
        <v>0</v>
      </c>
      <c r="AX62" s="3">
        <v>0</v>
      </c>
      <c r="AY62" s="3">
        <v>0</v>
      </c>
    </row>
    <row r="63" spans="1:51">
      <c r="A63" s="3">
        <v>9736286</v>
      </c>
      <c r="B63" t="s">
        <v>184</v>
      </c>
      <c r="C63" s="3">
        <v>11411405</v>
      </c>
      <c r="D63" t="s">
        <v>44</v>
      </c>
      <c r="E63" t="s">
        <v>185</v>
      </c>
      <c r="F63" t="s">
        <v>65</v>
      </c>
      <c r="G63" t="s">
        <v>47</v>
      </c>
      <c r="H63" s="16">
        <v>351</v>
      </c>
      <c r="I63" s="4">
        <f>VLOOKUP(C63,[1]sheet1!$D:$I,6,0)</f>
        <v>0</v>
      </c>
      <c r="J63" s="4">
        <f>VLOOKUP(C63,[2]sheet1!$D:$I,6,0)</f>
        <v>0</v>
      </c>
      <c r="K63" s="4">
        <f>VLOOKUP(C63,[3]sheet1!$D:$I,6,0)</f>
        <v>0</v>
      </c>
      <c r="L63" s="4">
        <f>VLOOKUP(C63,[4]sheet1!$D:$I,6,0)</f>
        <v>0</v>
      </c>
      <c r="M63" s="4">
        <f>VLOOKUP(C63,[5]sheet1!$D:$I,6,0)</f>
        <v>351</v>
      </c>
      <c r="N63" s="4">
        <f>VLOOKUP(C63,[6]sheet1!$D:$I,6,0)</f>
        <v>0</v>
      </c>
      <c r="O63" s="4">
        <f>VLOOKUP(C63,[7]sheet1!$D:$I,6,0)</f>
        <v>0</v>
      </c>
      <c r="P63" s="4">
        <f>VLOOKUP(C63,[8]sheet1!$D:$I,6,0)</f>
        <v>0</v>
      </c>
      <c r="Q63" s="15">
        <f t="shared" si="0"/>
        <v>702</v>
      </c>
      <c r="R63" s="3">
        <v>1</v>
      </c>
      <c r="S63" s="3">
        <v>12</v>
      </c>
      <c r="T63" s="19">
        <v>0.0833</v>
      </c>
      <c r="U63" s="3">
        <v>0</v>
      </c>
      <c r="V63" s="3">
        <v>1</v>
      </c>
      <c r="W63">
        <v>0</v>
      </c>
      <c r="X63" s="3">
        <v>0</v>
      </c>
      <c r="Y63">
        <v>369</v>
      </c>
      <c r="Z63" s="3">
        <v>1</v>
      </c>
      <c r="AA63" t="s">
        <v>139</v>
      </c>
      <c r="AB63" t="s">
        <v>49</v>
      </c>
      <c r="AC63">
        <v>311.12</v>
      </c>
      <c r="AD63" t="s">
        <v>49</v>
      </c>
      <c r="AE63">
        <v>351</v>
      </c>
      <c r="AF63" s="3">
        <v>1</v>
      </c>
      <c r="AG63" t="s">
        <v>49</v>
      </c>
      <c r="AH63">
        <v>311.12</v>
      </c>
      <c r="AI63" t="s">
        <v>49</v>
      </c>
      <c r="AJ63" t="s">
        <v>49</v>
      </c>
      <c r="AK63" t="s">
        <v>49</v>
      </c>
      <c r="AL63" t="s">
        <v>49</v>
      </c>
      <c r="AM63" t="s">
        <v>49</v>
      </c>
      <c r="AN63" s="3">
        <v>23</v>
      </c>
      <c r="AO63" s="19">
        <v>1</v>
      </c>
      <c r="AP63" s="19">
        <v>0</v>
      </c>
      <c r="AQ63" s="19">
        <v>0.5833</v>
      </c>
      <c r="AR63" s="19">
        <v>0</v>
      </c>
      <c r="AS63" s="19">
        <v>0</v>
      </c>
      <c r="AT63" s="19">
        <v>0</v>
      </c>
      <c r="AU63" s="3">
        <v>0</v>
      </c>
      <c r="AV63" s="3">
        <v>0</v>
      </c>
      <c r="AW63" s="19">
        <v>0</v>
      </c>
      <c r="AX63" s="3">
        <v>0</v>
      </c>
      <c r="AY63" s="3">
        <v>0</v>
      </c>
    </row>
    <row r="64" spans="1:51">
      <c r="A64" s="3">
        <v>9402310</v>
      </c>
      <c r="B64" t="s">
        <v>186</v>
      </c>
      <c r="C64" s="3">
        <v>12421228</v>
      </c>
      <c r="D64" t="s">
        <v>44</v>
      </c>
      <c r="E64" t="s">
        <v>109</v>
      </c>
      <c r="F64" t="s">
        <v>46</v>
      </c>
      <c r="G64" t="s">
        <v>47</v>
      </c>
      <c r="H64" s="16">
        <v>162</v>
      </c>
      <c r="I64" s="4">
        <f>VLOOKUP(C64,[1]sheet1!$D:$I,6,0)</f>
        <v>331</v>
      </c>
      <c r="J64" s="4">
        <f>VLOOKUP(C64,[2]sheet1!$D:$I,6,0)</f>
        <v>164</v>
      </c>
      <c r="K64" s="4">
        <f>VLOOKUP(C64,[3]sheet1!$D:$I,6,0)</f>
        <v>164</v>
      </c>
      <c r="L64" s="4">
        <f>VLOOKUP(C64,[4]sheet1!$D:$I,6,0)</f>
        <v>328</v>
      </c>
      <c r="M64" s="4">
        <f>VLOOKUP(C64,[5]sheet1!$D:$I,6,0)</f>
        <v>164</v>
      </c>
      <c r="N64" s="4">
        <f>VLOOKUP(C64,[6]sheet1!$D:$I,6,0)</f>
        <v>0</v>
      </c>
      <c r="O64" s="4">
        <f>VLOOKUP(C64,[7]sheet1!$D:$I,6,0)</f>
        <v>168</v>
      </c>
      <c r="P64" s="4">
        <f>VLOOKUP(C64,[8]sheet1!$D:$I,6,0)</f>
        <v>0</v>
      </c>
      <c r="Q64" s="4">
        <f t="shared" si="0"/>
        <v>1481</v>
      </c>
      <c r="R64" s="3">
        <v>1</v>
      </c>
      <c r="S64">
        <v>504</v>
      </c>
      <c r="T64">
        <v>268</v>
      </c>
      <c r="U64" s="3">
        <v>11</v>
      </c>
      <c r="V64" s="3">
        <v>1</v>
      </c>
      <c r="W64">
        <v>0</v>
      </c>
      <c r="X64" s="3">
        <v>0</v>
      </c>
      <c r="Y64">
        <v>0</v>
      </c>
      <c r="Z64" s="3">
        <v>0</v>
      </c>
      <c r="AA64" t="s">
        <v>183</v>
      </c>
      <c r="AB64" s="3">
        <v>107</v>
      </c>
      <c r="AC64">
        <v>147.74</v>
      </c>
      <c r="AD64" t="s">
        <v>49</v>
      </c>
      <c r="AE64">
        <v>162</v>
      </c>
      <c r="AF64" s="3">
        <v>1</v>
      </c>
      <c r="AG64" t="s">
        <v>49</v>
      </c>
      <c r="AH64">
        <v>147.74</v>
      </c>
      <c r="AI64" t="s">
        <v>49</v>
      </c>
      <c r="AJ64">
        <v>85.1</v>
      </c>
      <c r="AK64" t="s">
        <v>49</v>
      </c>
      <c r="AL64">
        <v>85.1</v>
      </c>
      <c r="AM64" t="s">
        <v>49</v>
      </c>
      <c r="AN64">
        <v>600</v>
      </c>
      <c r="AO64" s="19">
        <v>0</v>
      </c>
      <c r="AP64" s="19">
        <v>0</v>
      </c>
      <c r="AQ64" s="19">
        <v>0.766</v>
      </c>
      <c r="AR64" s="19">
        <v>0.4255</v>
      </c>
      <c r="AS64" s="19">
        <v>0.8182</v>
      </c>
      <c r="AT64" s="19">
        <v>0.4545</v>
      </c>
      <c r="AU64" s="3">
        <v>0</v>
      </c>
      <c r="AV64" s="3">
        <v>0</v>
      </c>
      <c r="AW64" s="19">
        <v>0</v>
      </c>
      <c r="AX64" s="3">
        <v>0</v>
      </c>
      <c r="AY64" s="3">
        <v>0</v>
      </c>
    </row>
    <row r="65" spans="1:51">
      <c r="A65" s="3">
        <v>8590436</v>
      </c>
      <c r="B65" t="s">
        <v>187</v>
      </c>
      <c r="C65" s="3">
        <v>11421425</v>
      </c>
      <c r="D65" t="s">
        <v>44</v>
      </c>
      <c r="E65" t="s">
        <v>188</v>
      </c>
      <c r="F65" t="s">
        <v>46</v>
      </c>
      <c r="G65" t="s">
        <v>47</v>
      </c>
      <c r="H65" s="16">
        <v>184</v>
      </c>
      <c r="I65" s="4">
        <f>VLOOKUP(C65,[1]sheet1!$D:$I,6,0)</f>
        <v>0</v>
      </c>
      <c r="J65" s="4">
        <f>VLOOKUP(C65,[2]sheet1!$D:$I,6,0)</f>
        <v>0</v>
      </c>
      <c r="K65" s="4">
        <f>VLOOKUP(C65,[3]sheet1!$D:$I,6,0)</f>
        <v>445</v>
      </c>
      <c r="L65" s="4">
        <f>VLOOKUP(C65,[4]sheet1!$D:$I,6,0)</f>
        <v>0</v>
      </c>
      <c r="M65" s="4">
        <f>VLOOKUP(C65,[5]sheet1!$D:$I,6,0)</f>
        <v>0</v>
      </c>
      <c r="N65" s="4">
        <f>VLOOKUP(C65,[6]sheet1!$D:$I,6,0)</f>
        <v>184</v>
      </c>
      <c r="O65" s="4">
        <f>VLOOKUP(C65,[7]sheet1!$D:$I,6,0)</f>
        <v>0</v>
      </c>
      <c r="P65" s="4">
        <f>VLOOKUP(C65,[8]sheet1!$D:$I,6,0)</f>
        <v>0</v>
      </c>
      <c r="Q65" s="4">
        <f t="shared" si="0"/>
        <v>813</v>
      </c>
      <c r="R65" s="3">
        <v>1</v>
      </c>
      <c r="S65">
        <v>438</v>
      </c>
      <c r="T65">
        <v>308</v>
      </c>
      <c r="U65" s="3">
        <v>3</v>
      </c>
      <c r="V65" s="3">
        <v>1</v>
      </c>
      <c r="W65">
        <v>617</v>
      </c>
      <c r="X65" s="3">
        <v>4</v>
      </c>
      <c r="Y65">
        <v>0</v>
      </c>
      <c r="Z65" s="3">
        <v>0</v>
      </c>
      <c r="AA65" t="s">
        <v>189</v>
      </c>
      <c r="AB65" s="3">
        <v>108</v>
      </c>
      <c r="AC65">
        <v>158.19</v>
      </c>
      <c r="AD65" t="s">
        <v>49</v>
      </c>
      <c r="AE65">
        <v>184</v>
      </c>
      <c r="AF65" s="3">
        <v>1</v>
      </c>
      <c r="AG65" t="s">
        <v>49</v>
      </c>
      <c r="AH65">
        <v>158.19</v>
      </c>
      <c r="AI65" t="s">
        <v>49</v>
      </c>
      <c r="AJ65">
        <v>86.85</v>
      </c>
      <c r="AK65" t="s">
        <v>49</v>
      </c>
      <c r="AL65">
        <v>86.85</v>
      </c>
      <c r="AM65" t="s">
        <v>49</v>
      </c>
      <c r="AN65" s="3">
        <v>184</v>
      </c>
      <c r="AO65" s="19">
        <v>1</v>
      </c>
      <c r="AP65" s="19">
        <v>0</v>
      </c>
      <c r="AQ65" s="19">
        <v>0.669</v>
      </c>
      <c r="AR65" s="19">
        <v>0.1127</v>
      </c>
      <c r="AS65" s="19">
        <v>1</v>
      </c>
      <c r="AT65" s="19">
        <v>0.6667</v>
      </c>
      <c r="AU65" s="3">
        <v>0</v>
      </c>
      <c r="AV65" s="3">
        <v>0</v>
      </c>
      <c r="AW65" s="19">
        <v>0</v>
      </c>
      <c r="AX65" s="3">
        <v>0</v>
      </c>
      <c r="AY65" s="3">
        <v>0</v>
      </c>
    </row>
    <row r="66" spans="1:51">
      <c r="A66" s="3">
        <v>8580628</v>
      </c>
      <c r="B66" t="s">
        <v>190</v>
      </c>
      <c r="C66" s="3">
        <v>16023101</v>
      </c>
      <c r="D66" t="s">
        <v>44</v>
      </c>
      <c r="E66" t="s">
        <v>191</v>
      </c>
      <c r="F66" t="s">
        <v>65</v>
      </c>
      <c r="G66" t="s">
        <v>47</v>
      </c>
      <c r="H66" s="16">
        <v>30</v>
      </c>
      <c r="I66" s="4">
        <f>VLOOKUP(C66,[1]sheet1!$D:$I,6,0)</f>
        <v>0</v>
      </c>
      <c r="J66" s="4">
        <f>VLOOKUP(C66,[2]sheet1!$D:$I,6,0)</f>
        <v>0</v>
      </c>
      <c r="K66" s="4">
        <f>VLOOKUP(C66,[3]sheet1!$D:$I,6,0)</f>
        <v>0</v>
      </c>
      <c r="L66" s="4">
        <f>VLOOKUP(C66,[4]sheet1!$D:$I,6,0)</f>
        <v>0</v>
      </c>
      <c r="M66" s="4">
        <f>VLOOKUP(C66,[5]sheet1!$D:$I,6,0)</f>
        <v>0</v>
      </c>
      <c r="N66" s="4">
        <f>VLOOKUP(C66,[6]sheet1!$D:$I,6,0)</f>
        <v>0</v>
      </c>
      <c r="O66" s="4">
        <f>VLOOKUP(C66,[7]sheet1!$D:$I,6,0)</f>
        <v>0</v>
      </c>
      <c r="P66" s="4">
        <f>VLOOKUP(C66,[8]sheet1!$D:$I,6,0)</f>
        <v>0</v>
      </c>
      <c r="Q66" s="4">
        <f t="shared" si="0"/>
        <v>30</v>
      </c>
      <c r="R66" s="3">
        <v>1</v>
      </c>
      <c r="S66" s="3">
        <v>4</v>
      </c>
      <c r="T66" s="19">
        <v>0.25</v>
      </c>
      <c r="U66" s="3">
        <v>0</v>
      </c>
      <c r="V66" s="3">
        <v>1</v>
      </c>
      <c r="W66">
        <v>0</v>
      </c>
      <c r="X66" s="3">
        <v>0</v>
      </c>
      <c r="Y66">
        <v>0</v>
      </c>
      <c r="Z66" s="3">
        <v>0</v>
      </c>
      <c r="AA66" t="s">
        <v>49</v>
      </c>
      <c r="AB66" t="s">
        <v>49</v>
      </c>
      <c r="AC66" t="s">
        <v>49</v>
      </c>
      <c r="AD66" t="s">
        <v>49</v>
      </c>
      <c r="AE66">
        <v>30</v>
      </c>
      <c r="AF66" s="3">
        <v>1</v>
      </c>
      <c r="AG66" t="s">
        <v>49</v>
      </c>
      <c r="AH66" t="s">
        <v>49</v>
      </c>
      <c r="AI66" t="s">
        <v>49</v>
      </c>
      <c r="AJ66" t="s">
        <v>49</v>
      </c>
      <c r="AK66" t="s">
        <v>49</v>
      </c>
      <c r="AL66" t="s">
        <v>49</v>
      </c>
      <c r="AM66" t="s">
        <v>49</v>
      </c>
      <c r="AN66" s="3">
        <v>5</v>
      </c>
      <c r="AO66" s="19">
        <v>1</v>
      </c>
      <c r="AP66" s="19">
        <v>0</v>
      </c>
      <c r="AQ66" s="19">
        <v>1</v>
      </c>
      <c r="AR66" s="19">
        <v>0.5</v>
      </c>
      <c r="AS66" s="19">
        <v>0</v>
      </c>
      <c r="AT66" s="19">
        <v>0</v>
      </c>
      <c r="AU66" s="3">
        <v>0</v>
      </c>
      <c r="AV66" s="3">
        <v>0</v>
      </c>
      <c r="AW66" s="19">
        <v>0</v>
      </c>
      <c r="AX66" s="3">
        <v>0</v>
      </c>
      <c r="AY66" s="3">
        <v>0</v>
      </c>
    </row>
    <row r="67" spans="1:51">
      <c r="A67" s="3">
        <v>8477135</v>
      </c>
      <c r="B67" t="s">
        <v>192</v>
      </c>
      <c r="C67" s="3">
        <v>6902507</v>
      </c>
      <c r="D67" t="s">
        <v>44</v>
      </c>
      <c r="E67" t="s">
        <v>78</v>
      </c>
      <c r="F67" t="s">
        <v>65</v>
      </c>
      <c r="G67" t="s">
        <v>47</v>
      </c>
      <c r="H67" s="16">
        <v>278</v>
      </c>
      <c r="I67" s="4">
        <f>VLOOKUP(C67,[1]sheet1!$D:$I,6,0)</f>
        <v>278</v>
      </c>
      <c r="J67" s="4">
        <f>VLOOKUP(C67,[2]sheet1!$D:$I,6,0)</f>
        <v>0</v>
      </c>
      <c r="K67" s="4">
        <f>VLOOKUP(C67,[3]sheet1!$D:$I,6,0)</f>
        <v>0</v>
      </c>
      <c r="L67" s="4">
        <f>VLOOKUP(C67,[4]sheet1!$D:$I,6,0)</f>
        <v>278</v>
      </c>
      <c r="M67" s="4">
        <f>VLOOKUP(C67,[5]sheet1!$D:$I,6,0)</f>
        <v>0</v>
      </c>
      <c r="N67" s="4">
        <f>VLOOKUP(C67,[6]sheet1!$D:$I,6,0)</f>
        <v>556</v>
      </c>
      <c r="O67" s="4">
        <f>VLOOKUP(C67,[7]sheet1!$D:$I,6,0)</f>
        <v>278</v>
      </c>
      <c r="P67" s="4">
        <f>VLOOKUP(C67,[8]sheet1!$D:$I,6,0)</f>
        <v>250</v>
      </c>
      <c r="Q67" s="4">
        <f t="shared" ref="Q67:Q130" si="1">SUM(H67:P67)</f>
        <v>1918</v>
      </c>
      <c r="R67" s="3">
        <v>1</v>
      </c>
      <c r="S67" s="3">
        <v>31</v>
      </c>
      <c r="T67" s="19">
        <v>0.0323</v>
      </c>
      <c r="U67" s="3">
        <v>5</v>
      </c>
      <c r="V67" s="3">
        <v>1</v>
      </c>
      <c r="W67">
        <v>0</v>
      </c>
      <c r="X67" s="3">
        <v>0</v>
      </c>
      <c r="Y67">
        <v>0</v>
      </c>
      <c r="Z67" s="3">
        <v>0</v>
      </c>
      <c r="AA67" t="s">
        <v>49</v>
      </c>
      <c r="AB67" t="s">
        <v>49</v>
      </c>
      <c r="AC67" t="s">
        <v>49</v>
      </c>
      <c r="AD67" t="s">
        <v>49</v>
      </c>
      <c r="AE67">
        <v>278</v>
      </c>
      <c r="AF67" s="3">
        <v>1</v>
      </c>
      <c r="AG67" t="s">
        <v>49</v>
      </c>
      <c r="AH67" t="s">
        <v>49</v>
      </c>
      <c r="AI67" t="s">
        <v>49</v>
      </c>
      <c r="AJ67" t="s">
        <v>49</v>
      </c>
      <c r="AK67" t="s">
        <v>49</v>
      </c>
      <c r="AL67" t="s">
        <v>49</v>
      </c>
      <c r="AM67" t="s">
        <v>49</v>
      </c>
      <c r="AN67" s="3">
        <v>41</v>
      </c>
      <c r="AO67" s="19">
        <v>0</v>
      </c>
      <c r="AP67" s="19">
        <v>0</v>
      </c>
      <c r="AQ67" s="19">
        <v>0.7742</v>
      </c>
      <c r="AR67" s="19">
        <v>0.4516</v>
      </c>
      <c r="AS67" s="19">
        <v>0.8</v>
      </c>
      <c r="AT67" s="19">
        <v>0.6</v>
      </c>
      <c r="AU67" s="3">
        <v>0</v>
      </c>
      <c r="AV67" s="3">
        <v>0</v>
      </c>
      <c r="AW67" s="19">
        <v>0</v>
      </c>
      <c r="AX67" s="3">
        <v>0</v>
      </c>
      <c r="AY67" s="3">
        <v>0</v>
      </c>
    </row>
    <row r="68" spans="1:51">
      <c r="A68" s="3">
        <v>6588514</v>
      </c>
      <c r="B68" t="s">
        <v>193</v>
      </c>
      <c r="C68" s="3">
        <v>11410201</v>
      </c>
      <c r="D68" t="s">
        <v>44</v>
      </c>
      <c r="E68" t="s">
        <v>146</v>
      </c>
      <c r="F68" t="s">
        <v>46</v>
      </c>
      <c r="G68" t="s">
        <v>47</v>
      </c>
      <c r="H68" s="16">
        <v>461</v>
      </c>
      <c r="I68" s="4">
        <f>VLOOKUP(C68,[1]sheet1!$D:$I,6,0)</f>
        <v>1383</v>
      </c>
      <c r="J68" s="4">
        <f>VLOOKUP(C68,[2]sheet1!$D:$I,6,0)</f>
        <v>461</v>
      </c>
      <c r="K68" s="4">
        <f>VLOOKUP(C68,[3]sheet1!$D:$I,6,0)</f>
        <v>457</v>
      </c>
      <c r="L68" s="4">
        <f>VLOOKUP(C68,[4]sheet1!$D:$I,6,0)</f>
        <v>2150</v>
      </c>
      <c r="M68" s="4">
        <f>VLOOKUP(C68,[5]sheet1!$D:$I,6,0)</f>
        <v>2576</v>
      </c>
      <c r="N68" s="4">
        <f>VLOOKUP(C68,[6]sheet1!$D:$I,6,0)</f>
        <v>479</v>
      </c>
      <c r="O68" s="4">
        <f>VLOOKUP(C68,[7]sheet1!$D:$I,6,0)</f>
        <v>1348</v>
      </c>
      <c r="P68" s="4">
        <f>VLOOKUP(C68,[8]sheet1!$D:$I,6,0)</f>
        <v>433</v>
      </c>
      <c r="Q68" s="4">
        <f t="shared" si="1"/>
        <v>9748</v>
      </c>
      <c r="R68" s="3">
        <v>1</v>
      </c>
      <c r="S68">
        <v>1535</v>
      </c>
      <c r="T68">
        <v>90</v>
      </c>
      <c r="U68" s="3">
        <v>90</v>
      </c>
      <c r="V68" s="3">
        <v>1</v>
      </c>
      <c r="W68">
        <v>912</v>
      </c>
      <c r="X68" s="3">
        <v>2</v>
      </c>
      <c r="Y68">
        <v>479</v>
      </c>
      <c r="Z68" s="3">
        <v>1</v>
      </c>
      <c r="AA68" t="s">
        <v>150</v>
      </c>
      <c r="AB68" s="3">
        <v>389</v>
      </c>
      <c r="AC68">
        <v>409.12</v>
      </c>
      <c r="AD68" t="s">
        <v>49</v>
      </c>
      <c r="AE68">
        <v>461</v>
      </c>
      <c r="AF68" s="3">
        <v>1</v>
      </c>
      <c r="AG68" t="s">
        <v>49</v>
      </c>
      <c r="AH68">
        <v>409.12</v>
      </c>
      <c r="AI68" t="s">
        <v>49</v>
      </c>
      <c r="AJ68">
        <v>346.38</v>
      </c>
      <c r="AK68" t="s">
        <v>49</v>
      </c>
      <c r="AL68">
        <v>346.38</v>
      </c>
      <c r="AM68" t="s">
        <v>49</v>
      </c>
      <c r="AN68" s="3">
        <v>2339</v>
      </c>
      <c r="AO68" s="19">
        <v>1</v>
      </c>
      <c r="AP68" s="19">
        <v>0</v>
      </c>
      <c r="AQ68" s="19">
        <v>0.8592</v>
      </c>
      <c r="AR68" s="19">
        <v>0.5132</v>
      </c>
      <c r="AS68" s="19">
        <v>0.8667</v>
      </c>
      <c r="AT68" s="19">
        <v>0.5</v>
      </c>
      <c r="AU68" s="3">
        <v>1</v>
      </c>
      <c r="AV68" s="3">
        <v>0</v>
      </c>
      <c r="AW68" s="19">
        <v>1</v>
      </c>
      <c r="AX68" s="3">
        <v>0</v>
      </c>
      <c r="AY68" s="3">
        <v>0</v>
      </c>
    </row>
    <row r="69" spans="1:51">
      <c r="A69" s="3">
        <v>6284997</v>
      </c>
      <c r="B69" t="s">
        <v>194</v>
      </c>
      <c r="C69" s="3">
        <v>11331011</v>
      </c>
      <c r="D69" t="s">
        <v>44</v>
      </c>
      <c r="E69" t="s">
        <v>117</v>
      </c>
      <c r="F69" t="s">
        <v>46</v>
      </c>
      <c r="G69" t="s">
        <v>47</v>
      </c>
      <c r="H69" s="16">
        <v>158</v>
      </c>
      <c r="I69" s="4">
        <f>VLOOKUP(C69,[1]sheet1!$D:$I,6,0)</f>
        <v>328</v>
      </c>
      <c r="J69" s="4">
        <f>VLOOKUP(C69,[2]sheet1!$D:$I,6,0)</f>
        <v>167</v>
      </c>
      <c r="K69" s="4">
        <f>VLOOKUP(C69,[3]sheet1!$D:$I,6,0)</f>
        <v>0</v>
      </c>
      <c r="L69" s="4">
        <f>VLOOKUP(C69,[4]sheet1!$D:$I,6,0)</f>
        <v>0</v>
      </c>
      <c r="M69" s="4">
        <f>VLOOKUP(C69,[5]sheet1!$D:$I,6,0)</f>
        <v>0</v>
      </c>
      <c r="N69" s="4">
        <f>VLOOKUP(C69,[6]sheet1!$D:$I,6,0)</f>
        <v>0</v>
      </c>
      <c r="O69" s="4">
        <f>VLOOKUP(C69,[7]sheet1!$D:$I,6,0)</f>
        <v>0</v>
      </c>
      <c r="P69" s="4">
        <f>VLOOKUP(C69,[8]sheet1!$D:$I,6,0)</f>
        <v>139</v>
      </c>
      <c r="Q69" s="4">
        <f t="shared" si="1"/>
        <v>792</v>
      </c>
      <c r="R69" s="3">
        <v>1</v>
      </c>
      <c r="S69">
        <v>230</v>
      </c>
      <c r="T69">
        <v>589</v>
      </c>
      <c r="U69" s="3">
        <v>2</v>
      </c>
      <c r="V69" s="3">
        <v>1</v>
      </c>
      <c r="W69">
        <v>0</v>
      </c>
      <c r="X69" s="3">
        <v>0</v>
      </c>
      <c r="Y69">
        <v>0</v>
      </c>
      <c r="Z69" s="3">
        <v>0</v>
      </c>
      <c r="AA69" t="s">
        <v>61</v>
      </c>
      <c r="AB69" s="3">
        <v>169</v>
      </c>
      <c r="AC69">
        <v>137.22</v>
      </c>
      <c r="AD69" t="s">
        <v>49</v>
      </c>
      <c r="AE69">
        <v>158</v>
      </c>
      <c r="AF69" s="3">
        <v>1</v>
      </c>
      <c r="AG69" t="s">
        <v>49</v>
      </c>
      <c r="AH69">
        <v>137.22</v>
      </c>
      <c r="AI69" t="s">
        <v>49</v>
      </c>
      <c r="AJ69" t="s">
        <v>49</v>
      </c>
      <c r="AK69" t="s">
        <v>49</v>
      </c>
      <c r="AL69" t="s">
        <v>49</v>
      </c>
      <c r="AM69" t="s">
        <v>49</v>
      </c>
      <c r="AN69" s="3">
        <v>45</v>
      </c>
      <c r="AO69" s="19">
        <v>0</v>
      </c>
      <c r="AP69" s="19">
        <v>1</v>
      </c>
      <c r="AQ69" s="19">
        <v>0.5641</v>
      </c>
      <c r="AR69" s="19">
        <v>0.3846</v>
      </c>
      <c r="AS69" s="19">
        <v>0.5</v>
      </c>
      <c r="AT69" s="19">
        <v>0.5</v>
      </c>
      <c r="AU69" s="3">
        <v>0</v>
      </c>
      <c r="AV69" s="3">
        <v>0</v>
      </c>
      <c r="AW69" s="19">
        <v>0</v>
      </c>
      <c r="AX69" s="3">
        <v>0</v>
      </c>
      <c r="AY69" s="3">
        <v>0</v>
      </c>
    </row>
    <row r="70" spans="1:51">
      <c r="A70" s="3">
        <v>5218555</v>
      </c>
      <c r="B70" t="s">
        <v>195</v>
      </c>
      <c r="C70" s="3">
        <v>12340130</v>
      </c>
      <c r="D70" t="s">
        <v>44</v>
      </c>
      <c r="E70" t="s">
        <v>104</v>
      </c>
      <c r="F70" t="s">
        <v>46</v>
      </c>
      <c r="G70" t="s">
        <v>47</v>
      </c>
      <c r="H70" s="16">
        <v>637</v>
      </c>
      <c r="I70" s="4">
        <f>VLOOKUP(C70,[1]sheet1!$D:$I,6,0)</f>
        <v>0</v>
      </c>
      <c r="J70" s="4">
        <f>VLOOKUP(C70,[2]sheet1!$D:$I,6,0)</f>
        <v>0</v>
      </c>
      <c r="K70" s="4">
        <f>VLOOKUP(C70,[3]sheet1!$D:$I,6,0)</f>
        <v>0</v>
      </c>
      <c r="L70" s="4">
        <f>VLOOKUP(C70,[4]sheet1!$D:$I,6,0)</f>
        <v>0</v>
      </c>
      <c r="M70" s="4">
        <f>VLOOKUP(C70,[5]sheet1!$D:$I,6,0)</f>
        <v>0</v>
      </c>
      <c r="N70" s="4">
        <f>VLOOKUP(C70,[6]sheet1!$D:$I,6,0)</f>
        <v>0</v>
      </c>
      <c r="O70" s="4">
        <f>VLOOKUP(C70,[7]sheet1!$D:$I,6,0)</f>
        <v>678</v>
      </c>
      <c r="P70" s="4">
        <f>VLOOKUP(C70,[8]sheet1!$D:$I,6,0)</f>
        <v>0</v>
      </c>
      <c r="Q70" s="4">
        <f t="shared" si="1"/>
        <v>1315</v>
      </c>
      <c r="R70" s="3">
        <v>1</v>
      </c>
      <c r="S70">
        <v>147</v>
      </c>
      <c r="T70">
        <v>920</v>
      </c>
      <c r="U70" s="3">
        <v>1</v>
      </c>
      <c r="V70" s="3">
        <v>1</v>
      </c>
      <c r="W70">
        <v>0</v>
      </c>
      <c r="X70" s="3">
        <v>0</v>
      </c>
      <c r="Y70">
        <v>658</v>
      </c>
      <c r="Z70" s="3">
        <v>1</v>
      </c>
      <c r="AA70" t="s">
        <v>196</v>
      </c>
      <c r="AB70" s="3">
        <v>351</v>
      </c>
      <c r="AC70">
        <v>476.72</v>
      </c>
      <c r="AD70" t="s">
        <v>49</v>
      </c>
      <c r="AE70">
        <v>637</v>
      </c>
      <c r="AF70" s="3">
        <v>1</v>
      </c>
      <c r="AG70" t="s">
        <v>49</v>
      </c>
      <c r="AH70">
        <v>476.72</v>
      </c>
      <c r="AI70" t="s">
        <v>49</v>
      </c>
      <c r="AJ70">
        <v>295.76</v>
      </c>
      <c r="AK70" t="s">
        <v>49</v>
      </c>
      <c r="AL70">
        <v>295.76</v>
      </c>
      <c r="AM70" t="s">
        <v>49</v>
      </c>
      <c r="AN70" s="3">
        <v>22</v>
      </c>
      <c r="AO70" s="19">
        <v>0</v>
      </c>
      <c r="AP70" s="19">
        <v>0</v>
      </c>
      <c r="AQ70" s="19">
        <v>0.875</v>
      </c>
      <c r="AR70" s="19">
        <v>0.375</v>
      </c>
      <c r="AS70" s="19">
        <v>1</v>
      </c>
      <c r="AT70" s="19">
        <v>1</v>
      </c>
      <c r="AU70" s="3">
        <v>0</v>
      </c>
      <c r="AV70" s="3">
        <v>0</v>
      </c>
      <c r="AW70" s="19">
        <v>0</v>
      </c>
      <c r="AX70" s="3">
        <v>0</v>
      </c>
      <c r="AY70" s="3">
        <v>0</v>
      </c>
    </row>
    <row r="71" spans="1:51">
      <c r="A71" s="3">
        <v>4461260</v>
      </c>
      <c r="B71" t="s">
        <v>197</v>
      </c>
      <c r="C71" s="3">
        <v>12131106</v>
      </c>
      <c r="D71" t="s">
        <v>44</v>
      </c>
      <c r="E71" t="s">
        <v>198</v>
      </c>
      <c r="F71" t="s">
        <v>65</v>
      </c>
      <c r="G71" t="s">
        <v>47</v>
      </c>
      <c r="H71" s="16">
        <v>167</v>
      </c>
      <c r="I71" s="4">
        <f>VLOOKUP(C71,[1]sheet1!$D:$I,6,0)</f>
        <v>0</v>
      </c>
      <c r="J71" s="4">
        <f>VLOOKUP(C71,[2]sheet1!$D:$I,6,0)</f>
        <v>0</v>
      </c>
      <c r="K71" s="4">
        <f>VLOOKUP(C71,[3]sheet1!$D:$I,6,0)</f>
        <v>0</v>
      </c>
      <c r="L71" s="4">
        <f>VLOOKUP(C71,[4]sheet1!$D:$I,6,0)</f>
        <v>0</v>
      </c>
      <c r="M71" s="4">
        <f>VLOOKUP(C71,[5]sheet1!$D:$I,6,0)</f>
        <v>0</v>
      </c>
      <c r="N71" s="4">
        <f>VLOOKUP(C71,[6]sheet1!$D:$I,6,0)</f>
        <v>0</v>
      </c>
      <c r="O71" s="4">
        <f>VLOOKUP(C71,[7]sheet1!$D:$I,6,0)</f>
        <v>164</v>
      </c>
      <c r="P71" s="4">
        <f>VLOOKUP(C71,[8]sheet1!$D:$I,6,0)</f>
        <v>0</v>
      </c>
      <c r="Q71" s="4">
        <f t="shared" si="1"/>
        <v>331</v>
      </c>
      <c r="R71" s="3">
        <v>1</v>
      </c>
      <c r="S71" s="3">
        <v>37</v>
      </c>
      <c r="T71" s="19">
        <v>0.027</v>
      </c>
      <c r="U71" s="3">
        <v>0</v>
      </c>
      <c r="V71" s="3">
        <v>1</v>
      </c>
      <c r="W71">
        <v>0</v>
      </c>
      <c r="X71" s="3">
        <v>0</v>
      </c>
      <c r="Y71">
        <v>0</v>
      </c>
      <c r="Z71" s="3">
        <v>0</v>
      </c>
      <c r="AA71" t="s">
        <v>49</v>
      </c>
      <c r="AB71" t="s">
        <v>49</v>
      </c>
      <c r="AC71" t="s">
        <v>49</v>
      </c>
      <c r="AD71" t="s">
        <v>49</v>
      </c>
      <c r="AE71">
        <v>167</v>
      </c>
      <c r="AF71" s="3">
        <v>1</v>
      </c>
      <c r="AG71" t="s">
        <v>49</v>
      </c>
      <c r="AH71" t="s">
        <v>49</v>
      </c>
      <c r="AI71" t="s">
        <v>49</v>
      </c>
      <c r="AJ71" t="s">
        <v>49</v>
      </c>
      <c r="AK71" t="s">
        <v>49</v>
      </c>
      <c r="AL71" t="s">
        <v>49</v>
      </c>
      <c r="AM71" t="s">
        <v>49</v>
      </c>
      <c r="AN71" s="3">
        <v>45</v>
      </c>
      <c r="AO71" s="19">
        <v>0</v>
      </c>
      <c r="AP71" s="19">
        <v>0</v>
      </c>
      <c r="AQ71" s="19">
        <v>0.7027</v>
      </c>
      <c r="AR71" s="19">
        <v>0.4595</v>
      </c>
      <c r="AS71" s="19">
        <v>0</v>
      </c>
      <c r="AT71" s="19">
        <v>0</v>
      </c>
      <c r="AU71" s="3">
        <v>0</v>
      </c>
      <c r="AV71" s="3">
        <v>0</v>
      </c>
      <c r="AW71" s="19">
        <v>0</v>
      </c>
      <c r="AX71" s="3">
        <v>0</v>
      </c>
      <c r="AY71" s="3">
        <v>0</v>
      </c>
    </row>
    <row r="72" spans="1:51">
      <c r="A72" s="3">
        <v>4460816</v>
      </c>
      <c r="B72" t="s">
        <v>199</v>
      </c>
      <c r="C72" s="3">
        <v>12321406</v>
      </c>
      <c r="D72" t="s">
        <v>44</v>
      </c>
      <c r="E72" t="s">
        <v>200</v>
      </c>
      <c r="F72" t="s">
        <v>65</v>
      </c>
      <c r="G72" t="s">
        <v>47</v>
      </c>
      <c r="H72" s="16">
        <v>261</v>
      </c>
      <c r="I72" s="4">
        <f>VLOOKUP(C72,[1]sheet1!$D:$I,6,0)</f>
        <v>0</v>
      </c>
      <c r="J72" s="4">
        <f>VLOOKUP(C72,[2]sheet1!$D:$I,6,0)</f>
        <v>0</v>
      </c>
      <c r="K72" s="4">
        <f>VLOOKUP(C72,[3]sheet1!$D:$I,6,0)</f>
        <v>0</v>
      </c>
      <c r="L72" s="4">
        <f>VLOOKUP(C72,[4]sheet1!$D:$I,6,0)</f>
        <v>0</v>
      </c>
      <c r="M72" s="4">
        <f>VLOOKUP(C72,[5]sheet1!$D:$I,6,0)</f>
        <v>0</v>
      </c>
      <c r="N72" s="4">
        <f>VLOOKUP(C72,[6]sheet1!$D:$I,6,0)</f>
        <v>0</v>
      </c>
      <c r="O72" s="4">
        <f>VLOOKUP(C72,[7]sheet1!$D:$I,6,0)</f>
        <v>0</v>
      </c>
      <c r="P72" s="4">
        <f>VLOOKUP(C72,[8]sheet1!$D:$I,6,0)</f>
        <v>0</v>
      </c>
      <c r="Q72" s="4">
        <f t="shared" si="1"/>
        <v>261</v>
      </c>
      <c r="R72" s="3">
        <v>1</v>
      </c>
      <c r="S72" s="3">
        <v>15</v>
      </c>
      <c r="T72" s="19">
        <v>0.0667</v>
      </c>
      <c r="U72" s="3">
        <v>1</v>
      </c>
      <c r="V72" s="3">
        <v>1</v>
      </c>
      <c r="W72">
        <v>0</v>
      </c>
      <c r="X72" s="3">
        <v>0</v>
      </c>
      <c r="Y72">
        <v>0</v>
      </c>
      <c r="Z72" s="3">
        <v>0</v>
      </c>
      <c r="AA72" t="s">
        <v>52</v>
      </c>
      <c r="AB72" t="s">
        <v>49</v>
      </c>
      <c r="AC72">
        <v>240.34</v>
      </c>
      <c r="AD72" t="s">
        <v>49</v>
      </c>
      <c r="AE72">
        <v>261</v>
      </c>
      <c r="AF72" s="3">
        <v>1</v>
      </c>
      <c r="AG72" t="s">
        <v>49</v>
      </c>
      <c r="AH72">
        <v>240.34</v>
      </c>
      <c r="AI72" t="s">
        <v>49</v>
      </c>
      <c r="AJ72" t="s">
        <v>49</v>
      </c>
      <c r="AK72" t="s">
        <v>49</v>
      </c>
      <c r="AL72" t="s">
        <v>49</v>
      </c>
      <c r="AM72" t="s">
        <v>49</v>
      </c>
      <c r="AN72" s="3">
        <v>20</v>
      </c>
      <c r="AO72" s="19">
        <v>0</v>
      </c>
      <c r="AP72" s="19">
        <v>0</v>
      </c>
      <c r="AQ72" s="19">
        <v>0.6</v>
      </c>
      <c r="AR72" s="19">
        <v>0.1333</v>
      </c>
      <c r="AS72" s="19">
        <v>0</v>
      </c>
      <c r="AT72" s="19">
        <v>1</v>
      </c>
      <c r="AU72" s="3">
        <v>0</v>
      </c>
      <c r="AV72" s="3">
        <v>0</v>
      </c>
      <c r="AW72" s="19">
        <v>0</v>
      </c>
      <c r="AX72" s="3">
        <v>0</v>
      </c>
      <c r="AY72" s="3">
        <v>0</v>
      </c>
    </row>
    <row r="73" spans="1:51">
      <c r="A73" s="3">
        <v>4460199</v>
      </c>
      <c r="B73" t="s">
        <v>201</v>
      </c>
      <c r="C73" s="3">
        <v>12321414</v>
      </c>
      <c r="D73" t="s">
        <v>44</v>
      </c>
      <c r="E73" t="s">
        <v>200</v>
      </c>
      <c r="F73" t="s">
        <v>65</v>
      </c>
      <c r="G73" t="s">
        <v>47</v>
      </c>
      <c r="H73" s="16">
        <v>111</v>
      </c>
      <c r="I73" s="4">
        <f>VLOOKUP(C73,[1]sheet1!$D:$I,6,0)</f>
        <v>251</v>
      </c>
      <c r="J73" s="4">
        <f>VLOOKUP(C73,[2]sheet1!$D:$I,6,0)</f>
        <v>0</v>
      </c>
      <c r="K73" s="4">
        <f>VLOOKUP(C73,[3]sheet1!$D:$I,6,0)</f>
        <v>124</v>
      </c>
      <c r="L73" s="4">
        <f>VLOOKUP(C73,[4]sheet1!$D:$I,6,0)</f>
        <v>616</v>
      </c>
      <c r="M73" s="4">
        <f>VLOOKUP(C73,[5]sheet1!$D:$I,6,0)</f>
        <v>0</v>
      </c>
      <c r="N73" s="4">
        <f>VLOOKUP(C73,[6]sheet1!$D:$I,6,0)</f>
        <v>0</v>
      </c>
      <c r="O73" s="4">
        <f>VLOOKUP(C73,[7]sheet1!$D:$I,6,0)</f>
        <v>126</v>
      </c>
      <c r="P73" s="4">
        <f>VLOOKUP(C73,[8]sheet1!$D:$I,6,0)</f>
        <v>129</v>
      </c>
      <c r="Q73" s="4">
        <f t="shared" si="1"/>
        <v>1357</v>
      </c>
      <c r="R73" s="3">
        <v>1</v>
      </c>
      <c r="S73" s="3">
        <v>116</v>
      </c>
      <c r="T73" s="19">
        <v>0.0086</v>
      </c>
      <c r="U73" s="3">
        <v>3</v>
      </c>
      <c r="V73" s="3">
        <v>1</v>
      </c>
      <c r="W73">
        <v>0</v>
      </c>
      <c r="X73" s="3">
        <v>0</v>
      </c>
      <c r="Y73">
        <v>0</v>
      </c>
      <c r="Z73" s="3">
        <v>0</v>
      </c>
      <c r="AA73" t="s">
        <v>49</v>
      </c>
      <c r="AB73" t="s">
        <v>49</v>
      </c>
      <c r="AC73" t="s">
        <v>49</v>
      </c>
      <c r="AD73" t="s">
        <v>49</v>
      </c>
      <c r="AE73">
        <v>111</v>
      </c>
      <c r="AF73" s="3">
        <v>1</v>
      </c>
      <c r="AG73" t="s">
        <v>49</v>
      </c>
      <c r="AH73" t="s">
        <v>49</v>
      </c>
      <c r="AI73" t="s">
        <v>49</v>
      </c>
      <c r="AJ73" t="s">
        <v>49</v>
      </c>
      <c r="AK73" t="s">
        <v>49</v>
      </c>
      <c r="AL73" t="s">
        <v>49</v>
      </c>
      <c r="AM73" t="s">
        <v>49</v>
      </c>
      <c r="AN73" s="3">
        <v>156</v>
      </c>
      <c r="AO73" s="19">
        <v>0</v>
      </c>
      <c r="AP73" s="19">
        <v>0</v>
      </c>
      <c r="AQ73" s="19">
        <v>0.7328</v>
      </c>
      <c r="AR73" s="19">
        <v>0.3276</v>
      </c>
      <c r="AS73" s="19">
        <v>1</v>
      </c>
      <c r="AT73" s="19">
        <v>0.6667</v>
      </c>
      <c r="AU73" s="3">
        <v>0</v>
      </c>
      <c r="AV73" s="3">
        <v>0</v>
      </c>
      <c r="AW73" s="19">
        <v>0</v>
      </c>
      <c r="AX73" s="3">
        <v>0</v>
      </c>
      <c r="AY73" s="3">
        <v>0</v>
      </c>
    </row>
    <row r="74" spans="1:51">
      <c r="A74" s="3">
        <v>4105627</v>
      </c>
      <c r="B74" t="s">
        <v>202</v>
      </c>
      <c r="C74" s="3">
        <v>11321207</v>
      </c>
      <c r="D74" t="s">
        <v>44</v>
      </c>
      <c r="E74" t="s">
        <v>51</v>
      </c>
      <c r="F74" t="s">
        <v>46</v>
      </c>
      <c r="G74" t="s">
        <v>47</v>
      </c>
      <c r="H74" s="16">
        <v>147</v>
      </c>
      <c r="I74" s="4">
        <f>VLOOKUP(C74,[1]sheet1!$D:$I,6,0)</f>
        <v>579</v>
      </c>
      <c r="J74" s="4">
        <f>VLOOKUP(C74,[2]sheet1!$D:$I,6,0)</f>
        <v>285</v>
      </c>
      <c r="K74" s="4">
        <f>VLOOKUP(C74,[3]sheet1!$D:$I,6,0)</f>
        <v>0</v>
      </c>
      <c r="L74" s="4">
        <f>VLOOKUP(C74,[4]sheet1!$D:$I,6,0)</f>
        <v>144</v>
      </c>
      <c r="M74" s="4">
        <f>VLOOKUP(C74,[5]sheet1!$D:$I,6,0)</f>
        <v>288</v>
      </c>
      <c r="N74" s="4">
        <f>VLOOKUP(C74,[6]sheet1!$D:$I,6,0)</f>
        <v>151</v>
      </c>
      <c r="O74" s="4">
        <f>VLOOKUP(C74,[7]sheet1!$D:$I,6,0)</f>
        <v>0</v>
      </c>
      <c r="P74" s="4">
        <f>VLOOKUP(C74,[8]sheet1!$D:$I,6,0)</f>
        <v>147</v>
      </c>
      <c r="Q74" s="4">
        <f t="shared" si="1"/>
        <v>1741</v>
      </c>
      <c r="R74" s="3">
        <v>1</v>
      </c>
      <c r="S74">
        <v>465</v>
      </c>
      <c r="T74">
        <v>290</v>
      </c>
      <c r="U74" s="3">
        <v>4</v>
      </c>
      <c r="V74" s="3">
        <v>1</v>
      </c>
      <c r="W74">
        <v>0</v>
      </c>
      <c r="X74" s="3">
        <v>0</v>
      </c>
      <c r="Y74">
        <v>0</v>
      </c>
      <c r="Z74" s="3">
        <v>0</v>
      </c>
      <c r="AA74" t="s">
        <v>49</v>
      </c>
      <c r="AB74" s="3">
        <v>169</v>
      </c>
      <c r="AC74" t="s">
        <v>49</v>
      </c>
      <c r="AD74" t="s">
        <v>49</v>
      </c>
      <c r="AE74">
        <v>147</v>
      </c>
      <c r="AF74" s="3">
        <v>1</v>
      </c>
      <c r="AG74" t="s">
        <v>49</v>
      </c>
      <c r="AH74" t="s">
        <v>49</v>
      </c>
      <c r="AI74" t="s">
        <v>49</v>
      </c>
      <c r="AJ74">
        <v>139.52</v>
      </c>
      <c r="AK74" t="s">
        <v>49</v>
      </c>
      <c r="AL74">
        <v>139.52</v>
      </c>
      <c r="AM74" t="s">
        <v>49</v>
      </c>
      <c r="AN74" s="3">
        <v>215</v>
      </c>
      <c r="AO74" s="19">
        <v>0</v>
      </c>
      <c r="AP74" s="19">
        <v>1</v>
      </c>
      <c r="AQ74" s="19">
        <v>0.7625</v>
      </c>
      <c r="AR74" s="19">
        <v>0.55</v>
      </c>
      <c r="AS74" s="19">
        <v>1</v>
      </c>
      <c r="AT74" s="19">
        <v>0.5</v>
      </c>
      <c r="AU74" s="3">
        <v>0</v>
      </c>
      <c r="AV74" s="3">
        <v>0</v>
      </c>
      <c r="AW74" s="19">
        <v>0</v>
      </c>
      <c r="AX74" s="3">
        <v>0</v>
      </c>
      <c r="AY74" s="3">
        <v>0</v>
      </c>
    </row>
    <row r="75" spans="1:51">
      <c r="A75" s="3">
        <v>4089091</v>
      </c>
      <c r="B75" t="s">
        <v>203</v>
      </c>
      <c r="C75" s="3">
        <v>12321218</v>
      </c>
      <c r="D75" t="s">
        <v>44</v>
      </c>
      <c r="E75" t="s">
        <v>109</v>
      </c>
      <c r="F75" t="s">
        <v>46</v>
      </c>
      <c r="G75" t="s">
        <v>47</v>
      </c>
      <c r="H75" s="16">
        <v>124</v>
      </c>
      <c r="I75" s="4">
        <f>VLOOKUP(C75,[1]sheet1!$D:$I,6,0)</f>
        <v>620</v>
      </c>
      <c r="J75" s="4">
        <f>VLOOKUP(C75,[2]sheet1!$D:$I,6,0)</f>
        <v>496</v>
      </c>
      <c r="K75" s="4">
        <f>VLOOKUP(C75,[3]sheet1!$D:$I,6,0)</f>
        <v>248</v>
      </c>
      <c r="L75" s="4">
        <f>VLOOKUP(C75,[4]sheet1!$D:$I,6,0)</f>
        <v>857</v>
      </c>
      <c r="M75" s="4">
        <f>VLOOKUP(C75,[5]sheet1!$D:$I,6,0)</f>
        <v>621.65</v>
      </c>
      <c r="N75" s="4">
        <f>VLOOKUP(C75,[6]sheet1!$D:$I,6,0)</f>
        <v>248</v>
      </c>
      <c r="O75" s="4">
        <f>VLOOKUP(C75,[7]sheet1!$D:$I,6,0)</f>
        <v>733</v>
      </c>
      <c r="P75" s="4">
        <f>VLOOKUP(C75,[8]sheet1!$D:$I,6,0)</f>
        <v>0</v>
      </c>
      <c r="Q75" s="4">
        <f t="shared" si="1"/>
        <v>3947.65</v>
      </c>
      <c r="R75" s="3">
        <v>1</v>
      </c>
      <c r="S75">
        <v>1623</v>
      </c>
      <c r="T75">
        <v>82</v>
      </c>
      <c r="U75" s="3">
        <v>105</v>
      </c>
      <c r="V75" s="3">
        <v>1</v>
      </c>
      <c r="W75">
        <v>0</v>
      </c>
      <c r="X75" s="3">
        <v>0</v>
      </c>
      <c r="Y75">
        <v>0</v>
      </c>
      <c r="Z75" s="3">
        <v>0</v>
      </c>
      <c r="AA75" t="s">
        <v>183</v>
      </c>
      <c r="AB75" s="3">
        <v>95</v>
      </c>
      <c r="AC75">
        <v>147.74</v>
      </c>
      <c r="AD75" t="s">
        <v>49</v>
      </c>
      <c r="AE75">
        <v>124</v>
      </c>
      <c r="AF75" s="3">
        <v>1</v>
      </c>
      <c r="AG75" t="s">
        <v>49</v>
      </c>
      <c r="AH75">
        <v>147.74</v>
      </c>
      <c r="AI75" t="s">
        <v>49</v>
      </c>
      <c r="AJ75">
        <v>74.66</v>
      </c>
      <c r="AK75" t="s">
        <v>49</v>
      </c>
      <c r="AL75">
        <v>74.66</v>
      </c>
      <c r="AM75" t="s">
        <v>49</v>
      </c>
      <c r="AN75" s="3">
        <v>2693</v>
      </c>
      <c r="AO75" s="19">
        <v>0</v>
      </c>
      <c r="AP75" s="19">
        <v>0</v>
      </c>
      <c r="AQ75" s="19">
        <v>0.8546</v>
      </c>
      <c r="AR75" s="19">
        <v>0.5442</v>
      </c>
      <c r="AS75" s="19">
        <v>0.8476</v>
      </c>
      <c r="AT75" s="19">
        <v>0.6667</v>
      </c>
      <c r="AU75" s="3">
        <v>0</v>
      </c>
      <c r="AV75" s="3">
        <v>0</v>
      </c>
      <c r="AW75" s="19">
        <v>0</v>
      </c>
      <c r="AX75" s="3">
        <v>0</v>
      </c>
      <c r="AY75" s="3">
        <v>0</v>
      </c>
    </row>
    <row r="76" spans="1:51">
      <c r="A76" s="3">
        <v>4068051</v>
      </c>
      <c r="B76" t="s">
        <v>204</v>
      </c>
      <c r="C76" s="3">
        <v>12321222</v>
      </c>
      <c r="D76" t="s">
        <v>44</v>
      </c>
      <c r="E76" t="s">
        <v>109</v>
      </c>
      <c r="F76" t="s">
        <v>46</v>
      </c>
      <c r="G76" t="s">
        <v>47</v>
      </c>
      <c r="H76" s="16">
        <v>124</v>
      </c>
      <c r="I76" s="4">
        <f>VLOOKUP(C76,[1]sheet1!$D:$I,6,0)</f>
        <v>0</v>
      </c>
      <c r="J76" s="4">
        <f>VLOOKUP(C76,[2]sheet1!$D:$I,6,0)</f>
        <v>0</v>
      </c>
      <c r="K76" s="4">
        <f>VLOOKUP(C76,[3]sheet1!$D:$I,6,0)</f>
        <v>0</v>
      </c>
      <c r="L76" s="4">
        <f>VLOOKUP(C76,[4]sheet1!$D:$I,6,0)</f>
        <v>0</v>
      </c>
      <c r="M76" s="4">
        <f>VLOOKUP(C76,[5]sheet1!$D:$I,6,0)</f>
        <v>0</v>
      </c>
      <c r="N76" s="4">
        <f>VLOOKUP(C76,[6]sheet1!$D:$I,6,0)</f>
        <v>0</v>
      </c>
      <c r="O76" s="4">
        <f>VLOOKUP(C76,[7]sheet1!$D:$I,6,0)</f>
        <v>0</v>
      </c>
      <c r="P76" s="4">
        <f>VLOOKUP(C76,[8]sheet1!$D:$I,6,0)</f>
        <v>0</v>
      </c>
      <c r="Q76" s="4">
        <f t="shared" si="1"/>
        <v>124</v>
      </c>
      <c r="R76" s="3">
        <v>1</v>
      </c>
      <c r="S76">
        <v>308</v>
      </c>
      <c r="T76">
        <v>440</v>
      </c>
      <c r="U76" s="3">
        <v>2</v>
      </c>
      <c r="V76" s="3">
        <v>1</v>
      </c>
      <c r="W76">
        <v>0</v>
      </c>
      <c r="X76" s="3">
        <v>0</v>
      </c>
      <c r="Y76">
        <v>0</v>
      </c>
      <c r="Z76" s="3">
        <v>0</v>
      </c>
      <c r="AA76" t="s">
        <v>55</v>
      </c>
      <c r="AB76" s="3">
        <v>86</v>
      </c>
      <c r="AC76">
        <v>112.94</v>
      </c>
      <c r="AD76" t="s">
        <v>49</v>
      </c>
      <c r="AE76">
        <v>124</v>
      </c>
      <c r="AF76" s="3">
        <v>1</v>
      </c>
      <c r="AG76" t="s">
        <v>49</v>
      </c>
      <c r="AH76">
        <v>112.94</v>
      </c>
      <c r="AI76" t="s">
        <v>49</v>
      </c>
      <c r="AJ76">
        <v>66.83</v>
      </c>
      <c r="AK76" t="s">
        <v>49</v>
      </c>
      <c r="AL76">
        <v>66.83</v>
      </c>
      <c r="AM76" t="s">
        <v>49</v>
      </c>
      <c r="AN76" s="3">
        <v>128</v>
      </c>
      <c r="AO76" s="19">
        <v>1</v>
      </c>
      <c r="AP76" s="19">
        <v>0</v>
      </c>
      <c r="AQ76" s="19">
        <v>0.8857</v>
      </c>
      <c r="AR76" s="19">
        <v>0.4</v>
      </c>
      <c r="AS76" s="19">
        <v>1</v>
      </c>
      <c r="AT76" s="19">
        <v>0.5</v>
      </c>
      <c r="AU76" s="3">
        <v>0</v>
      </c>
      <c r="AV76" s="3">
        <v>0</v>
      </c>
      <c r="AW76" s="19">
        <v>0</v>
      </c>
      <c r="AX76" s="3">
        <v>0</v>
      </c>
      <c r="AY76" s="3">
        <v>0</v>
      </c>
    </row>
    <row r="77" spans="1:51">
      <c r="A77" s="3">
        <v>3097240</v>
      </c>
      <c r="B77" t="s">
        <v>205</v>
      </c>
      <c r="C77" s="3">
        <v>125110022</v>
      </c>
      <c r="D77" t="s">
        <v>44</v>
      </c>
      <c r="E77" t="s">
        <v>206</v>
      </c>
      <c r="F77" t="s">
        <v>46</v>
      </c>
      <c r="G77" t="s">
        <v>47</v>
      </c>
      <c r="H77" s="16">
        <v>221</v>
      </c>
      <c r="I77" s="4">
        <f>VLOOKUP(C77,[1]sheet1!$D:$I,6,0)</f>
        <v>0</v>
      </c>
      <c r="J77" s="4">
        <f>VLOOKUP(C77,[2]sheet1!$D:$I,6,0)</f>
        <v>0</v>
      </c>
      <c r="K77" s="4">
        <f>VLOOKUP(C77,[3]sheet1!$D:$I,6,0)</f>
        <v>221</v>
      </c>
      <c r="L77" s="4">
        <f>VLOOKUP(C77,[4]sheet1!$D:$I,6,0)</f>
        <v>442</v>
      </c>
      <c r="M77" s="4">
        <f>VLOOKUP(C77,[5]sheet1!$D:$I,6,0)</f>
        <v>442</v>
      </c>
      <c r="N77" s="4">
        <f>VLOOKUP(C77,[6]sheet1!$D:$I,6,0)</f>
        <v>221</v>
      </c>
      <c r="O77" s="4">
        <f>VLOOKUP(C77,[7]sheet1!$D:$I,6,0)</f>
        <v>424</v>
      </c>
      <c r="P77" s="4">
        <f>VLOOKUP(C77,[8]sheet1!$D:$I,6,0)</f>
        <v>221</v>
      </c>
      <c r="Q77" s="4">
        <f t="shared" si="1"/>
        <v>2192</v>
      </c>
      <c r="R77" s="3">
        <v>1</v>
      </c>
      <c r="S77">
        <v>238</v>
      </c>
      <c r="T77">
        <v>568</v>
      </c>
      <c r="U77" s="3">
        <v>5</v>
      </c>
      <c r="V77" s="3">
        <v>1</v>
      </c>
      <c r="W77">
        <v>0</v>
      </c>
      <c r="X77" s="3">
        <v>0</v>
      </c>
      <c r="Y77">
        <v>0</v>
      </c>
      <c r="Z77" s="3">
        <v>0</v>
      </c>
      <c r="AA77" t="s">
        <v>118</v>
      </c>
      <c r="AB77" s="3">
        <v>206</v>
      </c>
      <c r="AC77">
        <v>188.14</v>
      </c>
      <c r="AD77" t="s">
        <v>49</v>
      </c>
      <c r="AE77">
        <v>221</v>
      </c>
      <c r="AF77" s="3">
        <v>1</v>
      </c>
      <c r="AG77" t="s">
        <v>49</v>
      </c>
      <c r="AH77">
        <v>188.14</v>
      </c>
      <c r="AI77" t="s">
        <v>49</v>
      </c>
      <c r="AJ77">
        <v>168.13</v>
      </c>
      <c r="AK77" t="s">
        <v>49</v>
      </c>
      <c r="AL77">
        <v>168.13</v>
      </c>
      <c r="AM77" t="s">
        <v>49</v>
      </c>
      <c r="AN77" s="3">
        <v>49</v>
      </c>
      <c r="AO77" s="19">
        <v>0</v>
      </c>
      <c r="AP77" s="19">
        <v>0</v>
      </c>
      <c r="AQ77" s="19">
        <v>0.8333</v>
      </c>
      <c r="AR77" s="19">
        <v>0.5714</v>
      </c>
      <c r="AS77" s="19">
        <v>0.6</v>
      </c>
      <c r="AT77" s="19">
        <v>0.4</v>
      </c>
      <c r="AU77" s="3">
        <v>0</v>
      </c>
      <c r="AV77" s="3">
        <v>0</v>
      </c>
      <c r="AW77" s="19">
        <v>0</v>
      </c>
      <c r="AX77" s="3">
        <v>0</v>
      </c>
      <c r="AY77" s="3">
        <v>0</v>
      </c>
    </row>
    <row r="78" spans="1:51">
      <c r="A78" s="3">
        <v>2870006</v>
      </c>
      <c r="B78" t="s">
        <v>207</v>
      </c>
      <c r="C78" s="3">
        <v>12321248</v>
      </c>
      <c r="D78" t="s">
        <v>44</v>
      </c>
      <c r="E78" t="s">
        <v>109</v>
      </c>
      <c r="F78" t="s">
        <v>46</v>
      </c>
      <c r="G78" t="s">
        <v>47</v>
      </c>
      <c r="H78" s="16">
        <v>184</v>
      </c>
      <c r="I78" s="4">
        <f>VLOOKUP(C78,[1]sheet1!$D:$I,6,0)</f>
        <v>358</v>
      </c>
      <c r="J78" s="4">
        <f>VLOOKUP(C78,[2]sheet1!$D:$I,6,0)</f>
        <v>184</v>
      </c>
      <c r="K78" s="4">
        <f>VLOOKUP(C78,[3]sheet1!$D:$I,6,0)</f>
        <v>0</v>
      </c>
      <c r="L78" s="4">
        <f>VLOOKUP(C78,[4]sheet1!$D:$I,6,0)</f>
        <v>187</v>
      </c>
      <c r="M78" s="4">
        <f>VLOOKUP(C78,[5]sheet1!$D:$I,6,0)</f>
        <v>0</v>
      </c>
      <c r="N78" s="4">
        <f>VLOOKUP(C78,[6]sheet1!$D:$I,6,0)</f>
        <v>0</v>
      </c>
      <c r="O78" s="4">
        <f>VLOOKUP(C78,[7]sheet1!$D:$I,6,0)</f>
        <v>0</v>
      </c>
      <c r="P78" s="4">
        <f>VLOOKUP(C78,[8]sheet1!$D:$I,6,0)</f>
        <v>187</v>
      </c>
      <c r="Q78" s="4">
        <f t="shared" si="1"/>
        <v>1100</v>
      </c>
      <c r="R78" s="3">
        <v>1</v>
      </c>
      <c r="S78">
        <v>165</v>
      </c>
      <c r="T78">
        <v>823</v>
      </c>
      <c r="U78" s="3">
        <v>0</v>
      </c>
      <c r="V78" s="3">
        <v>1</v>
      </c>
      <c r="W78">
        <v>0</v>
      </c>
      <c r="X78" s="3">
        <v>0</v>
      </c>
      <c r="Y78">
        <v>199</v>
      </c>
      <c r="Z78" s="3">
        <v>1</v>
      </c>
      <c r="AA78" t="s">
        <v>49</v>
      </c>
      <c r="AB78" t="s">
        <v>49</v>
      </c>
      <c r="AC78" t="s">
        <v>49</v>
      </c>
      <c r="AD78" t="s">
        <v>49</v>
      </c>
      <c r="AE78">
        <v>184</v>
      </c>
      <c r="AF78" s="3">
        <v>1</v>
      </c>
      <c r="AG78" t="s">
        <v>49</v>
      </c>
      <c r="AH78" t="s">
        <v>49</v>
      </c>
      <c r="AI78" t="s">
        <v>49</v>
      </c>
      <c r="AJ78" t="s">
        <v>49</v>
      </c>
      <c r="AK78" t="s">
        <v>49</v>
      </c>
      <c r="AL78" t="s">
        <v>49</v>
      </c>
      <c r="AM78" t="s">
        <v>49</v>
      </c>
      <c r="AN78" s="3">
        <v>25</v>
      </c>
      <c r="AO78" s="19">
        <v>0</v>
      </c>
      <c r="AP78" s="19">
        <v>0</v>
      </c>
      <c r="AQ78" s="19">
        <v>0.85</v>
      </c>
      <c r="AR78" s="19">
        <v>0.3</v>
      </c>
      <c r="AS78" s="19">
        <v>0</v>
      </c>
      <c r="AT78" s="19">
        <v>0</v>
      </c>
      <c r="AU78" s="3">
        <v>0</v>
      </c>
      <c r="AV78" s="3">
        <v>0</v>
      </c>
      <c r="AW78" s="19">
        <v>0</v>
      </c>
      <c r="AX78" s="3">
        <v>0</v>
      </c>
      <c r="AY78" s="3">
        <v>0</v>
      </c>
    </row>
    <row r="79" spans="1:51">
      <c r="A79" s="3">
        <v>2869673</v>
      </c>
      <c r="B79" t="s">
        <v>208</v>
      </c>
      <c r="C79" s="3">
        <v>12121262</v>
      </c>
      <c r="D79" t="s">
        <v>44</v>
      </c>
      <c r="E79" t="s">
        <v>109</v>
      </c>
      <c r="F79" t="s">
        <v>46</v>
      </c>
      <c r="G79" t="s">
        <v>47</v>
      </c>
      <c r="H79" s="16">
        <v>157</v>
      </c>
      <c r="I79" s="4">
        <f>VLOOKUP(C79,[1]sheet1!$D:$I,6,0)</f>
        <v>0</v>
      </c>
      <c r="J79" s="4">
        <f>VLOOKUP(C79,[2]sheet1!$D:$I,6,0)</f>
        <v>164</v>
      </c>
      <c r="K79" s="4">
        <f>VLOOKUP(C79,[3]sheet1!$D:$I,6,0)</f>
        <v>159</v>
      </c>
      <c r="L79" s="4">
        <f>VLOOKUP(C79,[4]sheet1!$D:$I,6,0)</f>
        <v>154</v>
      </c>
      <c r="M79" s="4">
        <f>VLOOKUP(C79,[5]sheet1!$D:$I,6,0)</f>
        <v>161</v>
      </c>
      <c r="N79" s="4">
        <f>VLOOKUP(C79,[6]sheet1!$D:$I,6,0)</f>
        <v>0</v>
      </c>
      <c r="O79" s="4">
        <f>VLOOKUP(C79,[7]sheet1!$D:$I,6,0)</f>
        <v>0</v>
      </c>
      <c r="P79" s="4">
        <f>VLOOKUP(C79,[8]sheet1!$D:$I,6,0)</f>
        <v>321</v>
      </c>
      <c r="Q79" s="4">
        <f t="shared" si="1"/>
        <v>1116</v>
      </c>
      <c r="R79" s="3">
        <v>1</v>
      </c>
      <c r="S79">
        <v>180</v>
      </c>
      <c r="T79">
        <v>751</v>
      </c>
      <c r="U79" s="3">
        <v>2</v>
      </c>
      <c r="V79" s="3">
        <v>1</v>
      </c>
      <c r="W79">
        <v>0</v>
      </c>
      <c r="X79" s="3">
        <v>0</v>
      </c>
      <c r="Y79">
        <v>0</v>
      </c>
      <c r="Z79" s="3">
        <v>0</v>
      </c>
      <c r="AA79" t="s">
        <v>183</v>
      </c>
      <c r="AB79" s="3">
        <v>179</v>
      </c>
      <c r="AC79">
        <v>147.74</v>
      </c>
      <c r="AD79" t="s">
        <v>49</v>
      </c>
      <c r="AE79">
        <v>157</v>
      </c>
      <c r="AF79" s="3">
        <v>1</v>
      </c>
      <c r="AG79" t="s">
        <v>49</v>
      </c>
      <c r="AH79">
        <v>147.74</v>
      </c>
      <c r="AI79" t="s">
        <v>49</v>
      </c>
      <c r="AJ79" t="s">
        <v>49</v>
      </c>
      <c r="AK79" t="s">
        <v>49</v>
      </c>
      <c r="AL79" t="s">
        <v>49</v>
      </c>
      <c r="AM79" t="s">
        <v>49</v>
      </c>
      <c r="AN79" s="3">
        <v>34</v>
      </c>
      <c r="AO79" s="19">
        <v>1</v>
      </c>
      <c r="AP79" s="19">
        <v>1</v>
      </c>
      <c r="AQ79" s="19">
        <v>0.9167</v>
      </c>
      <c r="AR79" s="19">
        <v>0.5417</v>
      </c>
      <c r="AS79" s="19">
        <v>1</v>
      </c>
      <c r="AT79" s="19">
        <v>1</v>
      </c>
      <c r="AU79" s="3">
        <v>0</v>
      </c>
      <c r="AV79" s="3">
        <v>0</v>
      </c>
      <c r="AW79" s="19">
        <v>0</v>
      </c>
      <c r="AX79" s="3">
        <v>0</v>
      </c>
      <c r="AY79" s="3">
        <v>0</v>
      </c>
    </row>
    <row r="80" spans="1:51">
      <c r="A80" s="3">
        <v>25303490</v>
      </c>
      <c r="B80" t="s">
        <v>209</v>
      </c>
      <c r="C80" t="s">
        <v>210</v>
      </c>
      <c r="D80" t="s">
        <v>44</v>
      </c>
      <c r="E80" t="s">
        <v>211</v>
      </c>
      <c r="F80" t="s">
        <v>65</v>
      </c>
      <c r="G80" t="s">
        <v>47</v>
      </c>
      <c r="H80" s="16">
        <v>7</v>
      </c>
      <c r="I80" s="4">
        <f>VLOOKUP(C80,[1]sheet1!$D:$I,6,0)</f>
        <v>0</v>
      </c>
      <c r="J80" s="4">
        <f>VLOOKUP(C80,[2]sheet1!$D:$I,6,0)</f>
        <v>0</v>
      </c>
      <c r="K80" s="4">
        <f>VLOOKUP(C80,[3]sheet1!$D:$I,6,0)</f>
        <v>34</v>
      </c>
      <c r="L80" s="4">
        <f>VLOOKUP(C80,[4]sheet1!$D:$I,6,0)</f>
        <v>28</v>
      </c>
      <c r="M80" s="4">
        <f>VLOOKUP(C80,[5]sheet1!$D:$I,6,0)</f>
        <v>0</v>
      </c>
      <c r="N80" s="4">
        <f>VLOOKUP(C80,[6]sheet1!$D:$I,6,0)</f>
        <v>34</v>
      </c>
      <c r="O80" s="4">
        <f>VLOOKUP(C80,[7]sheet1!$D:$I,6,0)</f>
        <v>0</v>
      </c>
      <c r="P80" s="4">
        <f>VLOOKUP(C80,[8]sheet1!$D:$I,6,0)</f>
        <v>0</v>
      </c>
      <c r="Q80" s="4">
        <f t="shared" si="1"/>
        <v>103</v>
      </c>
      <c r="R80" s="3">
        <v>1</v>
      </c>
      <c r="S80" s="3">
        <v>8</v>
      </c>
      <c r="T80" s="19">
        <v>0.125</v>
      </c>
      <c r="U80" s="3">
        <v>0</v>
      </c>
      <c r="V80" s="3">
        <v>1</v>
      </c>
      <c r="W80">
        <v>0</v>
      </c>
      <c r="X80" s="3">
        <v>0</v>
      </c>
      <c r="Y80">
        <v>0</v>
      </c>
      <c r="Z80" s="3">
        <v>0</v>
      </c>
      <c r="AA80" t="s">
        <v>126</v>
      </c>
      <c r="AB80" t="s">
        <v>49</v>
      </c>
      <c r="AC80">
        <v>31.18</v>
      </c>
      <c r="AD80" t="s">
        <v>49</v>
      </c>
      <c r="AE80">
        <v>7</v>
      </c>
      <c r="AF80" s="3">
        <v>1</v>
      </c>
      <c r="AG80" t="s">
        <v>49</v>
      </c>
      <c r="AH80">
        <v>31.18</v>
      </c>
      <c r="AI80" t="s">
        <v>49</v>
      </c>
      <c r="AJ80" t="s">
        <v>49</v>
      </c>
      <c r="AK80" t="s">
        <v>49</v>
      </c>
      <c r="AL80" t="s">
        <v>49</v>
      </c>
      <c r="AM80" t="s">
        <v>49</v>
      </c>
      <c r="AN80" s="3">
        <v>9</v>
      </c>
      <c r="AO80" s="19">
        <v>1</v>
      </c>
      <c r="AP80" s="19">
        <v>0</v>
      </c>
      <c r="AQ80" s="19">
        <v>0.875</v>
      </c>
      <c r="AR80" s="19">
        <v>0.125</v>
      </c>
      <c r="AS80" s="19">
        <v>0</v>
      </c>
      <c r="AT80" s="19">
        <v>0</v>
      </c>
      <c r="AU80" s="3">
        <v>0</v>
      </c>
      <c r="AV80" s="3">
        <v>0</v>
      </c>
      <c r="AW80" s="19">
        <v>0</v>
      </c>
      <c r="AX80" s="3">
        <v>0</v>
      </c>
      <c r="AY80" s="3">
        <v>0</v>
      </c>
    </row>
    <row r="81" spans="1:51">
      <c r="A81" s="3">
        <v>25098538</v>
      </c>
      <c r="B81" t="s">
        <v>212</v>
      </c>
      <c r="C81" t="s">
        <v>213</v>
      </c>
      <c r="D81" t="s">
        <v>44</v>
      </c>
      <c r="E81" t="s">
        <v>141</v>
      </c>
      <c r="F81" t="s">
        <v>65</v>
      </c>
      <c r="G81" t="s">
        <v>47</v>
      </c>
      <c r="H81" s="16">
        <v>772</v>
      </c>
      <c r="I81" s="4">
        <f>VLOOKUP(C81,[1]sheet1!$D:$I,6,0)</f>
        <v>0</v>
      </c>
      <c r="J81" s="4">
        <f>VLOOKUP(C81,[2]sheet1!$D:$I,6,0)</f>
        <v>0</v>
      </c>
      <c r="K81" s="4">
        <f>VLOOKUP(C81,[3]sheet1!$D:$I,6,0)</f>
        <v>0</v>
      </c>
      <c r="L81" s="4">
        <f>VLOOKUP(C81,[4]sheet1!$D:$I,6,0)</f>
        <v>0</v>
      </c>
      <c r="M81" s="4">
        <f>VLOOKUP(C81,[5]sheet1!$D:$I,6,0)</f>
        <v>0</v>
      </c>
      <c r="N81" s="4">
        <f>VLOOKUP(C81,[6]sheet1!$D:$I,6,0)</f>
        <v>0</v>
      </c>
      <c r="O81" s="4">
        <f>VLOOKUP(C81,[7]sheet1!$D:$I,6,0)</f>
        <v>0</v>
      </c>
      <c r="P81" s="4">
        <f>VLOOKUP(C81,[8]sheet1!$D:$I,6,0)</f>
        <v>0</v>
      </c>
      <c r="Q81" s="4">
        <f t="shared" si="1"/>
        <v>772</v>
      </c>
      <c r="R81" s="3">
        <v>1</v>
      </c>
      <c r="S81" s="3">
        <v>23</v>
      </c>
      <c r="T81" s="19">
        <v>0.0435</v>
      </c>
      <c r="U81" s="3">
        <v>0</v>
      </c>
      <c r="V81" s="3">
        <v>1</v>
      </c>
      <c r="W81">
        <v>0</v>
      </c>
      <c r="X81" s="3">
        <v>0</v>
      </c>
      <c r="Y81">
        <v>0</v>
      </c>
      <c r="Z81" s="3">
        <v>0</v>
      </c>
      <c r="AA81" t="s">
        <v>214</v>
      </c>
      <c r="AB81" t="s">
        <v>49</v>
      </c>
      <c r="AC81">
        <v>631.54</v>
      </c>
      <c r="AD81" t="s">
        <v>49</v>
      </c>
      <c r="AE81">
        <v>772</v>
      </c>
      <c r="AF81" s="3">
        <v>1</v>
      </c>
      <c r="AG81" t="s">
        <v>49</v>
      </c>
      <c r="AH81">
        <v>631.54</v>
      </c>
      <c r="AI81" t="s">
        <v>49</v>
      </c>
      <c r="AJ81" t="s">
        <v>49</v>
      </c>
      <c r="AK81" t="s">
        <v>49</v>
      </c>
      <c r="AL81" t="s">
        <v>49</v>
      </c>
      <c r="AM81" t="s">
        <v>49</v>
      </c>
      <c r="AN81" s="3">
        <v>32</v>
      </c>
      <c r="AO81" s="19">
        <v>1</v>
      </c>
      <c r="AP81" s="19">
        <v>1</v>
      </c>
      <c r="AQ81" s="19">
        <v>0.8696</v>
      </c>
      <c r="AR81" s="19">
        <v>0.4783</v>
      </c>
      <c r="AS81" s="19">
        <v>0</v>
      </c>
      <c r="AT81" s="19">
        <v>0</v>
      </c>
      <c r="AU81" s="3">
        <v>0</v>
      </c>
      <c r="AV81" s="3">
        <v>0</v>
      </c>
      <c r="AW81" s="19">
        <v>0</v>
      </c>
      <c r="AX81" s="3">
        <v>0</v>
      </c>
      <c r="AY81" s="3">
        <v>0</v>
      </c>
    </row>
    <row r="82" spans="1:51">
      <c r="A82" s="3">
        <v>25025522</v>
      </c>
      <c r="B82" t="s">
        <v>215</v>
      </c>
      <c r="C82" t="s">
        <v>216</v>
      </c>
      <c r="D82" t="s">
        <v>44</v>
      </c>
      <c r="E82" t="s">
        <v>141</v>
      </c>
      <c r="F82" t="s">
        <v>46</v>
      </c>
      <c r="G82" t="s">
        <v>47</v>
      </c>
      <c r="H82" s="16">
        <v>681</v>
      </c>
      <c r="I82" s="4">
        <f>VLOOKUP(C82,[1]sheet1!$D:$I,6,0)</f>
        <v>0</v>
      </c>
      <c r="J82" s="4">
        <f>VLOOKUP(C82,[2]sheet1!$D:$I,6,0)</f>
        <v>0</v>
      </c>
      <c r="K82" s="4">
        <f>VLOOKUP(C82,[3]sheet1!$D:$I,6,0)</f>
        <v>671</v>
      </c>
      <c r="L82" s="4">
        <f>VLOOKUP(C82,[4]sheet1!$D:$I,6,0)</f>
        <v>0</v>
      </c>
      <c r="M82" s="4">
        <f>VLOOKUP(C82,[5]sheet1!$D:$I,6,0)</f>
        <v>0</v>
      </c>
      <c r="N82" s="4">
        <f>VLOOKUP(C82,[6]sheet1!$D:$I,6,0)</f>
        <v>1995</v>
      </c>
      <c r="O82" s="4">
        <f>VLOOKUP(C82,[7]sheet1!$D:$I,6,0)</f>
        <v>681</v>
      </c>
      <c r="P82" s="4">
        <f>VLOOKUP(C82,[8]sheet1!$D:$I,6,0)</f>
        <v>0</v>
      </c>
      <c r="Q82" s="4">
        <f t="shared" si="1"/>
        <v>4028</v>
      </c>
      <c r="R82" s="3">
        <v>1</v>
      </c>
      <c r="S82">
        <v>473</v>
      </c>
      <c r="T82">
        <v>287</v>
      </c>
      <c r="U82" s="3">
        <v>6</v>
      </c>
      <c r="V82" s="3">
        <v>1</v>
      </c>
      <c r="W82">
        <v>0</v>
      </c>
      <c r="X82" s="3">
        <v>0</v>
      </c>
      <c r="Y82">
        <v>699</v>
      </c>
      <c r="Z82" s="3">
        <v>1</v>
      </c>
      <c r="AA82" t="s">
        <v>112</v>
      </c>
      <c r="AB82" s="3">
        <v>609</v>
      </c>
      <c r="AC82">
        <v>596.74</v>
      </c>
      <c r="AD82" t="s">
        <v>49</v>
      </c>
      <c r="AE82">
        <v>681</v>
      </c>
      <c r="AF82" s="3">
        <v>1</v>
      </c>
      <c r="AG82" t="s">
        <v>49</v>
      </c>
      <c r="AH82">
        <v>596.74</v>
      </c>
      <c r="AI82" t="s">
        <v>49</v>
      </c>
      <c r="AJ82">
        <v>518.44</v>
      </c>
      <c r="AK82" t="s">
        <v>49</v>
      </c>
      <c r="AL82">
        <v>518.44</v>
      </c>
      <c r="AM82" t="s">
        <v>49</v>
      </c>
      <c r="AN82" s="3">
        <v>214</v>
      </c>
      <c r="AO82" s="19">
        <v>1</v>
      </c>
      <c r="AP82" s="19">
        <v>0</v>
      </c>
      <c r="AQ82" s="19">
        <v>0.8848</v>
      </c>
      <c r="AR82" s="19">
        <v>0.4121</v>
      </c>
      <c r="AS82" s="19">
        <v>0.6667</v>
      </c>
      <c r="AT82" s="19">
        <v>0.1667</v>
      </c>
      <c r="AU82" s="3">
        <v>0</v>
      </c>
      <c r="AV82" s="3">
        <v>0</v>
      </c>
      <c r="AW82" s="19">
        <v>0</v>
      </c>
      <c r="AX82" s="3">
        <v>0</v>
      </c>
      <c r="AY82" s="3">
        <v>0</v>
      </c>
    </row>
    <row r="83" spans="1:51">
      <c r="A83" s="3">
        <v>24627635</v>
      </c>
      <c r="B83" t="s">
        <v>217</v>
      </c>
      <c r="C83" s="3">
        <v>115302003</v>
      </c>
      <c r="D83" t="s">
        <v>44</v>
      </c>
      <c r="E83" t="s">
        <v>146</v>
      </c>
      <c r="F83" t="s">
        <v>46</v>
      </c>
      <c r="G83" t="s">
        <v>47</v>
      </c>
      <c r="H83" s="16">
        <v>672</v>
      </c>
      <c r="I83" s="4">
        <f>VLOOKUP(C83,[1]sheet1!$D:$I,6,0)</f>
        <v>0</v>
      </c>
      <c r="J83" s="4">
        <f>VLOOKUP(C83,[2]sheet1!$D:$I,6,0)</f>
        <v>677</v>
      </c>
      <c r="K83" s="4">
        <f>VLOOKUP(C83,[3]sheet1!$D:$I,6,0)</f>
        <v>672</v>
      </c>
      <c r="L83" s="4">
        <f>VLOOKUP(C83,[4]sheet1!$D:$I,6,0)</f>
        <v>637</v>
      </c>
      <c r="M83" s="4">
        <f>VLOOKUP(C83,[5]sheet1!$D:$I,6,0)</f>
        <v>637</v>
      </c>
      <c r="N83" s="4">
        <f>VLOOKUP(C83,[6]sheet1!$D:$I,6,0)</f>
        <v>1344</v>
      </c>
      <c r="O83" s="4">
        <f>VLOOKUP(C83,[7]sheet1!$D:$I,6,0)</f>
        <v>672</v>
      </c>
      <c r="P83" s="4">
        <f>VLOOKUP(C83,[8]sheet1!$D:$I,6,0)</f>
        <v>1825</v>
      </c>
      <c r="Q83" s="4">
        <f t="shared" si="1"/>
        <v>7136</v>
      </c>
      <c r="R83" s="3">
        <v>1</v>
      </c>
      <c r="S83">
        <v>598</v>
      </c>
      <c r="T83">
        <v>227</v>
      </c>
      <c r="U83" s="3">
        <v>10</v>
      </c>
      <c r="V83" s="3">
        <v>1</v>
      </c>
      <c r="W83">
        <v>0</v>
      </c>
      <c r="X83" s="3">
        <v>0</v>
      </c>
      <c r="Y83">
        <v>0</v>
      </c>
      <c r="Z83" s="3">
        <v>0</v>
      </c>
      <c r="AA83" t="s">
        <v>218</v>
      </c>
      <c r="AB83" s="3">
        <v>517</v>
      </c>
      <c r="AC83">
        <v>504.82</v>
      </c>
      <c r="AD83" t="s">
        <v>49</v>
      </c>
      <c r="AE83">
        <v>672</v>
      </c>
      <c r="AF83" s="3">
        <v>1</v>
      </c>
      <c r="AG83" t="s">
        <v>49</v>
      </c>
      <c r="AH83">
        <v>504.82</v>
      </c>
      <c r="AI83" t="s">
        <v>49</v>
      </c>
      <c r="AJ83">
        <v>442.18</v>
      </c>
      <c r="AK83" t="s">
        <v>49</v>
      </c>
      <c r="AL83">
        <v>442.18</v>
      </c>
      <c r="AM83" t="s">
        <v>49</v>
      </c>
      <c r="AN83" s="3">
        <v>420</v>
      </c>
      <c r="AO83" s="19">
        <v>1</v>
      </c>
      <c r="AP83" s="19">
        <v>0</v>
      </c>
      <c r="AQ83" s="19">
        <v>0.8674</v>
      </c>
      <c r="AR83" s="19">
        <v>0.2727</v>
      </c>
      <c r="AS83" s="19">
        <v>0.7</v>
      </c>
      <c r="AT83" s="19">
        <v>0.2</v>
      </c>
      <c r="AU83" s="3">
        <v>1</v>
      </c>
      <c r="AV83" s="3">
        <v>0</v>
      </c>
      <c r="AW83" s="19">
        <v>1</v>
      </c>
      <c r="AX83" s="3">
        <v>0</v>
      </c>
      <c r="AY83" s="3">
        <v>0</v>
      </c>
    </row>
    <row r="84" spans="1:51">
      <c r="A84" s="3">
        <v>24358742</v>
      </c>
      <c r="B84" t="s">
        <v>219</v>
      </c>
      <c r="C84" s="3">
        <v>125302008</v>
      </c>
      <c r="D84" t="s">
        <v>44</v>
      </c>
      <c r="E84" t="s">
        <v>220</v>
      </c>
      <c r="F84" t="s">
        <v>46</v>
      </c>
      <c r="G84" t="s">
        <v>47</v>
      </c>
      <c r="H84" s="16">
        <v>572</v>
      </c>
      <c r="I84" s="4">
        <f>VLOOKUP(C84,[1]sheet1!$D:$I,6,0)</f>
        <v>0</v>
      </c>
      <c r="J84" s="4">
        <f>VLOOKUP(C84,[2]sheet1!$D:$I,6,0)</f>
        <v>547</v>
      </c>
      <c r="K84" s="4">
        <f>VLOOKUP(C84,[3]sheet1!$D:$I,6,0)</f>
        <v>0</v>
      </c>
      <c r="L84" s="4">
        <f>VLOOKUP(C84,[4]sheet1!$D:$I,6,0)</f>
        <v>1144</v>
      </c>
      <c r="M84" s="4">
        <f>VLOOKUP(C84,[5]sheet1!$D:$I,6,0)</f>
        <v>1716</v>
      </c>
      <c r="N84" s="4">
        <f>VLOOKUP(C84,[6]sheet1!$D:$I,6,0)</f>
        <v>0</v>
      </c>
      <c r="O84" s="4">
        <f>VLOOKUP(C84,[7]sheet1!$D:$I,6,0)</f>
        <v>564</v>
      </c>
      <c r="P84" s="4">
        <f>VLOOKUP(C84,[8]sheet1!$D:$I,6,0)</f>
        <v>1542</v>
      </c>
      <c r="Q84" s="4">
        <f t="shared" si="1"/>
        <v>6085</v>
      </c>
      <c r="R84" s="3">
        <v>1</v>
      </c>
      <c r="S84">
        <v>500</v>
      </c>
      <c r="T84">
        <v>270</v>
      </c>
      <c r="U84" s="3">
        <v>11</v>
      </c>
      <c r="V84" s="3">
        <v>1</v>
      </c>
      <c r="W84">
        <v>0</v>
      </c>
      <c r="X84" s="3">
        <v>0</v>
      </c>
      <c r="Y84">
        <v>0</v>
      </c>
      <c r="Z84" s="3">
        <v>0</v>
      </c>
      <c r="AA84" t="s">
        <v>147</v>
      </c>
      <c r="AB84" s="3">
        <v>452</v>
      </c>
      <c r="AC84">
        <v>493.11</v>
      </c>
      <c r="AD84" t="s">
        <v>49</v>
      </c>
      <c r="AE84">
        <v>572</v>
      </c>
      <c r="AF84" s="3">
        <v>1</v>
      </c>
      <c r="AG84" t="s">
        <v>49</v>
      </c>
      <c r="AH84">
        <v>493.11</v>
      </c>
      <c r="AI84" t="s">
        <v>49</v>
      </c>
      <c r="AJ84">
        <v>381.75</v>
      </c>
      <c r="AK84" t="s">
        <v>49</v>
      </c>
      <c r="AL84">
        <v>381.75</v>
      </c>
      <c r="AM84" t="s">
        <v>49</v>
      </c>
      <c r="AN84" s="3">
        <v>228</v>
      </c>
      <c r="AO84" s="19">
        <v>1</v>
      </c>
      <c r="AP84" s="19">
        <v>1</v>
      </c>
      <c r="AQ84" s="19">
        <v>0.8486</v>
      </c>
      <c r="AR84" s="19">
        <v>0.3946</v>
      </c>
      <c r="AS84" s="19">
        <v>0.8182</v>
      </c>
      <c r="AT84" s="19">
        <v>0.4545</v>
      </c>
      <c r="AU84" s="3">
        <v>1</v>
      </c>
      <c r="AV84" s="3">
        <v>1</v>
      </c>
      <c r="AW84" s="19">
        <v>0.5</v>
      </c>
      <c r="AX84" s="3">
        <v>0</v>
      </c>
      <c r="AY84" s="3">
        <v>0</v>
      </c>
    </row>
    <row r="85" spans="1:51">
      <c r="A85" s="3">
        <v>23482800</v>
      </c>
      <c r="B85" t="s">
        <v>221</v>
      </c>
      <c r="C85" t="s">
        <v>222</v>
      </c>
      <c r="D85" t="s">
        <v>44</v>
      </c>
      <c r="E85" t="s">
        <v>104</v>
      </c>
      <c r="F85" t="s">
        <v>46</v>
      </c>
      <c r="G85" t="s">
        <v>47</v>
      </c>
      <c r="H85" s="16">
        <v>546</v>
      </c>
      <c r="I85" s="4">
        <f>VLOOKUP(C85,[1]sheet1!$D:$I,6,0)</f>
        <v>0</v>
      </c>
      <c r="J85" s="4">
        <f>VLOOKUP(C85,[2]sheet1!$D:$I,6,0)</f>
        <v>546</v>
      </c>
      <c r="K85" s="4">
        <f>VLOOKUP(C85,[3]sheet1!$D:$I,6,0)</f>
        <v>1643</v>
      </c>
      <c r="L85" s="4">
        <f>VLOOKUP(C85,[4]sheet1!$D:$I,6,0)</f>
        <v>0</v>
      </c>
      <c r="M85" s="4">
        <f>VLOOKUP(C85,[5]sheet1!$D:$I,6,0)</f>
        <v>1092</v>
      </c>
      <c r="N85" s="4">
        <f>VLOOKUP(C85,[6]sheet1!$D:$I,6,0)</f>
        <v>546</v>
      </c>
      <c r="O85" s="4">
        <f>VLOOKUP(C85,[7]sheet1!$D:$I,6,0)</f>
        <v>0</v>
      </c>
      <c r="P85" s="4">
        <f>VLOOKUP(C85,[8]sheet1!$D:$I,6,0)</f>
        <v>470</v>
      </c>
      <c r="Q85" s="4">
        <f t="shared" si="1"/>
        <v>4843</v>
      </c>
      <c r="R85" s="3">
        <v>1</v>
      </c>
      <c r="S85">
        <v>575</v>
      </c>
      <c r="T85">
        <v>236</v>
      </c>
      <c r="U85" s="3">
        <v>8</v>
      </c>
      <c r="V85" s="3">
        <v>1</v>
      </c>
      <c r="W85">
        <v>0</v>
      </c>
      <c r="X85" s="3">
        <v>0</v>
      </c>
      <c r="Y85">
        <v>0</v>
      </c>
      <c r="Z85" s="3">
        <v>0</v>
      </c>
      <c r="AA85" t="s">
        <v>223</v>
      </c>
      <c r="AB85" s="3">
        <v>519</v>
      </c>
      <c r="AC85">
        <v>511.52</v>
      </c>
      <c r="AD85" t="s">
        <v>49</v>
      </c>
      <c r="AE85">
        <v>546</v>
      </c>
      <c r="AF85" s="3">
        <v>1</v>
      </c>
      <c r="AG85" t="s">
        <v>49</v>
      </c>
      <c r="AH85">
        <v>511.52</v>
      </c>
      <c r="AI85" t="s">
        <v>49</v>
      </c>
      <c r="AJ85">
        <v>441.92</v>
      </c>
      <c r="AK85" t="s">
        <v>49</v>
      </c>
      <c r="AL85">
        <v>441.92</v>
      </c>
      <c r="AM85" t="s">
        <v>49</v>
      </c>
      <c r="AN85" s="3">
        <v>295</v>
      </c>
      <c r="AO85" s="19">
        <v>1</v>
      </c>
      <c r="AP85" s="19">
        <v>0</v>
      </c>
      <c r="AQ85" s="19">
        <v>0.9139</v>
      </c>
      <c r="AR85" s="19">
        <v>0.5697</v>
      </c>
      <c r="AS85" s="19">
        <v>0.875</v>
      </c>
      <c r="AT85" s="19">
        <v>0.5</v>
      </c>
      <c r="AU85" s="3">
        <v>0</v>
      </c>
      <c r="AV85" s="3">
        <v>0</v>
      </c>
      <c r="AW85" s="19">
        <v>0</v>
      </c>
      <c r="AX85" s="3">
        <v>0</v>
      </c>
      <c r="AY85" s="3">
        <v>0</v>
      </c>
    </row>
    <row r="86" spans="1:51">
      <c r="A86" s="3">
        <v>22181566</v>
      </c>
      <c r="B86" t="s">
        <v>224</v>
      </c>
      <c r="C86" s="3">
        <v>105301056</v>
      </c>
      <c r="D86" t="s">
        <v>44</v>
      </c>
      <c r="E86" t="s">
        <v>104</v>
      </c>
      <c r="F86" t="s">
        <v>46</v>
      </c>
      <c r="G86" t="s">
        <v>47</v>
      </c>
      <c r="H86" s="16">
        <v>972</v>
      </c>
      <c r="I86" s="4">
        <f>VLOOKUP(C86,[1]sheet1!$D:$I,6,0)</f>
        <v>1863</v>
      </c>
      <c r="J86" s="4">
        <f>VLOOKUP(C86,[2]sheet1!$D:$I,6,0)</f>
        <v>0</v>
      </c>
      <c r="K86" s="4">
        <f>VLOOKUP(C86,[3]sheet1!$D:$I,6,0)</f>
        <v>2924</v>
      </c>
      <c r="L86" s="4">
        <f>VLOOKUP(C86,[4]sheet1!$D:$I,6,0)</f>
        <v>962</v>
      </c>
      <c r="M86" s="4">
        <f>VLOOKUP(C86,[5]sheet1!$D:$I,6,0)</f>
        <v>2858</v>
      </c>
      <c r="N86" s="4">
        <f>VLOOKUP(C86,[6]sheet1!$D:$I,6,0)</f>
        <v>1914</v>
      </c>
      <c r="O86" s="4">
        <f>VLOOKUP(C86,[7]sheet1!$D:$I,6,0)</f>
        <v>962</v>
      </c>
      <c r="P86" s="4">
        <f>VLOOKUP(C86,[8]sheet1!$D:$I,6,0)</f>
        <v>972</v>
      </c>
      <c r="Q86" s="4">
        <f t="shared" si="1"/>
        <v>13427</v>
      </c>
      <c r="R86" s="3">
        <v>1</v>
      </c>
      <c r="S86">
        <v>931</v>
      </c>
      <c r="T86">
        <v>147</v>
      </c>
      <c r="U86" s="3">
        <v>35</v>
      </c>
      <c r="V86" s="3">
        <v>1</v>
      </c>
      <c r="W86">
        <v>990</v>
      </c>
      <c r="X86" s="3">
        <v>1</v>
      </c>
      <c r="Y86">
        <v>990</v>
      </c>
      <c r="Z86" s="3">
        <v>1</v>
      </c>
      <c r="AA86" t="s">
        <v>225</v>
      </c>
      <c r="AB86" s="3">
        <v>709</v>
      </c>
      <c r="AC86">
        <v>851.69</v>
      </c>
      <c r="AD86" t="s">
        <v>49</v>
      </c>
      <c r="AE86">
        <v>972</v>
      </c>
      <c r="AF86" s="3">
        <v>1</v>
      </c>
      <c r="AG86" t="s">
        <v>49</v>
      </c>
      <c r="AH86">
        <v>851.69</v>
      </c>
      <c r="AI86" t="s">
        <v>49</v>
      </c>
      <c r="AJ86">
        <v>607.22</v>
      </c>
      <c r="AK86" t="s">
        <v>49</v>
      </c>
      <c r="AL86">
        <v>607.22</v>
      </c>
      <c r="AM86" t="s">
        <v>49</v>
      </c>
      <c r="AN86">
        <v>1075</v>
      </c>
      <c r="AO86" s="19">
        <v>1</v>
      </c>
      <c r="AP86" s="19">
        <v>1</v>
      </c>
      <c r="AQ86" s="19">
        <v>0.9267</v>
      </c>
      <c r="AR86" s="19">
        <v>0.4914</v>
      </c>
      <c r="AS86" s="19">
        <v>0.9143</v>
      </c>
      <c r="AT86" s="19">
        <v>0.5429</v>
      </c>
      <c r="AU86" s="3">
        <v>1</v>
      </c>
      <c r="AV86" s="3">
        <v>0</v>
      </c>
      <c r="AW86" s="19">
        <v>1</v>
      </c>
      <c r="AX86" s="3">
        <v>0</v>
      </c>
      <c r="AY86" s="3">
        <v>0</v>
      </c>
    </row>
    <row r="87" spans="1:51">
      <c r="A87" s="3">
        <v>21021042</v>
      </c>
      <c r="B87" t="s">
        <v>226</v>
      </c>
      <c r="C87" s="3">
        <v>115151007</v>
      </c>
      <c r="D87" t="s">
        <v>44</v>
      </c>
      <c r="E87" t="s">
        <v>227</v>
      </c>
      <c r="F87" t="s">
        <v>46</v>
      </c>
      <c r="G87" t="s">
        <v>47</v>
      </c>
      <c r="H87" s="16">
        <v>537</v>
      </c>
      <c r="I87" s="4">
        <f>VLOOKUP(C87,[1]sheet1!$D:$I,6,0)</f>
        <v>2148</v>
      </c>
      <c r="J87" s="4">
        <f>VLOOKUP(C87,[2]sheet1!$D:$I,6,0)</f>
        <v>0</v>
      </c>
      <c r="K87" s="4">
        <f>VLOOKUP(C87,[3]sheet1!$D:$I,6,0)</f>
        <v>0</v>
      </c>
      <c r="L87" s="4">
        <f>VLOOKUP(C87,[4]sheet1!$D:$I,6,0)</f>
        <v>1043.68</v>
      </c>
      <c r="M87" s="4">
        <f>VLOOKUP(C87,[5]sheet1!$D:$I,6,0)</f>
        <v>512</v>
      </c>
      <c r="N87" s="4">
        <f>VLOOKUP(C87,[6]sheet1!$D:$I,6,0)</f>
        <v>0</v>
      </c>
      <c r="O87" s="4">
        <f>VLOOKUP(C87,[7]sheet1!$D:$I,6,0)</f>
        <v>0</v>
      </c>
      <c r="P87" s="4">
        <f>VLOOKUP(C87,[8]sheet1!$D:$I,6,0)</f>
        <v>0</v>
      </c>
      <c r="Q87" s="4">
        <f t="shared" si="1"/>
        <v>4240.68</v>
      </c>
      <c r="R87" s="3">
        <v>1</v>
      </c>
      <c r="S87">
        <v>211</v>
      </c>
      <c r="T87">
        <v>640</v>
      </c>
      <c r="U87" s="3">
        <v>3</v>
      </c>
      <c r="V87" s="3">
        <v>1</v>
      </c>
      <c r="W87">
        <v>561</v>
      </c>
      <c r="X87" s="3">
        <v>1</v>
      </c>
      <c r="Y87">
        <v>0</v>
      </c>
      <c r="Z87" s="3">
        <v>0</v>
      </c>
      <c r="AA87" t="s">
        <v>147</v>
      </c>
      <c r="AB87" s="3">
        <v>342</v>
      </c>
      <c r="AC87">
        <v>495.89</v>
      </c>
      <c r="AD87" t="s">
        <v>49</v>
      </c>
      <c r="AE87">
        <v>537</v>
      </c>
      <c r="AF87" s="3">
        <v>1</v>
      </c>
      <c r="AG87" t="s">
        <v>49</v>
      </c>
      <c r="AH87">
        <v>495.89</v>
      </c>
      <c r="AI87" t="s">
        <v>49</v>
      </c>
      <c r="AJ87">
        <v>288.83</v>
      </c>
      <c r="AK87" t="s">
        <v>49</v>
      </c>
      <c r="AL87">
        <v>288.83</v>
      </c>
      <c r="AM87" t="s">
        <v>49</v>
      </c>
      <c r="AN87" s="3">
        <v>43</v>
      </c>
      <c r="AO87" s="19">
        <v>0</v>
      </c>
      <c r="AP87" s="19">
        <v>0</v>
      </c>
      <c r="AQ87" s="19">
        <v>0.7879</v>
      </c>
      <c r="AR87" s="19">
        <v>0.5152</v>
      </c>
      <c r="AS87" s="19">
        <v>0.6667</v>
      </c>
      <c r="AT87" s="19">
        <v>0.3333</v>
      </c>
      <c r="AU87" s="3">
        <v>0</v>
      </c>
      <c r="AV87" s="3">
        <v>0</v>
      </c>
      <c r="AW87" s="19">
        <v>0</v>
      </c>
      <c r="AX87" s="3">
        <v>0</v>
      </c>
      <c r="AY87" s="3">
        <v>0</v>
      </c>
    </row>
    <row r="88" spans="1:51">
      <c r="A88" s="3">
        <v>20733495</v>
      </c>
      <c r="B88" t="s">
        <v>228</v>
      </c>
      <c r="C88" s="3">
        <v>125214016</v>
      </c>
      <c r="D88" t="s">
        <v>44</v>
      </c>
      <c r="E88" t="s">
        <v>229</v>
      </c>
      <c r="F88" t="s">
        <v>65</v>
      </c>
      <c r="G88" t="s">
        <v>47</v>
      </c>
      <c r="H88" s="16">
        <v>242</v>
      </c>
      <c r="I88" s="4" t="e">
        <f>VLOOKUP(C88,[1]sheet1!$D:$I,6,0)</f>
        <v>#N/A</v>
      </c>
      <c r="J88" s="4" t="e">
        <f>VLOOKUP(C88,[2]sheet1!$D:$I,6,0)</f>
        <v>#N/A</v>
      </c>
      <c r="K88" s="4">
        <f>VLOOKUP(C88,[3]sheet1!$D:$I,6,0)</f>
        <v>0</v>
      </c>
      <c r="L88" s="4" t="e">
        <f>VLOOKUP(C88,[4]sheet1!$D:$I,6,0)</f>
        <v>#N/A</v>
      </c>
      <c r="M88" s="4">
        <f>VLOOKUP(C88,[5]sheet1!$D:$I,6,0)</f>
        <v>0</v>
      </c>
      <c r="N88" s="4">
        <f>VLOOKUP(C88,[6]sheet1!$D:$I,6,0)</f>
        <v>242</v>
      </c>
      <c r="O88" s="4">
        <f>VLOOKUP(C88,[7]sheet1!$D:$I,6,0)</f>
        <v>0</v>
      </c>
      <c r="P88" s="4">
        <f>VLOOKUP(C88,[8]sheet1!$D:$I,6,0)</f>
        <v>0</v>
      </c>
      <c r="Q88" s="4" t="e">
        <f t="shared" si="1"/>
        <v>#N/A</v>
      </c>
      <c r="R88" s="3">
        <v>1</v>
      </c>
      <c r="S88" s="3">
        <v>50</v>
      </c>
      <c r="T88" s="19">
        <v>0.02</v>
      </c>
      <c r="U88" s="3">
        <v>4</v>
      </c>
      <c r="V88" s="3">
        <v>1</v>
      </c>
      <c r="W88">
        <v>0</v>
      </c>
      <c r="X88" s="3">
        <v>0</v>
      </c>
      <c r="Y88">
        <v>0</v>
      </c>
      <c r="Z88" s="3">
        <v>0</v>
      </c>
      <c r="AA88" t="s">
        <v>230</v>
      </c>
      <c r="AB88" t="s">
        <v>49</v>
      </c>
      <c r="AC88">
        <v>215.74</v>
      </c>
      <c r="AD88" t="s">
        <v>49</v>
      </c>
      <c r="AE88">
        <v>242</v>
      </c>
      <c r="AF88" s="3">
        <v>1</v>
      </c>
      <c r="AG88" t="s">
        <v>49</v>
      </c>
      <c r="AH88">
        <v>215.74</v>
      </c>
      <c r="AI88" t="s">
        <v>49</v>
      </c>
      <c r="AJ88" t="s">
        <v>49</v>
      </c>
      <c r="AK88" t="s">
        <v>49</v>
      </c>
      <c r="AL88" t="s">
        <v>49</v>
      </c>
      <c r="AM88" t="s">
        <v>49</v>
      </c>
      <c r="AN88" s="3">
        <v>75</v>
      </c>
      <c r="AO88" s="19">
        <v>0</v>
      </c>
      <c r="AP88" s="19">
        <v>0</v>
      </c>
      <c r="AQ88" s="19">
        <v>0.92</v>
      </c>
      <c r="AR88" s="19">
        <v>0.24</v>
      </c>
      <c r="AS88" s="19">
        <v>0.75</v>
      </c>
      <c r="AT88" s="19">
        <v>0.25</v>
      </c>
      <c r="AU88" s="3">
        <v>0</v>
      </c>
      <c r="AV88" s="3">
        <v>0</v>
      </c>
      <c r="AW88" s="19">
        <v>0</v>
      </c>
      <c r="AX88" s="3">
        <v>0</v>
      </c>
      <c r="AY88" s="3">
        <v>0</v>
      </c>
    </row>
    <row r="89" spans="1:51">
      <c r="A89" s="3">
        <v>20733425</v>
      </c>
      <c r="B89" t="s">
        <v>231</v>
      </c>
      <c r="C89" s="3">
        <v>135212024</v>
      </c>
      <c r="D89" t="s">
        <v>44</v>
      </c>
      <c r="E89" t="s">
        <v>232</v>
      </c>
      <c r="F89" t="s">
        <v>46</v>
      </c>
      <c r="G89" t="s">
        <v>47</v>
      </c>
      <c r="H89" s="16">
        <v>185</v>
      </c>
      <c r="I89" s="4">
        <f>VLOOKUP(C89,[1]sheet1!$D:$I,6,0)</f>
        <v>182</v>
      </c>
      <c r="J89" s="4">
        <f>VLOOKUP(C89,[2]sheet1!$D:$I,6,0)</f>
        <v>0</v>
      </c>
      <c r="K89" s="4">
        <f>VLOOKUP(C89,[3]sheet1!$D:$I,6,0)</f>
        <v>0</v>
      </c>
      <c r="L89" s="4">
        <f>VLOOKUP(C89,[4]sheet1!$D:$I,6,0)</f>
        <v>0</v>
      </c>
      <c r="M89" s="4">
        <f>VLOOKUP(C89,[5]sheet1!$D:$I,6,0)</f>
        <v>0</v>
      </c>
      <c r="N89" s="4">
        <f>VLOOKUP(C89,[6]sheet1!$D:$I,6,0)</f>
        <v>363</v>
      </c>
      <c r="O89" s="4">
        <f>VLOOKUP(C89,[7]sheet1!$D:$I,6,0)</f>
        <v>0</v>
      </c>
      <c r="P89" s="4">
        <f>VLOOKUP(C89,[8]sheet1!$D:$I,6,0)</f>
        <v>0</v>
      </c>
      <c r="Q89" s="4">
        <f t="shared" si="1"/>
        <v>730</v>
      </c>
      <c r="R89" s="3">
        <v>1</v>
      </c>
      <c r="S89">
        <v>165</v>
      </c>
      <c r="T89">
        <v>823</v>
      </c>
      <c r="U89" s="3">
        <v>0</v>
      </c>
      <c r="V89" s="3">
        <v>1</v>
      </c>
      <c r="W89">
        <v>0</v>
      </c>
      <c r="X89" s="3">
        <v>0</v>
      </c>
      <c r="Y89">
        <v>0</v>
      </c>
      <c r="Z89" s="3">
        <v>0</v>
      </c>
      <c r="AA89" t="s">
        <v>129</v>
      </c>
      <c r="AB89" s="3">
        <v>199</v>
      </c>
      <c r="AC89">
        <v>157.39</v>
      </c>
      <c r="AD89" t="s">
        <v>49</v>
      </c>
      <c r="AE89">
        <v>185</v>
      </c>
      <c r="AF89" s="3">
        <v>1</v>
      </c>
      <c r="AG89" t="s">
        <v>49</v>
      </c>
      <c r="AH89">
        <v>157.39</v>
      </c>
      <c r="AI89" t="s">
        <v>49</v>
      </c>
      <c r="AJ89" t="s">
        <v>49</v>
      </c>
      <c r="AK89" t="s">
        <v>49</v>
      </c>
      <c r="AL89" t="s">
        <v>49</v>
      </c>
      <c r="AM89" t="s">
        <v>49</v>
      </c>
      <c r="AN89" s="3">
        <v>20</v>
      </c>
      <c r="AO89" s="19">
        <v>1</v>
      </c>
      <c r="AP89" s="19">
        <v>1</v>
      </c>
      <c r="AQ89" s="19">
        <v>0.9</v>
      </c>
      <c r="AR89" s="19">
        <v>0.4</v>
      </c>
      <c r="AS89" s="19">
        <v>0</v>
      </c>
      <c r="AT89" s="19">
        <v>0</v>
      </c>
      <c r="AU89" s="3">
        <v>0</v>
      </c>
      <c r="AV89" s="3">
        <v>0</v>
      </c>
      <c r="AW89" s="19">
        <v>0</v>
      </c>
      <c r="AX89" s="3">
        <v>0</v>
      </c>
      <c r="AY89" s="3">
        <v>0</v>
      </c>
    </row>
    <row r="90" spans="1:51">
      <c r="A90" s="3">
        <v>19889458</v>
      </c>
      <c r="B90" t="s">
        <v>233</v>
      </c>
      <c r="C90" s="3">
        <v>125214022</v>
      </c>
      <c r="D90" t="s">
        <v>44</v>
      </c>
      <c r="E90" t="s">
        <v>200</v>
      </c>
      <c r="F90" t="s">
        <v>65</v>
      </c>
      <c r="G90" t="s">
        <v>47</v>
      </c>
      <c r="H90" s="16">
        <v>242</v>
      </c>
      <c r="I90" s="4">
        <f>VLOOKUP(C90,[1]sheet1!$D:$I,6,0)</f>
        <v>726</v>
      </c>
      <c r="J90" s="4">
        <f>VLOOKUP(C90,[2]sheet1!$D:$I,6,0)</f>
        <v>968</v>
      </c>
      <c r="K90" s="4">
        <f>VLOOKUP(C90,[3]sheet1!$D:$I,6,0)</f>
        <v>1148</v>
      </c>
      <c r="L90" s="4">
        <f>VLOOKUP(C90,[4]sheet1!$D:$I,6,0)</f>
        <v>888</v>
      </c>
      <c r="M90" s="4">
        <f>VLOOKUP(C90,[5]sheet1!$D:$I,6,0)</f>
        <v>893</v>
      </c>
      <c r="N90" s="4">
        <f>VLOOKUP(C90,[6]sheet1!$D:$I,6,0)</f>
        <v>227</v>
      </c>
      <c r="O90" s="4">
        <f>VLOOKUP(C90,[7]sheet1!$D:$I,6,0)</f>
        <v>952.52</v>
      </c>
      <c r="P90" s="4">
        <f>VLOOKUP(C90,[8]sheet1!$D:$I,6,0)</f>
        <v>242</v>
      </c>
      <c r="Q90" s="4">
        <f t="shared" si="1"/>
        <v>6286.52</v>
      </c>
      <c r="R90" s="3">
        <v>1</v>
      </c>
      <c r="S90" s="3">
        <v>216</v>
      </c>
      <c r="T90" s="19">
        <v>0.0046</v>
      </c>
      <c r="U90" s="3">
        <v>10</v>
      </c>
      <c r="V90" s="3">
        <v>1</v>
      </c>
      <c r="W90">
        <v>485</v>
      </c>
      <c r="X90" s="3">
        <v>2</v>
      </c>
      <c r="Y90">
        <v>0</v>
      </c>
      <c r="Z90" s="3">
        <v>0</v>
      </c>
      <c r="AA90" t="s">
        <v>70</v>
      </c>
      <c r="AB90" t="s">
        <v>49</v>
      </c>
      <c r="AC90">
        <v>205.54</v>
      </c>
      <c r="AD90" t="s">
        <v>49</v>
      </c>
      <c r="AE90">
        <v>242</v>
      </c>
      <c r="AF90" s="3">
        <v>1</v>
      </c>
      <c r="AG90" t="s">
        <v>49</v>
      </c>
      <c r="AH90">
        <v>205.54</v>
      </c>
      <c r="AI90" t="s">
        <v>49</v>
      </c>
      <c r="AJ90" t="s">
        <v>49</v>
      </c>
      <c r="AK90" t="s">
        <v>49</v>
      </c>
      <c r="AL90" t="s">
        <v>49</v>
      </c>
      <c r="AM90" t="s">
        <v>49</v>
      </c>
      <c r="AN90" s="3">
        <v>291</v>
      </c>
      <c r="AO90" s="19">
        <v>1</v>
      </c>
      <c r="AP90" s="19">
        <v>0</v>
      </c>
      <c r="AQ90" s="19">
        <v>0.7083</v>
      </c>
      <c r="AR90" s="19">
        <v>0.3657</v>
      </c>
      <c r="AS90" s="19">
        <v>0.9</v>
      </c>
      <c r="AT90" s="19">
        <v>0.4</v>
      </c>
      <c r="AU90" s="3">
        <v>0</v>
      </c>
      <c r="AV90" s="3">
        <v>0</v>
      </c>
      <c r="AW90" s="19">
        <v>0</v>
      </c>
      <c r="AX90" s="3">
        <v>0</v>
      </c>
      <c r="AY90" s="3">
        <v>0</v>
      </c>
    </row>
    <row r="91" spans="1:51">
      <c r="A91" s="3">
        <v>19870915</v>
      </c>
      <c r="B91" t="s">
        <v>234</v>
      </c>
      <c r="C91" s="3">
        <v>115215001</v>
      </c>
      <c r="D91" t="s">
        <v>44</v>
      </c>
      <c r="E91" t="s">
        <v>54</v>
      </c>
      <c r="F91" t="s">
        <v>46</v>
      </c>
      <c r="G91" t="s">
        <v>47</v>
      </c>
      <c r="H91" s="16">
        <v>204</v>
      </c>
      <c r="I91" s="4">
        <f>VLOOKUP(C91,[1]sheet1!$D:$I,6,0)</f>
        <v>403</v>
      </c>
      <c r="J91" s="4">
        <f>VLOOKUP(C91,[2]sheet1!$D:$I,6,0)</f>
        <v>199</v>
      </c>
      <c r="K91" s="4">
        <f>VLOOKUP(C91,[3]sheet1!$D:$I,6,0)</f>
        <v>577</v>
      </c>
      <c r="L91" s="4">
        <f>VLOOKUP(C91,[4]sheet1!$D:$I,6,0)</f>
        <v>199</v>
      </c>
      <c r="M91" s="4">
        <f>VLOOKUP(C91,[5]sheet1!$D:$I,6,0)</f>
        <v>383</v>
      </c>
      <c r="N91" s="4">
        <f>VLOOKUP(C91,[6]sheet1!$D:$I,6,0)</f>
        <v>395</v>
      </c>
      <c r="O91" s="4">
        <f>VLOOKUP(C91,[7]sheet1!$D:$I,6,0)</f>
        <v>370</v>
      </c>
      <c r="P91" s="4">
        <f>VLOOKUP(C91,[8]sheet1!$D:$I,6,0)</f>
        <v>362</v>
      </c>
      <c r="Q91" s="4">
        <f t="shared" si="1"/>
        <v>3092</v>
      </c>
      <c r="R91" s="3">
        <v>1</v>
      </c>
      <c r="S91">
        <v>477</v>
      </c>
      <c r="T91">
        <v>285</v>
      </c>
      <c r="U91" s="3">
        <v>6</v>
      </c>
      <c r="V91" s="3">
        <v>1</v>
      </c>
      <c r="W91">
        <v>0</v>
      </c>
      <c r="X91" s="3">
        <v>0</v>
      </c>
      <c r="Y91">
        <v>0</v>
      </c>
      <c r="Z91" s="3">
        <v>0</v>
      </c>
      <c r="AA91" t="s">
        <v>118</v>
      </c>
      <c r="AB91" s="3">
        <v>190</v>
      </c>
      <c r="AC91">
        <v>192.02</v>
      </c>
      <c r="AD91" t="s">
        <v>49</v>
      </c>
      <c r="AE91">
        <v>204</v>
      </c>
      <c r="AF91" s="3">
        <v>1</v>
      </c>
      <c r="AG91" t="s">
        <v>49</v>
      </c>
      <c r="AH91">
        <v>192.02</v>
      </c>
      <c r="AI91" t="s">
        <v>49</v>
      </c>
      <c r="AJ91">
        <v>158.09</v>
      </c>
      <c r="AK91" t="s">
        <v>49</v>
      </c>
      <c r="AL91">
        <v>158.09</v>
      </c>
      <c r="AM91" t="s">
        <v>49</v>
      </c>
      <c r="AN91" s="3">
        <v>247</v>
      </c>
      <c r="AO91" s="19">
        <v>1</v>
      </c>
      <c r="AP91" s="19">
        <v>1</v>
      </c>
      <c r="AQ91" s="19">
        <v>0.75</v>
      </c>
      <c r="AR91" s="19">
        <v>0.2024</v>
      </c>
      <c r="AS91" s="19">
        <v>0.6667</v>
      </c>
      <c r="AT91" s="19">
        <v>0.1667</v>
      </c>
      <c r="AU91" s="3">
        <v>0</v>
      </c>
      <c r="AV91" s="3">
        <v>0</v>
      </c>
      <c r="AW91" s="19">
        <v>0</v>
      </c>
      <c r="AX91" s="3">
        <v>0</v>
      </c>
      <c r="AY91" s="3">
        <v>0</v>
      </c>
    </row>
    <row r="92" spans="1:51">
      <c r="A92" s="3">
        <v>19833576</v>
      </c>
      <c r="B92" t="s">
        <v>235</v>
      </c>
      <c r="C92" s="3">
        <v>115212005</v>
      </c>
      <c r="D92" t="s">
        <v>44</v>
      </c>
      <c r="E92" t="s">
        <v>51</v>
      </c>
      <c r="F92" t="s">
        <v>46</v>
      </c>
      <c r="G92" t="s">
        <v>47</v>
      </c>
      <c r="H92" s="16">
        <v>332</v>
      </c>
      <c r="I92" s="4">
        <f>VLOOKUP(C92,[1]sheet1!$D:$I,6,0)</f>
        <v>0</v>
      </c>
      <c r="J92" s="4">
        <f>VLOOKUP(C92,[2]sheet1!$D:$I,6,0)</f>
        <v>0</v>
      </c>
      <c r="K92" s="4">
        <f>VLOOKUP(C92,[3]sheet1!$D:$I,6,0)</f>
        <v>0</v>
      </c>
      <c r="L92" s="4">
        <f>VLOOKUP(C92,[4]sheet1!$D:$I,6,0)</f>
        <v>0</v>
      </c>
      <c r="M92" s="4">
        <f>VLOOKUP(C92,[5]sheet1!$D:$I,6,0)</f>
        <v>0</v>
      </c>
      <c r="N92" s="4">
        <f>VLOOKUP(C92,[6]sheet1!$D:$I,6,0)</f>
        <v>0</v>
      </c>
      <c r="O92" s="4">
        <f>VLOOKUP(C92,[7]sheet1!$D:$I,6,0)</f>
        <v>0</v>
      </c>
      <c r="P92" s="4">
        <f>VLOOKUP(C92,[8]sheet1!$D:$I,6,0)</f>
        <v>0</v>
      </c>
      <c r="Q92" s="4">
        <f t="shared" si="1"/>
        <v>332</v>
      </c>
      <c r="R92" s="3">
        <v>1</v>
      </c>
      <c r="S92">
        <v>110</v>
      </c>
      <c r="T92">
        <v>1226</v>
      </c>
      <c r="U92" s="3">
        <v>0</v>
      </c>
      <c r="V92" s="3">
        <v>1</v>
      </c>
      <c r="W92">
        <v>0</v>
      </c>
      <c r="X92" s="3">
        <v>0</v>
      </c>
      <c r="Y92">
        <v>0</v>
      </c>
      <c r="Z92" s="3">
        <v>0</v>
      </c>
      <c r="AA92" t="s">
        <v>170</v>
      </c>
      <c r="AB92" s="3">
        <v>299</v>
      </c>
      <c r="AC92">
        <v>252.62</v>
      </c>
      <c r="AD92" t="s">
        <v>49</v>
      </c>
      <c r="AE92">
        <v>332</v>
      </c>
      <c r="AF92" s="3">
        <v>1</v>
      </c>
      <c r="AG92" t="s">
        <v>49</v>
      </c>
      <c r="AH92">
        <v>252.62</v>
      </c>
      <c r="AI92" t="s">
        <v>49</v>
      </c>
      <c r="AJ92" t="s">
        <v>49</v>
      </c>
      <c r="AK92" t="s">
        <v>49</v>
      </c>
      <c r="AL92" t="s">
        <v>49</v>
      </c>
      <c r="AM92" t="s">
        <v>49</v>
      </c>
      <c r="AN92" s="3">
        <v>13</v>
      </c>
      <c r="AO92" s="19">
        <v>0</v>
      </c>
      <c r="AP92" s="19">
        <v>0</v>
      </c>
      <c r="AQ92" s="19">
        <v>0.8889</v>
      </c>
      <c r="AR92" s="19">
        <v>0.2222</v>
      </c>
      <c r="AS92" s="19">
        <v>0</v>
      </c>
      <c r="AT92" s="19">
        <v>0</v>
      </c>
      <c r="AU92" s="3">
        <v>0</v>
      </c>
      <c r="AV92" s="3">
        <v>0</v>
      </c>
      <c r="AW92" s="19">
        <v>0</v>
      </c>
      <c r="AX92" s="3">
        <v>0</v>
      </c>
      <c r="AY92" s="3">
        <v>0</v>
      </c>
    </row>
    <row r="93" spans="1:51">
      <c r="A93" s="3">
        <v>19624143</v>
      </c>
      <c r="B93" t="s">
        <v>236</v>
      </c>
      <c r="C93" s="3">
        <v>115107003</v>
      </c>
      <c r="D93" t="s">
        <v>44</v>
      </c>
      <c r="E93" t="s">
        <v>185</v>
      </c>
      <c r="F93" t="s">
        <v>46</v>
      </c>
      <c r="G93" t="s">
        <v>47</v>
      </c>
      <c r="H93" s="16">
        <v>499</v>
      </c>
      <c r="I93" s="4">
        <f>VLOOKUP(C93,[1]sheet1!$D:$I,6,0)</f>
        <v>1497</v>
      </c>
      <c r="J93" s="4">
        <f>VLOOKUP(C93,[2]sheet1!$D:$I,6,0)</f>
        <v>973</v>
      </c>
      <c r="K93" s="4">
        <f>VLOOKUP(C93,[3]sheet1!$D:$I,6,0)</f>
        <v>972.77</v>
      </c>
      <c r="L93" s="4">
        <f>VLOOKUP(C93,[4]sheet1!$D:$I,6,0)</f>
        <v>0</v>
      </c>
      <c r="M93" s="4">
        <f>VLOOKUP(C93,[5]sheet1!$D:$I,6,0)</f>
        <v>2969</v>
      </c>
      <c r="N93" s="4">
        <f>VLOOKUP(C93,[6]sheet1!$D:$I,6,0)</f>
        <v>1031</v>
      </c>
      <c r="O93" s="4">
        <f>VLOOKUP(C93,[7]sheet1!$D:$I,6,0)</f>
        <v>2090.86</v>
      </c>
      <c r="P93" s="4">
        <f>VLOOKUP(C93,[8]sheet1!$D:$I,6,0)</f>
        <v>1518</v>
      </c>
      <c r="Q93" s="15">
        <f t="shared" si="1"/>
        <v>11550.63</v>
      </c>
      <c r="R93" s="3">
        <v>1</v>
      </c>
      <c r="S93">
        <v>636</v>
      </c>
      <c r="T93">
        <v>211</v>
      </c>
      <c r="U93" s="3">
        <v>16</v>
      </c>
      <c r="V93" s="3">
        <v>1</v>
      </c>
      <c r="W93">
        <v>0</v>
      </c>
      <c r="X93" s="3">
        <v>0</v>
      </c>
      <c r="Y93">
        <v>0</v>
      </c>
      <c r="Z93" s="3">
        <v>0</v>
      </c>
      <c r="AA93" t="s">
        <v>237</v>
      </c>
      <c r="AB93" s="3">
        <v>429</v>
      </c>
      <c r="AC93">
        <v>424.22</v>
      </c>
      <c r="AD93" t="s">
        <v>49</v>
      </c>
      <c r="AE93">
        <v>499</v>
      </c>
      <c r="AF93" s="3">
        <v>1</v>
      </c>
      <c r="AG93" t="s">
        <v>49</v>
      </c>
      <c r="AH93">
        <v>424.22</v>
      </c>
      <c r="AI93" t="s">
        <v>49</v>
      </c>
      <c r="AJ93">
        <v>363.32</v>
      </c>
      <c r="AK93" t="s">
        <v>49</v>
      </c>
      <c r="AL93">
        <v>363.32</v>
      </c>
      <c r="AM93" t="s">
        <v>49</v>
      </c>
      <c r="AN93" s="3">
        <v>365</v>
      </c>
      <c r="AO93" s="19">
        <v>1</v>
      </c>
      <c r="AP93" s="19">
        <v>0</v>
      </c>
      <c r="AQ93" s="19">
        <v>0.7793</v>
      </c>
      <c r="AR93" s="19">
        <v>0.301</v>
      </c>
      <c r="AS93" s="19">
        <v>0.875</v>
      </c>
      <c r="AT93" s="19">
        <v>0.4375</v>
      </c>
      <c r="AU93" s="3">
        <v>0</v>
      </c>
      <c r="AV93" s="3">
        <v>0</v>
      </c>
      <c r="AW93" s="19">
        <v>0</v>
      </c>
      <c r="AX93" s="3">
        <v>0</v>
      </c>
      <c r="AY93" s="3">
        <v>0</v>
      </c>
    </row>
    <row r="94" spans="1:51">
      <c r="A94" s="3">
        <v>19613843</v>
      </c>
      <c r="B94" t="s">
        <v>238</v>
      </c>
      <c r="C94" s="3">
        <v>125119036</v>
      </c>
      <c r="D94" t="s">
        <v>44</v>
      </c>
      <c r="E94" t="s">
        <v>100</v>
      </c>
      <c r="F94" t="s">
        <v>46</v>
      </c>
      <c r="G94" t="s">
        <v>47</v>
      </c>
      <c r="H94" s="16">
        <v>481</v>
      </c>
      <c r="I94" s="4">
        <f>VLOOKUP(C94,[1]sheet1!$D:$I,6,0)</f>
        <v>0</v>
      </c>
      <c r="J94" s="4">
        <f>VLOOKUP(C94,[2]sheet1!$D:$I,6,0)</f>
        <v>0</v>
      </c>
      <c r="K94" s="4">
        <f>VLOOKUP(C94,[3]sheet1!$D:$I,6,0)</f>
        <v>963</v>
      </c>
      <c r="L94" s="4">
        <f>VLOOKUP(C94,[4]sheet1!$D:$I,6,0)</f>
        <v>0</v>
      </c>
      <c r="M94" s="4">
        <f>VLOOKUP(C94,[5]sheet1!$D:$I,6,0)</f>
        <v>499</v>
      </c>
      <c r="N94" s="4">
        <f>VLOOKUP(C94,[6]sheet1!$D:$I,6,0)</f>
        <v>0</v>
      </c>
      <c r="O94" s="4">
        <f>VLOOKUP(C94,[7]sheet1!$D:$I,6,0)</f>
        <v>0</v>
      </c>
      <c r="P94" s="4">
        <f>VLOOKUP(C94,[8]sheet1!$D:$I,6,0)</f>
        <v>0</v>
      </c>
      <c r="Q94" s="4">
        <f t="shared" si="1"/>
        <v>1943</v>
      </c>
      <c r="R94" s="3">
        <v>1</v>
      </c>
      <c r="S94">
        <v>310</v>
      </c>
      <c r="T94">
        <v>437</v>
      </c>
      <c r="U94" s="3">
        <v>1</v>
      </c>
      <c r="V94" s="3">
        <v>1</v>
      </c>
      <c r="W94">
        <v>0</v>
      </c>
      <c r="X94" s="3">
        <v>0</v>
      </c>
      <c r="Y94">
        <v>0</v>
      </c>
      <c r="Z94" s="3">
        <v>0</v>
      </c>
      <c r="AA94" t="s">
        <v>237</v>
      </c>
      <c r="AB94" s="3">
        <v>450</v>
      </c>
      <c r="AC94">
        <v>425.03</v>
      </c>
      <c r="AD94" t="s">
        <v>49</v>
      </c>
      <c r="AE94">
        <v>481</v>
      </c>
      <c r="AF94" s="3">
        <v>1</v>
      </c>
      <c r="AG94" t="s">
        <v>49</v>
      </c>
      <c r="AH94">
        <v>425.03</v>
      </c>
      <c r="AI94" t="s">
        <v>49</v>
      </c>
      <c r="AJ94">
        <v>382.4</v>
      </c>
      <c r="AK94" t="s">
        <v>49</v>
      </c>
      <c r="AL94">
        <v>382.4</v>
      </c>
      <c r="AM94" t="s">
        <v>49</v>
      </c>
      <c r="AN94" s="3">
        <v>85</v>
      </c>
      <c r="AO94" s="19">
        <v>1</v>
      </c>
      <c r="AP94" s="19">
        <v>0</v>
      </c>
      <c r="AQ94" s="19">
        <v>0.8169</v>
      </c>
      <c r="AR94" s="19">
        <v>0.2113</v>
      </c>
      <c r="AS94" s="19">
        <v>1</v>
      </c>
      <c r="AT94" s="19">
        <v>0</v>
      </c>
      <c r="AU94" s="3">
        <v>0</v>
      </c>
      <c r="AV94" s="3">
        <v>0</v>
      </c>
      <c r="AW94" s="19">
        <v>0</v>
      </c>
      <c r="AX94" s="3">
        <v>0</v>
      </c>
      <c r="AY94" s="3">
        <v>0</v>
      </c>
    </row>
    <row r="95" spans="1:51">
      <c r="A95" s="3">
        <v>19612287</v>
      </c>
      <c r="B95" t="s">
        <v>239</v>
      </c>
      <c r="C95" s="3">
        <v>115119035</v>
      </c>
      <c r="D95" t="s">
        <v>44</v>
      </c>
      <c r="E95" t="s">
        <v>100</v>
      </c>
      <c r="F95" t="s">
        <v>46</v>
      </c>
      <c r="G95" t="s">
        <v>47</v>
      </c>
      <c r="H95" s="16">
        <v>478</v>
      </c>
      <c r="I95" s="4">
        <f>VLOOKUP(C95,[1]sheet1!$D:$I,6,0)</f>
        <v>1906</v>
      </c>
      <c r="J95" s="4">
        <f>VLOOKUP(C95,[2]sheet1!$D:$I,6,0)</f>
        <v>0</v>
      </c>
      <c r="K95" s="4">
        <f>VLOOKUP(C95,[3]sheet1!$D:$I,6,0)</f>
        <v>449</v>
      </c>
      <c r="L95" s="4">
        <f>VLOOKUP(C95,[4]sheet1!$D:$I,6,0)</f>
        <v>453</v>
      </c>
      <c r="M95" s="4">
        <f>VLOOKUP(C95,[5]sheet1!$D:$I,6,0)</f>
        <v>899</v>
      </c>
      <c r="N95" s="4">
        <f>VLOOKUP(C95,[6]sheet1!$D:$I,6,0)</f>
        <v>464</v>
      </c>
      <c r="O95" s="4">
        <f>VLOOKUP(C95,[7]sheet1!$D:$I,6,0)</f>
        <v>442</v>
      </c>
      <c r="P95" s="4">
        <f>VLOOKUP(C95,[8]sheet1!$D:$I,6,0)</f>
        <v>0</v>
      </c>
      <c r="Q95" s="4">
        <f t="shared" si="1"/>
        <v>5091</v>
      </c>
      <c r="R95" s="3">
        <v>1</v>
      </c>
      <c r="S95">
        <v>1705</v>
      </c>
      <c r="T95">
        <v>82</v>
      </c>
      <c r="U95" s="3">
        <v>99</v>
      </c>
      <c r="V95" s="3">
        <v>1</v>
      </c>
      <c r="W95">
        <v>0</v>
      </c>
      <c r="X95" s="3">
        <v>0</v>
      </c>
      <c r="Y95">
        <v>0</v>
      </c>
      <c r="Z95" s="3">
        <v>0</v>
      </c>
      <c r="AA95" t="s">
        <v>237</v>
      </c>
      <c r="AB95" s="3">
        <v>399</v>
      </c>
      <c r="AC95">
        <v>425.03</v>
      </c>
      <c r="AD95" t="s">
        <v>49</v>
      </c>
      <c r="AE95">
        <v>478</v>
      </c>
      <c r="AF95" s="3">
        <v>1</v>
      </c>
      <c r="AG95" t="s">
        <v>49</v>
      </c>
      <c r="AH95">
        <v>425.03</v>
      </c>
      <c r="AI95" t="s">
        <v>49</v>
      </c>
      <c r="AJ95">
        <v>338.03</v>
      </c>
      <c r="AK95" t="s">
        <v>49</v>
      </c>
      <c r="AL95">
        <v>338.03</v>
      </c>
      <c r="AM95" t="s">
        <v>49</v>
      </c>
      <c r="AN95" s="3">
        <v>2862</v>
      </c>
      <c r="AO95" s="19">
        <v>0</v>
      </c>
      <c r="AP95" s="19">
        <v>0</v>
      </c>
      <c r="AQ95" s="19">
        <v>0.8831</v>
      </c>
      <c r="AR95" s="19">
        <v>0.3399</v>
      </c>
      <c r="AS95" s="19">
        <v>0.9192</v>
      </c>
      <c r="AT95" s="19">
        <v>0.4545</v>
      </c>
      <c r="AU95" s="3">
        <v>0</v>
      </c>
      <c r="AV95" s="3">
        <v>0</v>
      </c>
      <c r="AW95" s="19">
        <v>0</v>
      </c>
      <c r="AX95" s="3">
        <v>0</v>
      </c>
      <c r="AY95" s="3">
        <v>0</v>
      </c>
    </row>
    <row r="96" spans="1:51">
      <c r="A96" s="3">
        <v>19509310</v>
      </c>
      <c r="B96" t="s">
        <v>240</v>
      </c>
      <c r="C96" s="3">
        <v>135101017</v>
      </c>
      <c r="D96" t="s">
        <v>44</v>
      </c>
      <c r="E96" t="s">
        <v>84</v>
      </c>
      <c r="F96" t="s">
        <v>46</v>
      </c>
      <c r="G96" t="s">
        <v>47</v>
      </c>
      <c r="H96" s="16">
        <v>532</v>
      </c>
      <c r="I96" s="4">
        <f>VLOOKUP(C96,[1]sheet1!$D:$I,6,0)</f>
        <v>1064</v>
      </c>
      <c r="J96" s="4">
        <f>VLOOKUP(C96,[2]sheet1!$D:$I,6,0)</f>
        <v>0</v>
      </c>
      <c r="K96" s="4">
        <f>VLOOKUP(C96,[3]sheet1!$D:$I,6,0)</f>
        <v>0</v>
      </c>
      <c r="L96" s="4">
        <f>VLOOKUP(C96,[4]sheet1!$D:$I,6,0)</f>
        <v>537</v>
      </c>
      <c r="M96" s="4">
        <f>VLOOKUP(C96,[5]sheet1!$D:$I,6,0)</f>
        <v>532</v>
      </c>
      <c r="N96" s="4">
        <f>VLOOKUP(C96,[6]sheet1!$D:$I,6,0)</f>
        <v>1064</v>
      </c>
      <c r="O96" s="4">
        <f>VLOOKUP(C96,[7]sheet1!$D:$I,6,0)</f>
        <v>0</v>
      </c>
      <c r="P96" s="4">
        <f>VLOOKUP(C96,[8]sheet1!$D:$I,6,0)</f>
        <v>504</v>
      </c>
      <c r="Q96" s="4">
        <f t="shared" si="1"/>
        <v>4233</v>
      </c>
      <c r="R96" s="3">
        <v>1</v>
      </c>
      <c r="S96">
        <v>306</v>
      </c>
      <c r="T96">
        <v>443</v>
      </c>
      <c r="U96" s="3">
        <v>2</v>
      </c>
      <c r="V96" s="3">
        <v>1</v>
      </c>
      <c r="W96">
        <v>0</v>
      </c>
      <c r="X96" s="3">
        <v>0</v>
      </c>
      <c r="Y96">
        <v>550</v>
      </c>
      <c r="Z96" s="3">
        <v>1</v>
      </c>
      <c r="AA96" t="s">
        <v>101</v>
      </c>
      <c r="AB96" s="3">
        <v>550</v>
      </c>
      <c r="AC96">
        <v>456.54</v>
      </c>
      <c r="AD96" t="s">
        <v>49</v>
      </c>
      <c r="AE96">
        <v>532</v>
      </c>
      <c r="AF96" s="3">
        <v>1</v>
      </c>
      <c r="AG96" t="s">
        <v>49</v>
      </c>
      <c r="AH96">
        <v>456.54</v>
      </c>
      <c r="AI96" t="s">
        <v>49</v>
      </c>
      <c r="AJ96" t="s">
        <v>49</v>
      </c>
      <c r="AK96" t="s">
        <v>49</v>
      </c>
      <c r="AL96" t="s">
        <v>49</v>
      </c>
      <c r="AM96" t="s">
        <v>49</v>
      </c>
      <c r="AN96" s="3">
        <v>90</v>
      </c>
      <c r="AO96" s="19">
        <v>1</v>
      </c>
      <c r="AP96" s="19">
        <v>0</v>
      </c>
      <c r="AQ96" s="19">
        <v>0.8406</v>
      </c>
      <c r="AR96" s="19">
        <v>0.3623</v>
      </c>
      <c r="AS96" s="19">
        <v>1</v>
      </c>
      <c r="AT96" s="19">
        <v>0.5</v>
      </c>
      <c r="AU96" s="3">
        <v>0</v>
      </c>
      <c r="AV96" s="3">
        <v>0</v>
      </c>
      <c r="AW96" s="19">
        <v>0</v>
      </c>
      <c r="AX96" s="3">
        <v>0</v>
      </c>
      <c r="AY96" s="3">
        <v>0</v>
      </c>
    </row>
    <row r="97" spans="1:51">
      <c r="A97" s="3">
        <v>19404505</v>
      </c>
      <c r="B97" t="s">
        <v>241</v>
      </c>
      <c r="C97" s="3">
        <v>125212004</v>
      </c>
      <c r="D97" t="s">
        <v>44</v>
      </c>
      <c r="E97" t="s">
        <v>109</v>
      </c>
      <c r="F97" t="s">
        <v>46</v>
      </c>
      <c r="G97" t="s">
        <v>47</v>
      </c>
      <c r="H97" s="16">
        <v>251</v>
      </c>
      <c r="I97" s="4">
        <f>VLOOKUP(C97,[1]sheet1!$D:$I,6,0)</f>
        <v>243</v>
      </c>
      <c r="J97" s="4">
        <f>VLOOKUP(C97,[2]sheet1!$D:$I,6,0)</f>
        <v>0</v>
      </c>
      <c r="K97" s="4">
        <f>VLOOKUP(C97,[3]sheet1!$D:$I,6,0)</f>
        <v>241</v>
      </c>
      <c r="L97" s="4">
        <f>VLOOKUP(C97,[4]sheet1!$D:$I,6,0)</f>
        <v>0</v>
      </c>
      <c r="M97" s="4">
        <f>VLOOKUP(C97,[5]sheet1!$D:$I,6,0)</f>
        <v>0</v>
      </c>
      <c r="N97" s="4">
        <f>VLOOKUP(C97,[6]sheet1!$D:$I,6,0)</f>
        <v>0</v>
      </c>
      <c r="O97" s="4">
        <f>VLOOKUP(C97,[7]sheet1!$D:$I,6,0)</f>
        <v>228</v>
      </c>
      <c r="P97" s="4">
        <f>VLOOKUP(C97,[8]sheet1!$D:$I,6,0)</f>
        <v>502</v>
      </c>
      <c r="Q97" s="4">
        <f t="shared" si="1"/>
        <v>1465</v>
      </c>
      <c r="R97" s="3">
        <v>1</v>
      </c>
      <c r="S97">
        <v>638</v>
      </c>
      <c r="T97">
        <v>211</v>
      </c>
      <c r="U97" s="3">
        <v>12</v>
      </c>
      <c r="V97" s="3">
        <v>1</v>
      </c>
      <c r="W97">
        <v>259</v>
      </c>
      <c r="X97" s="3">
        <v>1</v>
      </c>
      <c r="Y97">
        <v>0</v>
      </c>
      <c r="Z97" s="3">
        <v>0</v>
      </c>
      <c r="AA97" t="s">
        <v>242</v>
      </c>
      <c r="AB97" s="3">
        <v>229</v>
      </c>
      <c r="AC97">
        <v>217.34</v>
      </c>
      <c r="AD97" t="s">
        <v>49</v>
      </c>
      <c r="AE97">
        <v>251</v>
      </c>
      <c r="AF97" s="3">
        <v>1</v>
      </c>
      <c r="AG97" t="s">
        <v>49</v>
      </c>
      <c r="AH97">
        <v>217.34</v>
      </c>
      <c r="AI97" t="s">
        <v>49</v>
      </c>
      <c r="AJ97">
        <v>198.11</v>
      </c>
      <c r="AK97" t="s">
        <v>49</v>
      </c>
      <c r="AL97">
        <v>198.11</v>
      </c>
      <c r="AM97" t="s">
        <v>49</v>
      </c>
      <c r="AN97" s="3">
        <v>360</v>
      </c>
      <c r="AO97" s="19">
        <v>1</v>
      </c>
      <c r="AP97" s="19">
        <v>0</v>
      </c>
      <c r="AQ97" s="19">
        <v>0.8904</v>
      </c>
      <c r="AR97" s="19">
        <v>0.4219</v>
      </c>
      <c r="AS97" s="19">
        <v>0.9167</v>
      </c>
      <c r="AT97" s="19">
        <v>0.25</v>
      </c>
      <c r="AU97" s="3">
        <v>0</v>
      </c>
      <c r="AV97" s="3">
        <v>0</v>
      </c>
      <c r="AW97" s="19">
        <v>0</v>
      </c>
      <c r="AX97" s="3">
        <v>0</v>
      </c>
      <c r="AY97" s="3">
        <v>0</v>
      </c>
    </row>
    <row r="98" spans="1:51">
      <c r="A98" s="3">
        <v>19362667</v>
      </c>
      <c r="B98" t="s">
        <v>243</v>
      </c>
      <c r="C98" s="3">
        <v>115102001</v>
      </c>
      <c r="D98" t="s">
        <v>44</v>
      </c>
      <c r="E98" t="s">
        <v>146</v>
      </c>
      <c r="F98" t="s">
        <v>46</v>
      </c>
      <c r="G98" t="s">
        <v>47</v>
      </c>
      <c r="H98" s="16">
        <v>725</v>
      </c>
      <c r="I98" s="4">
        <f>VLOOKUP(C98,[1]sheet1!$D:$I,6,0)</f>
        <v>725</v>
      </c>
      <c r="J98" s="4">
        <f>VLOOKUP(C98,[2]sheet1!$D:$I,6,0)</f>
        <v>725</v>
      </c>
      <c r="K98" s="4">
        <f>VLOOKUP(C98,[3]sheet1!$D:$I,6,0)</f>
        <v>0</v>
      </c>
      <c r="L98" s="4">
        <f>VLOOKUP(C98,[4]sheet1!$D:$I,6,0)</f>
        <v>1455</v>
      </c>
      <c r="M98" s="4">
        <f>VLOOKUP(C98,[5]sheet1!$D:$I,6,0)</f>
        <v>693</v>
      </c>
      <c r="N98" s="4">
        <f>VLOOKUP(C98,[6]sheet1!$D:$I,6,0)</f>
        <v>1544</v>
      </c>
      <c r="O98" s="4">
        <f>VLOOKUP(C98,[7]sheet1!$D:$I,6,0)</f>
        <v>0</v>
      </c>
      <c r="P98" s="4">
        <f>VLOOKUP(C98,[8]sheet1!$D:$I,6,0)</f>
        <v>714</v>
      </c>
      <c r="Q98" s="4">
        <f t="shared" si="1"/>
        <v>6581</v>
      </c>
      <c r="R98" s="3">
        <v>1</v>
      </c>
      <c r="S98">
        <v>401</v>
      </c>
      <c r="T98">
        <v>337</v>
      </c>
      <c r="U98" s="3">
        <v>9</v>
      </c>
      <c r="V98" s="3">
        <v>1</v>
      </c>
      <c r="W98">
        <v>0</v>
      </c>
      <c r="X98" s="3">
        <v>0</v>
      </c>
      <c r="Y98">
        <v>0</v>
      </c>
      <c r="Z98" s="3">
        <v>0</v>
      </c>
      <c r="AA98" t="s">
        <v>244</v>
      </c>
      <c r="AB98" s="3">
        <v>659</v>
      </c>
      <c r="AC98">
        <v>565.72</v>
      </c>
      <c r="AD98" t="s">
        <v>49</v>
      </c>
      <c r="AE98">
        <v>725</v>
      </c>
      <c r="AF98" s="3">
        <v>1</v>
      </c>
      <c r="AG98" t="s">
        <v>49</v>
      </c>
      <c r="AH98">
        <v>565.72</v>
      </c>
      <c r="AI98" t="s">
        <v>49</v>
      </c>
      <c r="AJ98" t="s">
        <v>49</v>
      </c>
      <c r="AK98" t="s">
        <v>49</v>
      </c>
      <c r="AL98" t="s">
        <v>49</v>
      </c>
      <c r="AM98" t="s">
        <v>49</v>
      </c>
      <c r="AN98" s="3">
        <v>149</v>
      </c>
      <c r="AO98" s="19">
        <v>1</v>
      </c>
      <c r="AP98" s="19">
        <v>0</v>
      </c>
      <c r="AQ98" s="19">
        <v>0.8067</v>
      </c>
      <c r="AR98" s="19">
        <v>0.4454</v>
      </c>
      <c r="AS98" s="19">
        <v>0.8889</v>
      </c>
      <c r="AT98" s="19">
        <v>0.6667</v>
      </c>
      <c r="AU98" s="3">
        <v>0</v>
      </c>
      <c r="AV98" s="3">
        <v>0</v>
      </c>
      <c r="AW98" s="19">
        <v>0</v>
      </c>
      <c r="AX98" s="3">
        <v>0</v>
      </c>
      <c r="AY98" s="3">
        <v>0</v>
      </c>
    </row>
    <row r="99" spans="1:51">
      <c r="A99" s="3">
        <v>19281735</v>
      </c>
      <c r="B99" t="s">
        <v>245</v>
      </c>
      <c r="C99" s="3">
        <v>125301055</v>
      </c>
      <c r="D99" t="s">
        <v>44</v>
      </c>
      <c r="E99" t="s">
        <v>141</v>
      </c>
      <c r="F99" t="s">
        <v>46</v>
      </c>
      <c r="G99" t="s">
        <v>47</v>
      </c>
      <c r="H99" s="16">
        <v>566</v>
      </c>
      <c r="I99" s="4">
        <f>VLOOKUP(C99,[1]sheet1!$D:$I,6,0)</f>
        <v>0</v>
      </c>
      <c r="J99" s="4">
        <f>VLOOKUP(C99,[2]sheet1!$D:$I,6,0)</f>
        <v>0</v>
      </c>
      <c r="K99" s="4">
        <f>VLOOKUP(C99,[3]sheet1!$D:$I,6,0)</f>
        <v>0</v>
      </c>
      <c r="L99" s="4">
        <f>VLOOKUP(C99,[4]sheet1!$D:$I,6,0)</f>
        <v>578</v>
      </c>
      <c r="M99" s="4">
        <f>VLOOKUP(C99,[5]sheet1!$D:$I,6,0)</f>
        <v>0</v>
      </c>
      <c r="N99" s="4">
        <f>VLOOKUP(C99,[6]sheet1!$D:$I,6,0)</f>
        <v>0</v>
      </c>
      <c r="O99" s="4">
        <f>VLOOKUP(C99,[7]sheet1!$D:$I,6,0)</f>
        <v>0</v>
      </c>
      <c r="P99" s="4">
        <f>VLOOKUP(C99,[8]sheet1!$D:$I,6,0)</f>
        <v>523</v>
      </c>
      <c r="Q99" s="4">
        <f t="shared" si="1"/>
        <v>1667</v>
      </c>
      <c r="R99" s="3">
        <v>1</v>
      </c>
      <c r="S99">
        <v>451</v>
      </c>
      <c r="T99">
        <v>301</v>
      </c>
      <c r="U99" s="3">
        <v>9</v>
      </c>
      <c r="V99" s="3">
        <v>1</v>
      </c>
      <c r="W99">
        <v>0</v>
      </c>
      <c r="X99" s="3">
        <v>0</v>
      </c>
      <c r="Y99">
        <v>0</v>
      </c>
      <c r="Z99" s="3">
        <v>0</v>
      </c>
      <c r="AA99" t="s">
        <v>223</v>
      </c>
      <c r="AB99" s="3">
        <v>537</v>
      </c>
      <c r="AC99">
        <v>509.74</v>
      </c>
      <c r="AD99" t="s">
        <v>49</v>
      </c>
      <c r="AE99">
        <v>566</v>
      </c>
      <c r="AF99" s="3">
        <v>1</v>
      </c>
      <c r="AG99" t="s">
        <v>49</v>
      </c>
      <c r="AH99">
        <v>509.74</v>
      </c>
      <c r="AI99" t="s">
        <v>49</v>
      </c>
      <c r="AJ99">
        <v>455.8</v>
      </c>
      <c r="AK99" t="s">
        <v>49</v>
      </c>
      <c r="AL99">
        <v>455.8</v>
      </c>
      <c r="AM99" t="s">
        <v>49</v>
      </c>
      <c r="AN99" s="3">
        <v>204</v>
      </c>
      <c r="AO99" s="19">
        <v>1</v>
      </c>
      <c r="AP99" s="19">
        <v>0</v>
      </c>
      <c r="AQ99" s="19">
        <v>0.9067</v>
      </c>
      <c r="AR99" s="19">
        <v>0.5467</v>
      </c>
      <c r="AS99" s="19">
        <v>1</v>
      </c>
      <c r="AT99" s="19">
        <v>0.6667</v>
      </c>
      <c r="AU99" s="3">
        <v>0</v>
      </c>
      <c r="AV99" s="3">
        <v>0</v>
      </c>
      <c r="AW99" s="19">
        <v>0</v>
      </c>
      <c r="AX99" s="3">
        <v>0</v>
      </c>
      <c r="AY99" s="3">
        <v>0</v>
      </c>
    </row>
    <row r="100" spans="1:51">
      <c r="A100" s="3">
        <v>19209381</v>
      </c>
      <c r="B100" t="s">
        <v>246</v>
      </c>
      <c r="C100" s="3">
        <v>115301054</v>
      </c>
      <c r="D100" t="s">
        <v>44</v>
      </c>
      <c r="E100" t="s">
        <v>104</v>
      </c>
      <c r="F100" t="s">
        <v>46</v>
      </c>
      <c r="G100" t="s">
        <v>47</v>
      </c>
      <c r="H100" s="16">
        <v>578</v>
      </c>
      <c r="I100" s="4">
        <f>VLOOKUP(C100,[1]sheet1!$D:$I,6,0)</f>
        <v>1775</v>
      </c>
      <c r="J100" s="4">
        <f>VLOOKUP(C100,[2]sheet1!$D:$I,6,0)</f>
        <v>0</v>
      </c>
      <c r="K100" s="4">
        <f>VLOOKUP(C100,[3]sheet1!$D:$I,6,0)</f>
        <v>551</v>
      </c>
      <c r="L100" s="4">
        <f>VLOOKUP(C100,[4]sheet1!$D:$I,6,0)</f>
        <v>1075</v>
      </c>
      <c r="M100" s="4">
        <f>VLOOKUP(C100,[5]sheet1!$D:$I,6,0)</f>
        <v>549</v>
      </c>
      <c r="N100" s="4">
        <f>VLOOKUP(C100,[6]sheet1!$D:$I,6,0)</f>
        <v>550</v>
      </c>
      <c r="O100" s="4">
        <f>VLOOKUP(C100,[7]sheet1!$D:$I,6,0)</f>
        <v>1004</v>
      </c>
      <c r="P100" s="4">
        <f>VLOOKUP(C100,[8]sheet1!$D:$I,6,0)</f>
        <v>4627.69</v>
      </c>
      <c r="Q100" s="4">
        <f t="shared" si="1"/>
        <v>10709.69</v>
      </c>
      <c r="R100" s="3">
        <v>1</v>
      </c>
      <c r="S100">
        <v>626</v>
      </c>
      <c r="T100">
        <v>215</v>
      </c>
      <c r="U100" s="3">
        <v>16</v>
      </c>
      <c r="V100" s="3">
        <v>1</v>
      </c>
      <c r="W100">
        <v>0</v>
      </c>
      <c r="X100" s="3">
        <v>0</v>
      </c>
      <c r="Y100">
        <v>0</v>
      </c>
      <c r="Z100" s="3">
        <v>0</v>
      </c>
      <c r="AA100" t="s">
        <v>223</v>
      </c>
      <c r="AB100" s="3">
        <v>480</v>
      </c>
      <c r="AC100">
        <v>511.52</v>
      </c>
      <c r="AD100" t="s">
        <v>49</v>
      </c>
      <c r="AE100">
        <v>578</v>
      </c>
      <c r="AF100" s="3">
        <v>1</v>
      </c>
      <c r="AG100" t="s">
        <v>49</v>
      </c>
      <c r="AH100">
        <v>511.52</v>
      </c>
      <c r="AI100" t="s">
        <v>49</v>
      </c>
      <c r="AJ100">
        <v>422.39</v>
      </c>
      <c r="AK100" t="s">
        <v>49</v>
      </c>
      <c r="AL100">
        <v>422.39</v>
      </c>
      <c r="AM100" t="s">
        <v>49</v>
      </c>
      <c r="AN100" s="3">
        <v>364</v>
      </c>
      <c r="AO100" s="19">
        <v>1</v>
      </c>
      <c r="AP100" s="19">
        <v>0</v>
      </c>
      <c r="AQ100" s="19">
        <v>0.8655</v>
      </c>
      <c r="AR100" s="19">
        <v>0.4069</v>
      </c>
      <c r="AS100" s="19">
        <v>0.8125</v>
      </c>
      <c r="AT100" s="19">
        <v>0.375</v>
      </c>
      <c r="AU100" s="3">
        <v>0</v>
      </c>
      <c r="AV100" s="3">
        <v>0</v>
      </c>
      <c r="AW100" s="19">
        <v>0</v>
      </c>
      <c r="AX100" s="3">
        <v>0</v>
      </c>
      <c r="AY100" s="3">
        <v>0</v>
      </c>
    </row>
    <row r="101" spans="1:51">
      <c r="A101" s="3">
        <v>19167595</v>
      </c>
      <c r="B101" t="s">
        <v>247</v>
      </c>
      <c r="C101" t="s">
        <v>248</v>
      </c>
      <c r="D101" t="s">
        <v>44</v>
      </c>
      <c r="E101" t="s">
        <v>249</v>
      </c>
      <c r="F101" t="s">
        <v>46</v>
      </c>
      <c r="G101" t="s">
        <v>47</v>
      </c>
      <c r="H101" s="16">
        <v>362</v>
      </c>
      <c r="I101" s="4">
        <f>VLOOKUP(C101,[1]sheet1!$D:$I,6,0)</f>
        <v>0</v>
      </c>
      <c r="J101" s="4">
        <f>VLOOKUP(C101,[2]sheet1!$D:$I,6,0)</f>
        <v>0</v>
      </c>
      <c r="K101" s="4">
        <f>VLOOKUP(C101,[3]sheet1!$D:$I,6,0)</f>
        <v>0</v>
      </c>
      <c r="L101" s="4">
        <f>VLOOKUP(C101,[4]sheet1!$D:$I,6,0)</f>
        <v>0</v>
      </c>
      <c r="M101" s="4">
        <f>VLOOKUP(C101,[5]sheet1!$D:$I,6,0)</f>
        <v>0</v>
      </c>
      <c r="N101" s="4">
        <f>VLOOKUP(C101,[6]sheet1!$D:$I,6,0)</f>
        <v>0</v>
      </c>
      <c r="O101" s="4">
        <f>VLOOKUP(C101,[7]sheet1!$D:$I,6,0)</f>
        <v>0</v>
      </c>
      <c r="P101" s="4">
        <f>VLOOKUP(C101,[8]sheet1!$D:$I,6,0)</f>
        <v>0</v>
      </c>
      <c r="Q101" s="4">
        <f t="shared" si="1"/>
        <v>362</v>
      </c>
      <c r="R101" s="3">
        <v>1</v>
      </c>
      <c r="S101">
        <v>224</v>
      </c>
      <c r="T101">
        <v>604</v>
      </c>
      <c r="U101" s="3">
        <v>0</v>
      </c>
      <c r="V101" s="3">
        <v>1</v>
      </c>
      <c r="W101">
        <v>0</v>
      </c>
      <c r="X101" s="3">
        <v>0</v>
      </c>
      <c r="Y101">
        <v>0</v>
      </c>
      <c r="Z101" s="3">
        <v>0</v>
      </c>
      <c r="AA101" t="s">
        <v>250</v>
      </c>
      <c r="AB101" s="3">
        <v>370</v>
      </c>
      <c r="AC101">
        <v>338.23</v>
      </c>
      <c r="AD101" t="s">
        <v>49</v>
      </c>
      <c r="AE101">
        <v>362</v>
      </c>
      <c r="AF101" s="3">
        <v>1</v>
      </c>
      <c r="AG101" t="s">
        <v>49</v>
      </c>
      <c r="AH101">
        <v>338.23</v>
      </c>
      <c r="AI101" t="s">
        <v>49</v>
      </c>
      <c r="AJ101">
        <v>313</v>
      </c>
      <c r="AK101" t="s">
        <v>49</v>
      </c>
      <c r="AL101">
        <v>313</v>
      </c>
      <c r="AM101" t="s">
        <v>49</v>
      </c>
      <c r="AN101" s="3">
        <v>42</v>
      </c>
      <c r="AO101" s="19">
        <v>1</v>
      </c>
      <c r="AP101" s="19">
        <v>0</v>
      </c>
      <c r="AQ101" s="19">
        <v>0.7027</v>
      </c>
      <c r="AR101" s="19">
        <v>0.1892</v>
      </c>
      <c r="AS101" s="19">
        <v>0</v>
      </c>
      <c r="AT101" s="19">
        <v>0</v>
      </c>
      <c r="AU101" s="3">
        <v>0</v>
      </c>
      <c r="AV101" s="3">
        <v>0</v>
      </c>
      <c r="AW101" s="19">
        <v>0</v>
      </c>
      <c r="AX101" s="3">
        <v>0</v>
      </c>
      <c r="AY101" s="3">
        <v>0</v>
      </c>
    </row>
    <row r="102" spans="1:51">
      <c r="A102" s="3">
        <v>19113828</v>
      </c>
      <c r="B102" t="s">
        <v>251</v>
      </c>
      <c r="C102" s="3">
        <v>115119025</v>
      </c>
      <c r="D102" t="s">
        <v>44</v>
      </c>
      <c r="E102" t="s">
        <v>252</v>
      </c>
      <c r="F102" t="s">
        <v>46</v>
      </c>
      <c r="G102" t="s">
        <v>47</v>
      </c>
      <c r="H102" s="16">
        <v>359</v>
      </c>
      <c r="I102" s="4">
        <f>VLOOKUP(C102,[1]sheet1!$D:$I,6,0)</f>
        <v>362</v>
      </c>
      <c r="J102" s="4">
        <f>VLOOKUP(C102,[2]sheet1!$D:$I,6,0)</f>
        <v>718</v>
      </c>
      <c r="K102" s="4">
        <f>VLOOKUP(C102,[3]sheet1!$D:$I,6,0)</f>
        <v>352</v>
      </c>
      <c r="L102" s="4">
        <f>VLOOKUP(C102,[4]sheet1!$D:$I,6,0)</f>
        <v>315</v>
      </c>
      <c r="M102" s="4">
        <f>VLOOKUP(C102,[5]sheet1!$D:$I,6,0)</f>
        <v>683</v>
      </c>
      <c r="N102" s="4">
        <f>VLOOKUP(C102,[6]sheet1!$D:$I,6,0)</f>
        <v>0</v>
      </c>
      <c r="O102" s="4">
        <f>VLOOKUP(C102,[7]sheet1!$D:$I,6,0)</f>
        <v>344</v>
      </c>
      <c r="P102" s="4">
        <f>VLOOKUP(C102,[8]sheet1!$D:$I,6,0)</f>
        <v>362</v>
      </c>
      <c r="Q102" s="4">
        <f t="shared" si="1"/>
        <v>3495</v>
      </c>
      <c r="R102" s="3">
        <v>1</v>
      </c>
      <c r="S102">
        <v>1448</v>
      </c>
      <c r="T102">
        <v>90</v>
      </c>
      <c r="U102" s="3">
        <v>85</v>
      </c>
      <c r="V102" s="3">
        <v>1</v>
      </c>
      <c r="W102">
        <v>361</v>
      </c>
      <c r="X102" s="3">
        <v>1</v>
      </c>
      <c r="Y102">
        <v>0</v>
      </c>
      <c r="Z102" s="3">
        <v>0</v>
      </c>
      <c r="AA102" t="s">
        <v>250</v>
      </c>
      <c r="AB102" s="3">
        <v>322</v>
      </c>
      <c r="AC102">
        <v>337.23</v>
      </c>
      <c r="AD102" t="s">
        <v>49</v>
      </c>
      <c r="AE102">
        <v>359</v>
      </c>
      <c r="AF102" s="3">
        <v>1</v>
      </c>
      <c r="AG102" t="s">
        <v>49</v>
      </c>
      <c r="AH102">
        <v>337.23</v>
      </c>
      <c r="AI102" t="s">
        <v>49</v>
      </c>
      <c r="AJ102">
        <v>273.46</v>
      </c>
      <c r="AK102" t="s">
        <v>49</v>
      </c>
      <c r="AL102">
        <v>273.46</v>
      </c>
      <c r="AM102" t="s">
        <v>49</v>
      </c>
      <c r="AN102" s="3">
        <v>2137</v>
      </c>
      <c r="AO102" s="19">
        <v>0</v>
      </c>
      <c r="AP102" s="19">
        <v>0</v>
      </c>
      <c r="AQ102" s="19">
        <v>0.8657</v>
      </c>
      <c r="AR102" s="19">
        <v>0.3312</v>
      </c>
      <c r="AS102" s="19">
        <v>0.9294</v>
      </c>
      <c r="AT102" s="19">
        <v>0.4235</v>
      </c>
      <c r="AU102" s="3">
        <v>0</v>
      </c>
      <c r="AV102" s="3">
        <v>0</v>
      </c>
      <c r="AW102" s="19">
        <v>0</v>
      </c>
      <c r="AX102" s="3">
        <v>0</v>
      </c>
      <c r="AY102" s="3">
        <v>0</v>
      </c>
    </row>
    <row r="103" spans="1:51">
      <c r="A103" s="3">
        <v>19091539</v>
      </c>
      <c r="B103" t="s">
        <v>253</v>
      </c>
      <c r="C103" t="s">
        <v>254</v>
      </c>
      <c r="D103" t="s">
        <v>44</v>
      </c>
      <c r="E103" t="s">
        <v>104</v>
      </c>
      <c r="F103" t="s">
        <v>46</v>
      </c>
      <c r="G103" t="s">
        <v>47</v>
      </c>
      <c r="H103" s="16">
        <v>681</v>
      </c>
      <c r="I103" s="4">
        <f>VLOOKUP(C103,[1]sheet1!$D:$I,6,0)</f>
        <v>651</v>
      </c>
      <c r="J103" s="4">
        <f>VLOOKUP(C103,[2]sheet1!$D:$I,6,0)</f>
        <v>2043</v>
      </c>
      <c r="K103" s="4">
        <f>VLOOKUP(C103,[3]sheet1!$D:$I,6,0)</f>
        <v>1362</v>
      </c>
      <c r="L103" s="4">
        <f>VLOOKUP(C103,[4]sheet1!$D:$I,6,0)</f>
        <v>681</v>
      </c>
      <c r="M103" s="4">
        <f>VLOOKUP(C103,[5]sheet1!$D:$I,6,0)</f>
        <v>681</v>
      </c>
      <c r="N103" s="4">
        <f>VLOOKUP(C103,[6]sheet1!$D:$I,6,0)</f>
        <v>681</v>
      </c>
      <c r="O103" s="4">
        <f>VLOOKUP(C103,[7]sheet1!$D:$I,6,0)</f>
        <v>651</v>
      </c>
      <c r="P103" s="4">
        <f>VLOOKUP(C103,[8]sheet1!$D:$I,6,0)</f>
        <v>0</v>
      </c>
      <c r="Q103" s="4">
        <f t="shared" si="1"/>
        <v>7431</v>
      </c>
      <c r="R103" s="3">
        <v>1</v>
      </c>
      <c r="S103">
        <v>489</v>
      </c>
      <c r="T103">
        <v>275</v>
      </c>
      <c r="U103" s="3">
        <v>16</v>
      </c>
      <c r="V103" s="3">
        <v>1</v>
      </c>
      <c r="W103">
        <v>668.11</v>
      </c>
      <c r="X103" s="3">
        <v>1</v>
      </c>
      <c r="Y103">
        <v>0</v>
      </c>
      <c r="Z103" s="3">
        <v>0</v>
      </c>
      <c r="AA103" t="s">
        <v>112</v>
      </c>
      <c r="AB103" s="3">
        <v>609</v>
      </c>
      <c r="AC103">
        <v>598.52</v>
      </c>
      <c r="AD103" t="s">
        <v>49</v>
      </c>
      <c r="AE103">
        <v>681</v>
      </c>
      <c r="AF103" s="3">
        <v>1</v>
      </c>
      <c r="AG103" t="s">
        <v>49</v>
      </c>
      <c r="AH103">
        <v>598.52</v>
      </c>
      <c r="AI103" t="s">
        <v>49</v>
      </c>
      <c r="AJ103">
        <v>520.22</v>
      </c>
      <c r="AK103" t="s">
        <v>49</v>
      </c>
      <c r="AL103">
        <v>520.22</v>
      </c>
      <c r="AM103" t="s">
        <v>49</v>
      </c>
      <c r="AN103" s="3">
        <v>234</v>
      </c>
      <c r="AO103" s="19">
        <v>1</v>
      </c>
      <c r="AP103" s="19">
        <v>0</v>
      </c>
      <c r="AQ103" s="19">
        <v>0.904</v>
      </c>
      <c r="AR103" s="19">
        <v>0.4124</v>
      </c>
      <c r="AS103" s="19">
        <v>0.875</v>
      </c>
      <c r="AT103" s="19">
        <v>0.4375</v>
      </c>
      <c r="AU103" s="3">
        <v>0</v>
      </c>
      <c r="AV103" s="3">
        <v>0</v>
      </c>
      <c r="AW103" s="19">
        <v>0</v>
      </c>
      <c r="AX103" s="3">
        <v>0</v>
      </c>
      <c r="AY103" s="3">
        <v>0</v>
      </c>
    </row>
    <row r="104" spans="1:51">
      <c r="A104" s="3">
        <v>17853097</v>
      </c>
      <c r="B104" t="s">
        <v>255</v>
      </c>
      <c r="C104" s="3">
        <v>16323204</v>
      </c>
      <c r="D104" t="s">
        <v>44</v>
      </c>
      <c r="E104" t="s">
        <v>97</v>
      </c>
      <c r="F104" t="s">
        <v>65</v>
      </c>
      <c r="G104" t="s">
        <v>47</v>
      </c>
      <c r="H104" s="16">
        <v>26</v>
      </c>
      <c r="I104" s="4">
        <f>VLOOKUP(C104,[1]sheet1!$D:$I,6,0)</f>
        <v>0</v>
      </c>
      <c r="J104" s="4">
        <f>VLOOKUP(C104,[2]sheet1!$D:$I,6,0)</f>
        <v>26</v>
      </c>
      <c r="K104" s="4">
        <f>VLOOKUP(C104,[3]sheet1!$D:$I,6,0)</f>
        <v>0</v>
      </c>
      <c r="L104" s="4">
        <f>VLOOKUP(C104,[4]sheet1!$D:$I,6,0)</f>
        <v>52</v>
      </c>
      <c r="M104" s="4">
        <f>VLOOKUP(C104,[5]sheet1!$D:$I,6,0)</f>
        <v>0</v>
      </c>
      <c r="N104" s="4">
        <f>VLOOKUP(C104,[6]sheet1!$D:$I,6,0)</f>
        <v>0</v>
      </c>
      <c r="O104" s="4">
        <f>VLOOKUP(C104,[7]sheet1!$D:$I,6,0)</f>
        <v>0</v>
      </c>
      <c r="P104" s="4">
        <f>VLOOKUP(C104,[8]sheet1!$D:$I,6,0)</f>
        <v>0</v>
      </c>
      <c r="Q104" s="4">
        <f t="shared" si="1"/>
        <v>104</v>
      </c>
      <c r="R104" s="3">
        <v>1</v>
      </c>
      <c r="S104" s="3">
        <v>18</v>
      </c>
      <c r="T104" s="19">
        <v>0.0556</v>
      </c>
      <c r="U104" s="3">
        <v>0</v>
      </c>
      <c r="V104" s="3">
        <v>1</v>
      </c>
      <c r="W104">
        <v>0</v>
      </c>
      <c r="X104" s="3">
        <v>0</v>
      </c>
      <c r="Y104">
        <v>0</v>
      </c>
      <c r="Z104" s="3">
        <v>0</v>
      </c>
      <c r="AA104" t="s">
        <v>256</v>
      </c>
      <c r="AB104" t="s">
        <v>49</v>
      </c>
      <c r="AC104">
        <v>22.31</v>
      </c>
      <c r="AD104" t="s">
        <v>49</v>
      </c>
      <c r="AE104">
        <v>26</v>
      </c>
      <c r="AF104" s="3">
        <v>1</v>
      </c>
      <c r="AG104" t="s">
        <v>49</v>
      </c>
      <c r="AH104">
        <v>22.31</v>
      </c>
      <c r="AI104" t="s">
        <v>49</v>
      </c>
      <c r="AJ104" t="s">
        <v>49</v>
      </c>
      <c r="AK104" t="s">
        <v>49</v>
      </c>
      <c r="AL104" t="s">
        <v>49</v>
      </c>
      <c r="AM104" t="s">
        <v>49</v>
      </c>
      <c r="AN104" s="3">
        <v>22</v>
      </c>
      <c r="AO104" s="19">
        <v>1</v>
      </c>
      <c r="AP104" s="19">
        <v>1</v>
      </c>
      <c r="AQ104" s="19">
        <v>0.7778</v>
      </c>
      <c r="AR104" s="19">
        <v>0.4444</v>
      </c>
      <c r="AS104" s="19">
        <v>0</v>
      </c>
      <c r="AT104" s="19">
        <v>0</v>
      </c>
      <c r="AU104" s="3">
        <v>0</v>
      </c>
      <c r="AV104" s="3">
        <v>0</v>
      </c>
      <c r="AW104" s="19">
        <v>0</v>
      </c>
      <c r="AX104" s="3">
        <v>0</v>
      </c>
      <c r="AY104" s="3">
        <v>0</v>
      </c>
    </row>
    <row r="105" spans="1:51">
      <c r="A105" s="3">
        <v>15944349</v>
      </c>
      <c r="B105" t="s">
        <v>257</v>
      </c>
      <c r="C105" s="3">
        <v>124408252</v>
      </c>
      <c r="D105" t="s">
        <v>44</v>
      </c>
      <c r="E105" t="s">
        <v>258</v>
      </c>
      <c r="F105" t="s">
        <v>46</v>
      </c>
      <c r="G105" t="s">
        <v>47</v>
      </c>
      <c r="H105" s="16">
        <v>481</v>
      </c>
      <c r="I105" s="4">
        <f>VLOOKUP(C105,[1]sheet1!$D:$I,6,0)</f>
        <v>0</v>
      </c>
      <c r="J105" s="4">
        <f>VLOOKUP(C105,[2]sheet1!$D:$I,6,0)</f>
        <v>0</v>
      </c>
      <c r="K105" s="4">
        <f>VLOOKUP(C105,[3]sheet1!$D:$I,6,0)</f>
        <v>0</v>
      </c>
      <c r="L105" s="4">
        <f>VLOOKUP(C105,[4]sheet1!$D:$I,6,0)</f>
        <v>0</v>
      </c>
      <c r="M105" s="4">
        <f>VLOOKUP(C105,[5]sheet1!$D:$I,6,0)</f>
        <v>0</v>
      </c>
      <c r="N105" s="4">
        <f>VLOOKUP(C105,[6]sheet1!$D:$I,6,0)</f>
        <v>0</v>
      </c>
      <c r="O105" s="4">
        <f>VLOOKUP(C105,[7]sheet1!$D:$I,6,0)</f>
        <v>0</v>
      </c>
      <c r="P105" s="4">
        <f>VLOOKUP(C105,[8]sheet1!$D:$I,6,0)</f>
        <v>481</v>
      </c>
      <c r="Q105" s="4">
        <f t="shared" si="1"/>
        <v>962</v>
      </c>
      <c r="R105" s="3">
        <v>1</v>
      </c>
      <c r="S105">
        <v>191</v>
      </c>
      <c r="T105">
        <v>708</v>
      </c>
      <c r="U105" s="3">
        <v>2</v>
      </c>
      <c r="V105" s="3">
        <v>1</v>
      </c>
      <c r="W105">
        <v>0</v>
      </c>
      <c r="X105" s="3">
        <v>0</v>
      </c>
      <c r="Y105">
        <v>0</v>
      </c>
      <c r="Z105" s="3">
        <v>0</v>
      </c>
      <c r="AA105" t="s">
        <v>259</v>
      </c>
      <c r="AB105" s="3">
        <v>499</v>
      </c>
      <c r="AC105">
        <v>440.91</v>
      </c>
      <c r="AD105" t="s">
        <v>49</v>
      </c>
      <c r="AE105">
        <v>481</v>
      </c>
      <c r="AF105" s="3">
        <v>1</v>
      </c>
      <c r="AG105" t="s">
        <v>49</v>
      </c>
      <c r="AH105">
        <v>440.91</v>
      </c>
      <c r="AI105" t="s">
        <v>49</v>
      </c>
      <c r="AJ105">
        <v>422.64</v>
      </c>
      <c r="AK105" t="s">
        <v>49</v>
      </c>
      <c r="AL105">
        <v>422.64</v>
      </c>
      <c r="AM105" t="s">
        <v>49</v>
      </c>
      <c r="AN105" s="3">
        <v>35</v>
      </c>
      <c r="AO105" s="19">
        <v>1</v>
      </c>
      <c r="AP105" s="19">
        <v>1</v>
      </c>
      <c r="AQ105" s="19">
        <v>0.8889</v>
      </c>
      <c r="AR105" s="19">
        <v>0.6296</v>
      </c>
      <c r="AS105" s="19">
        <v>1</v>
      </c>
      <c r="AT105" s="19">
        <v>0.5</v>
      </c>
      <c r="AU105" s="3">
        <v>0</v>
      </c>
      <c r="AV105" s="3">
        <v>0</v>
      </c>
      <c r="AW105" s="19">
        <v>0</v>
      </c>
      <c r="AX105" s="3">
        <v>0</v>
      </c>
      <c r="AY105" s="3">
        <v>0</v>
      </c>
    </row>
    <row r="106" spans="1:51">
      <c r="A106" s="3">
        <v>15773554</v>
      </c>
      <c r="B106" t="s">
        <v>260</v>
      </c>
      <c r="C106" s="3">
        <v>114310191</v>
      </c>
      <c r="D106" t="s">
        <v>44</v>
      </c>
      <c r="E106" t="s">
        <v>117</v>
      </c>
      <c r="F106" t="s">
        <v>46</v>
      </c>
      <c r="G106" t="s">
        <v>47</v>
      </c>
      <c r="H106" s="16">
        <v>346</v>
      </c>
      <c r="I106" s="4">
        <f>VLOOKUP(C106,[1]sheet1!$D:$I,6,0)</f>
        <v>1037</v>
      </c>
      <c r="J106" s="4">
        <f>VLOOKUP(C106,[2]sheet1!$D:$I,6,0)</f>
        <v>0</v>
      </c>
      <c r="K106" s="4">
        <f>VLOOKUP(C106,[3]sheet1!$D:$I,6,0)</f>
        <v>0</v>
      </c>
      <c r="L106" s="4">
        <f>VLOOKUP(C106,[4]sheet1!$D:$I,6,0)</f>
        <v>695</v>
      </c>
      <c r="M106" s="4">
        <f>VLOOKUP(C106,[5]sheet1!$D:$I,6,0)</f>
        <v>691</v>
      </c>
      <c r="N106" s="4">
        <f>VLOOKUP(C106,[6]sheet1!$D:$I,6,0)</f>
        <v>345</v>
      </c>
      <c r="O106" s="4">
        <f>VLOOKUP(C106,[7]sheet1!$D:$I,6,0)</f>
        <v>993</v>
      </c>
      <c r="P106" s="4">
        <f>VLOOKUP(C106,[8]sheet1!$D:$I,6,0)</f>
        <v>0</v>
      </c>
      <c r="Q106" s="4">
        <f t="shared" si="1"/>
        <v>4107</v>
      </c>
      <c r="R106" s="3">
        <v>1</v>
      </c>
      <c r="S106">
        <v>236</v>
      </c>
      <c r="T106">
        <v>575</v>
      </c>
      <c r="U106" s="3">
        <v>0</v>
      </c>
      <c r="V106" s="3">
        <v>1</v>
      </c>
      <c r="W106">
        <v>0</v>
      </c>
      <c r="X106" s="3">
        <v>0</v>
      </c>
      <c r="Y106">
        <v>0</v>
      </c>
      <c r="Z106" s="3">
        <v>0</v>
      </c>
      <c r="AA106" t="s">
        <v>261</v>
      </c>
      <c r="AB106" s="3">
        <v>299</v>
      </c>
      <c r="AC106">
        <v>329.49</v>
      </c>
      <c r="AD106" t="s">
        <v>49</v>
      </c>
      <c r="AE106">
        <v>346</v>
      </c>
      <c r="AF106" s="3">
        <v>1</v>
      </c>
      <c r="AG106" t="s">
        <v>49</v>
      </c>
      <c r="AH106">
        <v>329.49</v>
      </c>
      <c r="AI106" t="s">
        <v>49</v>
      </c>
      <c r="AJ106">
        <v>250.32</v>
      </c>
      <c r="AK106" t="s">
        <v>49</v>
      </c>
      <c r="AL106">
        <v>250.32</v>
      </c>
      <c r="AM106" t="s">
        <v>49</v>
      </c>
      <c r="AN106" s="3">
        <v>44</v>
      </c>
      <c r="AO106" s="19">
        <v>0</v>
      </c>
      <c r="AP106" s="19">
        <v>1</v>
      </c>
      <c r="AQ106" s="19">
        <v>0.6341</v>
      </c>
      <c r="AR106" s="19">
        <v>0.4878</v>
      </c>
      <c r="AS106" s="19">
        <v>0</v>
      </c>
      <c r="AT106" s="19">
        <v>0</v>
      </c>
      <c r="AU106" s="3">
        <v>0</v>
      </c>
      <c r="AV106" s="3">
        <v>0</v>
      </c>
      <c r="AW106" s="19">
        <v>0</v>
      </c>
      <c r="AX106" s="3">
        <v>0</v>
      </c>
      <c r="AY106" s="3">
        <v>0</v>
      </c>
    </row>
    <row r="107" spans="1:51">
      <c r="A107" s="3">
        <v>15690469</v>
      </c>
      <c r="B107" t="s">
        <v>262</v>
      </c>
      <c r="C107" s="3">
        <v>124408268</v>
      </c>
      <c r="D107" t="s">
        <v>44</v>
      </c>
      <c r="E107" t="s">
        <v>258</v>
      </c>
      <c r="F107" t="s">
        <v>46</v>
      </c>
      <c r="G107" t="s">
        <v>47</v>
      </c>
      <c r="H107" s="16">
        <v>1331</v>
      </c>
      <c r="I107" s="4">
        <f>VLOOKUP(C107,[1]sheet1!$D:$I,6,0)</f>
        <v>0</v>
      </c>
      <c r="J107" s="4">
        <f>VLOOKUP(C107,[2]sheet1!$D:$I,6,0)</f>
        <v>0</v>
      </c>
      <c r="K107" s="4">
        <f>VLOOKUP(C107,[3]sheet1!$D:$I,6,0)</f>
        <v>0</v>
      </c>
      <c r="L107" s="4">
        <f>VLOOKUP(C107,[4]sheet1!$D:$I,6,0)</f>
        <v>0</v>
      </c>
      <c r="M107" s="4">
        <f>VLOOKUP(C107,[5]sheet1!$D:$I,6,0)</f>
        <v>0</v>
      </c>
      <c r="N107" s="4">
        <f>VLOOKUP(C107,[6]sheet1!$D:$I,6,0)</f>
        <v>0</v>
      </c>
      <c r="O107" s="4">
        <f>VLOOKUP(C107,[7]sheet1!$D:$I,6,0)</f>
        <v>0</v>
      </c>
      <c r="P107" s="4">
        <f>VLOOKUP(C107,[8]sheet1!$D:$I,6,0)</f>
        <v>0</v>
      </c>
      <c r="Q107" s="4">
        <f t="shared" si="1"/>
        <v>1331</v>
      </c>
      <c r="R107" s="3">
        <v>1</v>
      </c>
      <c r="S107">
        <v>563</v>
      </c>
      <c r="T107">
        <v>241</v>
      </c>
      <c r="U107" s="3">
        <v>7</v>
      </c>
      <c r="V107" s="3">
        <v>1</v>
      </c>
      <c r="W107">
        <v>0</v>
      </c>
      <c r="X107" s="3">
        <v>0</v>
      </c>
      <c r="Y107">
        <v>0</v>
      </c>
      <c r="Z107" s="3">
        <v>0</v>
      </c>
      <c r="AA107" t="s">
        <v>263</v>
      </c>
      <c r="AB107" s="3">
        <v>1011</v>
      </c>
      <c r="AC107">
        <v>1171.71</v>
      </c>
      <c r="AD107" t="s">
        <v>49</v>
      </c>
      <c r="AE107">
        <v>1331</v>
      </c>
      <c r="AF107" s="3">
        <v>1</v>
      </c>
      <c r="AG107" t="s">
        <v>49</v>
      </c>
      <c r="AH107">
        <v>1171.71</v>
      </c>
      <c r="AI107" t="s">
        <v>49</v>
      </c>
      <c r="AJ107">
        <v>868.08</v>
      </c>
      <c r="AK107" t="s">
        <v>49</v>
      </c>
      <c r="AL107">
        <v>868.08</v>
      </c>
      <c r="AM107" t="s">
        <v>49</v>
      </c>
      <c r="AN107">
        <v>612</v>
      </c>
      <c r="AO107" s="19">
        <v>0</v>
      </c>
      <c r="AP107" s="19">
        <v>0</v>
      </c>
      <c r="AQ107" s="19">
        <v>0.9359</v>
      </c>
      <c r="AR107" s="19">
        <v>0.2991</v>
      </c>
      <c r="AS107" s="19">
        <v>1</v>
      </c>
      <c r="AT107" s="19">
        <v>0.1429</v>
      </c>
      <c r="AU107" s="3">
        <v>0</v>
      </c>
      <c r="AV107" s="3">
        <v>0</v>
      </c>
      <c r="AW107" s="19">
        <v>0</v>
      </c>
      <c r="AX107" s="3">
        <v>0</v>
      </c>
      <c r="AY107" s="3">
        <v>0</v>
      </c>
    </row>
    <row r="108" spans="1:51">
      <c r="A108" s="3">
        <v>15544887</v>
      </c>
      <c r="B108" t="s">
        <v>264</v>
      </c>
      <c r="C108" s="3">
        <v>124401010</v>
      </c>
      <c r="D108" t="s">
        <v>44</v>
      </c>
      <c r="E108" t="s">
        <v>141</v>
      </c>
      <c r="F108" t="s">
        <v>65</v>
      </c>
      <c r="G108" t="s">
        <v>47</v>
      </c>
      <c r="H108" s="16">
        <v>1272</v>
      </c>
      <c r="I108" s="4">
        <f>VLOOKUP(C108,[1]sheet1!$D:$I,6,0)</f>
        <v>0</v>
      </c>
      <c r="J108" s="4">
        <f>VLOOKUP(C108,[2]sheet1!$D:$I,6,0)</f>
        <v>0</v>
      </c>
      <c r="K108" s="4">
        <f>VLOOKUP(C108,[3]sheet1!$D:$I,6,0)</f>
        <v>0</v>
      </c>
      <c r="L108" s="4">
        <f>VLOOKUP(C108,[4]sheet1!$D:$I,6,0)</f>
        <v>1272</v>
      </c>
      <c r="M108" s="4">
        <f>VLOOKUP(C108,[5]sheet1!$D:$I,6,0)</f>
        <v>1253</v>
      </c>
      <c r="N108" s="4">
        <f>VLOOKUP(C108,[6]sheet1!$D:$I,6,0)</f>
        <v>0</v>
      </c>
      <c r="O108" s="4">
        <f>VLOOKUP(C108,[7]sheet1!$D:$I,6,0)</f>
        <v>0</v>
      </c>
      <c r="P108" s="4">
        <f>VLOOKUP(C108,[8]sheet1!$D:$I,6,0)</f>
        <v>0</v>
      </c>
      <c r="Q108" s="4">
        <f t="shared" si="1"/>
        <v>3797</v>
      </c>
      <c r="R108" s="3">
        <v>1</v>
      </c>
      <c r="S108" s="3">
        <v>8</v>
      </c>
      <c r="T108" s="19">
        <v>0.125</v>
      </c>
      <c r="U108" s="3">
        <v>0</v>
      </c>
      <c r="V108" s="3">
        <v>1</v>
      </c>
      <c r="W108">
        <v>0</v>
      </c>
      <c r="X108" s="3">
        <v>0</v>
      </c>
      <c r="Y108">
        <v>0</v>
      </c>
      <c r="Z108" s="3">
        <v>0</v>
      </c>
      <c r="AA108" t="s">
        <v>49</v>
      </c>
      <c r="AB108" t="s">
        <v>49</v>
      </c>
      <c r="AC108" t="s">
        <v>49</v>
      </c>
      <c r="AD108" t="s">
        <v>49</v>
      </c>
      <c r="AE108">
        <v>1272</v>
      </c>
      <c r="AF108" s="3">
        <v>1</v>
      </c>
      <c r="AG108" t="s">
        <v>49</v>
      </c>
      <c r="AH108" t="s">
        <v>49</v>
      </c>
      <c r="AI108" t="s">
        <v>49</v>
      </c>
      <c r="AJ108" t="s">
        <v>49</v>
      </c>
      <c r="AK108" t="s">
        <v>49</v>
      </c>
      <c r="AL108" t="s">
        <v>49</v>
      </c>
      <c r="AM108" t="s">
        <v>49</v>
      </c>
      <c r="AN108" s="3">
        <v>18</v>
      </c>
      <c r="AO108" s="19">
        <v>1</v>
      </c>
      <c r="AP108" s="19">
        <v>0</v>
      </c>
      <c r="AQ108" s="19">
        <v>0.875</v>
      </c>
      <c r="AR108" s="19">
        <v>0.25</v>
      </c>
      <c r="AS108" s="19">
        <v>0</v>
      </c>
      <c r="AT108" s="19">
        <v>0</v>
      </c>
      <c r="AU108" s="3">
        <v>0</v>
      </c>
      <c r="AV108" s="3">
        <v>0</v>
      </c>
      <c r="AW108" s="19">
        <v>0</v>
      </c>
      <c r="AX108" s="3">
        <v>0</v>
      </c>
      <c r="AY108" s="3">
        <v>0</v>
      </c>
    </row>
    <row r="109" spans="1:51">
      <c r="A109" s="3">
        <v>14857340</v>
      </c>
      <c r="B109" t="s">
        <v>265</v>
      </c>
      <c r="C109" t="s">
        <v>266</v>
      </c>
      <c r="D109" t="s">
        <v>44</v>
      </c>
      <c r="E109" t="s">
        <v>267</v>
      </c>
      <c r="F109" t="s">
        <v>46</v>
      </c>
      <c r="G109" t="s">
        <v>47</v>
      </c>
      <c r="H109" s="16">
        <v>577</v>
      </c>
      <c r="I109" s="4">
        <f>VLOOKUP(C109,[1]sheet1!$D:$I,6,0)</f>
        <v>0</v>
      </c>
      <c r="J109" s="4">
        <f>VLOOKUP(C109,[2]sheet1!$D:$I,6,0)</f>
        <v>0</v>
      </c>
      <c r="K109" s="4">
        <f>VLOOKUP(C109,[3]sheet1!$D:$I,6,0)</f>
        <v>0</v>
      </c>
      <c r="L109" s="4">
        <f>VLOOKUP(C109,[4]sheet1!$D:$I,6,0)</f>
        <v>0</v>
      </c>
      <c r="M109" s="4">
        <f>VLOOKUP(C109,[5]sheet1!$D:$I,6,0)</f>
        <v>0</v>
      </c>
      <c r="N109" s="4">
        <f>VLOOKUP(C109,[6]sheet1!$D:$I,6,0)</f>
        <v>0</v>
      </c>
      <c r="O109" s="4">
        <f>VLOOKUP(C109,[7]sheet1!$D:$I,6,0)</f>
        <v>0</v>
      </c>
      <c r="P109" s="4">
        <f>VLOOKUP(C109,[8]sheet1!$D:$I,6,0)</f>
        <v>0</v>
      </c>
      <c r="Q109" s="4">
        <f t="shared" si="1"/>
        <v>577</v>
      </c>
      <c r="R109" s="3">
        <v>1</v>
      </c>
      <c r="S109">
        <v>90</v>
      </c>
      <c r="T109">
        <v>1502</v>
      </c>
      <c r="U109" s="3">
        <v>2</v>
      </c>
      <c r="V109" s="3">
        <v>1</v>
      </c>
      <c r="W109">
        <v>0</v>
      </c>
      <c r="X109" s="3">
        <v>0</v>
      </c>
      <c r="Y109">
        <v>0</v>
      </c>
      <c r="Z109" s="3">
        <v>0</v>
      </c>
      <c r="AA109" t="s">
        <v>196</v>
      </c>
      <c r="AB109" s="3">
        <v>473</v>
      </c>
      <c r="AC109">
        <v>477.72</v>
      </c>
      <c r="AD109" t="s">
        <v>49</v>
      </c>
      <c r="AE109">
        <v>577</v>
      </c>
      <c r="AF109" s="3">
        <v>1</v>
      </c>
      <c r="AG109" t="s">
        <v>49</v>
      </c>
      <c r="AH109">
        <v>477.72</v>
      </c>
      <c r="AI109" t="s">
        <v>49</v>
      </c>
      <c r="AJ109">
        <v>402.9</v>
      </c>
      <c r="AK109" t="s">
        <v>49</v>
      </c>
      <c r="AL109">
        <v>402.9</v>
      </c>
      <c r="AM109" t="s">
        <v>49</v>
      </c>
      <c r="AN109" s="3">
        <v>11</v>
      </c>
      <c r="AO109" s="19">
        <v>0</v>
      </c>
      <c r="AP109" s="19">
        <v>0</v>
      </c>
      <c r="AQ109" s="19">
        <v>0.6667</v>
      </c>
      <c r="AR109" s="19">
        <v>0.1667</v>
      </c>
      <c r="AS109" s="19">
        <v>0.5</v>
      </c>
      <c r="AT109" s="19">
        <v>0</v>
      </c>
      <c r="AU109" s="3">
        <v>0</v>
      </c>
      <c r="AV109" s="3">
        <v>0</v>
      </c>
      <c r="AW109" s="19">
        <v>0</v>
      </c>
      <c r="AX109" s="3">
        <v>0</v>
      </c>
      <c r="AY109" s="3">
        <v>0</v>
      </c>
    </row>
    <row r="110" spans="1:51">
      <c r="A110" s="3">
        <v>14850744</v>
      </c>
      <c r="B110" t="s">
        <v>268</v>
      </c>
      <c r="C110" t="s">
        <v>269</v>
      </c>
      <c r="D110" t="s">
        <v>44</v>
      </c>
      <c r="E110" t="s">
        <v>146</v>
      </c>
      <c r="F110" t="s">
        <v>46</v>
      </c>
      <c r="G110" t="s">
        <v>47</v>
      </c>
      <c r="H110" s="16">
        <v>472</v>
      </c>
      <c r="I110" s="4">
        <f>VLOOKUP(C110,[1]sheet1!$D:$I,6,0)</f>
        <v>0</v>
      </c>
      <c r="J110" s="4">
        <f>VLOOKUP(C110,[2]sheet1!$D:$I,6,0)</f>
        <v>0</v>
      </c>
      <c r="K110" s="4">
        <f>VLOOKUP(C110,[3]sheet1!$D:$I,6,0)</f>
        <v>0</v>
      </c>
      <c r="L110" s="4">
        <f>VLOOKUP(C110,[4]sheet1!$D:$I,6,0)</f>
        <v>0</v>
      </c>
      <c r="M110" s="4">
        <f>VLOOKUP(C110,[5]sheet1!$D:$I,6,0)</f>
        <v>0</v>
      </c>
      <c r="N110" s="4">
        <f>VLOOKUP(C110,[6]sheet1!$D:$I,6,0)</f>
        <v>0</v>
      </c>
      <c r="O110" s="4">
        <f>VLOOKUP(C110,[7]sheet1!$D:$I,6,0)</f>
        <v>0</v>
      </c>
      <c r="P110" s="4">
        <f>VLOOKUP(C110,[8]sheet1!$D:$I,6,0)</f>
        <v>454</v>
      </c>
      <c r="Q110" s="4">
        <f t="shared" si="1"/>
        <v>926</v>
      </c>
      <c r="R110" s="3">
        <v>1</v>
      </c>
      <c r="S110">
        <v>292</v>
      </c>
      <c r="T110">
        <v>464</v>
      </c>
      <c r="U110" s="3">
        <v>3</v>
      </c>
      <c r="V110" s="3">
        <v>1</v>
      </c>
      <c r="W110">
        <v>0</v>
      </c>
      <c r="X110" s="3">
        <v>0</v>
      </c>
      <c r="Y110">
        <v>490</v>
      </c>
      <c r="Z110" s="3">
        <v>1</v>
      </c>
      <c r="AA110" t="s">
        <v>270</v>
      </c>
      <c r="AB110" s="3">
        <v>336</v>
      </c>
      <c r="AC110">
        <v>409.99</v>
      </c>
      <c r="AD110" t="s">
        <v>49</v>
      </c>
      <c r="AE110">
        <v>472</v>
      </c>
      <c r="AF110" s="3">
        <v>1</v>
      </c>
      <c r="AG110" t="s">
        <v>49</v>
      </c>
      <c r="AH110">
        <v>409.99</v>
      </c>
      <c r="AI110" t="s">
        <v>49</v>
      </c>
      <c r="AJ110">
        <v>284.71</v>
      </c>
      <c r="AK110" t="s">
        <v>49</v>
      </c>
      <c r="AL110">
        <v>284.71</v>
      </c>
      <c r="AM110" t="s">
        <v>49</v>
      </c>
      <c r="AN110" s="3">
        <v>84</v>
      </c>
      <c r="AO110" s="19">
        <v>1</v>
      </c>
      <c r="AP110" s="19">
        <v>0</v>
      </c>
      <c r="AQ110" s="19">
        <v>0.8413</v>
      </c>
      <c r="AR110" s="19">
        <v>0.3968</v>
      </c>
      <c r="AS110" s="19">
        <v>1</v>
      </c>
      <c r="AT110" s="19">
        <v>0.6667</v>
      </c>
      <c r="AU110" s="3">
        <v>0</v>
      </c>
      <c r="AV110" s="3">
        <v>0</v>
      </c>
      <c r="AW110" s="19">
        <v>0</v>
      </c>
      <c r="AX110" s="3">
        <v>0</v>
      </c>
      <c r="AY110" s="3">
        <v>0</v>
      </c>
    </row>
    <row r="111" spans="1:51">
      <c r="A111" s="3">
        <v>14644799</v>
      </c>
      <c r="B111" t="s">
        <v>271</v>
      </c>
      <c r="C111" t="s">
        <v>272</v>
      </c>
      <c r="D111" t="s">
        <v>44</v>
      </c>
      <c r="E111" t="s">
        <v>104</v>
      </c>
      <c r="F111" t="s">
        <v>46</v>
      </c>
      <c r="G111" t="s">
        <v>47</v>
      </c>
      <c r="H111" s="16">
        <v>478</v>
      </c>
      <c r="I111" s="4">
        <f>VLOOKUP(C111,[1]sheet1!$D:$I,6,0)</f>
        <v>478</v>
      </c>
      <c r="J111" s="4">
        <f>VLOOKUP(C111,[2]sheet1!$D:$I,6,0)</f>
        <v>955</v>
      </c>
      <c r="K111" s="4">
        <f>VLOOKUP(C111,[3]sheet1!$D:$I,6,0)</f>
        <v>457</v>
      </c>
      <c r="L111" s="4">
        <f>VLOOKUP(C111,[4]sheet1!$D:$I,6,0)</f>
        <v>478</v>
      </c>
      <c r="M111" s="4">
        <f>VLOOKUP(C111,[5]sheet1!$D:$I,6,0)</f>
        <v>1861</v>
      </c>
      <c r="N111" s="4">
        <f>VLOOKUP(C111,[6]sheet1!$D:$I,6,0)</f>
        <v>1434</v>
      </c>
      <c r="O111" s="4">
        <f>VLOOKUP(C111,[7]sheet1!$D:$I,6,0)</f>
        <v>3781</v>
      </c>
      <c r="P111" s="4">
        <f>VLOOKUP(C111,[8]sheet1!$D:$I,6,0)</f>
        <v>4244</v>
      </c>
      <c r="Q111" s="4">
        <f t="shared" si="1"/>
        <v>14166</v>
      </c>
      <c r="R111" s="3">
        <v>1</v>
      </c>
      <c r="S111">
        <v>1154</v>
      </c>
      <c r="T111">
        <v>116</v>
      </c>
      <c r="U111" s="3">
        <v>70</v>
      </c>
      <c r="V111" s="3">
        <v>1</v>
      </c>
      <c r="W111">
        <v>0</v>
      </c>
      <c r="X111" s="3">
        <v>0</v>
      </c>
      <c r="Y111">
        <v>0</v>
      </c>
      <c r="Z111" s="3">
        <v>0</v>
      </c>
      <c r="AA111" t="s">
        <v>121</v>
      </c>
      <c r="AB111" s="3">
        <v>401</v>
      </c>
      <c r="AC111">
        <v>415.82</v>
      </c>
      <c r="AD111" t="s">
        <v>49</v>
      </c>
      <c r="AE111">
        <v>478</v>
      </c>
      <c r="AF111" s="3">
        <v>1</v>
      </c>
      <c r="AG111" t="s">
        <v>49</v>
      </c>
      <c r="AH111">
        <v>415.82</v>
      </c>
      <c r="AI111" t="s">
        <v>49</v>
      </c>
      <c r="AJ111">
        <v>363.32</v>
      </c>
      <c r="AK111" t="s">
        <v>49</v>
      </c>
      <c r="AL111">
        <v>363.32</v>
      </c>
      <c r="AM111" t="s">
        <v>49</v>
      </c>
      <c r="AN111" s="3">
        <v>1497</v>
      </c>
      <c r="AO111" s="19">
        <v>0</v>
      </c>
      <c r="AP111" s="19">
        <v>0</v>
      </c>
      <c r="AQ111" s="19">
        <v>0.8791</v>
      </c>
      <c r="AR111" s="19">
        <v>0.5427</v>
      </c>
      <c r="AS111" s="19">
        <v>0.9429</v>
      </c>
      <c r="AT111" s="19">
        <v>0.5857</v>
      </c>
      <c r="AU111" s="3">
        <v>0</v>
      </c>
      <c r="AV111" s="3">
        <v>0</v>
      </c>
      <c r="AW111" s="19">
        <v>0</v>
      </c>
      <c r="AX111" s="3">
        <v>0</v>
      </c>
      <c r="AY111" s="3">
        <v>0</v>
      </c>
    </row>
    <row r="112" spans="1:51">
      <c r="A112" s="3">
        <v>14617186</v>
      </c>
      <c r="B112" t="s">
        <v>273</v>
      </c>
      <c r="C112" s="3">
        <v>124301070</v>
      </c>
      <c r="D112" t="s">
        <v>44</v>
      </c>
      <c r="E112" t="s">
        <v>104</v>
      </c>
      <c r="F112" t="s">
        <v>46</v>
      </c>
      <c r="G112" t="s">
        <v>47</v>
      </c>
      <c r="H112" s="16">
        <v>872</v>
      </c>
      <c r="I112" s="4">
        <f>VLOOKUP(C112,[1]sheet1!$D:$I,6,0)</f>
        <v>872</v>
      </c>
      <c r="J112" s="4">
        <f>VLOOKUP(C112,[2]sheet1!$D:$I,6,0)</f>
        <v>672</v>
      </c>
      <c r="K112" s="4">
        <f>VLOOKUP(C112,[3]sheet1!$D:$I,6,0)</f>
        <v>1975</v>
      </c>
      <c r="L112" s="4">
        <f>VLOOKUP(C112,[4]sheet1!$D:$I,6,0)</f>
        <v>4312.45</v>
      </c>
      <c r="M112" s="4">
        <f>VLOOKUP(C112,[5]sheet1!$D:$I,6,0)</f>
        <v>0</v>
      </c>
      <c r="N112" s="4">
        <f>VLOOKUP(C112,[6]sheet1!$D:$I,6,0)</f>
        <v>672</v>
      </c>
      <c r="O112" s="4">
        <f>VLOOKUP(C112,[7]sheet1!$D:$I,6,0)</f>
        <v>662</v>
      </c>
      <c r="P112" s="4">
        <f>VLOOKUP(C112,[8]sheet1!$D:$I,6,0)</f>
        <v>1344</v>
      </c>
      <c r="Q112" s="4">
        <f t="shared" si="1"/>
        <v>11381.45</v>
      </c>
      <c r="R112" s="3">
        <v>1</v>
      </c>
      <c r="S112">
        <v>958</v>
      </c>
      <c r="T112">
        <v>142</v>
      </c>
      <c r="U112" s="3">
        <v>44</v>
      </c>
      <c r="V112" s="3">
        <v>1</v>
      </c>
      <c r="W112">
        <v>846</v>
      </c>
      <c r="X112" s="3">
        <v>1</v>
      </c>
      <c r="Y112">
        <v>0</v>
      </c>
      <c r="Z112" s="3">
        <v>0</v>
      </c>
      <c r="AA112" t="s">
        <v>274</v>
      </c>
      <c r="AB112" s="3">
        <v>660</v>
      </c>
      <c r="AC112">
        <v>764.69</v>
      </c>
      <c r="AD112" t="s">
        <v>49</v>
      </c>
      <c r="AE112">
        <v>872</v>
      </c>
      <c r="AF112" s="3">
        <v>1</v>
      </c>
      <c r="AG112" t="s">
        <v>49</v>
      </c>
      <c r="AH112">
        <v>764.69</v>
      </c>
      <c r="AI112" t="s">
        <v>49</v>
      </c>
      <c r="AJ112">
        <v>597.59</v>
      </c>
      <c r="AK112" t="s">
        <v>49</v>
      </c>
      <c r="AL112">
        <v>597.59</v>
      </c>
      <c r="AM112" t="s">
        <v>49</v>
      </c>
      <c r="AN112">
        <v>1178</v>
      </c>
      <c r="AO112" s="19">
        <v>1</v>
      </c>
      <c r="AP112" s="19">
        <v>0</v>
      </c>
      <c r="AQ112" s="19">
        <v>0.8687</v>
      </c>
      <c r="AR112" s="19">
        <v>0.6342</v>
      </c>
      <c r="AS112" s="19">
        <v>0.9091</v>
      </c>
      <c r="AT112" s="19">
        <v>0.6364</v>
      </c>
      <c r="AU112" s="3">
        <v>0</v>
      </c>
      <c r="AV112" s="3">
        <v>0</v>
      </c>
      <c r="AW112" s="19">
        <v>0</v>
      </c>
      <c r="AX112" s="3">
        <v>0</v>
      </c>
      <c r="AY112" s="3">
        <v>0</v>
      </c>
    </row>
    <row r="113" spans="1:51">
      <c r="A113" s="3">
        <v>13399500</v>
      </c>
      <c r="B113" t="s">
        <v>275</v>
      </c>
      <c r="C113" s="3">
        <v>114319003</v>
      </c>
      <c r="D113" t="s">
        <v>44</v>
      </c>
      <c r="E113" t="s">
        <v>100</v>
      </c>
      <c r="F113" t="s">
        <v>46</v>
      </c>
      <c r="G113" t="s">
        <v>47</v>
      </c>
      <c r="H113" s="16">
        <v>339</v>
      </c>
      <c r="I113" s="4">
        <f>VLOOKUP(C113,[1]sheet1!$D:$I,6,0)</f>
        <v>657</v>
      </c>
      <c r="J113" s="4">
        <f>VLOOKUP(C113,[2]sheet1!$D:$I,6,0)</f>
        <v>0</v>
      </c>
      <c r="K113" s="4">
        <f>VLOOKUP(C113,[3]sheet1!$D:$I,6,0)</f>
        <v>699</v>
      </c>
      <c r="L113" s="4">
        <f>VLOOKUP(C113,[4]sheet1!$D:$I,6,0)</f>
        <v>1007</v>
      </c>
      <c r="M113" s="4">
        <f>VLOOKUP(C113,[5]sheet1!$D:$I,6,0)</f>
        <v>976</v>
      </c>
      <c r="N113" s="4">
        <f>VLOOKUP(C113,[6]sheet1!$D:$I,6,0)</f>
        <v>1698</v>
      </c>
      <c r="O113" s="4">
        <f>VLOOKUP(C113,[7]sheet1!$D:$I,6,0)</f>
        <v>339</v>
      </c>
      <c r="P113" s="4">
        <f>VLOOKUP(C113,[8]sheet1!$D:$I,6,0)</f>
        <v>929</v>
      </c>
      <c r="Q113" s="4">
        <f t="shared" si="1"/>
        <v>6644</v>
      </c>
      <c r="R113" s="3">
        <v>1</v>
      </c>
      <c r="S113">
        <v>514</v>
      </c>
      <c r="T113">
        <v>263</v>
      </c>
      <c r="U113" s="3">
        <v>6</v>
      </c>
      <c r="V113" s="3">
        <v>1</v>
      </c>
      <c r="W113">
        <v>0</v>
      </c>
      <c r="X113" s="3">
        <v>0</v>
      </c>
      <c r="Y113">
        <v>0</v>
      </c>
      <c r="Z113" s="3">
        <v>0</v>
      </c>
      <c r="AA113" t="s">
        <v>85</v>
      </c>
      <c r="AB113" s="3">
        <v>275</v>
      </c>
      <c r="AC113">
        <v>304.1</v>
      </c>
      <c r="AD113" t="s">
        <v>49</v>
      </c>
      <c r="AE113">
        <v>339</v>
      </c>
      <c r="AF113" s="3">
        <v>1</v>
      </c>
      <c r="AG113" t="s">
        <v>49</v>
      </c>
      <c r="AH113">
        <v>304.1</v>
      </c>
      <c r="AI113" t="s">
        <v>49</v>
      </c>
      <c r="AJ113">
        <v>230.15</v>
      </c>
      <c r="AK113" t="s">
        <v>49</v>
      </c>
      <c r="AL113">
        <v>230.15</v>
      </c>
      <c r="AM113" t="s">
        <v>49</v>
      </c>
      <c r="AN113" s="3">
        <v>242</v>
      </c>
      <c r="AO113" s="19">
        <v>1</v>
      </c>
      <c r="AP113" s="19">
        <v>0</v>
      </c>
      <c r="AQ113" s="19">
        <v>0.8923</v>
      </c>
      <c r="AR113" s="19">
        <v>0.441</v>
      </c>
      <c r="AS113" s="19">
        <v>0.8333</v>
      </c>
      <c r="AT113" s="19">
        <v>0.6667</v>
      </c>
      <c r="AU113" s="3">
        <v>0</v>
      </c>
      <c r="AV113" s="3">
        <v>0</v>
      </c>
      <c r="AW113" s="19">
        <v>0</v>
      </c>
      <c r="AX113" s="3">
        <v>0</v>
      </c>
      <c r="AY113" s="3">
        <v>0</v>
      </c>
    </row>
    <row r="114" spans="1:51">
      <c r="A114" s="3">
        <v>13374672</v>
      </c>
      <c r="B114" t="s">
        <v>276</v>
      </c>
      <c r="C114" s="3">
        <v>114311231</v>
      </c>
      <c r="D114" t="s">
        <v>44</v>
      </c>
      <c r="E114" t="s">
        <v>277</v>
      </c>
      <c r="F114" t="s">
        <v>65</v>
      </c>
      <c r="G114" t="s">
        <v>47</v>
      </c>
      <c r="H114" s="16">
        <v>242</v>
      </c>
      <c r="I114" s="4">
        <f>VLOOKUP(C114,[1]sheet1!$D:$I,6,0)</f>
        <v>0</v>
      </c>
      <c r="J114" s="4">
        <f>VLOOKUP(C114,[2]sheet1!$D:$I,6,0)</f>
        <v>0</v>
      </c>
      <c r="K114" s="4">
        <f>VLOOKUP(C114,[3]sheet1!$D:$I,6,0)</f>
        <v>0</v>
      </c>
      <c r="L114" s="4">
        <f>VLOOKUP(C114,[4]sheet1!$D:$I,6,0)</f>
        <v>0</v>
      </c>
      <c r="M114" s="4">
        <f>VLOOKUP(C114,[5]sheet1!$D:$I,6,0)</f>
        <v>479</v>
      </c>
      <c r="N114" s="4">
        <f>VLOOKUP(C114,[6]sheet1!$D:$I,6,0)</f>
        <v>0</v>
      </c>
      <c r="O114" s="4">
        <f>VLOOKUP(C114,[7]sheet1!$D:$I,6,0)</f>
        <v>0</v>
      </c>
      <c r="P114" s="4">
        <f>VLOOKUP(C114,[8]sheet1!$D:$I,6,0)</f>
        <v>0</v>
      </c>
      <c r="Q114" s="4">
        <f t="shared" si="1"/>
        <v>721</v>
      </c>
      <c r="R114" s="3">
        <v>1</v>
      </c>
      <c r="S114" s="3">
        <v>8</v>
      </c>
      <c r="T114" s="19">
        <v>0.125</v>
      </c>
      <c r="U114" s="3">
        <v>2</v>
      </c>
      <c r="V114" s="3">
        <v>1</v>
      </c>
      <c r="W114">
        <v>0</v>
      </c>
      <c r="X114" s="3">
        <v>0</v>
      </c>
      <c r="Y114">
        <v>0</v>
      </c>
      <c r="Z114" s="3">
        <v>0</v>
      </c>
      <c r="AA114" t="s">
        <v>278</v>
      </c>
      <c r="AB114" t="s">
        <v>49</v>
      </c>
      <c r="AC114">
        <v>218.99</v>
      </c>
      <c r="AD114" t="s">
        <v>49</v>
      </c>
      <c r="AE114">
        <v>242</v>
      </c>
      <c r="AF114" s="3">
        <v>1</v>
      </c>
      <c r="AG114" t="s">
        <v>49</v>
      </c>
      <c r="AH114">
        <v>218.99</v>
      </c>
      <c r="AI114" t="s">
        <v>49</v>
      </c>
      <c r="AJ114" t="s">
        <v>49</v>
      </c>
      <c r="AK114" t="s">
        <v>49</v>
      </c>
      <c r="AL114" t="s">
        <v>49</v>
      </c>
      <c r="AM114" t="s">
        <v>49</v>
      </c>
      <c r="AN114" s="3">
        <v>17</v>
      </c>
      <c r="AO114" s="19">
        <v>0</v>
      </c>
      <c r="AP114" s="19">
        <v>0</v>
      </c>
      <c r="AQ114" s="19">
        <v>0.5</v>
      </c>
      <c r="AR114" s="19">
        <v>0.5</v>
      </c>
      <c r="AS114" s="19">
        <v>0.5</v>
      </c>
      <c r="AT114" s="19">
        <v>0.5</v>
      </c>
      <c r="AU114" s="3">
        <v>0</v>
      </c>
      <c r="AV114" s="3">
        <v>0</v>
      </c>
      <c r="AW114" s="19">
        <v>0</v>
      </c>
      <c r="AX114" s="3">
        <v>0</v>
      </c>
      <c r="AY114" s="3">
        <v>0</v>
      </c>
    </row>
    <row r="115" spans="1:51">
      <c r="A115" s="3">
        <v>13183727</v>
      </c>
      <c r="B115" t="s">
        <v>279</v>
      </c>
      <c r="C115" s="3">
        <v>16843502</v>
      </c>
      <c r="D115" t="s">
        <v>44</v>
      </c>
      <c r="E115" t="s">
        <v>280</v>
      </c>
      <c r="F115" t="s">
        <v>65</v>
      </c>
      <c r="G115" t="s">
        <v>47</v>
      </c>
      <c r="H115" s="16">
        <v>-12</v>
      </c>
      <c r="I115" s="4">
        <f>VLOOKUP(C115,[1]sheet1!$D:$I,6,0)</f>
        <v>0</v>
      </c>
      <c r="J115" s="4">
        <f>VLOOKUP(C115,[2]sheet1!$D:$I,6,0)</f>
        <v>0</v>
      </c>
      <c r="K115" s="4">
        <f>VLOOKUP(C115,[3]sheet1!$D:$I,6,0)</f>
        <v>0</v>
      </c>
      <c r="L115" s="4">
        <f>VLOOKUP(C115,[4]sheet1!$D:$I,6,0)</f>
        <v>0</v>
      </c>
      <c r="M115" s="4">
        <f>VLOOKUP(C115,[5]sheet1!$D:$I,6,0)</f>
        <v>0</v>
      </c>
      <c r="N115" s="4">
        <f>VLOOKUP(C115,[6]sheet1!$D:$I,6,0)</f>
        <v>0</v>
      </c>
      <c r="O115" s="4">
        <f>VLOOKUP(C115,[7]sheet1!$D:$I,6,0)</f>
        <v>0</v>
      </c>
      <c r="P115" s="4">
        <f>VLOOKUP(C115,[8]sheet1!$D:$I,6,0)</f>
        <v>0</v>
      </c>
      <c r="Q115" s="4">
        <f t="shared" si="1"/>
        <v>-12</v>
      </c>
      <c r="R115" s="3">
        <v>1</v>
      </c>
      <c r="S115" s="3">
        <v>1</v>
      </c>
      <c r="T115" s="19">
        <v>1</v>
      </c>
      <c r="U115" s="3">
        <v>0</v>
      </c>
      <c r="V115" s="3">
        <v>1</v>
      </c>
      <c r="W115">
        <v>0</v>
      </c>
      <c r="X115" s="3">
        <v>0</v>
      </c>
      <c r="Y115">
        <v>0</v>
      </c>
      <c r="Z115" s="3">
        <v>0</v>
      </c>
      <c r="AA115" t="s">
        <v>49</v>
      </c>
      <c r="AB115" t="s">
        <v>49</v>
      </c>
      <c r="AC115" t="s">
        <v>49</v>
      </c>
      <c r="AD115" t="s">
        <v>49</v>
      </c>
      <c r="AE115">
        <v>-12</v>
      </c>
      <c r="AF115" s="3">
        <v>1</v>
      </c>
      <c r="AG115" t="s">
        <v>49</v>
      </c>
      <c r="AH115" t="s">
        <v>49</v>
      </c>
      <c r="AI115" t="s">
        <v>49</v>
      </c>
      <c r="AJ115" t="s">
        <v>49</v>
      </c>
      <c r="AK115" t="s">
        <v>49</v>
      </c>
      <c r="AL115" t="s">
        <v>49</v>
      </c>
      <c r="AM115" t="s">
        <v>49</v>
      </c>
      <c r="AN115" s="3">
        <v>1</v>
      </c>
      <c r="AO115" s="19">
        <v>0</v>
      </c>
      <c r="AP115" s="19">
        <v>0</v>
      </c>
      <c r="AQ115" s="19">
        <v>0</v>
      </c>
      <c r="AR115" s="19">
        <v>0</v>
      </c>
      <c r="AS115" s="19">
        <v>0</v>
      </c>
      <c r="AT115" s="19">
        <v>0</v>
      </c>
      <c r="AU115" s="3">
        <v>0</v>
      </c>
      <c r="AV115" s="3">
        <v>0</v>
      </c>
      <c r="AW115" s="19">
        <v>0</v>
      </c>
      <c r="AX115" s="3">
        <v>0</v>
      </c>
      <c r="AY115" s="3">
        <v>0</v>
      </c>
    </row>
    <row r="116" spans="1:51">
      <c r="A116" s="3">
        <v>12977687</v>
      </c>
      <c r="B116" t="s">
        <v>281</v>
      </c>
      <c r="C116" t="s">
        <v>282</v>
      </c>
      <c r="D116" t="s">
        <v>44</v>
      </c>
      <c r="E116" t="s">
        <v>283</v>
      </c>
      <c r="F116" t="s">
        <v>65</v>
      </c>
      <c r="G116" t="s">
        <v>47</v>
      </c>
      <c r="H116" s="16">
        <v>238</v>
      </c>
      <c r="I116" s="4">
        <f>VLOOKUP(C116,[1]sheet1!$D:$I,6,0)</f>
        <v>0</v>
      </c>
      <c r="J116" s="4">
        <f>VLOOKUP(C116,[2]sheet1!$D:$I,6,0)</f>
        <v>0</v>
      </c>
      <c r="K116" s="4">
        <f>VLOOKUP(C116,[3]sheet1!$D:$I,6,0)</f>
        <v>0</v>
      </c>
      <c r="L116" s="4">
        <f>VLOOKUP(C116,[4]sheet1!$D:$I,6,0)</f>
        <v>0</v>
      </c>
      <c r="M116" s="4">
        <f>VLOOKUP(C116,[5]sheet1!$D:$I,6,0)</f>
        <v>0</v>
      </c>
      <c r="N116" s="4">
        <f>VLOOKUP(C116,[6]sheet1!$D:$I,6,0)</f>
        <v>0</v>
      </c>
      <c r="O116" s="4">
        <f>VLOOKUP(C116,[7]sheet1!$D:$I,6,0)</f>
        <v>0</v>
      </c>
      <c r="P116" s="4">
        <f>VLOOKUP(C116,[8]sheet1!$D:$I,6,0)</f>
        <v>0</v>
      </c>
      <c r="Q116" s="4">
        <f t="shared" si="1"/>
        <v>238</v>
      </c>
      <c r="R116" s="3">
        <v>1</v>
      </c>
      <c r="S116" s="3">
        <v>4</v>
      </c>
      <c r="T116" s="19">
        <v>0.25</v>
      </c>
      <c r="U116" s="3">
        <v>0</v>
      </c>
      <c r="V116" s="3">
        <v>1</v>
      </c>
      <c r="W116">
        <v>0</v>
      </c>
      <c r="X116" s="3">
        <v>0</v>
      </c>
      <c r="Y116">
        <v>0</v>
      </c>
      <c r="Z116" s="3">
        <v>0</v>
      </c>
      <c r="AA116" t="s">
        <v>73</v>
      </c>
      <c r="AB116" t="s">
        <v>49</v>
      </c>
      <c r="AC116">
        <v>190.69</v>
      </c>
      <c r="AD116" t="s">
        <v>49</v>
      </c>
      <c r="AE116">
        <v>238</v>
      </c>
      <c r="AF116" s="3">
        <v>1</v>
      </c>
      <c r="AG116" t="s">
        <v>49</v>
      </c>
      <c r="AH116">
        <v>190.69</v>
      </c>
      <c r="AI116" t="s">
        <v>49</v>
      </c>
      <c r="AJ116" t="s">
        <v>49</v>
      </c>
      <c r="AK116" t="s">
        <v>49</v>
      </c>
      <c r="AL116" t="s">
        <v>49</v>
      </c>
      <c r="AM116" t="s">
        <v>49</v>
      </c>
      <c r="AN116" s="3">
        <v>7</v>
      </c>
      <c r="AO116" s="19">
        <v>1</v>
      </c>
      <c r="AP116" s="19">
        <v>1</v>
      </c>
      <c r="AQ116" s="19">
        <v>0.75</v>
      </c>
      <c r="AR116" s="19">
        <v>0.5</v>
      </c>
      <c r="AS116" s="19">
        <v>0</v>
      </c>
      <c r="AT116" s="19">
        <v>0</v>
      </c>
      <c r="AU116" s="3">
        <v>0</v>
      </c>
      <c r="AV116" s="3">
        <v>0</v>
      </c>
      <c r="AW116" s="19">
        <v>0</v>
      </c>
      <c r="AX116" s="3">
        <v>0</v>
      </c>
      <c r="AY116" s="3">
        <v>0</v>
      </c>
    </row>
    <row r="117" spans="1:51">
      <c r="A117" s="3">
        <v>12699340</v>
      </c>
      <c r="B117" t="s">
        <v>284</v>
      </c>
      <c r="C117" s="3">
        <v>164026416</v>
      </c>
      <c r="D117" t="s">
        <v>44</v>
      </c>
      <c r="E117" t="s">
        <v>78</v>
      </c>
      <c r="F117" t="s">
        <v>65</v>
      </c>
      <c r="G117" t="s">
        <v>47</v>
      </c>
      <c r="H117" s="16">
        <v>105</v>
      </c>
      <c r="I117" s="4">
        <f>VLOOKUP(C117,[1]sheet1!$D:$I,6,0)</f>
        <v>112</v>
      </c>
      <c r="J117" s="4">
        <f>VLOOKUP(C117,[2]sheet1!$D:$I,6,0)</f>
        <v>0</v>
      </c>
      <c r="K117" s="4">
        <f>VLOOKUP(C117,[3]sheet1!$D:$I,6,0)</f>
        <v>0</v>
      </c>
      <c r="L117" s="4">
        <f>VLOOKUP(C117,[4]sheet1!$D:$I,6,0)</f>
        <v>0</v>
      </c>
      <c r="M117" s="4">
        <f>VLOOKUP(C117,[5]sheet1!$D:$I,6,0)</f>
        <v>0</v>
      </c>
      <c r="N117" s="4">
        <f>VLOOKUP(C117,[6]sheet1!$D:$I,6,0)</f>
        <v>105</v>
      </c>
      <c r="O117" s="4">
        <f>VLOOKUP(C117,[7]sheet1!$D:$I,6,0)</f>
        <v>0</v>
      </c>
      <c r="P117" s="4">
        <f>VLOOKUP(C117,[8]sheet1!$D:$I,6,0)</f>
        <v>0</v>
      </c>
      <c r="Q117" s="4">
        <f t="shared" si="1"/>
        <v>322</v>
      </c>
      <c r="R117" s="3">
        <v>1</v>
      </c>
      <c r="S117" s="3">
        <v>33</v>
      </c>
      <c r="T117" s="19">
        <v>0.0303</v>
      </c>
      <c r="U117" s="3">
        <v>1</v>
      </c>
      <c r="V117" s="3">
        <v>1</v>
      </c>
      <c r="W117">
        <v>0</v>
      </c>
      <c r="X117" s="3">
        <v>0</v>
      </c>
      <c r="Y117">
        <v>0</v>
      </c>
      <c r="Z117" s="3">
        <v>0</v>
      </c>
      <c r="AA117" t="s">
        <v>181</v>
      </c>
      <c r="AB117" t="s">
        <v>49</v>
      </c>
      <c r="AC117">
        <v>91.35</v>
      </c>
      <c r="AD117" t="s">
        <v>49</v>
      </c>
      <c r="AE117">
        <v>105</v>
      </c>
      <c r="AF117" s="3">
        <v>1</v>
      </c>
      <c r="AG117" t="s">
        <v>49</v>
      </c>
      <c r="AH117">
        <v>91.35</v>
      </c>
      <c r="AI117" t="s">
        <v>49</v>
      </c>
      <c r="AJ117" t="s">
        <v>49</v>
      </c>
      <c r="AK117" t="s">
        <v>49</v>
      </c>
      <c r="AL117" t="s">
        <v>49</v>
      </c>
      <c r="AM117" t="s">
        <v>49</v>
      </c>
      <c r="AN117" s="3">
        <v>40</v>
      </c>
      <c r="AO117" s="19">
        <v>0</v>
      </c>
      <c r="AP117" s="19">
        <v>0</v>
      </c>
      <c r="AQ117" s="19">
        <v>0.7879</v>
      </c>
      <c r="AR117" s="19">
        <v>0.1515</v>
      </c>
      <c r="AS117" s="19">
        <v>1</v>
      </c>
      <c r="AT117" s="19">
        <v>1</v>
      </c>
      <c r="AU117" s="3">
        <v>0</v>
      </c>
      <c r="AV117" s="3">
        <v>0</v>
      </c>
      <c r="AW117" s="19">
        <v>0</v>
      </c>
      <c r="AX117" s="3">
        <v>0</v>
      </c>
      <c r="AY117" s="3">
        <v>0</v>
      </c>
    </row>
    <row r="118" spans="1:51">
      <c r="A118" s="3">
        <v>12601699</v>
      </c>
      <c r="B118" t="s">
        <v>285</v>
      </c>
      <c r="C118" s="3">
        <v>114301033</v>
      </c>
      <c r="D118" t="s">
        <v>44</v>
      </c>
      <c r="E118" t="s">
        <v>104</v>
      </c>
      <c r="F118" t="s">
        <v>46</v>
      </c>
      <c r="G118" t="s">
        <v>47</v>
      </c>
      <c r="H118" s="16">
        <v>533</v>
      </c>
      <c r="I118" s="4">
        <f>VLOOKUP(C118,[1]sheet1!$D:$I,6,0)</f>
        <v>0</v>
      </c>
      <c r="J118" s="4">
        <f>VLOOKUP(C118,[2]sheet1!$D:$I,6,0)</f>
        <v>0</v>
      </c>
      <c r="K118" s="4">
        <f>VLOOKUP(C118,[3]sheet1!$D:$I,6,0)</f>
        <v>0</v>
      </c>
      <c r="L118" s="4">
        <f>VLOOKUP(C118,[4]sheet1!$D:$I,6,0)</f>
        <v>1056</v>
      </c>
      <c r="M118" s="4">
        <f>VLOOKUP(C118,[5]sheet1!$D:$I,6,0)</f>
        <v>537</v>
      </c>
      <c r="N118" s="4">
        <f>VLOOKUP(C118,[6]sheet1!$D:$I,6,0)</f>
        <v>0</v>
      </c>
      <c r="O118" s="4">
        <f>VLOOKUP(C118,[7]sheet1!$D:$I,6,0)</f>
        <v>0</v>
      </c>
      <c r="P118" s="4">
        <f>VLOOKUP(C118,[8]sheet1!$D:$I,6,0)</f>
        <v>2534</v>
      </c>
      <c r="Q118" s="4">
        <f t="shared" si="1"/>
        <v>4660</v>
      </c>
      <c r="R118" s="3">
        <v>1</v>
      </c>
      <c r="S118">
        <v>393</v>
      </c>
      <c r="T118">
        <v>345</v>
      </c>
      <c r="U118" s="3">
        <v>13</v>
      </c>
      <c r="V118" s="3">
        <v>1</v>
      </c>
      <c r="W118">
        <v>0</v>
      </c>
      <c r="X118" s="3">
        <v>0</v>
      </c>
      <c r="Y118">
        <v>0</v>
      </c>
      <c r="Z118" s="3">
        <v>0</v>
      </c>
      <c r="AA118" t="s">
        <v>196</v>
      </c>
      <c r="AB118" s="3">
        <v>394</v>
      </c>
      <c r="AC118">
        <v>476.72</v>
      </c>
      <c r="AD118" t="s">
        <v>49</v>
      </c>
      <c r="AE118">
        <v>533</v>
      </c>
      <c r="AF118" s="3">
        <v>1</v>
      </c>
      <c r="AG118" t="s">
        <v>49</v>
      </c>
      <c r="AH118">
        <v>476.72</v>
      </c>
      <c r="AI118" t="s">
        <v>49</v>
      </c>
      <c r="AJ118">
        <v>341.05</v>
      </c>
      <c r="AK118" t="s">
        <v>49</v>
      </c>
      <c r="AL118">
        <v>341.05</v>
      </c>
      <c r="AM118" t="s">
        <v>49</v>
      </c>
      <c r="AN118" s="3">
        <v>157</v>
      </c>
      <c r="AO118" s="19">
        <v>0</v>
      </c>
      <c r="AP118" s="19">
        <v>0</v>
      </c>
      <c r="AQ118" s="19">
        <v>0.7895</v>
      </c>
      <c r="AR118" s="19">
        <v>0.5</v>
      </c>
      <c r="AS118" s="19">
        <v>0.9231</v>
      </c>
      <c r="AT118" s="19">
        <v>0.2308</v>
      </c>
      <c r="AU118" s="3">
        <v>0</v>
      </c>
      <c r="AV118" s="3">
        <v>0</v>
      </c>
      <c r="AW118" s="19">
        <v>0</v>
      </c>
      <c r="AX118" s="3">
        <v>0</v>
      </c>
      <c r="AY118" s="3">
        <v>0</v>
      </c>
    </row>
    <row r="119" spans="1:51">
      <c r="A119" s="3">
        <v>11952760</v>
      </c>
      <c r="B119" t="s">
        <v>286</v>
      </c>
      <c r="C119" s="3">
        <v>124301006</v>
      </c>
      <c r="D119" t="s">
        <v>44</v>
      </c>
      <c r="E119" t="s">
        <v>104</v>
      </c>
      <c r="F119" t="s">
        <v>46</v>
      </c>
      <c r="G119" t="s">
        <v>47</v>
      </c>
      <c r="H119" s="16">
        <v>768</v>
      </c>
      <c r="I119" s="4">
        <f>VLOOKUP(C119,[1]sheet1!$D:$I,6,0)</f>
        <v>776</v>
      </c>
      <c r="J119" s="4">
        <f>VLOOKUP(C119,[2]sheet1!$D:$I,6,0)</f>
        <v>3116</v>
      </c>
      <c r="K119" s="4">
        <f>VLOOKUP(C119,[3]sheet1!$D:$I,6,0)</f>
        <v>3062</v>
      </c>
      <c r="L119" s="4">
        <f>VLOOKUP(C119,[4]sheet1!$D:$I,6,0)</f>
        <v>1561</v>
      </c>
      <c r="M119" s="4">
        <f>VLOOKUP(C119,[5]sheet1!$D:$I,6,0)</f>
        <v>743</v>
      </c>
      <c r="N119" s="4">
        <f>VLOOKUP(C119,[6]sheet1!$D:$I,6,0)</f>
        <v>0</v>
      </c>
      <c r="O119" s="4">
        <f>VLOOKUP(C119,[7]sheet1!$D:$I,6,0)</f>
        <v>1466</v>
      </c>
      <c r="P119" s="4">
        <f>VLOOKUP(C119,[8]sheet1!$D:$I,6,0)</f>
        <v>1421</v>
      </c>
      <c r="Q119" s="4">
        <f t="shared" si="1"/>
        <v>12913</v>
      </c>
      <c r="R119" s="3">
        <v>1</v>
      </c>
      <c r="S119">
        <v>905</v>
      </c>
      <c r="T119">
        <v>152</v>
      </c>
      <c r="U119" s="3">
        <v>28</v>
      </c>
      <c r="V119" s="3">
        <v>1</v>
      </c>
      <c r="W119">
        <v>1479</v>
      </c>
      <c r="X119" s="3">
        <v>2</v>
      </c>
      <c r="Y119">
        <v>0</v>
      </c>
      <c r="Z119" s="3">
        <v>0</v>
      </c>
      <c r="AA119" t="s">
        <v>214</v>
      </c>
      <c r="AB119" s="3">
        <v>512</v>
      </c>
      <c r="AC119">
        <v>633.32</v>
      </c>
      <c r="AD119" t="s">
        <v>49</v>
      </c>
      <c r="AE119">
        <v>768</v>
      </c>
      <c r="AF119" s="3">
        <v>1</v>
      </c>
      <c r="AG119" t="s">
        <v>49</v>
      </c>
      <c r="AH119">
        <v>633.32</v>
      </c>
      <c r="AI119" t="s">
        <v>49</v>
      </c>
      <c r="AJ119">
        <v>471.67</v>
      </c>
      <c r="AK119" t="s">
        <v>49</v>
      </c>
      <c r="AL119">
        <v>471.67</v>
      </c>
      <c r="AM119" t="s">
        <v>49</v>
      </c>
      <c r="AN119" s="3">
        <v>788</v>
      </c>
      <c r="AO119" s="19">
        <v>1</v>
      </c>
      <c r="AP119" s="19">
        <v>0</v>
      </c>
      <c r="AQ119" s="19">
        <v>0.9124</v>
      </c>
      <c r="AR119" s="19">
        <v>0.5306</v>
      </c>
      <c r="AS119" s="19">
        <v>1</v>
      </c>
      <c r="AT119" s="19">
        <v>0.4286</v>
      </c>
      <c r="AU119" s="3">
        <v>0</v>
      </c>
      <c r="AV119" s="3">
        <v>0</v>
      </c>
      <c r="AW119" s="19">
        <v>0</v>
      </c>
      <c r="AX119" s="3">
        <v>0</v>
      </c>
      <c r="AY119" s="3">
        <v>0</v>
      </c>
    </row>
    <row r="120" spans="1:51">
      <c r="A120" s="3">
        <v>10859166</v>
      </c>
      <c r="B120" t="s">
        <v>287</v>
      </c>
      <c r="C120" s="3">
        <v>16402501</v>
      </c>
      <c r="D120" t="s">
        <v>44</v>
      </c>
      <c r="E120" t="s">
        <v>78</v>
      </c>
      <c r="F120" t="s">
        <v>65</v>
      </c>
      <c r="G120" t="s">
        <v>47</v>
      </c>
      <c r="H120" s="16">
        <v>157</v>
      </c>
      <c r="I120" s="4">
        <f>VLOOKUP(C120,[1]sheet1!$D:$I,6,0)</f>
        <v>0</v>
      </c>
      <c r="J120" s="4">
        <f>VLOOKUP(C120,[2]sheet1!$D:$I,6,0)</f>
        <v>156</v>
      </c>
      <c r="K120" s="4">
        <f>VLOOKUP(C120,[3]sheet1!$D:$I,6,0)</f>
        <v>157</v>
      </c>
      <c r="L120" s="4">
        <f>VLOOKUP(C120,[4]sheet1!$D:$I,6,0)</f>
        <v>149</v>
      </c>
      <c r="M120" s="4">
        <f>VLOOKUP(C120,[5]sheet1!$D:$I,6,0)</f>
        <v>129</v>
      </c>
      <c r="N120" s="4">
        <f>VLOOKUP(C120,[6]sheet1!$D:$I,6,0)</f>
        <v>138</v>
      </c>
      <c r="O120" s="4">
        <f>VLOOKUP(C120,[7]sheet1!$D:$I,6,0)</f>
        <v>150</v>
      </c>
      <c r="P120" s="4">
        <f>VLOOKUP(C120,[8]sheet1!$D:$I,6,0)</f>
        <v>0</v>
      </c>
      <c r="Q120" s="4">
        <f t="shared" si="1"/>
        <v>1036</v>
      </c>
      <c r="R120" s="3">
        <v>1</v>
      </c>
      <c r="S120" s="3">
        <v>56</v>
      </c>
      <c r="T120" s="19">
        <v>0.0179</v>
      </c>
      <c r="U120" s="3">
        <v>2</v>
      </c>
      <c r="V120" s="3">
        <v>1</v>
      </c>
      <c r="W120">
        <v>0</v>
      </c>
      <c r="X120" s="3">
        <v>0</v>
      </c>
      <c r="Y120">
        <v>0</v>
      </c>
      <c r="Z120" s="3">
        <v>0</v>
      </c>
      <c r="AA120" t="s">
        <v>167</v>
      </c>
      <c r="AB120" t="s">
        <v>49</v>
      </c>
      <c r="AC120">
        <v>116.25</v>
      </c>
      <c r="AD120" t="s">
        <v>49</v>
      </c>
      <c r="AE120">
        <v>157</v>
      </c>
      <c r="AF120" s="3">
        <v>1</v>
      </c>
      <c r="AG120" t="s">
        <v>49</v>
      </c>
      <c r="AH120">
        <v>116.25</v>
      </c>
      <c r="AI120" t="s">
        <v>49</v>
      </c>
      <c r="AJ120" t="s">
        <v>49</v>
      </c>
      <c r="AK120" t="s">
        <v>49</v>
      </c>
      <c r="AL120" t="s">
        <v>49</v>
      </c>
      <c r="AM120" t="s">
        <v>49</v>
      </c>
      <c r="AN120" s="3">
        <v>66</v>
      </c>
      <c r="AO120" s="19">
        <v>0</v>
      </c>
      <c r="AP120" s="19">
        <v>1</v>
      </c>
      <c r="AQ120" s="19">
        <v>0.6786</v>
      </c>
      <c r="AR120" s="19">
        <v>0.4107</v>
      </c>
      <c r="AS120" s="19">
        <v>1</v>
      </c>
      <c r="AT120" s="19">
        <v>0.5</v>
      </c>
      <c r="AU120" s="3">
        <v>0</v>
      </c>
      <c r="AV120" s="3">
        <v>0</v>
      </c>
      <c r="AW120" s="19">
        <v>0</v>
      </c>
      <c r="AX120" s="3">
        <v>0</v>
      </c>
      <c r="AY120" s="3">
        <v>0</v>
      </c>
    </row>
    <row r="121" spans="1:51">
      <c r="A121" s="3">
        <v>10697844</v>
      </c>
      <c r="B121" t="s">
        <v>288</v>
      </c>
      <c r="C121" s="3">
        <v>11411909</v>
      </c>
      <c r="D121" t="s">
        <v>44</v>
      </c>
      <c r="E121" t="s">
        <v>100</v>
      </c>
      <c r="F121" t="s">
        <v>46</v>
      </c>
      <c r="G121" t="s">
        <v>47</v>
      </c>
      <c r="H121" s="16">
        <v>328</v>
      </c>
      <c r="I121" s="4">
        <f>VLOOKUP(C121,[1]sheet1!$D:$I,6,0)</f>
        <v>347.76</v>
      </c>
      <c r="J121" s="4">
        <f>VLOOKUP(C121,[2]sheet1!$D:$I,6,0)</f>
        <v>0</v>
      </c>
      <c r="K121" s="4">
        <f>VLOOKUP(C121,[3]sheet1!$D:$I,6,0)</f>
        <v>0</v>
      </c>
      <c r="L121" s="4">
        <f>VLOOKUP(C121,[4]sheet1!$D:$I,6,0)</f>
        <v>345</v>
      </c>
      <c r="M121" s="4">
        <f>VLOOKUP(C121,[5]sheet1!$D:$I,6,0)</f>
        <v>0</v>
      </c>
      <c r="N121" s="4">
        <f>VLOOKUP(C121,[6]sheet1!$D:$I,6,0)</f>
        <v>698</v>
      </c>
      <c r="O121" s="4">
        <f>VLOOKUP(C121,[7]sheet1!$D:$I,6,0)</f>
        <v>659</v>
      </c>
      <c r="P121" s="4">
        <f>VLOOKUP(C121,[8]sheet1!$D:$I,6,0)</f>
        <v>330</v>
      </c>
      <c r="Q121" s="4">
        <f t="shared" si="1"/>
        <v>2707.76</v>
      </c>
      <c r="R121" s="3">
        <v>1</v>
      </c>
      <c r="S121">
        <v>531</v>
      </c>
      <c r="T121">
        <v>255</v>
      </c>
      <c r="U121" s="3">
        <v>11</v>
      </c>
      <c r="V121" s="3">
        <v>1</v>
      </c>
      <c r="W121">
        <v>0</v>
      </c>
      <c r="X121" s="3">
        <v>0</v>
      </c>
      <c r="Y121">
        <v>0</v>
      </c>
      <c r="Z121" s="3">
        <v>0</v>
      </c>
      <c r="AA121" t="s">
        <v>139</v>
      </c>
      <c r="AB121" s="3">
        <v>258</v>
      </c>
      <c r="AC121">
        <v>311.93</v>
      </c>
      <c r="AD121" t="s">
        <v>49</v>
      </c>
      <c r="AE121">
        <v>328</v>
      </c>
      <c r="AF121" s="3">
        <v>1</v>
      </c>
      <c r="AG121" t="s">
        <v>49</v>
      </c>
      <c r="AH121">
        <v>311.93</v>
      </c>
      <c r="AI121" t="s">
        <v>49</v>
      </c>
      <c r="AJ121">
        <v>215.36</v>
      </c>
      <c r="AK121" t="s">
        <v>49</v>
      </c>
      <c r="AL121">
        <v>215.36</v>
      </c>
      <c r="AM121" t="s">
        <v>49</v>
      </c>
      <c r="AN121" s="3">
        <v>273</v>
      </c>
      <c r="AO121" s="19">
        <v>1</v>
      </c>
      <c r="AP121" s="19">
        <v>0</v>
      </c>
      <c r="AQ121" s="19">
        <v>0.8654</v>
      </c>
      <c r="AR121" s="19">
        <v>0.2548</v>
      </c>
      <c r="AS121" s="19">
        <v>0.9091</v>
      </c>
      <c r="AT121" s="19">
        <v>0.3636</v>
      </c>
      <c r="AU121" s="3">
        <v>0</v>
      </c>
      <c r="AV121" s="3">
        <v>0</v>
      </c>
      <c r="AW121" s="19">
        <v>0</v>
      </c>
      <c r="AX121" s="3">
        <v>0</v>
      </c>
      <c r="AY121" s="3">
        <v>0</v>
      </c>
    </row>
    <row r="122" spans="1:51">
      <c r="A122" s="3">
        <v>10047225</v>
      </c>
      <c r="B122" t="s">
        <v>289</v>
      </c>
      <c r="C122" s="3">
        <v>12411402</v>
      </c>
      <c r="D122" t="s">
        <v>44</v>
      </c>
      <c r="E122" t="s">
        <v>290</v>
      </c>
      <c r="F122" t="s">
        <v>65</v>
      </c>
      <c r="G122" t="s">
        <v>47</v>
      </c>
      <c r="H122" s="16">
        <v>342</v>
      </c>
      <c r="I122" s="4">
        <f>VLOOKUP(C122,[1]sheet1!$D:$I,6,0)</f>
        <v>342</v>
      </c>
      <c r="J122" s="4">
        <f>VLOOKUP(C122,[2]sheet1!$D:$I,6,0)</f>
        <v>0</v>
      </c>
      <c r="K122" s="4">
        <f>VLOOKUP(C122,[3]sheet1!$D:$I,6,0)</f>
        <v>0</v>
      </c>
      <c r="L122" s="4">
        <f>VLOOKUP(C122,[4]sheet1!$D:$I,6,0)</f>
        <v>0</v>
      </c>
      <c r="M122" s="4">
        <f>VLOOKUP(C122,[5]sheet1!$D:$I,6,0)</f>
        <v>0</v>
      </c>
      <c r="N122" s="4">
        <f>VLOOKUP(C122,[6]sheet1!$D:$I,6,0)</f>
        <v>0</v>
      </c>
      <c r="O122" s="4">
        <f>VLOOKUP(C122,[7]sheet1!$D:$I,6,0)</f>
        <v>0</v>
      </c>
      <c r="P122" s="4">
        <f>VLOOKUP(C122,[8]sheet1!$D:$I,6,0)</f>
        <v>0</v>
      </c>
      <c r="Q122" s="15">
        <f t="shared" si="1"/>
        <v>684</v>
      </c>
      <c r="R122" s="3">
        <v>1</v>
      </c>
      <c r="S122" s="3">
        <v>23</v>
      </c>
      <c r="T122" s="19">
        <v>0.0435</v>
      </c>
      <c r="U122" s="3">
        <v>0</v>
      </c>
      <c r="V122" s="3">
        <v>1</v>
      </c>
      <c r="W122">
        <v>0</v>
      </c>
      <c r="X122" s="3">
        <v>0</v>
      </c>
      <c r="Y122">
        <v>0</v>
      </c>
      <c r="Z122" s="3">
        <v>0</v>
      </c>
      <c r="AA122" t="s">
        <v>49</v>
      </c>
      <c r="AB122" t="s">
        <v>49</v>
      </c>
      <c r="AC122" t="s">
        <v>49</v>
      </c>
      <c r="AD122" t="s">
        <v>49</v>
      </c>
      <c r="AE122">
        <v>342</v>
      </c>
      <c r="AF122" s="3">
        <v>1</v>
      </c>
      <c r="AG122" t="s">
        <v>49</v>
      </c>
      <c r="AH122" t="s">
        <v>49</v>
      </c>
      <c r="AI122" t="s">
        <v>49</v>
      </c>
      <c r="AJ122" t="s">
        <v>49</v>
      </c>
      <c r="AK122" t="s">
        <v>49</v>
      </c>
      <c r="AL122" t="s">
        <v>49</v>
      </c>
      <c r="AM122" t="s">
        <v>49</v>
      </c>
      <c r="AN122" s="3">
        <v>28</v>
      </c>
      <c r="AO122" s="19">
        <v>0</v>
      </c>
      <c r="AP122" s="19">
        <v>0</v>
      </c>
      <c r="AQ122" s="19">
        <v>0.6087</v>
      </c>
      <c r="AR122" s="19">
        <v>0.2174</v>
      </c>
      <c r="AS122" s="19">
        <v>0</v>
      </c>
      <c r="AT122" s="19">
        <v>0</v>
      </c>
      <c r="AU122" s="3">
        <v>0</v>
      </c>
      <c r="AV122" s="3">
        <v>0</v>
      </c>
      <c r="AW122" s="19">
        <v>0</v>
      </c>
      <c r="AX122" s="3">
        <v>0</v>
      </c>
      <c r="AY122" s="3">
        <v>0</v>
      </c>
    </row>
    <row r="123" spans="1:51">
      <c r="A123" s="3">
        <v>9756832</v>
      </c>
      <c r="B123" t="s">
        <v>291</v>
      </c>
      <c r="C123" s="3">
        <v>11411401</v>
      </c>
      <c r="D123" t="s">
        <v>44</v>
      </c>
      <c r="E123" t="s">
        <v>185</v>
      </c>
      <c r="F123" t="s">
        <v>46</v>
      </c>
      <c r="G123" t="s">
        <v>47</v>
      </c>
      <c r="H123" s="16">
        <v>0</v>
      </c>
      <c r="I123" s="4">
        <f>VLOOKUP(C123,[1]sheet1!$D:$I,6,0)</f>
        <v>0</v>
      </c>
      <c r="J123" s="4">
        <f>VLOOKUP(C123,[2]sheet1!$D:$I,6,0)</f>
        <v>0</v>
      </c>
      <c r="K123" s="4">
        <f>VLOOKUP(C123,[3]sheet1!$D:$I,6,0)</f>
        <v>0</v>
      </c>
      <c r="L123" s="4">
        <f>VLOOKUP(C123,[4]sheet1!$D:$I,6,0)</f>
        <v>342</v>
      </c>
      <c r="M123" s="4">
        <f>VLOOKUP(C123,[5]sheet1!$D:$I,6,0)</f>
        <v>0</v>
      </c>
      <c r="N123" s="4">
        <f>VLOOKUP(C123,[6]sheet1!$D:$I,6,0)</f>
        <v>0</v>
      </c>
      <c r="O123" s="4">
        <f>VLOOKUP(C123,[7]sheet1!$D:$I,6,0)</f>
        <v>0</v>
      </c>
      <c r="P123" s="4">
        <f>VLOOKUP(C123,[8]sheet1!$D:$I,6,0)</f>
        <v>0</v>
      </c>
      <c r="Q123" s="15">
        <f t="shared" si="1"/>
        <v>342</v>
      </c>
      <c r="R123" s="3">
        <v>0</v>
      </c>
      <c r="S123">
        <v>152</v>
      </c>
      <c r="T123">
        <v>0</v>
      </c>
      <c r="U123" s="3">
        <v>1</v>
      </c>
      <c r="V123" s="3">
        <v>0</v>
      </c>
      <c r="W123">
        <v>0</v>
      </c>
      <c r="X123" s="3">
        <v>0</v>
      </c>
      <c r="Y123">
        <v>0</v>
      </c>
      <c r="Z123" s="3">
        <v>0</v>
      </c>
      <c r="AA123" t="s">
        <v>49</v>
      </c>
      <c r="AB123" s="3">
        <v>312</v>
      </c>
      <c r="AC123" t="s">
        <v>49</v>
      </c>
      <c r="AD123" t="s">
        <v>49</v>
      </c>
      <c r="AE123">
        <v>0</v>
      </c>
      <c r="AF123" s="3">
        <v>0</v>
      </c>
      <c r="AG123" t="s">
        <v>49</v>
      </c>
      <c r="AH123" t="s">
        <v>49</v>
      </c>
      <c r="AI123" t="s">
        <v>49</v>
      </c>
      <c r="AJ123">
        <v>261.53</v>
      </c>
      <c r="AK123" t="s">
        <v>49</v>
      </c>
      <c r="AL123">
        <v>0</v>
      </c>
      <c r="AM123" t="s">
        <v>49</v>
      </c>
      <c r="AN123" s="3">
        <v>20</v>
      </c>
      <c r="AO123" s="19">
        <v>0</v>
      </c>
      <c r="AP123" s="19">
        <v>0</v>
      </c>
      <c r="AQ123" s="19">
        <v>0.7059</v>
      </c>
      <c r="AR123" s="19">
        <v>0.4118</v>
      </c>
      <c r="AS123" s="19">
        <v>0</v>
      </c>
      <c r="AT123" s="19">
        <v>0</v>
      </c>
      <c r="AU123" s="3">
        <v>0</v>
      </c>
      <c r="AV123" s="3">
        <v>0</v>
      </c>
      <c r="AW123" s="19">
        <v>0</v>
      </c>
      <c r="AX123" s="3">
        <v>0</v>
      </c>
      <c r="AY123" s="3">
        <v>0</v>
      </c>
    </row>
    <row r="124" spans="1:51">
      <c r="A124" s="3">
        <v>9754061</v>
      </c>
      <c r="B124" t="s">
        <v>292</v>
      </c>
      <c r="C124" s="3">
        <v>12421230</v>
      </c>
      <c r="D124" t="s">
        <v>44</v>
      </c>
      <c r="E124" t="s">
        <v>109</v>
      </c>
      <c r="F124" t="s">
        <v>46</v>
      </c>
      <c r="G124" t="s">
        <v>47</v>
      </c>
      <c r="H124" s="16">
        <v>0</v>
      </c>
      <c r="I124" s="4">
        <f>VLOOKUP(C124,[1]sheet1!$D:$I,6,0)</f>
        <v>0</v>
      </c>
      <c r="J124" s="4">
        <f>VLOOKUP(C124,[2]sheet1!$D:$I,6,0)</f>
        <v>0</v>
      </c>
      <c r="K124" s="4">
        <f>VLOOKUP(C124,[3]sheet1!$D:$I,6,0)</f>
        <v>0</v>
      </c>
      <c r="L124" s="4">
        <f>VLOOKUP(C124,[4]sheet1!$D:$I,6,0)</f>
        <v>0</v>
      </c>
      <c r="M124" s="4">
        <f>VLOOKUP(C124,[5]sheet1!$D:$I,6,0)</f>
        <v>0</v>
      </c>
      <c r="N124" s="4">
        <f>VLOOKUP(C124,[6]sheet1!$D:$I,6,0)</f>
        <v>0</v>
      </c>
      <c r="O124" s="4">
        <f>VLOOKUP(C124,[7]sheet1!$D:$I,6,0)</f>
        <v>0</v>
      </c>
      <c r="P124" s="4">
        <f>VLOOKUP(C124,[8]sheet1!$D:$I,6,0)</f>
        <v>0</v>
      </c>
      <c r="Q124" s="4">
        <f t="shared" si="1"/>
        <v>0</v>
      </c>
      <c r="R124" s="3">
        <v>0</v>
      </c>
      <c r="S124">
        <v>64</v>
      </c>
      <c r="T124">
        <v>0</v>
      </c>
      <c r="U124" s="3">
        <v>0</v>
      </c>
      <c r="V124" s="3">
        <v>0</v>
      </c>
      <c r="W124">
        <v>0</v>
      </c>
      <c r="X124" s="3">
        <v>0</v>
      </c>
      <c r="Y124">
        <v>0</v>
      </c>
      <c r="Z124" s="3">
        <v>0</v>
      </c>
      <c r="AA124" t="s">
        <v>115</v>
      </c>
      <c r="AB124" s="3">
        <v>279</v>
      </c>
      <c r="AC124">
        <v>234.74</v>
      </c>
      <c r="AD124" t="s">
        <v>49</v>
      </c>
      <c r="AE124">
        <v>0</v>
      </c>
      <c r="AF124" s="3">
        <v>0</v>
      </c>
      <c r="AG124" t="s">
        <v>49</v>
      </c>
      <c r="AH124">
        <v>0</v>
      </c>
      <c r="AI124" t="s">
        <v>49</v>
      </c>
      <c r="AJ124" t="s">
        <v>49</v>
      </c>
      <c r="AK124" t="s">
        <v>49</v>
      </c>
      <c r="AL124" t="s">
        <v>49</v>
      </c>
      <c r="AM124" t="s">
        <v>49</v>
      </c>
      <c r="AN124" s="3">
        <v>3</v>
      </c>
      <c r="AO124" s="19">
        <v>0</v>
      </c>
      <c r="AP124" s="19">
        <v>0</v>
      </c>
      <c r="AQ124" s="19">
        <v>0.3333</v>
      </c>
      <c r="AR124" s="19">
        <v>0.3333</v>
      </c>
      <c r="AS124" s="19">
        <v>0</v>
      </c>
      <c r="AT124" s="19">
        <v>0</v>
      </c>
      <c r="AU124" s="3">
        <v>0</v>
      </c>
      <c r="AV124" s="3">
        <v>0</v>
      </c>
      <c r="AW124" s="19">
        <v>0</v>
      </c>
      <c r="AX124" s="3">
        <v>0</v>
      </c>
      <c r="AY124" s="3">
        <v>0</v>
      </c>
    </row>
    <row r="125" spans="1:51">
      <c r="A125" s="3">
        <v>9751668</v>
      </c>
      <c r="B125" t="s">
        <v>293</v>
      </c>
      <c r="C125" s="3">
        <v>12421212</v>
      </c>
      <c r="D125" t="s">
        <v>44</v>
      </c>
      <c r="E125" t="s">
        <v>109</v>
      </c>
      <c r="F125" t="s">
        <v>46</v>
      </c>
      <c r="G125" t="s">
        <v>47</v>
      </c>
      <c r="H125" s="16">
        <v>0</v>
      </c>
      <c r="I125" s="4">
        <f>VLOOKUP(C125,[1]sheet1!$D:$I,6,0)</f>
        <v>0</v>
      </c>
      <c r="J125" s="4">
        <f>VLOOKUP(C125,[2]sheet1!$D:$I,6,0)</f>
        <v>0</v>
      </c>
      <c r="K125" s="4">
        <f>VLOOKUP(C125,[3]sheet1!$D:$I,6,0)</f>
        <v>0</v>
      </c>
      <c r="L125" s="4">
        <f>VLOOKUP(C125,[4]sheet1!$D:$I,6,0)</f>
        <v>0</v>
      </c>
      <c r="M125" s="4">
        <f>VLOOKUP(C125,[5]sheet1!$D:$I,6,0)</f>
        <v>0</v>
      </c>
      <c r="N125" s="4">
        <f>VLOOKUP(C125,[6]sheet1!$D:$I,6,0)</f>
        <v>0</v>
      </c>
      <c r="O125" s="4">
        <f>VLOOKUP(C125,[7]sheet1!$D:$I,6,0)</f>
        <v>0</v>
      </c>
      <c r="P125" s="4">
        <f>VLOOKUP(C125,[8]sheet1!$D:$I,6,0)</f>
        <v>0</v>
      </c>
      <c r="Q125" s="4">
        <f t="shared" si="1"/>
        <v>0</v>
      </c>
      <c r="R125" s="3">
        <v>0</v>
      </c>
      <c r="S125">
        <v>104</v>
      </c>
      <c r="T125">
        <v>0</v>
      </c>
      <c r="U125" s="3">
        <v>0</v>
      </c>
      <c r="V125" s="3">
        <v>0</v>
      </c>
      <c r="W125">
        <v>0</v>
      </c>
      <c r="X125" s="3">
        <v>0</v>
      </c>
      <c r="Y125">
        <v>0</v>
      </c>
      <c r="Z125" s="3">
        <v>0</v>
      </c>
      <c r="AA125" t="s">
        <v>237</v>
      </c>
      <c r="AB125" s="3">
        <v>360</v>
      </c>
      <c r="AC125">
        <v>426.14</v>
      </c>
      <c r="AD125" t="s">
        <v>49</v>
      </c>
      <c r="AE125">
        <v>0</v>
      </c>
      <c r="AF125" s="3">
        <v>0</v>
      </c>
      <c r="AG125" t="s">
        <v>49</v>
      </c>
      <c r="AH125">
        <v>0</v>
      </c>
      <c r="AI125" t="s">
        <v>49</v>
      </c>
      <c r="AJ125">
        <v>305.21</v>
      </c>
      <c r="AK125" t="s">
        <v>49</v>
      </c>
      <c r="AL125">
        <v>0</v>
      </c>
      <c r="AM125" t="s">
        <v>49</v>
      </c>
      <c r="AN125" s="3">
        <v>9</v>
      </c>
      <c r="AO125" s="19">
        <v>0</v>
      </c>
      <c r="AP125" s="19">
        <v>0</v>
      </c>
      <c r="AQ125" s="19">
        <v>0.75</v>
      </c>
      <c r="AR125" s="19">
        <v>0.5</v>
      </c>
      <c r="AS125" s="19">
        <v>0</v>
      </c>
      <c r="AT125" s="19">
        <v>0</v>
      </c>
      <c r="AU125" s="3">
        <v>0</v>
      </c>
      <c r="AV125" s="3">
        <v>0</v>
      </c>
      <c r="AW125" s="19">
        <v>0</v>
      </c>
      <c r="AX125" s="3">
        <v>0</v>
      </c>
      <c r="AY125" s="3">
        <v>0</v>
      </c>
    </row>
    <row r="126" spans="1:51">
      <c r="A126" s="3">
        <v>9750807</v>
      </c>
      <c r="B126" t="s">
        <v>294</v>
      </c>
      <c r="C126" s="3">
        <v>11421411</v>
      </c>
      <c r="D126" t="s">
        <v>44</v>
      </c>
      <c r="E126" t="s">
        <v>57</v>
      </c>
      <c r="F126" t="s">
        <v>46</v>
      </c>
      <c r="G126" t="s">
        <v>47</v>
      </c>
      <c r="H126" s="16">
        <v>0</v>
      </c>
      <c r="I126" s="4">
        <f>VLOOKUP(C126,[1]sheet1!$D:$I,6,0)</f>
        <v>0</v>
      </c>
      <c r="J126" s="4">
        <f>VLOOKUP(C126,[2]sheet1!$D:$I,6,0)</f>
        <v>0</v>
      </c>
      <c r="K126" s="4">
        <f>VLOOKUP(C126,[3]sheet1!$D:$I,6,0)</f>
        <v>0</v>
      </c>
      <c r="L126" s="4">
        <f>VLOOKUP(C126,[4]sheet1!$D:$I,6,0)</f>
        <v>0</v>
      </c>
      <c r="M126" s="4">
        <f>VLOOKUP(C126,[5]sheet1!$D:$I,6,0)</f>
        <v>0</v>
      </c>
      <c r="N126" s="4">
        <f>VLOOKUP(C126,[6]sheet1!$D:$I,6,0)</f>
        <v>0</v>
      </c>
      <c r="O126" s="4">
        <f>VLOOKUP(C126,[7]sheet1!$D:$I,6,0)</f>
        <v>0</v>
      </c>
      <c r="P126" s="4">
        <f>VLOOKUP(C126,[8]sheet1!$D:$I,6,0)</f>
        <v>0</v>
      </c>
      <c r="Q126" s="4">
        <f t="shared" si="1"/>
        <v>0</v>
      </c>
      <c r="R126" s="3">
        <v>0</v>
      </c>
      <c r="S126">
        <v>133</v>
      </c>
      <c r="T126">
        <v>0</v>
      </c>
      <c r="U126" s="3">
        <v>1</v>
      </c>
      <c r="V126" s="3">
        <v>0</v>
      </c>
      <c r="W126">
        <v>0</v>
      </c>
      <c r="X126" s="3">
        <v>0</v>
      </c>
      <c r="Y126">
        <v>0</v>
      </c>
      <c r="Z126" s="3">
        <v>0</v>
      </c>
      <c r="AA126" t="s">
        <v>250</v>
      </c>
      <c r="AB126" s="3">
        <v>185</v>
      </c>
      <c r="AC126">
        <v>338.32</v>
      </c>
      <c r="AD126" t="s">
        <v>49</v>
      </c>
      <c r="AE126">
        <v>0</v>
      </c>
      <c r="AF126" s="3">
        <v>0</v>
      </c>
      <c r="AG126" t="s">
        <v>49</v>
      </c>
      <c r="AH126">
        <v>0</v>
      </c>
      <c r="AI126" t="s">
        <v>49</v>
      </c>
      <c r="AJ126">
        <v>152.14</v>
      </c>
      <c r="AK126" t="s">
        <v>49</v>
      </c>
      <c r="AL126">
        <v>0</v>
      </c>
      <c r="AM126" t="s">
        <v>49</v>
      </c>
      <c r="AN126" s="3">
        <v>14</v>
      </c>
      <c r="AO126" s="19">
        <v>0</v>
      </c>
      <c r="AP126" s="19">
        <v>0</v>
      </c>
      <c r="AQ126" s="19">
        <v>0.3846</v>
      </c>
      <c r="AR126" s="19">
        <v>0.0769</v>
      </c>
      <c r="AS126" s="19">
        <v>0</v>
      </c>
      <c r="AT126" s="19">
        <v>0</v>
      </c>
      <c r="AU126" s="3">
        <v>0</v>
      </c>
      <c r="AV126" s="3">
        <v>0</v>
      </c>
      <c r="AW126" s="19">
        <v>0</v>
      </c>
      <c r="AX126" s="3">
        <v>0</v>
      </c>
      <c r="AY126" s="3">
        <v>0</v>
      </c>
    </row>
    <row r="127" spans="1:51">
      <c r="A127" s="3">
        <v>9742964</v>
      </c>
      <c r="B127" t="s">
        <v>295</v>
      </c>
      <c r="C127" s="3">
        <v>11421409</v>
      </c>
      <c r="D127" t="s">
        <v>44</v>
      </c>
      <c r="E127" t="s">
        <v>57</v>
      </c>
      <c r="F127" t="s">
        <v>46</v>
      </c>
      <c r="G127" t="s">
        <v>47</v>
      </c>
      <c r="H127" s="16">
        <v>0</v>
      </c>
      <c r="I127" s="4">
        <f>VLOOKUP(C127,[1]sheet1!$D:$I,6,0)</f>
        <v>0</v>
      </c>
      <c r="J127" s="4">
        <f>VLOOKUP(C127,[2]sheet1!$D:$I,6,0)</f>
        <v>0</v>
      </c>
      <c r="K127" s="4">
        <f>VLOOKUP(C127,[3]sheet1!$D:$I,6,0)</f>
        <v>0</v>
      </c>
      <c r="L127" s="4">
        <f>VLOOKUP(C127,[4]sheet1!$D:$I,6,0)</f>
        <v>0</v>
      </c>
      <c r="M127" s="4">
        <f>VLOOKUP(C127,[5]sheet1!$D:$I,6,0)</f>
        <v>0</v>
      </c>
      <c r="N127" s="4">
        <f>VLOOKUP(C127,[6]sheet1!$D:$I,6,0)</f>
        <v>0</v>
      </c>
      <c r="O127" s="4">
        <f>VLOOKUP(C127,[7]sheet1!$D:$I,6,0)</f>
        <v>0</v>
      </c>
      <c r="P127" s="4">
        <f>VLOOKUP(C127,[8]sheet1!$D:$I,6,0)</f>
        <v>0</v>
      </c>
      <c r="Q127" s="4">
        <f t="shared" si="1"/>
        <v>0</v>
      </c>
      <c r="R127" s="3">
        <v>0</v>
      </c>
      <c r="S127">
        <v>283</v>
      </c>
      <c r="T127">
        <v>0</v>
      </c>
      <c r="U127" s="3">
        <v>1</v>
      </c>
      <c r="V127" s="3">
        <v>0</v>
      </c>
      <c r="W127">
        <v>199</v>
      </c>
      <c r="X127" s="3">
        <v>1</v>
      </c>
      <c r="Y127">
        <v>0</v>
      </c>
      <c r="Z127" s="3">
        <v>0</v>
      </c>
      <c r="AA127" t="s">
        <v>296</v>
      </c>
      <c r="AB127" s="3">
        <v>155</v>
      </c>
      <c r="AC127">
        <v>173.02</v>
      </c>
      <c r="AD127" t="s">
        <v>49</v>
      </c>
      <c r="AE127">
        <v>0</v>
      </c>
      <c r="AF127" s="3">
        <v>0</v>
      </c>
      <c r="AG127" t="s">
        <v>49</v>
      </c>
      <c r="AH127">
        <v>0</v>
      </c>
      <c r="AI127" t="s">
        <v>49</v>
      </c>
      <c r="AJ127">
        <v>126.04</v>
      </c>
      <c r="AK127" t="s">
        <v>49</v>
      </c>
      <c r="AL127">
        <v>0</v>
      </c>
      <c r="AM127" t="s">
        <v>49</v>
      </c>
      <c r="AN127" s="3">
        <v>89</v>
      </c>
      <c r="AO127" s="19">
        <v>0</v>
      </c>
      <c r="AP127" s="19">
        <v>0</v>
      </c>
      <c r="AQ127" s="19">
        <v>0.7288</v>
      </c>
      <c r="AR127" s="19">
        <v>0.2712</v>
      </c>
      <c r="AS127" s="19">
        <v>0</v>
      </c>
      <c r="AT127" s="19">
        <v>1</v>
      </c>
      <c r="AU127" s="3">
        <v>0</v>
      </c>
      <c r="AV127" s="3">
        <v>0</v>
      </c>
      <c r="AW127" s="19">
        <v>0</v>
      </c>
      <c r="AX127" s="3">
        <v>0</v>
      </c>
      <c r="AY127" s="3">
        <v>0</v>
      </c>
    </row>
    <row r="128" spans="1:51">
      <c r="A128" s="3">
        <v>9635328</v>
      </c>
      <c r="B128" t="s">
        <v>297</v>
      </c>
      <c r="C128" s="3">
        <v>11421211</v>
      </c>
      <c r="D128" t="s">
        <v>44</v>
      </c>
      <c r="E128" t="s">
        <v>51</v>
      </c>
      <c r="F128" t="s">
        <v>46</v>
      </c>
      <c r="G128" t="s">
        <v>47</v>
      </c>
      <c r="H128" s="16">
        <v>0</v>
      </c>
      <c r="I128" s="4">
        <f>VLOOKUP(C128,[1]sheet1!$D:$I,6,0)</f>
        <v>0</v>
      </c>
      <c r="J128" s="4">
        <f>VLOOKUP(C128,[2]sheet1!$D:$I,6,0)</f>
        <v>0</v>
      </c>
      <c r="K128" s="4">
        <f>VLOOKUP(C128,[3]sheet1!$D:$I,6,0)</f>
        <v>0</v>
      </c>
      <c r="L128" s="4">
        <f>VLOOKUP(C128,[4]sheet1!$D:$I,6,0)</f>
        <v>0</v>
      </c>
      <c r="M128" s="4">
        <f>VLOOKUP(C128,[5]sheet1!$D:$I,6,0)</f>
        <v>0</v>
      </c>
      <c r="N128" s="4">
        <f>VLOOKUP(C128,[6]sheet1!$D:$I,6,0)</f>
        <v>0</v>
      </c>
      <c r="O128" s="4">
        <f>VLOOKUP(C128,[7]sheet1!$D:$I,6,0)</f>
        <v>0</v>
      </c>
      <c r="P128" s="4">
        <f>VLOOKUP(C128,[8]sheet1!$D:$I,6,0)</f>
        <v>0</v>
      </c>
      <c r="Q128" s="4">
        <f t="shared" si="1"/>
        <v>0</v>
      </c>
      <c r="R128" s="3">
        <v>0</v>
      </c>
      <c r="S128">
        <v>104</v>
      </c>
      <c r="T128">
        <v>0</v>
      </c>
      <c r="U128" s="3">
        <v>0</v>
      </c>
      <c r="V128" s="3">
        <v>0</v>
      </c>
      <c r="W128">
        <v>0</v>
      </c>
      <c r="X128" s="3">
        <v>0</v>
      </c>
      <c r="Y128">
        <v>0</v>
      </c>
      <c r="Z128" s="3">
        <v>0</v>
      </c>
      <c r="AA128" t="s">
        <v>237</v>
      </c>
      <c r="AB128" s="3">
        <v>321</v>
      </c>
      <c r="AC128">
        <v>426.62</v>
      </c>
      <c r="AD128" t="s">
        <v>49</v>
      </c>
      <c r="AE128">
        <v>0</v>
      </c>
      <c r="AF128" s="3">
        <v>0</v>
      </c>
      <c r="AG128" t="s">
        <v>49</v>
      </c>
      <c r="AH128">
        <v>0</v>
      </c>
      <c r="AI128" t="s">
        <v>49</v>
      </c>
      <c r="AJ128">
        <v>271.76</v>
      </c>
      <c r="AK128" t="s">
        <v>49</v>
      </c>
      <c r="AL128">
        <v>0</v>
      </c>
      <c r="AM128" t="s">
        <v>49</v>
      </c>
      <c r="AN128" s="3">
        <v>9</v>
      </c>
      <c r="AO128" s="19">
        <v>0</v>
      </c>
      <c r="AP128" s="19">
        <v>0</v>
      </c>
      <c r="AQ128" s="19">
        <v>0.625</v>
      </c>
      <c r="AR128" s="19">
        <v>0.125</v>
      </c>
      <c r="AS128" s="19">
        <v>0</v>
      </c>
      <c r="AT128" s="19">
        <v>0</v>
      </c>
      <c r="AU128" s="3">
        <v>0</v>
      </c>
      <c r="AV128" s="3">
        <v>0</v>
      </c>
      <c r="AW128" s="19">
        <v>0</v>
      </c>
      <c r="AX128" s="3">
        <v>0</v>
      </c>
      <c r="AY128" s="3">
        <v>0</v>
      </c>
    </row>
    <row r="129" spans="1:51">
      <c r="A129" s="3">
        <v>9612523</v>
      </c>
      <c r="B129" t="s">
        <v>298</v>
      </c>
      <c r="C129" s="3">
        <v>12421538</v>
      </c>
      <c r="D129" t="s">
        <v>44</v>
      </c>
      <c r="E129" t="s">
        <v>299</v>
      </c>
      <c r="F129" t="s">
        <v>65</v>
      </c>
      <c r="G129" t="s">
        <v>47</v>
      </c>
      <c r="H129" s="16">
        <v>0</v>
      </c>
      <c r="I129" s="4">
        <f>VLOOKUP(C129,[1]sheet1!$D:$I,6,0)</f>
        <v>0</v>
      </c>
      <c r="J129" s="4">
        <f>VLOOKUP(C129,[2]sheet1!$D:$I,6,0)</f>
        <v>0</v>
      </c>
      <c r="K129" s="4">
        <f>VLOOKUP(C129,[3]sheet1!$D:$I,6,0)</f>
        <v>0</v>
      </c>
      <c r="L129" s="4">
        <f>VLOOKUP(C129,[4]sheet1!$D:$I,6,0)</f>
        <v>0</v>
      </c>
      <c r="M129" s="4">
        <f>VLOOKUP(C129,[5]sheet1!$D:$I,6,0)</f>
        <v>0</v>
      </c>
      <c r="N129" s="4">
        <f>VLOOKUP(C129,[6]sheet1!$D:$I,6,0)</f>
        <v>0</v>
      </c>
      <c r="O129" s="4">
        <f>VLOOKUP(C129,[7]sheet1!$D:$I,6,0)</f>
        <v>0</v>
      </c>
      <c r="P129" s="4">
        <f>VLOOKUP(C129,[8]sheet1!$D:$I,6,0)</f>
        <v>0</v>
      </c>
      <c r="Q129" s="4">
        <f t="shared" si="1"/>
        <v>0</v>
      </c>
      <c r="R129" s="3">
        <v>0</v>
      </c>
      <c r="S129" s="3">
        <v>16</v>
      </c>
      <c r="T129" s="19">
        <v>0</v>
      </c>
      <c r="U129" s="3">
        <v>0</v>
      </c>
      <c r="V129" s="3">
        <v>0</v>
      </c>
      <c r="W129">
        <v>0</v>
      </c>
      <c r="X129" s="3">
        <v>0</v>
      </c>
      <c r="Y129">
        <v>0</v>
      </c>
      <c r="Z129" s="3">
        <v>0</v>
      </c>
      <c r="AA129" t="s">
        <v>49</v>
      </c>
      <c r="AB129" t="s">
        <v>49</v>
      </c>
      <c r="AC129" t="s">
        <v>49</v>
      </c>
      <c r="AD129" t="s">
        <v>49</v>
      </c>
      <c r="AE129">
        <v>0</v>
      </c>
      <c r="AF129" s="3">
        <v>0</v>
      </c>
      <c r="AG129" t="s">
        <v>49</v>
      </c>
      <c r="AH129" t="s">
        <v>49</v>
      </c>
      <c r="AI129" t="s">
        <v>49</v>
      </c>
      <c r="AJ129" t="s">
        <v>49</v>
      </c>
      <c r="AK129" t="s">
        <v>49</v>
      </c>
      <c r="AL129" t="s">
        <v>49</v>
      </c>
      <c r="AM129" t="s">
        <v>49</v>
      </c>
      <c r="AN129" s="3">
        <v>18</v>
      </c>
      <c r="AO129" s="19">
        <v>0</v>
      </c>
      <c r="AP129" s="19">
        <v>0</v>
      </c>
      <c r="AQ129" s="19">
        <v>0.6875</v>
      </c>
      <c r="AR129" s="19">
        <v>0.375</v>
      </c>
      <c r="AS129" s="19">
        <v>0</v>
      </c>
      <c r="AT129" s="19">
        <v>0</v>
      </c>
      <c r="AU129" s="3">
        <v>0</v>
      </c>
      <c r="AV129" s="3">
        <v>0</v>
      </c>
      <c r="AW129" s="19">
        <v>0</v>
      </c>
      <c r="AX129" s="3">
        <v>0</v>
      </c>
      <c r="AY129" s="3">
        <v>0</v>
      </c>
    </row>
    <row r="130" spans="1:51">
      <c r="A130" s="3">
        <v>9599755</v>
      </c>
      <c r="B130" t="s">
        <v>300</v>
      </c>
      <c r="C130" s="3">
        <v>12421508</v>
      </c>
      <c r="D130" t="s">
        <v>44</v>
      </c>
      <c r="E130" t="s">
        <v>90</v>
      </c>
      <c r="F130" t="s">
        <v>46</v>
      </c>
      <c r="G130" t="s">
        <v>47</v>
      </c>
      <c r="H130" s="16">
        <v>0</v>
      </c>
      <c r="I130" s="4">
        <f>VLOOKUP(C130,[1]sheet1!$D:$I,6,0)</f>
        <v>410</v>
      </c>
      <c r="J130" s="4">
        <f>VLOOKUP(C130,[2]sheet1!$D:$I,6,0)</f>
        <v>0</v>
      </c>
      <c r="K130" s="4">
        <f>VLOOKUP(C130,[3]sheet1!$D:$I,6,0)</f>
        <v>143</v>
      </c>
      <c r="L130" s="4">
        <f>VLOOKUP(C130,[4]sheet1!$D:$I,6,0)</f>
        <v>576</v>
      </c>
      <c r="M130" s="4">
        <f>VLOOKUP(C130,[5]sheet1!$D:$I,6,0)</f>
        <v>698</v>
      </c>
      <c r="N130" s="4">
        <f>VLOOKUP(C130,[6]sheet1!$D:$I,6,0)</f>
        <v>432</v>
      </c>
      <c r="O130" s="4">
        <f>VLOOKUP(C130,[7]sheet1!$D:$I,6,0)</f>
        <v>0</v>
      </c>
      <c r="P130" s="4">
        <f>VLOOKUP(C130,[8]sheet1!$D:$I,6,0)</f>
        <v>585</v>
      </c>
      <c r="Q130" s="4">
        <f t="shared" si="1"/>
        <v>2844</v>
      </c>
      <c r="R130" s="3">
        <v>0</v>
      </c>
      <c r="S130">
        <v>375</v>
      </c>
      <c r="T130">
        <v>0</v>
      </c>
      <c r="U130" s="3">
        <v>2</v>
      </c>
      <c r="V130" s="3">
        <v>0</v>
      </c>
      <c r="W130">
        <v>0</v>
      </c>
      <c r="X130" s="3">
        <v>0</v>
      </c>
      <c r="Y130">
        <v>0</v>
      </c>
      <c r="Z130" s="3">
        <v>0</v>
      </c>
      <c r="AA130" t="s">
        <v>48</v>
      </c>
      <c r="AB130" s="3">
        <v>173</v>
      </c>
      <c r="AC130">
        <v>154.74</v>
      </c>
      <c r="AD130" t="s">
        <v>49</v>
      </c>
      <c r="AE130">
        <v>0</v>
      </c>
      <c r="AF130" s="3">
        <v>0</v>
      </c>
      <c r="AG130" t="s">
        <v>49</v>
      </c>
      <c r="AH130">
        <v>0</v>
      </c>
      <c r="AI130" t="s">
        <v>49</v>
      </c>
      <c r="AJ130">
        <v>140.82</v>
      </c>
      <c r="AK130" t="s">
        <v>49</v>
      </c>
      <c r="AL130">
        <v>0</v>
      </c>
      <c r="AM130" t="s">
        <v>49</v>
      </c>
      <c r="AN130" s="3">
        <v>129</v>
      </c>
      <c r="AO130" s="19">
        <v>0</v>
      </c>
      <c r="AP130" s="19">
        <v>0</v>
      </c>
      <c r="AQ130" s="19">
        <v>0.7885</v>
      </c>
      <c r="AR130" s="19">
        <v>0.3462</v>
      </c>
      <c r="AS130" s="19">
        <v>1</v>
      </c>
      <c r="AT130" s="19">
        <v>1</v>
      </c>
      <c r="AU130" s="3">
        <v>0</v>
      </c>
      <c r="AV130" s="3">
        <v>0</v>
      </c>
      <c r="AW130" s="19">
        <v>0</v>
      </c>
      <c r="AX130" s="3">
        <v>0</v>
      </c>
      <c r="AY130" s="3">
        <v>0</v>
      </c>
    </row>
    <row r="131" spans="1:51">
      <c r="A131" s="3">
        <v>9553216</v>
      </c>
      <c r="B131" t="s">
        <v>301</v>
      </c>
      <c r="C131" t="s">
        <v>302</v>
      </c>
      <c r="D131" t="s">
        <v>44</v>
      </c>
      <c r="E131" t="s">
        <v>104</v>
      </c>
      <c r="F131" t="s">
        <v>46</v>
      </c>
      <c r="G131" t="s">
        <v>47</v>
      </c>
      <c r="H131" s="16">
        <v>0</v>
      </c>
      <c r="I131" s="4">
        <f>VLOOKUP(C131,[1]sheet1!$D:$I,6,0)</f>
        <v>644</v>
      </c>
      <c r="J131" s="4">
        <f>VLOOKUP(C131,[2]sheet1!$D:$I,6,0)</f>
        <v>1232</v>
      </c>
      <c r="K131" s="4">
        <f>VLOOKUP(C131,[3]sheet1!$D:$I,6,0)</f>
        <v>3201</v>
      </c>
      <c r="L131" s="4">
        <f>VLOOKUP(C131,[4]sheet1!$D:$I,6,0)</f>
        <v>0</v>
      </c>
      <c r="M131" s="4">
        <f>VLOOKUP(C131,[5]sheet1!$D:$I,6,0)</f>
        <v>0</v>
      </c>
      <c r="N131" s="4">
        <f>VLOOKUP(C131,[6]sheet1!$D:$I,6,0)</f>
        <v>0</v>
      </c>
      <c r="O131" s="4">
        <f>VLOOKUP(C131,[7]sheet1!$D:$I,6,0)</f>
        <v>0</v>
      </c>
      <c r="P131" s="4">
        <f>VLOOKUP(C131,[8]sheet1!$D:$I,6,0)</f>
        <v>678</v>
      </c>
      <c r="Q131" s="4">
        <f t="shared" ref="Q131:Q194" si="2">SUM(H131:P131)</f>
        <v>5755</v>
      </c>
      <c r="R131" s="3">
        <v>0</v>
      </c>
      <c r="S131">
        <v>618</v>
      </c>
      <c r="T131">
        <v>0</v>
      </c>
      <c r="U131" s="3">
        <v>10</v>
      </c>
      <c r="V131" s="3">
        <v>0</v>
      </c>
      <c r="W131">
        <v>0</v>
      </c>
      <c r="X131" s="3">
        <v>0</v>
      </c>
      <c r="Y131">
        <v>0</v>
      </c>
      <c r="Z131" s="3">
        <v>0</v>
      </c>
      <c r="AA131" t="s">
        <v>112</v>
      </c>
      <c r="AB131" s="3">
        <v>629</v>
      </c>
      <c r="AC131">
        <v>598.52</v>
      </c>
      <c r="AD131" t="s">
        <v>49</v>
      </c>
      <c r="AE131">
        <v>0</v>
      </c>
      <c r="AF131" s="3">
        <v>0</v>
      </c>
      <c r="AG131" t="s">
        <v>49</v>
      </c>
      <c r="AH131">
        <v>0</v>
      </c>
      <c r="AI131" t="s">
        <v>49</v>
      </c>
      <c r="AJ131">
        <v>537.62</v>
      </c>
      <c r="AK131" t="s">
        <v>49</v>
      </c>
      <c r="AL131">
        <v>0</v>
      </c>
      <c r="AM131" t="s">
        <v>49</v>
      </c>
      <c r="AN131" s="3">
        <v>336</v>
      </c>
      <c r="AO131" s="19">
        <v>0</v>
      </c>
      <c r="AP131" s="19">
        <v>0</v>
      </c>
      <c r="AQ131" s="19">
        <v>0.9149</v>
      </c>
      <c r="AR131" s="19">
        <v>0.3972</v>
      </c>
      <c r="AS131" s="19">
        <v>0.9</v>
      </c>
      <c r="AT131" s="19">
        <v>0.3</v>
      </c>
      <c r="AU131" s="3">
        <v>0</v>
      </c>
      <c r="AV131" s="3">
        <v>0</v>
      </c>
      <c r="AW131" s="19">
        <v>0</v>
      </c>
      <c r="AX131" s="3">
        <v>0</v>
      </c>
      <c r="AY131" s="3">
        <v>0</v>
      </c>
    </row>
    <row r="132" spans="1:51">
      <c r="A132" s="3">
        <v>9489070</v>
      </c>
      <c r="B132" t="s">
        <v>303</v>
      </c>
      <c r="C132" s="3">
        <v>16423433</v>
      </c>
      <c r="D132" t="s">
        <v>44</v>
      </c>
      <c r="E132" t="s">
        <v>304</v>
      </c>
      <c r="F132" t="s">
        <v>65</v>
      </c>
      <c r="G132" t="s">
        <v>47</v>
      </c>
      <c r="H132" s="16">
        <v>0</v>
      </c>
      <c r="I132" s="4">
        <f>VLOOKUP(C132,[1]sheet1!$D:$I,6,0)</f>
        <v>0</v>
      </c>
      <c r="J132" s="4">
        <f>VLOOKUP(C132,[2]sheet1!$D:$I,6,0)</f>
        <v>54</v>
      </c>
      <c r="K132" s="4">
        <f>VLOOKUP(C132,[3]sheet1!$D:$I,6,0)</f>
        <v>0</v>
      </c>
      <c r="L132" s="4">
        <f>VLOOKUP(C132,[4]sheet1!$D:$I,6,0)</f>
        <v>0</v>
      </c>
      <c r="M132" s="4">
        <f>VLOOKUP(C132,[5]sheet1!$D:$I,6,0)</f>
        <v>0</v>
      </c>
      <c r="N132" s="4">
        <f>VLOOKUP(C132,[6]sheet1!$D:$I,6,0)</f>
        <v>0</v>
      </c>
      <c r="O132" s="4">
        <f>VLOOKUP(C132,[7]sheet1!$D:$I,6,0)</f>
        <v>0</v>
      </c>
      <c r="P132" s="4">
        <f>VLOOKUP(C132,[8]sheet1!$D:$I,6,0)</f>
        <v>0</v>
      </c>
      <c r="Q132" s="4">
        <f t="shared" si="2"/>
        <v>54</v>
      </c>
      <c r="R132" s="3">
        <v>0</v>
      </c>
      <c r="S132" s="3">
        <v>2</v>
      </c>
      <c r="T132" s="19">
        <v>0</v>
      </c>
      <c r="U132" s="3">
        <v>0</v>
      </c>
      <c r="V132" s="3">
        <v>0</v>
      </c>
      <c r="W132">
        <v>0</v>
      </c>
      <c r="X132" s="3">
        <v>0</v>
      </c>
      <c r="Y132">
        <v>0</v>
      </c>
      <c r="Z132" s="3">
        <v>0</v>
      </c>
      <c r="AA132" t="s">
        <v>305</v>
      </c>
      <c r="AB132" t="s">
        <v>49</v>
      </c>
      <c r="AC132">
        <v>39.27</v>
      </c>
      <c r="AD132" t="s">
        <v>49</v>
      </c>
      <c r="AE132">
        <v>0</v>
      </c>
      <c r="AF132" s="3">
        <v>0</v>
      </c>
      <c r="AG132" t="s">
        <v>49</v>
      </c>
      <c r="AH132">
        <v>0</v>
      </c>
      <c r="AI132" t="s">
        <v>49</v>
      </c>
      <c r="AJ132" t="s">
        <v>49</v>
      </c>
      <c r="AK132" t="s">
        <v>49</v>
      </c>
      <c r="AL132" t="s">
        <v>49</v>
      </c>
      <c r="AM132" t="s">
        <v>49</v>
      </c>
      <c r="AN132" s="3">
        <v>2</v>
      </c>
      <c r="AO132" s="19">
        <v>0</v>
      </c>
      <c r="AP132" s="19">
        <v>0</v>
      </c>
      <c r="AQ132" s="19">
        <v>1</v>
      </c>
      <c r="AR132" s="19">
        <v>0</v>
      </c>
      <c r="AS132" s="19">
        <v>0</v>
      </c>
      <c r="AT132" s="19">
        <v>0</v>
      </c>
      <c r="AU132" s="3">
        <v>0</v>
      </c>
      <c r="AV132" s="3">
        <v>0</v>
      </c>
      <c r="AW132" s="19">
        <v>0</v>
      </c>
      <c r="AX132" s="3">
        <v>0</v>
      </c>
      <c r="AY132" s="3">
        <v>0</v>
      </c>
    </row>
    <row r="133" spans="1:51">
      <c r="A133" s="3">
        <v>9446456</v>
      </c>
      <c r="B133" t="s">
        <v>306</v>
      </c>
      <c r="C133" s="3">
        <v>11421503</v>
      </c>
      <c r="D133" t="s">
        <v>44</v>
      </c>
      <c r="E133" t="s">
        <v>45</v>
      </c>
      <c r="F133" t="s">
        <v>46</v>
      </c>
      <c r="G133" t="s">
        <v>47</v>
      </c>
      <c r="H133" s="16">
        <v>0</v>
      </c>
      <c r="I133" s="4">
        <f>VLOOKUP(C133,[1]sheet1!$D:$I,6,0)</f>
        <v>0</v>
      </c>
      <c r="J133" s="4">
        <f>VLOOKUP(C133,[2]sheet1!$D:$I,6,0)</f>
        <v>281</v>
      </c>
      <c r="K133" s="4">
        <f>VLOOKUP(C133,[3]sheet1!$D:$I,6,0)</f>
        <v>0</v>
      </c>
      <c r="L133" s="4">
        <f>VLOOKUP(C133,[4]sheet1!$D:$I,6,0)</f>
        <v>0</v>
      </c>
      <c r="M133" s="4">
        <f>VLOOKUP(C133,[5]sheet1!$D:$I,6,0)</f>
        <v>0</v>
      </c>
      <c r="N133" s="4">
        <f>VLOOKUP(C133,[6]sheet1!$D:$I,6,0)</f>
        <v>0</v>
      </c>
      <c r="O133" s="4">
        <f>VLOOKUP(C133,[7]sheet1!$D:$I,6,0)</f>
        <v>0</v>
      </c>
      <c r="P133" s="4">
        <f>VLOOKUP(C133,[8]sheet1!$D:$I,6,0)</f>
        <v>0</v>
      </c>
      <c r="Q133" s="4">
        <f t="shared" si="2"/>
        <v>281</v>
      </c>
      <c r="R133" s="3">
        <v>0</v>
      </c>
      <c r="S133">
        <v>165</v>
      </c>
      <c r="T133">
        <v>0</v>
      </c>
      <c r="U133" s="3">
        <v>0</v>
      </c>
      <c r="V133" s="3">
        <v>0</v>
      </c>
      <c r="W133">
        <v>0</v>
      </c>
      <c r="X133" s="3">
        <v>0</v>
      </c>
      <c r="Y133">
        <v>0</v>
      </c>
      <c r="Z133" s="3">
        <v>0</v>
      </c>
      <c r="AA133" t="s">
        <v>115</v>
      </c>
      <c r="AB133" s="3">
        <v>215</v>
      </c>
      <c r="AC133">
        <v>234.32</v>
      </c>
      <c r="AD133" t="s">
        <v>49</v>
      </c>
      <c r="AE133">
        <v>0</v>
      </c>
      <c r="AF133" s="3">
        <v>0</v>
      </c>
      <c r="AG133" t="s">
        <v>49</v>
      </c>
      <c r="AH133">
        <v>0</v>
      </c>
      <c r="AI133" t="s">
        <v>49</v>
      </c>
      <c r="AJ133">
        <v>185.09</v>
      </c>
      <c r="AK133" t="s">
        <v>49</v>
      </c>
      <c r="AL133">
        <v>0</v>
      </c>
      <c r="AM133" t="s">
        <v>49</v>
      </c>
      <c r="AN133" s="3">
        <v>23</v>
      </c>
      <c r="AO133" s="19">
        <v>0</v>
      </c>
      <c r="AP133" s="19">
        <v>0</v>
      </c>
      <c r="AQ133" s="19">
        <v>0.7</v>
      </c>
      <c r="AR133" s="19">
        <v>0.25</v>
      </c>
      <c r="AS133" s="19">
        <v>0</v>
      </c>
      <c r="AT133" s="19">
        <v>0</v>
      </c>
      <c r="AU133" s="3">
        <v>0</v>
      </c>
      <c r="AV133" s="3">
        <v>0</v>
      </c>
      <c r="AW133" s="19">
        <v>0</v>
      </c>
      <c r="AX133" s="3">
        <v>0</v>
      </c>
      <c r="AY133" s="3">
        <v>0</v>
      </c>
    </row>
    <row r="134" spans="1:51">
      <c r="A134" s="3">
        <v>9425976</v>
      </c>
      <c r="B134" t="s">
        <v>307</v>
      </c>
      <c r="C134" s="3">
        <v>11421215</v>
      </c>
      <c r="D134" t="s">
        <v>44</v>
      </c>
      <c r="E134" t="s">
        <v>51</v>
      </c>
      <c r="F134" t="s">
        <v>46</v>
      </c>
      <c r="G134" t="s">
        <v>47</v>
      </c>
      <c r="H134" s="16">
        <v>0</v>
      </c>
      <c r="I134" s="4">
        <f>VLOOKUP(C134,[1]sheet1!$D:$I,6,0)</f>
        <v>0</v>
      </c>
      <c r="J134" s="4">
        <f>VLOOKUP(C134,[2]sheet1!$D:$I,6,0)</f>
        <v>0</v>
      </c>
      <c r="K134" s="4">
        <f>VLOOKUP(C134,[3]sheet1!$D:$I,6,0)</f>
        <v>0</v>
      </c>
      <c r="L134" s="4">
        <f>VLOOKUP(C134,[4]sheet1!$D:$I,6,0)</f>
        <v>0</v>
      </c>
      <c r="M134" s="4">
        <f>VLOOKUP(C134,[5]sheet1!$D:$I,6,0)</f>
        <v>0</v>
      </c>
      <c r="N134" s="4">
        <f>VLOOKUP(C134,[6]sheet1!$D:$I,6,0)</f>
        <v>0</v>
      </c>
      <c r="O134" s="4">
        <f>VLOOKUP(C134,[7]sheet1!$D:$I,6,0)</f>
        <v>0</v>
      </c>
      <c r="P134" s="4">
        <f>VLOOKUP(C134,[8]sheet1!$D:$I,6,0)</f>
        <v>0</v>
      </c>
      <c r="Q134" s="4">
        <f t="shared" si="2"/>
        <v>0</v>
      </c>
      <c r="R134" s="3">
        <v>0</v>
      </c>
      <c r="S134">
        <v>147</v>
      </c>
      <c r="T134">
        <v>0</v>
      </c>
      <c r="U134" s="3">
        <v>0</v>
      </c>
      <c r="V134" s="3">
        <v>0</v>
      </c>
      <c r="W134">
        <v>0</v>
      </c>
      <c r="X134" s="3">
        <v>0</v>
      </c>
      <c r="Y134">
        <v>0</v>
      </c>
      <c r="Z134" s="3">
        <v>0</v>
      </c>
      <c r="AA134" t="s">
        <v>308</v>
      </c>
      <c r="AB134" s="3">
        <v>352</v>
      </c>
      <c r="AC134">
        <v>400.52</v>
      </c>
      <c r="AD134" t="s">
        <v>49</v>
      </c>
      <c r="AE134">
        <v>0</v>
      </c>
      <c r="AF134" s="3">
        <v>0</v>
      </c>
      <c r="AG134" t="s">
        <v>49</v>
      </c>
      <c r="AH134">
        <v>0</v>
      </c>
      <c r="AI134" t="s">
        <v>49</v>
      </c>
      <c r="AJ134">
        <v>298.73</v>
      </c>
      <c r="AK134" t="s">
        <v>49</v>
      </c>
      <c r="AL134">
        <v>0</v>
      </c>
      <c r="AM134" t="s">
        <v>49</v>
      </c>
      <c r="AN134" s="3">
        <v>22</v>
      </c>
      <c r="AO134" s="19">
        <v>0</v>
      </c>
      <c r="AP134" s="19">
        <v>0</v>
      </c>
      <c r="AQ134" s="19">
        <v>0.6875</v>
      </c>
      <c r="AR134" s="19">
        <v>0.375</v>
      </c>
      <c r="AS134" s="19">
        <v>0</v>
      </c>
      <c r="AT134" s="19">
        <v>0</v>
      </c>
      <c r="AU134" s="3">
        <v>0</v>
      </c>
      <c r="AV134" s="3">
        <v>0</v>
      </c>
      <c r="AW134" s="19">
        <v>0</v>
      </c>
      <c r="AX134" s="3">
        <v>0</v>
      </c>
      <c r="AY134" s="3">
        <v>0</v>
      </c>
    </row>
    <row r="135" spans="1:51">
      <c r="A135" s="3">
        <v>9419330</v>
      </c>
      <c r="B135" t="s">
        <v>309</v>
      </c>
      <c r="C135" s="3">
        <v>12421226</v>
      </c>
      <c r="D135" t="s">
        <v>44</v>
      </c>
      <c r="E135" t="s">
        <v>109</v>
      </c>
      <c r="F135" t="s">
        <v>65</v>
      </c>
      <c r="G135" t="s">
        <v>47</v>
      </c>
      <c r="H135" s="16">
        <v>0</v>
      </c>
      <c r="I135" s="4">
        <f>VLOOKUP(C135,[1]sheet1!$D:$I,6,0)</f>
        <v>0</v>
      </c>
      <c r="J135" s="4">
        <f>VLOOKUP(C135,[2]sheet1!$D:$I,6,0)</f>
        <v>0</v>
      </c>
      <c r="K135" s="4">
        <f>VLOOKUP(C135,[3]sheet1!$D:$I,6,0)</f>
        <v>0</v>
      </c>
      <c r="L135" s="4">
        <f>VLOOKUP(C135,[4]sheet1!$D:$I,6,0)</f>
        <v>0</v>
      </c>
      <c r="M135" s="4">
        <f>VLOOKUP(C135,[5]sheet1!$D:$I,6,0)</f>
        <v>241</v>
      </c>
      <c r="N135" s="4">
        <f>VLOOKUP(C135,[6]sheet1!$D:$I,6,0)</f>
        <v>241</v>
      </c>
      <c r="O135" s="4">
        <f>VLOOKUP(C135,[7]sheet1!$D:$I,6,0)</f>
        <v>0</v>
      </c>
      <c r="P135" s="4">
        <f>VLOOKUP(C135,[8]sheet1!$D:$I,6,0)</f>
        <v>0</v>
      </c>
      <c r="Q135" s="4">
        <f t="shared" si="2"/>
        <v>482</v>
      </c>
      <c r="R135" s="3">
        <v>0</v>
      </c>
      <c r="S135" s="3">
        <v>4</v>
      </c>
      <c r="T135" s="19">
        <v>0</v>
      </c>
      <c r="U135" s="3">
        <v>0</v>
      </c>
      <c r="V135" s="3">
        <v>0</v>
      </c>
      <c r="W135">
        <v>0</v>
      </c>
      <c r="X135" s="3">
        <v>0</v>
      </c>
      <c r="Y135">
        <v>0</v>
      </c>
      <c r="Z135" s="3">
        <v>0</v>
      </c>
      <c r="AA135" t="s">
        <v>49</v>
      </c>
      <c r="AB135" t="s">
        <v>49</v>
      </c>
      <c r="AC135" t="s">
        <v>49</v>
      </c>
      <c r="AD135" t="s">
        <v>49</v>
      </c>
      <c r="AE135">
        <v>0</v>
      </c>
      <c r="AF135" s="3">
        <v>0</v>
      </c>
      <c r="AG135" t="s">
        <v>49</v>
      </c>
      <c r="AH135" t="s">
        <v>49</v>
      </c>
      <c r="AI135" t="s">
        <v>49</v>
      </c>
      <c r="AJ135" t="s">
        <v>49</v>
      </c>
      <c r="AK135" t="s">
        <v>49</v>
      </c>
      <c r="AL135" t="s">
        <v>49</v>
      </c>
      <c r="AM135" t="s">
        <v>49</v>
      </c>
      <c r="AN135" s="3">
        <v>6</v>
      </c>
      <c r="AO135" s="19">
        <v>0</v>
      </c>
      <c r="AP135" s="19">
        <v>0</v>
      </c>
      <c r="AQ135" s="19">
        <v>0.75</v>
      </c>
      <c r="AR135" s="19">
        <v>0.5</v>
      </c>
      <c r="AS135" s="19">
        <v>0</v>
      </c>
      <c r="AT135" s="19">
        <v>0</v>
      </c>
      <c r="AU135" s="3">
        <v>0</v>
      </c>
      <c r="AV135" s="3">
        <v>0</v>
      </c>
      <c r="AW135" s="19">
        <v>0</v>
      </c>
      <c r="AX135" s="3">
        <v>0</v>
      </c>
      <c r="AY135" s="3">
        <v>0</v>
      </c>
    </row>
    <row r="136" spans="1:51">
      <c r="A136" s="3">
        <v>9400616</v>
      </c>
      <c r="B136" t="s">
        <v>310</v>
      </c>
      <c r="C136" s="3">
        <v>12410306</v>
      </c>
      <c r="D136" t="s">
        <v>44</v>
      </c>
      <c r="E136" t="s">
        <v>311</v>
      </c>
      <c r="F136" t="s">
        <v>46</v>
      </c>
      <c r="G136" t="s">
        <v>47</v>
      </c>
      <c r="H136" s="16">
        <v>0</v>
      </c>
      <c r="I136" s="4">
        <f>VLOOKUP(C136,[1]sheet1!$D:$I,6,0)</f>
        <v>0</v>
      </c>
      <c r="J136" s="4">
        <f>VLOOKUP(C136,[2]sheet1!$D:$I,6,0)</f>
        <v>0</v>
      </c>
      <c r="K136" s="4">
        <f>VLOOKUP(C136,[3]sheet1!$D:$I,6,0)</f>
        <v>0</v>
      </c>
      <c r="L136" s="4">
        <f>VLOOKUP(C136,[4]sheet1!$D:$I,6,0)</f>
        <v>0</v>
      </c>
      <c r="M136" s="4">
        <f>VLOOKUP(C136,[5]sheet1!$D:$I,6,0)</f>
        <v>0</v>
      </c>
      <c r="N136" s="4">
        <f>VLOOKUP(C136,[6]sheet1!$D:$I,6,0)</f>
        <v>0</v>
      </c>
      <c r="O136" s="4">
        <f>VLOOKUP(C136,[7]sheet1!$D:$I,6,0)</f>
        <v>0</v>
      </c>
      <c r="P136" s="4">
        <f>VLOOKUP(C136,[8]sheet1!$D:$I,6,0)</f>
        <v>0</v>
      </c>
      <c r="Q136" s="4">
        <f t="shared" si="2"/>
        <v>0</v>
      </c>
      <c r="R136" s="3">
        <v>0</v>
      </c>
      <c r="S136">
        <v>52</v>
      </c>
      <c r="T136">
        <v>0</v>
      </c>
      <c r="U136" s="3">
        <v>0</v>
      </c>
      <c r="V136" s="3">
        <v>0</v>
      </c>
      <c r="W136">
        <v>0</v>
      </c>
      <c r="X136" s="3">
        <v>0</v>
      </c>
      <c r="Y136">
        <v>0</v>
      </c>
      <c r="Z136" s="3">
        <v>0</v>
      </c>
      <c r="AA136" t="s">
        <v>312</v>
      </c>
      <c r="AB136" s="3">
        <v>648</v>
      </c>
      <c r="AC136">
        <v>555.81</v>
      </c>
      <c r="AD136" t="s">
        <v>49</v>
      </c>
      <c r="AE136">
        <v>0</v>
      </c>
      <c r="AF136" s="3">
        <v>0</v>
      </c>
      <c r="AG136" t="s">
        <v>49</v>
      </c>
      <c r="AH136">
        <v>0</v>
      </c>
      <c r="AI136" t="s">
        <v>49</v>
      </c>
      <c r="AJ136">
        <v>554.07</v>
      </c>
      <c r="AK136" t="s">
        <v>49</v>
      </c>
      <c r="AL136">
        <v>0</v>
      </c>
      <c r="AM136" t="s">
        <v>49</v>
      </c>
      <c r="AN136" s="3">
        <v>3</v>
      </c>
      <c r="AO136" s="19">
        <v>0</v>
      </c>
      <c r="AP136" s="19">
        <v>0</v>
      </c>
      <c r="AQ136" s="19">
        <v>1</v>
      </c>
      <c r="AR136" s="19">
        <v>0.5</v>
      </c>
      <c r="AS136" s="19">
        <v>0</v>
      </c>
      <c r="AT136" s="19">
        <v>0</v>
      </c>
      <c r="AU136" s="3">
        <v>0</v>
      </c>
      <c r="AV136" s="3">
        <v>0</v>
      </c>
      <c r="AW136" s="19">
        <v>0</v>
      </c>
      <c r="AX136" s="3">
        <v>0</v>
      </c>
      <c r="AY136" s="3">
        <v>0</v>
      </c>
    </row>
    <row r="137" spans="1:51">
      <c r="A137" s="3">
        <v>9249036</v>
      </c>
      <c r="B137" t="s">
        <v>313</v>
      </c>
      <c r="C137" s="3">
        <v>11340157</v>
      </c>
      <c r="D137" t="s">
        <v>44</v>
      </c>
      <c r="E137" t="s">
        <v>104</v>
      </c>
      <c r="F137" t="s">
        <v>65</v>
      </c>
      <c r="G137" t="s">
        <v>47</v>
      </c>
      <c r="H137" s="16">
        <v>0</v>
      </c>
      <c r="I137" s="4">
        <f>VLOOKUP(C137,[1]sheet1!$D:$I,6,0)</f>
        <v>0</v>
      </c>
      <c r="J137" s="4">
        <f>VLOOKUP(C137,[2]sheet1!$D:$I,6,0)</f>
        <v>0</v>
      </c>
      <c r="K137" s="4">
        <f>VLOOKUP(C137,[3]sheet1!$D:$I,6,0)</f>
        <v>0</v>
      </c>
      <c r="L137" s="4">
        <f>VLOOKUP(C137,[4]sheet1!$D:$I,6,0)</f>
        <v>0</v>
      </c>
      <c r="M137" s="4">
        <f>VLOOKUP(C137,[5]sheet1!$D:$I,6,0)</f>
        <v>0</v>
      </c>
      <c r="N137" s="4">
        <f>VLOOKUP(C137,[6]sheet1!$D:$I,6,0)</f>
        <v>0</v>
      </c>
      <c r="O137" s="4">
        <f>VLOOKUP(C137,[7]sheet1!$D:$I,6,0)</f>
        <v>0</v>
      </c>
      <c r="P137" s="4">
        <f>VLOOKUP(C137,[8]sheet1!$D:$I,6,0)</f>
        <v>0</v>
      </c>
      <c r="Q137" s="4">
        <f t="shared" si="2"/>
        <v>0</v>
      </c>
      <c r="R137" s="3">
        <v>0</v>
      </c>
      <c r="S137" s="3">
        <v>2</v>
      </c>
      <c r="T137" s="19">
        <v>0</v>
      </c>
      <c r="U137" s="3">
        <v>0</v>
      </c>
      <c r="V137" s="3">
        <v>0</v>
      </c>
      <c r="W137">
        <v>0</v>
      </c>
      <c r="X137" s="3">
        <v>0</v>
      </c>
      <c r="Y137">
        <v>0</v>
      </c>
      <c r="Z137" s="3">
        <v>0</v>
      </c>
      <c r="AA137" t="s">
        <v>49</v>
      </c>
      <c r="AB137" t="s">
        <v>49</v>
      </c>
      <c r="AC137" t="s">
        <v>49</v>
      </c>
      <c r="AD137" t="s">
        <v>49</v>
      </c>
      <c r="AE137">
        <v>0</v>
      </c>
      <c r="AF137" s="3">
        <v>0</v>
      </c>
      <c r="AG137" t="s">
        <v>49</v>
      </c>
      <c r="AH137" t="s">
        <v>49</v>
      </c>
      <c r="AI137" t="s">
        <v>49</v>
      </c>
      <c r="AJ137" t="s">
        <v>49</v>
      </c>
      <c r="AK137" t="s">
        <v>49</v>
      </c>
      <c r="AL137" t="s">
        <v>49</v>
      </c>
      <c r="AM137" t="s">
        <v>49</v>
      </c>
      <c r="AN137" s="3">
        <v>2</v>
      </c>
      <c r="AO137" s="19">
        <v>0</v>
      </c>
      <c r="AP137" s="19">
        <v>0</v>
      </c>
      <c r="AQ137" s="19">
        <v>1</v>
      </c>
      <c r="AR137" s="19">
        <v>0.5</v>
      </c>
      <c r="AS137" s="19">
        <v>0</v>
      </c>
      <c r="AT137" s="19">
        <v>0</v>
      </c>
      <c r="AU137" s="3">
        <v>0</v>
      </c>
      <c r="AV137" s="3">
        <v>0</v>
      </c>
      <c r="AW137" s="19">
        <v>0</v>
      </c>
      <c r="AX137" s="3">
        <v>0</v>
      </c>
      <c r="AY137" s="3">
        <v>0</v>
      </c>
    </row>
    <row r="138" spans="1:51">
      <c r="A138" s="3">
        <v>9218143</v>
      </c>
      <c r="B138" t="s">
        <v>314</v>
      </c>
      <c r="C138" s="3">
        <v>12421502</v>
      </c>
      <c r="D138" t="s">
        <v>44</v>
      </c>
      <c r="E138" t="s">
        <v>315</v>
      </c>
      <c r="F138" t="s">
        <v>46</v>
      </c>
      <c r="G138" t="s">
        <v>47</v>
      </c>
      <c r="H138" s="16">
        <v>0</v>
      </c>
      <c r="I138" s="4">
        <f>VLOOKUP(C138,[1]sheet1!$D:$I,6,0)</f>
        <v>0</v>
      </c>
      <c r="J138" s="4">
        <f>VLOOKUP(C138,[2]sheet1!$D:$I,6,0)</f>
        <v>0</v>
      </c>
      <c r="K138" s="4">
        <f>VLOOKUP(C138,[3]sheet1!$D:$I,6,0)</f>
        <v>0</v>
      </c>
      <c r="L138" s="4">
        <f>VLOOKUP(C138,[4]sheet1!$D:$I,6,0)</f>
        <v>0</v>
      </c>
      <c r="M138" s="4">
        <f>VLOOKUP(C138,[5]sheet1!$D:$I,6,0)</f>
        <v>0</v>
      </c>
      <c r="N138" s="4">
        <f>VLOOKUP(C138,[6]sheet1!$D:$I,6,0)</f>
        <v>0</v>
      </c>
      <c r="O138" s="4">
        <f>VLOOKUP(C138,[7]sheet1!$D:$I,6,0)</f>
        <v>0</v>
      </c>
      <c r="P138" s="4">
        <f>VLOOKUP(C138,[8]sheet1!$D:$I,6,0)</f>
        <v>0</v>
      </c>
      <c r="Q138" s="4">
        <f t="shared" si="2"/>
        <v>0</v>
      </c>
      <c r="R138" s="3">
        <v>0</v>
      </c>
      <c r="S138">
        <v>0</v>
      </c>
      <c r="T138">
        <v>0</v>
      </c>
      <c r="U138" s="3">
        <v>0</v>
      </c>
      <c r="V138" s="3">
        <v>0</v>
      </c>
      <c r="W138">
        <v>0</v>
      </c>
      <c r="X138" s="3">
        <v>0</v>
      </c>
      <c r="Y138">
        <v>0</v>
      </c>
      <c r="Z138" s="3">
        <v>0</v>
      </c>
      <c r="AA138" t="s">
        <v>70</v>
      </c>
      <c r="AB138" s="3">
        <v>249</v>
      </c>
      <c r="AC138">
        <v>207.34</v>
      </c>
      <c r="AD138" t="s">
        <v>49</v>
      </c>
      <c r="AE138">
        <v>0</v>
      </c>
      <c r="AF138" s="3">
        <v>0</v>
      </c>
      <c r="AG138" t="s">
        <v>49</v>
      </c>
      <c r="AH138">
        <v>0</v>
      </c>
      <c r="AI138" t="s">
        <v>49</v>
      </c>
      <c r="AJ138" t="s">
        <v>49</v>
      </c>
      <c r="AK138" t="s">
        <v>49</v>
      </c>
      <c r="AL138" t="s">
        <v>49</v>
      </c>
      <c r="AM138" t="s">
        <v>49</v>
      </c>
      <c r="AN138" s="3">
        <v>0</v>
      </c>
      <c r="AO138" s="19">
        <v>0</v>
      </c>
      <c r="AP138" s="19">
        <v>0</v>
      </c>
      <c r="AQ138" s="19">
        <v>0</v>
      </c>
      <c r="AR138" s="19">
        <v>0</v>
      </c>
      <c r="AS138" s="19">
        <v>0</v>
      </c>
      <c r="AT138" s="19">
        <v>0</v>
      </c>
      <c r="AU138" s="3">
        <v>0</v>
      </c>
      <c r="AV138" s="3">
        <v>0</v>
      </c>
      <c r="AW138" s="19">
        <v>0</v>
      </c>
      <c r="AX138" s="3">
        <v>0</v>
      </c>
      <c r="AY138" s="3">
        <v>0</v>
      </c>
    </row>
    <row r="139" spans="1:51">
      <c r="A139" s="3">
        <v>9213379</v>
      </c>
      <c r="B139" t="s">
        <v>316</v>
      </c>
      <c r="C139" s="3">
        <v>11421501</v>
      </c>
      <c r="D139" t="s">
        <v>44</v>
      </c>
      <c r="E139" t="s">
        <v>54</v>
      </c>
      <c r="F139" t="s">
        <v>46</v>
      </c>
      <c r="G139" t="s">
        <v>47</v>
      </c>
      <c r="H139" s="16">
        <v>0</v>
      </c>
      <c r="I139" s="4">
        <f>VLOOKUP(C139,[1]sheet1!$D:$I,6,0)</f>
        <v>0</v>
      </c>
      <c r="J139" s="4">
        <f>VLOOKUP(C139,[2]sheet1!$D:$I,6,0)</f>
        <v>0</v>
      </c>
      <c r="K139" s="4">
        <f>VLOOKUP(C139,[3]sheet1!$D:$I,6,0)</f>
        <v>0</v>
      </c>
      <c r="L139" s="4">
        <f>VLOOKUP(C139,[4]sheet1!$D:$I,6,0)</f>
        <v>0</v>
      </c>
      <c r="M139" s="4">
        <f>VLOOKUP(C139,[5]sheet1!$D:$I,6,0)</f>
        <v>0</v>
      </c>
      <c r="N139" s="4">
        <f>VLOOKUP(C139,[6]sheet1!$D:$I,6,0)</f>
        <v>0</v>
      </c>
      <c r="O139" s="4">
        <f>VLOOKUP(C139,[7]sheet1!$D:$I,6,0)</f>
        <v>0</v>
      </c>
      <c r="P139" s="4">
        <f>VLOOKUP(C139,[8]sheet1!$D:$I,6,0)</f>
        <v>0</v>
      </c>
      <c r="Q139" s="4">
        <f t="shared" si="2"/>
        <v>0</v>
      </c>
      <c r="R139" s="3">
        <v>0</v>
      </c>
      <c r="S139">
        <v>90</v>
      </c>
      <c r="T139">
        <v>0</v>
      </c>
      <c r="U139" s="3">
        <v>0</v>
      </c>
      <c r="V139" s="3">
        <v>0</v>
      </c>
      <c r="W139">
        <v>0</v>
      </c>
      <c r="X139" s="3">
        <v>0</v>
      </c>
      <c r="Y139">
        <v>0</v>
      </c>
      <c r="Z139" s="3">
        <v>0</v>
      </c>
      <c r="AA139" t="s">
        <v>70</v>
      </c>
      <c r="AB139" s="3">
        <v>249</v>
      </c>
      <c r="AC139">
        <v>209.42</v>
      </c>
      <c r="AD139" t="s">
        <v>49</v>
      </c>
      <c r="AE139">
        <v>0</v>
      </c>
      <c r="AF139" s="3">
        <v>0</v>
      </c>
      <c r="AG139" t="s">
        <v>49</v>
      </c>
      <c r="AH139">
        <v>0</v>
      </c>
      <c r="AI139" t="s">
        <v>49</v>
      </c>
      <c r="AJ139" t="s">
        <v>49</v>
      </c>
      <c r="AK139" t="s">
        <v>49</v>
      </c>
      <c r="AL139" t="s">
        <v>49</v>
      </c>
      <c r="AM139" t="s">
        <v>49</v>
      </c>
      <c r="AN139" s="3">
        <v>7</v>
      </c>
      <c r="AO139" s="19">
        <v>0</v>
      </c>
      <c r="AP139" s="19">
        <v>0</v>
      </c>
      <c r="AQ139" s="19">
        <v>0.6667</v>
      </c>
      <c r="AR139" s="19">
        <v>0.3333</v>
      </c>
      <c r="AS139" s="19">
        <v>0</v>
      </c>
      <c r="AT139" s="19">
        <v>0</v>
      </c>
      <c r="AU139" s="3">
        <v>0</v>
      </c>
      <c r="AV139" s="3">
        <v>0</v>
      </c>
      <c r="AW139" s="19">
        <v>0</v>
      </c>
      <c r="AX139" s="3">
        <v>0</v>
      </c>
      <c r="AY139" s="3">
        <v>0</v>
      </c>
    </row>
    <row r="140" spans="1:51">
      <c r="A140" s="3">
        <v>9111865</v>
      </c>
      <c r="B140" t="s">
        <v>317</v>
      </c>
      <c r="C140" s="3">
        <v>16423408</v>
      </c>
      <c r="D140" t="s">
        <v>44</v>
      </c>
      <c r="E140" t="s">
        <v>304</v>
      </c>
      <c r="F140" t="s">
        <v>65</v>
      </c>
      <c r="G140" t="s">
        <v>47</v>
      </c>
      <c r="H140" s="16">
        <v>0</v>
      </c>
      <c r="I140" s="4">
        <f>VLOOKUP(C140,[1]sheet1!$D:$I,6,0)</f>
        <v>0</v>
      </c>
      <c r="J140" s="4">
        <f>VLOOKUP(C140,[2]sheet1!$D:$I,6,0)</f>
        <v>0</v>
      </c>
      <c r="K140" s="4">
        <f>VLOOKUP(C140,[3]sheet1!$D:$I,6,0)</f>
        <v>0</v>
      </c>
      <c r="L140" s="4">
        <f>VLOOKUP(C140,[4]sheet1!$D:$I,6,0)</f>
        <v>0</v>
      </c>
      <c r="M140" s="4">
        <f>VLOOKUP(C140,[5]sheet1!$D:$I,6,0)</f>
        <v>0</v>
      </c>
      <c r="N140" s="4">
        <f>VLOOKUP(C140,[6]sheet1!$D:$I,6,0)</f>
        <v>0</v>
      </c>
      <c r="O140" s="4">
        <f>VLOOKUP(C140,[7]sheet1!$D:$I,6,0)</f>
        <v>0</v>
      </c>
      <c r="P140" s="4">
        <f>VLOOKUP(C140,[8]sheet1!$D:$I,6,0)</f>
        <v>0</v>
      </c>
      <c r="Q140" s="4">
        <f t="shared" si="2"/>
        <v>0</v>
      </c>
      <c r="R140" s="3">
        <v>0</v>
      </c>
      <c r="S140" s="3">
        <v>0</v>
      </c>
      <c r="T140" s="19">
        <v>0</v>
      </c>
      <c r="U140" s="3">
        <v>0</v>
      </c>
      <c r="V140" s="3">
        <v>0</v>
      </c>
      <c r="W140">
        <v>0</v>
      </c>
      <c r="X140" s="3">
        <v>0</v>
      </c>
      <c r="Y140">
        <v>0</v>
      </c>
      <c r="Z140" s="3">
        <v>0</v>
      </c>
      <c r="AA140" t="s">
        <v>49</v>
      </c>
      <c r="AB140" t="s">
        <v>49</v>
      </c>
      <c r="AC140" t="s">
        <v>49</v>
      </c>
      <c r="AD140" t="s">
        <v>49</v>
      </c>
      <c r="AE140">
        <v>0</v>
      </c>
      <c r="AF140" s="3">
        <v>0</v>
      </c>
      <c r="AG140" t="s">
        <v>49</v>
      </c>
      <c r="AH140" t="s">
        <v>49</v>
      </c>
      <c r="AI140" t="s">
        <v>49</v>
      </c>
      <c r="AJ140" t="s">
        <v>49</v>
      </c>
      <c r="AK140" t="s">
        <v>49</v>
      </c>
      <c r="AL140" t="s">
        <v>49</v>
      </c>
      <c r="AM140" t="s">
        <v>49</v>
      </c>
      <c r="AN140" s="3">
        <v>0</v>
      </c>
      <c r="AO140" s="19">
        <v>0</v>
      </c>
      <c r="AP140" s="19">
        <v>0</v>
      </c>
      <c r="AQ140" s="19">
        <v>0</v>
      </c>
      <c r="AR140" s="19">
        <v>0</v>
      </c>
      <c r="AS140" s="19">
        <v>0</v>
      </c>
      <c r="AT140" s="19">
        <v>0</v>
      </c>
      <c r="AU140" s="3">
        <v>0</v>
      </c>
      <c r="AV140" s="3">
        <v>0</v>
      </c>
      <c r="AW140" s="19">
        <v>0</v>
      </c>
      <c r="AX140" s="3">
        <v>0</v>
      </c>
      <c r="AY140" s="3">
        <v>0</v>
      </c>
    </row>
    <row r="141" spans="1:51">
      <c r="A141" s="3">
        <v>9111408</v>
      </c>
      <c r="B141" t="s">
        <v>318</v>
      </c>
      <c r="C141" s="3">
        <v>116423401</v>
      </c>
      <c r="D141" t="s">
        <v>44</v>
      </c>
      <c r="E141" t="s">
        <v>64</v>
      </c>
      <c r="F141" t="s">
        <v>65</v>
      </c>
      <c r="G141" t="s">
        <v>47</v>
      </c>
      <c r="H141" s="16">
        <v>0</v>
      </c>
      <c r="I141" s="4">
        <f>VLOOKUP(C141,[1]sheet1!$D:$I,6,0)</f>
        <v>0</v>
      </c>
      <c r="J141" s="4">
        <f>VLOOKUP(C141,[2]sheet1!$D:$I,6,0)</f>
        <v>0</v>
      </c>
      <c r="K141" s="4">
        <f>VLOOKUP(C141,[3]sheet1!$D:$I,6,0)</f>
        <v>154</v>
      </c>
      <c r="L141" s="4">
        <f>VLOOKUP(C141,[4]sheet1!$D:$I,6,0)</f>
        <v>0</v>
      </c>
      <c r="M141" s="4">
        <f>VLOOKUP(C141,[5]sheet1!$D:$I,6,0)</f>
        <v>0</v>
      </c>
      <c r="N141" s="4">
        <f>VLOOKUP(C141,[6]sheet1!$D:$I,6,0)</f>
        <v>0</v>
      </c>
      <c r="O141" s="4">
        <f>VLOOKUP(C141,[7]sheet1!$D:$I,6,0)</f>
        <v>0</v>
      </c>
      <c r="P141" s="4">
        <f>VLOOKUP(C141,[8]sheet1!$D:$I,6,0)</f>
        <v>74</v>
      </c>
      <c r="Q141" s="4">
        <f t="shared" si="2"/>
        <v>228</v>
      </c>
      <c r="R141" s="3">
        <v>0</v>
      </c>
      <c r="S141" s="3">
        <v>12</v>
      </c>
      <c r="T141" s="19">
        <v>0</v>
      </c>
      <c r="U141" s="3">
        <v>0</v>
      </c>
      <c r="V141" s="3">
        <v>0</v>
      </c>
      <c r="W141">
        <v>0</v>
      </c>
      <c r="X141" s="3">
        <v>0</v>
      </c>
      <c r="Y141">
        <v>0</v>
      </c>
      <c r="Z141" s="3">
        <v>0</v>
      </c>
      <c r="AA141" t="s">
        <v>319</v>
      </c>
      <c r="AB141" t="s">
        <v>49</v>
      </c>
      <c r="AC141">
        <v>61.87</v>
      </c>
      <c r="AD141" t="s">
        <v>49</v>
      </c>
      <c r="AE141">
        <v>0</v>
      </c>
      <c r="AF141" s="3">
        <v>0</v>
      </c>
      <c r="AG141" t="s">
        <v>49</v>
      </c>
      <c r="AH141">
        <v>0</v>
      </c>
      <c r="AI141" t="s">
        <v>49</v>
      </c>
      <c r="AJ141" t="s">
        <v>49</v>
      </c>
      <c r="AK141" t="s">
        <v>49</v>
      </c>
      <c r="AL141" t="s">
        <v>49</v>
      </c>
      <c r="AM141" t="s">
        <v>49</v>
      </c>
      <c r="AN141" s="3">
        <v>27</v>
      </c>
      <c r="AO141" s="19">
        <v>0</v>
      </c>
      <c r="AP141" s="19">
        <v>0</v>
      </c>
      <c r="AQ141" s="19">
        <v>0.6667</v>
      </c>
      <c r="AR141" s="19">
        <v>0.3333</v>
      </c>
      <c r="AS141" s="19">
        <v>0</v>
      </c>
      <c r="AT141" s="19">
        <v>0</v>
      </c>
      <c r="AU141" s="3">
        <v>0</v>
      </c>
      <c r="AV141" s="3">
        <v>0</v>
      </c>
      <c r="AW141" s="19">
        <v>0</v>
      </c>
      <c r="AX141" s="3">
        <v>0</v>
      </c>
      <c r="AY141" s="3">
        <v>0</v>
      </c>
    </row>
    <row r="142" spans="1:51">
      <c r="A142" s="3">
        <v>9109924</v>
      </c>
      <c r="B142" t="s">
        <v>320</v>
      </c>
      <c r="C142" s="3">
        <v>16423407</v>
      </c>
      <c r="D142" t="s">
        <v>44</v>
      </c>
      <c r="E142" t="s">
        <v>304</v>
      </c>
      <c r="F142" t="s">
        <v>65</v>
      </c>
      <c r="G142" t="s">
        <v>47</v>
      </c>
      <c r="H142" s="16">
        <v>0</v>
      </c>
      <c r="I142" s="4">
        <f>VLOOKUP(C142,[1]sheet1!$D:$I,6,0)</f>
        <v>0</v>
      </c>
      <c r="J142" s="4">
        <f>VLOOKUP(C142,[2]sheet1!$D:$I,6,0)</f>
        <v>0</v>
      </c>
      <c r="K142" s="4">
        <f>VLOOKUP(C142,[3]sheet1!$D:$I,6,0)</f>
        <v>0</v>
      </c>
      <c r="L142" s="4">
        <f>VLOOKUP(C142,[4]sheet1!$D:$I,6,0)</f>
        <v>0</v>
      </c>
      <c r="M142" s="4">
        <f>VLOOKUP(C142,[5]sheet1!$D:$I,6,0)</f>
        <v>0</v>
      </c>
      <c r="N142" s="4">
        <f>VLOOKUP(C142,[6]sheet1!$D:$I,6,0)</f>
        <v>0</v>
      </c>
      <c r="O142" s="4">
        <f>VLOOKUP(C142,[7]sheet1!$D:$I,6,0)</f>
        <v>0</v>
      </c>
      <c r="P142" s="4">
        <f>VLOOKUP(C142,[8]sheet1!$D:$I,6,0)</f>
        <v>0</v>
      </c>
      <c r="Q142" s="4">
        <f t="shared" si="2"/>
        <v>0</v>
      </c>
      <c r="R142" s="3">
        <v>0</v>
      </c>
      <c r="S142" s="3">
        <v>1</v>
      </c>
      <c r="T142" s="19">
        <v>0</v>
      </c>
      <c r="U142" s="3">
        <v>0</v>
      </c>
      <c r="V142" s="3">
        <v>0</v>
      </c>
      <c r="W142">
        <v>0</v>
      </c>
      <c r="X142" s="3">
        <v>0</v>
      </c>
      <c r="Y142">
        <v>0</v>
      </c>
      <c r="Z142" s="3">
        <v>0</v>
      </c>
      <c r="AA142" t="s">
        <v>321</v>
      </c>
      <c r="AB142" t="s">
        <v>49</v>
      </c>
      <c r="AC142">
        <v>91.71</v>
      </c>
      <c r="AD142" t="s">
        <v>49</v>
      </c>
      <c r="AE142">
        <v>0</v>
      </c>
      <c r="AF142" s="3">
        <v>0</v>
      </c>
      <c r="AG142" t="s">
        <v>49</v>
      </c>
      <c r="AH142">
        <v>0</v>
      </c>
      <c r="AI142" t="s">
        <v>49</v>
      </c>
      <c r="AJ142" t="s">
        <v>49</v>
      </c>
      <c r="AK142" t="s">
        <v>49</v>
      </c>
      <c r="AL142" t="s">
        <v>49</v>
      </c>
      <c r="AM142" t="s">
        <v>49</v>
      </c>
      <c r="AN142" s="3">
        <v>1</v>
      </c>
      <c r="AO142" s="19">
        <v>0</v>
      </c>
      <c r="AP142" s="19">
        <v>0</v>
      </c>
      <c r="AQ142" s="19">
        <v>1</v>
      </c>
      <c r="AR142" s="19">
        <v>0</v>
      </c>
      <c r="AS142" s="19">
        <v>0</v>
      </c>
      <c r="AT142" s="19">
        <v>0</v>
      </c>
      <c r="AU142" s="3">
        <v>0</v>
      </c>
      <c r="AV142" s="3">
        <v>0</v>
      </c>
      <c r="AW142" s="19">
        <v>0</v>
      </c>
      <c r="AX142" s="3">
        <v>0</v>
      </c>
      <c r="AY142" s="3">
        <v>0</v>
      </c>
    </row>
    <row r="143" spans="1:51">
      <c r="A143" s="3">
        <v>9109514</v>
      </c>
      <c r="B143" t="s">
        <v>322</v>
      </c>
      <c r="C143" s="3">
        <v>164332401</v>
      </c>
      <c r="D143" t="s">
        <v>44</v>
      </c>
      <c r="E143" t="s">
        <v>323</v>
      </c>
      <c r="F143" t="s">
        <v>65</v>
      </c>
      <c r="G143" t="s">
        <v>47</v>
      </c>
      <c r="H143" s="16">
        <v>0</v>
      </c>
      <c r="I143" s="4">
        <f>VLOOKUP(C143,[1]sheet1!$D:$I,6,0)</f>
        <v>0</v>
      </c>
      <c r="J143" s="4">
        <f>VLOOKUP(C143,[2]sheet1!$D:$I,6,0)</f>
        <v>0</v>
      </c>
      <c r="K143" s="4">
        <f>VLOOKUP(C143,[3]sheet1!$D:$I,6,0)</f>
        <v>0</v>
      </c>
      <c r="L143" s="4">
        <f>VLOOKUP(C143,[4]sheet1!$D:$I,6,0)</f>
        <v>0</v>
      </c>
      <c r="M143" s="4">
        <f>VLOOKUP(C143,[5]sheet1!$D:$I,6,0)</f>
        <v>0</v>
      </c>
      <c r="N143" s="4">
        <f>VLOOKUP(C143,[6]sheet1!$D:$I,6,0)</f>
        <v>0</v>
      </c>
      <c r="O143" s="4">
        <f>VLOOKUP(C143,[7]sheet1!$D:$I,6,0)</f>
        <v>0</v>
      </c>
      <c r="P143" s="4">
        <f>VLOOKUP(C143,[8]sheet1!$D:$I,6,0)</f>
        <v>0</v>
      </c>
      <c r="Q143" s="4">
        <f t="shared" si="2"/>
        <v>0</v>
      </c>
      <c r="R143" s="3">
        <v>0</v>
      </c>
      <c r="S143" s="3">
        <v>1</v>
      </c>
      <c r="T143" s="19">
        <v>0</v>
      </c>
      <c r="U143" s="3">
        <v>0</v>
      </c>
      <c r="V143" s="3">
        <v>0</v>
      </c>
      <c r="W143">
        <v>0</v>
      </c>
      <c r="X143" s="3">
        <v>0</v>
      </c>
      <c r="Y143">
        <v>0</v>
      </c>
      <c r="Z143" s="3">
        <v>0</v>
      </c>
      <c r="AA143" t="s">
        <v>49</v>
      </c>
      <c r="AB143" t="s">
        <v>49</v>
      </c>
      <c r="AC143" t="s">
        <v>49</v>
      </c>
      <c r="AD143" t="s">
        <v>49</v>
      </c>
      <c r="AE143">
        <v>0</v>
      </c>
      <c r="AF143" s="3">
        <v>0</v>
      </c>
      <c r="AG143" t="s">
        <v>49</v>
      </c>
      <c r="AH143" t="s">
        <v>49</v>
      </c>
      <c r="AI143" t="s">
        <v>49</v>
      </c>
      <c r="AJ143" t="s">
        <v>49</v>
      </c>
      <c r="AK143" t="s">
        <v>49</v>
      </c>
      <c r="AL143" t="s">
        <v>49</v>
      </c>
      <c r="AM143" t="s">
        <v>49</v>
      </c>
      <c r="AN143" s="3">
        <v>1</v>
      </c>
      <c r="AO143" s="19">
        <v>0</v>
      </c>
      <c r="AP143" s="19">
        <v>0</v>
      </c>
      <c r="AQ143" s="19">
        <v>1</v>
      </c>
      <c r="AR143" s="19">
        <v>0</v>
      </c>
      <c r="AS143" s="19">
        <v>0</v>
      </c>
      <c r="AT143" s="19">
        <v>0</v>
      </c>
      <c r="AU143" s="3">
        <v>0</v>
      </c>
      <c r="AV143" s="3">
        <v>0</v>
      </c>
      <c r="AW143" s="19">
        <v>0</v>
      </c>
      <c r="AX143" s="3">
        <v>0</v>
      </c>
      <c r="AY143" s="3">
        <v>0</v>
      </c>
    </row>
    <row r="144" spans="1:51">
      <c r="A144" s="3">
        <v>9103664</v>
      </c>
      <c r="B144" t="s">
        <v>324</v>
      </c>
      <c r="C144" s="3">
        <v>16424601</v>
      </c>
      <c r="D144" t="s">
        <v>44</v>
      </c>
      <c r="E144" t="s">
        <v>325</v>
      </c>
      <c r="F144" t="s">
        <v>65</v>
      </c>
      <c r="G144" t="s">
        <v>47</v>
      </c>
      <c r="H144" s="16">
        <v>0</v>
      </c>
      <c r="I144" s="4">
        <f>VLOOKUP(C144,[1]sheet1!$D:$I,6,0)</f>
        <v>0</v>
      </c>
      <c r="J144" s="4">
        <f>VLOOKUP(C144,[2]sheet1!$D:$I,6,0)</f>
        <v>0</v>
      </c>
      <c r="K144" s="4">
        <f>VLOOKUP(C144,[3]sheet1!$D:$I,6,0)</f>
        <v>0</v>
      </c>
      <c r="L144" s="4">
        <f>VLOOKUP(C144,[4]sheet1!$D:$I,6,0)</f>
        <v>0</v>
      </c>
      <c r="M144" s="4">
        <f>VLOOKUP(C144,[5]sheet1!$D:$I,6,0)</f>
        <v>0</v>
      </c>
      <c r="N144" s="4">
        <f>VLOOKUP(C144,[6]sheet1!$D:$I,6,0)</f>
        <v>0</v>
      </c>
      <c r="O144" s="4">
        <f>VLOOKUP(C144,[7]sheet1!$D:$I,6,0)</f>
        <v>0</v>
      </c>
      <c r="P144" s="4">
        <f>VLOOKUP(C144,[8]sheet1!$D:$I,6,0)</f>
        <v>0</v>
      </c>
      <c r="Q144" s="4">
        <f t="shared" si="2"/>
        <v>0</v>
      </c>
      <c r="R144" s="3">
        <v>0</v>
      </c>
      <c r="S144" s="3">
        <v>0</v>
      </c>
      <c r="T144" s="19">
        <v>0</v>
      </c>
      <c r="U144" s="3">
        <v>0</v>
      </c>
      <c r="V144" s="3">
        <v>0</v>
      </c>
      <c r="W144">
        <v>0</v>
      </c>
      <c r="X144" s="3">
        <v>0</v>
      </c>
      <c r="Y144">
        <v>0</v>
      </c>
      <c r="Z144" s="3">
        <v>0</v>
      </c>
      <c r="AA144" t="s">
        <v>326</v>
      </c>
      <c r="AB144" t="s">
        <v>49</v>
      </c>
      <c r="AC144">
        <v>54.41</v>
      </c>
      <c r="AD144" t="s">
        <v>49</v>
      </c>
      <c r="AE144">
        <v>0</v>
      </c>
      <c r="AF144" s="3">
        <v>0</v>
      </c>
      <c r="AG144" t="s">
        <v>49</v>
      </c>
      <c r="AH144">
        <v>0</v>
      </c>
      <c r="AI144" t="s">
        <v>49</v>
      </c>
      <c r="AJ144" t="s">
        <v>49</v>
      </c>
      <c r="AK144" t="s">
        <v>49</v>
      </c>
      <c r="AL144" t="s">
        <v>49</v>
      </c>
      <c r="AM144" t="s">
        <v>49</v>
      </c>
      <c r="AN144" s="3">
        <v>0</v>
      </c>
      <c r="AO144" s="19">
        <v>0</v>
      </c>
      <c r="AP144" s="19">
        <v>0</v>
      </c>
      <c r="AQ144" s="19">
        <v>0</v>
      </c>
      <c r="AR144" s="19">
        <v>0</v>
      </c>
      <c r="AS144" s="19">
        <v>0</v>
      </c>
      <c r="AT144" s="19">
        <v>0</v>
      </c>
      <c r="AU144" s="3">
        <v>0</v>
      </c>
      <c r="AV144" s="3">
        <v>0</v>
      </c>
      <c r="AW144" s="19">
        <v>0</v>
      </c>
      <c r="AX144" s="3">
        <v>0</v>
      </c>
      <c r="AY144" s="3">
        <v>0</v>
      </c>
    </row>
    <row r="145" spans="1:51">
      <c r="A145" s="3">
        <v>8936738</v>
      </c>
      <c r="B145" t="s">
        <v>327</v>
      </c>
      <c r="C145" s="3">
        <v>11410305</v>
      </c>
      <c r="D145" t="s">
        <v>44</v>
      </c>
      <c r="E145" t="s">
        <v>328</v>
      </c>
      <c r="F145" t="s">
        <v>46</v>
      </c>
      <c r="G145" t="s">
        <v>47</v>
      </c>
      <c r="H145" s="16">
        <v>0</v>
      </c>
      <c r="I145" s="4">
        <f>VLOOKUP(C145,[1]sheet1!$D:$I,6,0)</f>
        <v>0</v>
      </c>
      <c r="J145" s="4">
        <f>VLOOKUP(C145,[2]sheet1!$D:$I,6,0)</f>
        <v>0</v>
      </c>
      <c r="K145" s="4">
        <f>VLOOKUP(C145,[3]sheet1!$D:$I,6,0)</f>
        <v>0</v>
      </c>
      <c r="L145" s="4">
        <f>VLOOKUP(C145,[4]sheet1!$D:$I,6,0)</f>
        <v>0</v>
      </c>
      <c r="M145" s="4">
        <f>VLOOKUP(C145,[5]sheet1!$D:$I,6,0)</f>
        <v>0</v>
      </c>
      <c r="N145" s="4">
        <f>VLOOKUP(C145,[6]sheet1!$D:$I,6,0)</f>
        <v>0</v>
      </c>
      <c r="O145" s="4">
        <f>VLOOKUP(C145,[7]sheet1!$D:$I,6,0)</f>
        <v>0</v>
      </c>
      <c r="P145" s="4">
        <f>VLOOKUP(C145,[8]sheet1!$D:$I,6,0)</f>
        <v>0</v>
      </c>
      <c r="Q145" s="4">
        <f t="shared" si="2"/>
        <v>0</v>
      </c>
      <c r="R145" s="3">
        <v>0</v>
      </c>
      <c r="S145">
        <v>160</v>
      </c>
      <c r="T145">
        <v>0</v>
      </c>
      <c r="U145" s="3">
        <v>0</v>
      </c>
      <c r="V145" s="3">
        <v>0</v>
      </c>
      <c r="W145">
        <v>0</v>
      </c>
      <c r="X145" s="3">
        <v>0</v>
      </c>
      <c r="Y145">
        <v>0</v>
      </c>
      <c r="Z145" s="3">
        <v>0</v>
      </c>
      <c r="AA145" t="s">
        <v>312</v>
      </c>
      <c r="AB145" s="3">
        <v>574</v>
      </c>
      <c r="AC145">
        <v>555.19</v>
      </c>
      <c r="AD145" t="s">
        <v>49</v>
      </c>
      <c r="AE145">
        <v>0</v>
      </c>
      <c r="AF145" s="3">
        <v>0</v>
      </c>
      <c r="AG145" t="s">
        <v>49</v>
      </c>
      <c r="AH145">
        <v>0</v>
      </c>
      <c r="AI145" t="s">
        <v>49</v>
      </c>
      <c r="AJ145">
        <v>489.07</v>
      </c>
      <c r="AK145" t="s">
        <v>49</v>
      </c>
      <c r="AL145">
        <v>0</v>
      </c>
      <c r="AM145" t="s">
        <v>49</v>
      </c>
      <c r="AN145" s="3">
        <v>22</v>
      </c>
      <c r="AO145" s="19">
        <v>0</v>
      </c>
      <c r="AP145" s="19">
        <v>0</v>
      </c>
      <c r="AQ145" s="19">
        <v>0.6316</v>
      </c>
      <c r="AR145" s="19">
        <v>0.3158</v>
      </c>
      <c r="AS145" s="19">
        <v>0</v>
      </c>
      <c r="AT145" s="19">
        <v>0</v>
      </c>
      <c r="AU145" s="3">
        <v>0</v>
      </c>
      <c r="AV145" s="3">
        <v>0</v>
      </c>
      <c r="AW145" s="19">
        <v>0</v>
      </c>
      <c r="AX145" s="3">
        <v>0</v>
      </c>
      <c r="AY145" s="3">
        <v>0</v>
      </c>
    </row>
    <row r="146" spans="1:51">
      <c r="A146" s="3">
        <v>8928474</v>
      </c>
      <c r="B146" t="s">
        <v>329</v>
      </c>
      <c r="C146" s="3">
        <v>11410303</v>
      </c>
      <c r="D146" t="s">
        <v>44</v>
      </c>
      <c r="E146" t="s">
        <v>330</v>
      </c>
      <c r="F146" t="s">
        <v>46</v>
      </c>
      <c r="G146" t="s">
        <v>47</v>
      </c>
      <c r="H146" s="16">
        <v>0</v>
      </c>
      <c r="I146" s="4">
        <f>VLOOKUP(C146,[1]sheet1!$D:$I,6,0)</f>
        <v>1148</v>
      </c>
      <c r="J146" s="4">
        <f>VLOOKUP(C146,[2]sheet1!$D:$I,6,0)</f>
        <v>0</v>
      </c>
      <c r="K146" s="4">
        <f>VLOOKUP(C146,[3]sheet1!$D:$I,6,0)</f>
        <v>0</v>
      </c>
      <c r="L146" s="4">
        <f>VLOOKUP(C146,[4]sheet1!$D:$I,6,0)</f>
        <v>582</v>
      </c>
      <c r="M146" s="4">
        <f>VLOOKUP(C146,[5]sheet1!$D:$I,6,0)</f>
        <v>0</v>
      </c>
      <c r="N146" s="4">
        <f>VLOOKUP(C146,[6]sheet1!$D:$I,6,0)</f>
        <v>0</v>
      </c>
      <c r="O146" s="4">
        <f>VLOOKUP(C146,[7]sheet1!$D:$I,6,0)</f>
        <v>0</v>
      </c>
      <c r="P146" s="4">
        <f>VLOOKUP(C146,[8]sheet1!$D:$I,6,0)</f>
        <v>0</v>
      </c>
      <c r="Q146" s="4">
        <f t="shared" si="2"/>
        <v>1730</v>
      </c>
      <c r="R146" s="3">
        <v>0</v>
      </c>
      <c r="S146">
        <v>280</v>
      </c>
      <c r="T146">
        <v>0</v>
      </c>
      <c r="U146" s="3">
        <v>5</v>
      </c>
      <c r="V146" s="3">
        <v>0</v>
      </c>
      <c r="W146">
        <v>0</v>
      </c>
      <c r="X146" s="3">
        <v>0</v>
      </c>
      <c r="Y146">
        <v>0</v>
      </c>
      <c r="Z146" s="3">
        <v>0</v>
      </c>
      <c r="AA146" t="s">
        <v>331</v>
      </c>
      <c r="AB146" s="3">
        <v>540</v>
      </c>
      <c r="AC146">
        <v>512.19</v>
      </c>
      <c r="AD146" t="s">
        <v>49</v>
      </c>
      <c r="AE146">
        <v>0</v>
      </c>
      <c r="AF146" s="3">
        <v>0</v>
      </c>
      <c r="AG146" t="s">
        <v>49</v>
      </c>
      <c r="AH146">
        <v>0</v>
      </c>
      <c r="AI146" t="s">
        <v>49</v>
      </c>
      <c r="AJ146">
        <v>459.99</v>
      </c>
      <c r="AK146" t="s">
        <v>49</v>
      </c>
      <c r="AL146">
        <v>0</v>
      </c>
      <c r="AM146" t="s">
        <v>49</v>
      </c>
      <c r="AN146" s="3">
        <v>73</v>
      </c>
      <c r="AO146" s="19">
        <v>0</v>
      </c>
      <c r="AP146" s="19">
        <v>0</v>
      </c>
      <c r="AQ146" s="19">
        <v>0.8103</v>
      </c>
      <c r="AR146" s="19">
        <v>0.2931</v>
      </c>
      <c r="AS146" s="19">
        <v>0.8</v>
      </c>
      <c r="AT146" s="19">
        <v>0.2</v>
      </c>
      <c r="AU146" s="3">
        <v>0</v>
      </c>
      <c r="AV146" s="3">
        <v>0</v>
      </c>
      <c r="AW146" s="19">
        <v>0</v>
      </c>
      <c r="AX146" s="3">
        <v>0</v>
      </c>
      <c r="AY146" s="3">
        <v>0</v>
      </c>
    </row>
    <row r="147" spans="1:51">
      <c r="A147" s="3">
        <v>8718749</v>
      </c>
      <c r="B147" t="s">
        <v>332</v>
      </c>
      <c r="C147" s="3">
        <v>116123408</v>
      </c>
      <c r="D147" t="s">
        <v>44</v>
      </c>
      <c r="E147" t="s">
        <v>304</v>
      </c>
      <c r="F147" t="s">
        <v>65</v>
      </c>
      <c r="G147" t="s">
        <v>47</v>
      </c>
      <c r="H147" s="16">
        <v>0</v>
      </c>
      <c r="I147" s="4">
        <f>VLOOKUP(C147,[1]sheet1!$D:$I,6,0)</f>
        <v>0</v>
      </c>
      <c r="J147" s="4">
        <f>VLOOKUP(C147,[2]sheet1!$D:$I,6,0)</f>
        <v>0</v>
      </c>
      <c r="K147" s="4">
        <f>VLOOKUP(C147,[3]sheet1!$D:$I,6,0)</f>
        <v>0</v>
      </c>
      <c r="L147" s="4">
        <f>VLOOKUP(C147,[4]sheet1!$D:$I,6,0)</f>
        <v>0</v>
      </c>
      <c r="M147" s="4">
        <f>VLOOKUP(C147,[5]sheet1!$D:$I,6,0)</f>
        <v>108</v>
      </c>
      <c r="N147" s="4">
        <f>VLOOKUP(C147,[6]sheet1!$D:$I,6,0)</f>
        <v>0</v>
      </c>
      <c r="O147" s="4">
        <f>VLOOKUP(C147,[7]sheet1!$D:$I,6,0)</f>
        <v>0</v>
      </c>
      <c r="P147" s="4">
        <f>VLOOKUP(C147,[8]sheet1!$D:$I,6,0)</f>
        <v>0</v>
      </c>
      <c r="Q147" s="4">
        <f t="shared" si="2"/>
        <v>108</v>
      </c>
      <c r="R147" s="3">
        <v>0</v>
      </c>
      <c r="S147" s="3">
        <v>0</v>
      </c>
      <c r="T147" s="19">
        <v>0</v>
      </c>
      <c r="U147" s="3">
        <v>0</v>
      </c>
      <c r="V147" s="3">
        <v>0</v>
      </c>
      <c r="W147">
        <v>0</v>
      </c>
      <c r="X147" s="3">
        <v>0</v>
      </c>
      <c r="Y147">
        <v>0</v>
      </c>
      <c r="Z147" s="3">
        <v>0</v>
      </c>
      <c r="AA147" t="s">
        <v>333</v>
      </c>
      <c r="AB147" t="s">
        <v>49</v>
      </c>
      <c r="AC147">
        <v>61.31</v>
      </c>
      <c r="AD147" t="s">
        <v>49</v>
      </c>
      <c r="AE147">
        <v>0</v>
      </c>
      <c r="AF147" s="3">
        <v>0</v>
      </c>
      <c r="AG147" t="s">
        <v>49</v>
      </c>
      <c r="AH147">
        <v>0</v>
      </c>
      <c r="AI147" t="s">
        <v>49</v>
      </c>
      <c r="AJ147" t="s">
        <v>49</v>
      </c>
      <c r="AK147" t="s">
        <v>49</v>
      </c>
      <c r="AL147" t="s">
        <v>49</v>
      </c>
      <c r="AM147" t="s">
        <v>49</v>
      </c>
      <c r="AN147" s="3">
        <v>0</v>
      </c>
      <c r="AO147" s="19">
        <v>0</v>
      </c>
      <c r="AP147" s="19">
        <v>0</v>
      </c>
      <c r="AQ147" s="19">
        <v>0</v>
      </c>
      <c r="AR147" s="19">
        <v>0</v>
      </c>
      <c r="AS147" s="19">
        <v>0</v>
      </c>
      <c r="AT147" s="19">
        <v>0</v>
      </c>
      <c r="AU147" s="3">
        <v>0</v>
      </c>
      <c r="AV147" s="3">
        <v>0</v>
      </c>
      <c r="AW147" s="19">
        <v>0</v>
      </c>
      <c r="AX147" s="3">
        <v>0</v>
      </c>
      <c r="AY147" s="3">
        <v>0</v>
      </c>
    </row>
    <row r="148" spans="1:51">
      <c r="A148" s="3">
        <v>8631951</v>
      </c>
      <c r="B148" t="s">
        <v>334</v>
      </c>
      <c r="C148" s="3">
        <v>16223401</v>
      </c>
      <c r="D148" t="s">
        <v>44</v>
      </c>
      <c r="E148" t="s">
        <v>304</v>
      </c>
      <c r="F148" t="s">
        <v>65</v>
      </c>
      <c r="G148" t="s">
        <v>47</v>
      </c>
      <c r="H148" s="16">
        <v>0</v>
      </c>
      <c r="I148" s="4">
        <f>VLOOKUP(C148,[1]sheet1!$D:$I,6,0)</f>
        <v>0</v>
      </c>
      <c r="J148" s="4">
        <f>VLOOKUP(C148,[2]sheet1!$D:$I,6,0)</f>
        <v>0</v>
      </c>
      <c r="K148" s="4">
        <f>VLOOKUP(C148,[3]sheet1!$D:$I,6,0)</f>
        <v>0</v>
      </c>
      <c r="L148" s="4">
        <f>VLOOKUP(C148,[4]sheet1!$D:$I,6,0)</f>
        <v>0</v>
      </c>
      <c r="M148" s="4">
        <f>VLOOKUP(C148,[5]sheet1!$D:$I,6,0)</f>
        <v>0</v>
      </c>
      <c r="N148" s="4">
        <f>VLOOKUP(C148,[6]sheet1!$D:$I,6,0)</f>
        <v>0</v>
      </c>
      <c r="O148" s="4">
        <f>VLOOKUP(C148,[7]sheet1!$D:$I,6,0)</f>
        <v>0</v>
      </c>
      <c r="P148" s="4">
        <f>VLOOKUP(C148,[8]sheet1!$D:$I,6,0)</f>
        <v>0</v>
      </c>
      <c r="Q148" s="4">
        <f t="shared" si="2"/>
        <v>0</v>
      </c>
      <c r="R148" s="3">
        <v>0</v>
      </c>
      <c r="S148" s="3">
        <v>7</v>
      </c>
      <c r="T148" s="19">
        <v>0</v>
      </c>
      <c r="U148" s="3">
        <v>0</v>
      </c>
      <c r="V148" s="3">
        <v>0</v>
      </c>
      <c r="W148">
        <v>0</v>
      </c>
      <c r="X148" s="3">
        <v>0</v>
      </c>
      <c r="Y148">
        <v>0</v>
      </c>
      <c r="Z148" s="3">
        <v>0</v>
      </c>
      <c r="AA148" t="s">
        <v>49</v>
      </c>
      <c r="AB148" t="s">
        <v>49</v>
      </c>
      <c r="AC148" t="s">
        <v>49</v>
      </c>
      <c r="AD148" t="s">
        <v>49</v>
      </c>
      <c r="AE148">
        <v>0</v>
      </c>
      <c r="AF148" s="3">
        <v>0</v>
      </c>
      <c r="AG148" t="s">
        <v>49</v>
      </c>
      <c r="AH148" t="s">
        <v>49</v>
      </c>
      <c r="AI148" t="s">
        <v>49</v>
      </c>
      <c r="AJ148" t="s">
        <v>49</v>
      </c>
      <c r="AK148" t="s">
        <v>49</v>
      </c>
      <c r="AL148" t="s">
        <v>49</v>
      </c>
      <c r="AM148" t="s">
        <v>49</v>
      </c>
      <c r="AN148" s="3">
        <v>7</v>
      </c>
      <c r="AO148" s="19">
        <v>0</v>
      </c>
      <c r="AP148" s="19">
        <v>0</v>
      </c>
      <c r="AQ148" s="19">
        <v>1</v>
      </c>
      <c r="AR148" s="19">
        <v>0.1429</v>
      </c>
      <c r="AS148" s="19">
        <v>0</v>
      </c>
      <c r="AT148" s="19">
        <v>0</v>
      </c>
      <c r="AU148" s="3">
        <v>0</v>
      </c>
      <c r="AV148" s="3">
        <v>0</v>
      </c>
      <c r="AW148" s="19">
        <v>0</v>
      </c>
      <c r="AX148" s="3">
        <v>0</v>
      </c>
      <c r="AY148" s="3">
        <v>0</v>
      </c>
    </row>
    <row r="149" spans="1:51">
      <c r="A149" s="3">
        <v>8630639</v>
      </c>
      <c r="B149" t="s">
        <v>335</v>
      </c>
      <c r="C149" s="3">
        <v>116223402</v>
      </c>
      <c r="D149" t="s">
        <v>44</v>
      </c>
      <c r="E149" t="s">
        <v>304</v>
      </c>
      <c r="F149" t="s">
        <v>65</v>
      </c>
      <c r="G149" t="s">
        <v>47</v>
      </c>
      <c r="H149" s="16">
        <v>0</v>
      </c>
      <c r="I149" s="4">
        <f>VLOOKUP(C149,[1]sheet1!$D:$I,6,0)</f>
        <v>0</v>
      </c>
      <c r="J149" s="4">
        <f>VLOOKUP(C149,[2]sheet1!$D:$I,6,0)</f>
        <v>0</v>
      </c>
      <c r="K149" s="4">
        <f>VLOOKUP(C149,[3]sheet1!$D:$I,6,0)</f>
        <v>0</v>
      </c>
      <c r="L149" s="4">
        <f>VLOOKUP(C149,[4]sheet1!$D:$I,6,0)</f>
        <v>0</v>
      </c>
      <c r="M149" s="4">
        <f>VLOOKUP(C149,[5]sheet1!$D:$I,6,0)</f>
        <v>0</v>
      </c>
      <c r="N149" s="4">
        <f>VLOOKUP(C149,[6]sheet1!$D:$I,6,0)</f>
        <v>0</v>
      </c>
      <c r="O149" s="4">
        <f>VLOOKUP(C149,[7]sheet1!$D:$I,6,0)</f>
        <v>0</v>
      </c>
      <c r="P149" s="4">
        <f>VLOOKUP(C149,[8]sheet1!$D:$I,6,0)</f>
        <v>0</v>
      </c>
      <c r="Q149" s="4">
        <f t="shared" si="2"/>
        <v>0</v>
      </c>
      <c r="R149" s="3">
        <v>0</v>
      </c>
      <c r="S149" s="3">
        <v>0</v>
      </c>
      <c r="T149" s="19">
        <v>0</v>
      </c>
      <c r="U149" s="3">
        <v>0</v>
      </c>
      <c r="V149" s="3">
        <v>0</v>
      </c>
      <c r="W149">
        <v>0</v>
      </c>
      <c r="X149" s="3">
        <v>0</v>
      </c>
      <c r="Y149">
        <v>0</v>
      </c>
      <c r="Z149" s="3">
        <v>0</v>
      </c>
      <c r="AA149" t="s">
        <v>336</v>
      </c>
      <c r="AB149" t="s">
        <v>49</v>
      </c>
      <c r="AC149">
        <v>38.51</v>
      </c>
      <c r="AD149" t="s">
        <v>49</v>
      </c>
      <c r="AE149">
        <v>0</v>
      </c>
      <c r="AF149" s="3">
        <v>0</v>
      </c>
      <c r="AG149" t="s">
        <v>49</v>
      </c>
      <c r="AH149">
        <v>0</v>
      </c>
      <c r="AI149" t="s">
        <v>49</v>
      </c>
      <c r="AJ149" t="s">
        <v>49</v>
      </c>
      <c r="AK149" t="s">
        <v>49</v>
      </c>
      <c r="AL149" t="s">
        <v>49</v>
      </c>
      <c r="AM149" t="s">
        <v>49</v>
      </c>
      <c r="AN149" s="3">
        <v>0</v>
      </c>
      <c r="AO149" s="19">
        <v>0</v>
      </c>
      <c r="AP149" s="19">
        <v>0</v>
      </c>
      <c r="AQ149" s="19">
        <v>0</v>
      </c>
      <c r="AR149" s="19">
        <v>0</v>
      </c>
      <c r="AS149" s="19">
        <v>0</v>
      </c>
      <c r="AT149" s="19">
        <v>0</v>
      </c>
      <c r="AU149" s="3">
        <v>0</v>
      </c>
      <c r="AV149" s="3">
        <v>0</v>
      </c>
      <c r="AW149" s="19">
        <v>0</v>
      </c>
      <c r="AX149" s="3">
        <v>0</v>
      </c>
      <c r="AY149" s="3">
        <v>0</v>
      </c>
    </row>
    <row r="150" spans="1:51">
      <c r="A150" s="3">
        <v>8628907</v>
      </c>
      <c r="B150" t="s">
        <v>337</v>
      </c>
      <c r="C150" s="3">
        <v>16225604</v>
      </c>
      <c r="D150" t="s">
        <v>44</v>
      </c>
      <c r="E150" t="s">
        <v>338</v>
      </c>
      <c r="F150" t="s">
        <v>65</v>
      </c>
      <c r="G150" t="s">
        <v>47</v>
      </c>
      <c r="H150" s="16">
        <v>0</v>
      </c>
      <c r="I150" s="4">
        <f>VLOOKUP(C150,[1]sheet1!$D:$I,6,0)</f>
        <v>0</v>
      </c>
      <c r="J150" s="4">
        <f>VLOOKUP(C150,[2]sheet1!$D:$I,6,0)</f>
        <v>0</v>
      </c>
      <c r="K150" s="4">
        <f>VLOOKUP(C150,[3]sheet1!$D:$I,6,0)</f>
        <v>0</v>
      </c>
      <c r="L150" s="4">
        <f>VLOOKUP(C150,[4]sheet1!$D:$I,6,0)</f>
        <v>0</v>
      </c>
      <c r="M150" s="4">
        <f>VLOOKUP(C150,[5]sheet1!$D:$I,6,0)</f>
        <v>0</v>
      </c>
      <c r="N150" s="4">
        <f>VLOOKUP(C150,[6]sheet1!$D:$I,6,0)</f>
        <v>0</v>
      </c>
      <c r="O150" s="4">
        <f>VLOOKUP(C150,[7]sheet1!$D:$I,6,0)</f>
        <v>0</v>
      </c>
      <c r="P150" s="4">
        <f>VLOOKUP(C150,[8]sheet1!$D:$I,6,0)</f>
        <v>0</v>
      </c>
      <c r="Q150" s="4">
        <f t="shared" si="2"/>
        <v>0</v>
      </c>
      <c r="R150" s="3">
        <v>0</v>
      </c>
      <c r="S150" s="3">
        <v>0</v>
      </c>
      <c r="T150" s="19">
        <v>0</v>
      </c>
      <c r="U150" s="3">
        <v>0</v>
      </c>
      <c r="V150" s="3">
        <v>0</v>
      </c>
      <c r="W150">
        <v>0</v>
      </c>
      <c r="X150" s="3">
        <v>0</v>
      </c>
      <c r="Y150">
        <v>0</v>
      </c>
      <c r="Z150" s="3">
        <v>0</v>
      </c>
      <c r="AA150" t="s">
        <v>49</v>
      </c>
      <c r="AB150" t="s">
        <v>49</v>
      </c>
      <c r="AC150" t="s">
        <v>49</v>
      </c>
      <c r="AD150" t="s">
        <v>49</v>
      </c>
      <c r="AE150">
        <v>0</v>
      </c>
      <c r="AF150" s="3">
        <v>0</v>
      </c>
      <c r="AG150" t="s">
        <v>49</v>
      </c>
      <c r="AH150" t="s">
        <v>49</v>
      </c>
      <c r="AI150" t="s">
        <v>49</v>
      </c>
      <c r="AJ150" t="s">
        <v>49</v>
      </c>
      <c r="AK150" t="s">
        <v>49</v>
      </c>
      <c r="AL150" t="s">
        <v>49</v>
      </c>
      <c r="AM150" t="s">
        <v>49</v>
      </c>
      <c r="AN150" s="3">
        <v>0</v>
      </c>
      <c r="AO150" s="19">
        <v>0</v>
      </c>
      <c r="AP150" s="19">
        <v>0</v>
      </c>
      <c r="AQ150" s="19">
        <v>0</v>
      </c>
      <c r="AR150" s="19">
        <v>0</v>
      </c>
      <c r="AS150" s="19">
        <v>0</v>
      </c>
      <c r="AT150" s="19">
        <v>0</v>
      </c>
      <c r="AU150" s="3">
        <v>0</v>
      </c>
      <c r="AV150" s="3">
        <v>0</v>
      </c>
      <c r="AW150" s="19">
        <v>0</v>
      </c>
      <c r="AX150" s="3">
        <v>0</v>
      </c>
      <c r="AY150" s="3">
        <v>0</v>
      </c>
    </row>
    <row r="151" spans="1:51">
      <c r="A151" s="3">
        <v>8595960</v>
      </c>
      <c r="B151" t="s">
        <v>339</v>
      </c>
      <c r="C151" s="3">
        <v>16423401</v>
      </c>
      <c r="D151" t="s">
        <v>44</v>
      </c>
      <c r="E151" t="s">
        <v>64</v>
      </c>
      <c r="F151" t="s">
        <v>65</v>
      </c>
      <c r="G151" t="s">
        <v>47</v>
      </c>
      <c r="H151" s="16">
        <v>0</v>
      </c>
      <c r="I151" s="4">
        <f>VLOOKUP(C151,[1]sheet1!$D:$I,6,0)</f>
        <v>0</v>
      </c>
      <c r="J151" s="4">
        <f>VLOOKUP(C151,[2]sheet1!$D:$I,6,0)</f>
        <v>0</v>
      </c>
      <c r="K151" s="4">
        <f>VLOOKUP(C151,[3]sheet1!$D:$I,6,0)</f>
        <v>0</v>
      </c>
      <c r="L151" s="4">
        <f>VLOOKUP(C151,[4]sheet1!$D:$I,6,0)</f>
        <v>0</v>
      </c>
      <c r="M151" s="4">
        <f>VLOOKUP(C151,[5]sheet1!$D:$I,6,0)</f>
        <v>0</v>
      </c>
      <c r="N151" s="4">
        <f>VLOOKUP(C151,[6]sheet1!$D:$I,6,0)</f>
        <v>0</v>
      </c>
      <c r="O151" s="4">
        <f>VLOOKUP(C151,[7]sheet1!$D:$I,6,0)</f>
        <v>0</v>
      </c>
      <c r="P151" s="4">
        <f>VLOOKUP(C151,[8]sheet1!$D:$I,6,0)</f>
        <v>0</v>
      </c>
      <c r="Q151" s="4">
        <f t="shared" si="2"/>
        <v>0</v>
      </c>
      <c r="R151" s="3">
        <v>0</v>
      </c>
      <c r="S151" s="3">
        <v>0</v>
      </c>
      <c r="T151" s="19">
        <v>0</v>
      </c>
      <c r="U151" s="3">
        <v>0</v>
      </c>
      <c r="V151" s="3">
        <v>0</v>
      </c>
      <c r="W151">
        <v>0</v>
      </c>
      <c r="X151" s="3">
        <v>0</v>
      </c>
      <c r="Y151">
        <v>0</v>
      </c>
      <c r="Z151" s="3">
        <v>0</v>
      </c>
      <c r="AA151" t="s">
        <v>93</v>
      </c>
      <c r="AB151" t="s">
        <v>49</v>
      </c>
      <c r="AC151">
        <v>77.07</v>
      </c>
      <c r="AD151" t="s">
        <v>49</v>
      </c>
      <c r="AE151">
        <v>0</v>
      </c>
      <c r="AF151" s="3">
        <v>0</v>
      </c>
      <c r="AG151" t="s">
        <v>49</v>
      </c>
      <c r="AH151">
        <v>0</v>
      </c>
      <c r="AI151" t="s">
        <v>49</v>
      </c>
      <c r="AJ151" t="s">
        <v>49</v>
      </c>
      <c r="AK151" t="s">
        <v>49</v>
      </c>
      <c r="AL151" t="s">
        <v>49</v>
      </c>
      <c r="AM151" t="s">
        <v>49</v>
      </c>
      <c r="AN151" s="3">
        <v>0</v>
      </c>
      <c r="AO151" s="19">
        <v>0</v>
      </c>
      <c r="AP151" s="19">
        <v>0</v>
      </c>
      <c r="AQ151" s="19">
        <v>0</v>
      </c>
      <c r="AR151" s="19">
        <v>0</v>
      </c>
      <c r="AS151" s="19">
        <v>0</v>
      </c>
      <c r="AT151" s="19">
        <v>0</v>
      </c>
      <c r="AU151" s="3">
        <v>0</v>
      </c>
      <c r="AV151" s="3">
        <v>0</v>
      </c>
      <c r="AW151" s="19">
        <v>0</v>
      </c>
      <c r="AX151" s="3">
        <v>0</v>
      </c>
      <c r="AY151" s="3">
        <v>0</v>
      </c>
    </row>
    <row r="152" spans="1:51">
      <c r="A152" s="3">
        <v>8595105</v>
      </c>
      <c r="B152" t="s">
        <v>340</v>
      </c>
      <c r="C152" s="3">
        <v>16423406</v>
      </c>
      <c r="D152" t="s">
        <v>44</v>
      </c>
      <c r="E152" t="s">
        <v>304</v>
      </c>
      <c r="F152" t="s">
        <v>65</v>
      </c>
      <c r="G152" t="s">
        <v>47</v>
      </c>
      <c r="H152" s="16">
        <v>0</v>
      </c>
      <c r="I152" s="4">
        <f>VLOOKUP(C152,[1]sheet1!$D:$I,6,0)</f>
        <v>0</v>
      </c>
      <c r="J152" s="4">
        <f>VLOOKUP(C152,[2]sheet1!$D:$I,6,0)</f>
        <v>0</v>
      </c>
      <c r="K152" s="4">
        <f>VLOOKUP(C152,[3]sheet1!$D:$I,6,0)</f>
        <v>0</v>
      </c>
      <c r="L152" s="4">
        <f>VLOOKUP(C152,[4]sheet1!$D:$I,6,0)</f>
        <v>0</v>
      </c>
      <c r="M152" s="4">
        <f>VLOOKUP(C152,[5]sheet1!$D:$I,6,0)</f>
        <v>0</v>
      </c>
      <c r="N152" s="4">
        <f>VLOOKUP(C152,[6]sheet1!$D:$I,6,0)</f>
        <v>0</v>
      </c>
      <c r="O152" s="4">
        <f>VLOOKUP(C152,[7]sheet1!$D:$I,6,0)</f>
        <v>0</v>
      </c>
      <c r="P152" s="4">
        <f>VLOOKUP(C152,[8]sheet1!$D:$I,6,0)</f>
        <v>0</v>
      </c>
      <c r="Q152" s="4">
        <f t="shared" si="2"/>
        <v>0</v>
      </c>
      <c r="R152" s="3">
        <v>0</v>
      </c>
      <c r="S152" s="3">
        <v>1</v>
      </c>
      <c r="T152" s="19">
        <v>0</v>
      </c>
      <c r="U152" s="3">
        <v>0</v>
      </c>
      <c r="V152" s="3">
        <v>0</v>
      </c>
      <c r="W152">
        <v>0</v>
      </c>
      <c r="X152" s="3">
        <v>0</v>
      </c>
      <c r="Y152">
        <v>0</v>
      </c>
      <c r="Z152" s="3">
        <v>0</v>
      </c>
      <c r="AA152" t="s">
        <v>55</v>
      </c>
      <c r="AB152" t="s">
        <v>49</v>
      </c>
      <c r="AC152">
        <v>100.07</v>
      </c>
      <c r="AD152" t="s">
        <v>49</v>
      </c>
      <c r="AE152">
        <v>0</v>
      </c>
      <c r="AF152" s="3">
        <v>0</v>
      </c>
      <c r="AG152" t="s">
        <v>49</v>
      </c>
      <c r="AH152">
        <v>0</v>
      </c>
      <c r="AI152" t="s">
        <v>49</v>
      </c>
      <c r="AJ152" t="s">
        <v>49</v>
      </c>
      <c r="AK152" t="s">
        <v>49</v>
      </c>
      <c r="AL152" t="s">
        <v>49</v>
      </c>
      <c r="AM152" t="s">
        <v>49</v>
      </c>
      <c r="AN152" s="3">
        <v>1</v>
      </c>
      <c r="AO152" s="19">
        <v>0</v>
      </c>
      <c r="AP152" s="19">
        <v>0</v>
      </c>
      <c r="AQ152" s="19">
        <v>0</v>
      </c>
      <c r="AR152" s="19">
        <v>1</v>
      </c>
      <c r="AS152" s="19">
        <v>0</v>
      </c>
      <c r="AT152" s="19">
        <v>0</v>
      </c>
      <c r="AU152" s="3">
        <v>0</v>
      </c>
      <c r="AV152" s="3">
        <v>0</v>
      </c>
      <c r="AW152" s="19">
        <v>0</v>
      </c>
      <c r="AX152" s="3">
        <v>0</v>
      </c>
      <c r="AY152" s="3">
        <v>0</v>
      </c>
    </row>
    <row r="153" spans="1:51">
      <c r="A153" s="3">
        <v>8594606</v>
      </c>
      <c r="B153" t="s">
        <v>341</v>
      </c>
      <c r="C153" s="3">
        <v>16425601</v>
      </c>
      <c r="D153" t="s">
        <v>44</v>
      </c>
      <c r="E153" t="s">
        <v>338</v>
      </c>
      <c r="F153" t="s">
        <v>65</v>
      </c>
      <c r="G153" t="s">
        <v>47</v>
      </c>
      <c r="H153" s="16">
        <v>0</v>
      </c>
      <c r="I153" s="4">
        <f>VLOOKUP(C153,[1]sheet1!$D:$I,6,0)</f>
        <v>177</v>
      </c>
      <c r="J153" s="4">
        <f>VLOOKUP(C153,[2]sheet1!$D:$I,6,0)</f>
        <v>0</v>
      </c>
      <c r="K153" s="4">
        <f>VLOOKUP(C153,[3]sheet1!$D:$I,6,0)</f>
        <v>0</v>
      </c>
      <c r="L153" s="4">
        <f>VLOOKUP(C153,[4]sheet1!$D:$I,6,0)</f>
        <v>0</v>
      </c>
      <c r="M153" s="4">
        <f>VLOOKUP(C153,[5]sheet1!$D:$I,6,0)</f>
        <v>0</v>
      </c>
      <c r="N153" s="4">
        <f>VLOOKUP(C153,[6]sheet1!$D:$I,6,0)</f>
        <v>0</v>
      </c>
      <c r="O153" s="4">
        <f>VLOOKUP(C153,[7]sheet1!$D:$I,6,0)</f>
        <v>0</v>
      </c>
      <c r="P153" s="4">
        <f>VLOOKUP(C153,[8]sheet1!$D:$I,6,0)</f>
        <v>44</v>
      </c>
      <c r="Q153" s="4">
        <f t="shared" si="2"/>
        <v>221</v>
      </c>
      <c r="R153" s="3">
        <v>0</v>
      </c>
      <c r="S153" s="3">
        <v>3</v>
      </c>
      <c r="T153" s="19">
        <v>0</v>
      </c>
      <c r="U153" s="3">
        <v>1</v>
      </c>
      <c r="V153" s="3">
        <v>0</v>
      </c>
      <c r="W153">
        <v>0</v>
      </c>
      <c r="X153" s="3">
        <v>0</v>
      </c>
      <c r="Y153">
        <v>0</v>
      </c>
      <c r="Z153" s="3">
        <v>0</v>
      </c>
      <c r="AA153" t="s">
        <v>305</v>
      </c>
      <c r="AB153" t="s">
        <v>49</v>
      </c>
      <c r="AC153">
        <v>40.07</v>
      </c>
      <c r="AD153" t="s">
        <v>49</v>
      </c>
      <c r="AE153">
        <v>0</v>
      </c>
      <c r="AF153" s="3">
        <v>0</v>
      </c>
      <c r="AG153" t="s">
        <v>49</v>
      </c>
      <c r="AH153">
        <v>0</v>
      </c>
      <c r="AI153" t="s">
        <v>49</v>
      </c>
      <c r="AJ153" t="s">
        <v>49</v>
      </c>
      <c r="AK153" t="s">
        <v>49</v>
      </c>
      <c r="AL153" t="s">
        <v>49</v>
      </c>
      <c r="AM153" t="s">
        <v>49</v>
      </c>
      <c r="AN153" s="3">
        <v>3</v>
      </c>
      <c r="AO153" s="19">
        <v>0</v>
      </c>
      <c r="AP153" s="19">
        <v>0</v>
      </c>
      <c r="AQ153" s="19">
        <v>0.3333</v>
      </c>
      <c r="AR153" s="19">
        <v>0.3333</v>
      </c>
      <c r="AS153" s="19">
        <v>0</v>
      </c>
      <c r="AT153" s="19">
        <v>1</v>
      </c>
      <c r="AU153" s="3">
        <v>0</v>
      </c>
      <c r="AV153" s="3">
        <v>0</v>
      </c>
      <c r="AW153" s="19">
        <v>0</v>
      </c>
      <c r="AX153" s="3">
        <v>0</v>
      </c>
      <c r="AY153" s="3">
        <v>0</v>
      </c>
    </row>
    <row r="154" spans="1:51">
      <c r="A154" s="3">
        <v>8593887</v>
      </c>
      <c r="B154" t="s">
        <v>342</v>
      </c>
      <c r="C154" s="3">
        <v>12421214</v>
      </c>
      <c r="D154" t="s">
        <v>44</v>
      </c>
      <c r="E154" t="s">
        <v>109</v>
      </c>
      <c r="F154" t="s">
        <v>65</v>
      </c>
      <c r="G154" t="s">
        <v>47</v>
      </c>
      <c r="H154" s="16">
        <v>0</v>
      </c>
      <c r="I154" s="4">
        <f>VLOOKUP(C154,[1]sheet1!$D:$I,6,0)</f>
        <v>0</v>
      </c>
      <c r="J154" s="4">
        <f>VLOOKUP(C154,[2]sheet1!$D:$I,6,0)</f>
        <v>0</v>
      </c>
      <c r="K154" s="4">
        <f>VLOOKUP(C154,[3]sheet1!$D:$I,6,0)</f>
        <v>0</v>
      </c>
      <c r="L154" s="4">
        <f>VLOOKUP(C154,[4]sheet1!$D:$I,6,0)</f>
        <v>0</v>
      </c>
      <c r="M154" s="4">
        <f>VLOOKUP(C154,[5]sheet1!$D:$I,6,0)</f>
        <v>0</v>
      </c>
      <c r="N154" s="4">
        <f>VLOOKUP(C154,[6]sheet1!$D:$I,6,0)</f>
        <v>0</v>
      </c>
      <c r="O154" s="4">
        <f>VLOOKUP(C154,[7]sheet1!$D:$I,6,0)</f>
        <v>0</v>
      </c>
      <c r="P154" s="4">
        <f>VLOOKUP(C154,[8]sheet1!$D:$I,6,0)</f>
        <v>0</v>
      </c>
      <c r="Q154" s="4">
        <f t="shared" si="2"/>
        <v>0</v>
      </c>
      <c r="R154" s="3">
        <v>0</v>
      </c>
      <c r="S154" s="3">
        <v>0</v>
      </c>
      <c r="T154" s="19">
        <v>0</v>
      </c>
      <c r="U154" s="3">
        <v>0</v>
      </c>
      <c r="V154" s="3">
        <v>0</v>
      </c>
      <c r="W154">
        <v>0</v>
      </c>
      <c r="X154" s="3">
        <v>0</v>
      </c>
      <c r="Y154">
        <v>0</v>
      </c>
      <c r="Z154" s="3">
        <v>0</v>
      </c>
      <c r="AA154" t="s">
        <v>343</v>
      </c>
      <c r="AB154" t="s">
        <v>49</v>
      </c>
      <c r="AC154">
        <v>286.94</v>
      </c>
      <c r="AD154" t="s">
        <v>49</v>
      </c>
      <c r="AE154">
        <v>0</v>
      </c>
      <c r="AF154" s="3">
        <v>0</v>
      </c>
      <c r="AG154" t="s">
        <v>49</v>
      </c>
      <c r="AH154">
        <v>0</v>
      </c>
      <c r="AI154" t="s">
        <v>49</v>
      </c>
      <c r="AJ154" t="s">
        <v>49</v>
      </c>
      <c r="AK154" t="s">
        <v>49</v>
      </c>
      <c r="AL154" t="s">
        <v>49</v>
      </c>
      <c r="AM154" t="s">
        <v>49</v>
      </c>
      <c r="AN154" s="3">
        <v>0</v>
      </c>
      <c r="AO154" s="19">
        <v>0</v>
      </c>
      <c r="AP154" s="19">
        <v>0</v>
      </c>
      <c r="AQ154" s="19">
        <v>0</v>
      </c>
      <c r="AR154" s="19">
        <v>0</v>
      </c>
      <c r="AS154" s="19">
        <v>0</v>
      </c>
      <c r="AT154" s="19">
        <v>0</v>
      </c>
      <c r="AU154" s="3">
        <v>0</v>
      </c>
      <c r="AV154" s="3">
        <v>0</v>
      </c>
      <c r="AW154" s="19">
        <v>0</v>
      </c>
      <c r="AX154" s="3">
        <v>0</v>
      </c>
      <c r="AY154" s="3">
        <v>0</v>
      </c>
    </row>
    <row r="155" spans="1:51">
      <c r="A155" s="3">
        <v>8593301</v>
      </c>
      <c r="B155" t="s">
        <v>344</v>
      </c>
      <c r="C155" s="3">
        <v>16023203</v>
      </c>
      <c r="D155" t="s">
        <v>44</v>
      </c>
      <c r="E155" t="s">
        <v>97</v>
      </c>
      <c r="F155" t="s">
        <v>65</v>
      </c>
      <c r="G155" t="s">
        <v>47</v>
      </c>
      <c r="H155" s="16">
        <v>0</v>
      </c>
      <c r="I155" s="4">
        <f>VLOOKUP(C155,[1]sheet1!$D:$I,6,0)</f>
        <v>0</v>
      </c>
      <c r="J155" s="4">
        <f>VLOOKUP(C155,[2]sheet1!$D:$I,6,0)</f>
        <v>0</v>
      </c>
      <c r="K155" s="4">
        <f>VLOOKUP(C155,[3]sheet1!$D:$I,6,0)</f>
        <v>0</v>
      </c>
      <c r="L155" s="4">
        <f>VLOOKUP(C155,[4]sheet1!$D:$I,6,0)</f>
        <v>0</v>
      </c>
      <c r="M155" s="4">
        <f>VLOOKUP(C155,[5]sheet1!$D:$I,6,0)</f>
        <v>0</v>
      </c>
      <c r="N155" s="4">
        <f>VLOOKUP(C155,[6]sheet1!$D:$I,6,0)</f>
        <v>0</v>
      </c>
      <c r="O155" s="4">
        <f>VLOOKUP(C155,[7]sheet1!$D:$I,6,0)</f>
        <v>0</v>
      </c>
      <c r="P155" s="4">
        <f>VLOOKUP(C155,[8]sheet1!$D:$I,6,0)</f>
        <v>0</v>
      </c>
      <c r="Q155" s="4">
        <f t="shared" si="2"/>
        <v>0</v>
      </c>
      <c r="R155" s="3">
        <v>0</v>
      </c>
      <c r="S155" s="3">
        <v>3</v>
      </c>
      <c r="T155" s="19">
        <v>0</v>
      </c>
      <c r="U155" s="3">
        <v>0</v>
      </c>
      <c r="V155" s="3">
        <v>0</v>
      </c>
      <c r="W155">
        <v>0</v>
      </c>
      <c r="X155" s="3">
        <v>0</v>
      </c>
      <c r="Y155">
        <v>0</v>
      </c>
      <c r="Z155" s="3">
        <v>0</v>
      </c>
      <c r="AA155" t="s">
        <v>345</v>
      </c>
      <c r="AB155" t="s">
        <v>49</v>
      </c>
      <c r="AC155">
        <v>23.07</v>
      </c>
      <c r="AD155" t="s">
        <v>49</v>
      </c>
      <c r="AE155">
        <v>0</v>
      </c>
      <c r="AF155" s="3">
        <v>0</v>
      </c>
      <c r="AG155" t="s">
        <v>49</v>
      </c>
      <c r="AH155">
        <v>0</v>
      </c>
      <c r="AI155" t="s">
        <v>49</v>
      </c>
      <c r="AJ155" t="s">
        <v>49</v>
      </c>
      <c r="AK155" t="s">
        <v>49</v>
      </c>
      <c r="AL155" t="s">
        <v>49</v>
      </c>
      <c r="AM155" t="s">
        <v>49</v>
      </c>
      <c r="AN155" s="3">
        <v>4</v>
      </c>
      <c r="AO155" s="19">
        <v>0</v>
      </c>
      <c r="AP155" s="19">
        <v>0</v>
      </c>
      <c r="AQ155" s="19">
        <v>0.6667</v>
      </c>
      <c r="AR155" s="19">
        <v>0</v>
      </c>
      <c r="AS155" s="19">
        <v>0</v>
      </c>
      <c r="AT155" s="19">
        <v>0</v>
      </c>
      <c r="AU155" s="3">
        <v>0</v>
      </c>
      <c r="AV155" s="3">
        <v>0</v>
      </c>
      <c r="AW155" s="19">
        <v>0</v>
      </c>
      <c r="AX155" s="3">
        <v>0</v>
      </c>
      <c r="AY155" s="3">
        <v>0</v>
      </c>
    </row>
    <row r="156" spans="1:51">
      <c r="A156" s="3">
        <v>8592954</v>
      </c>
      <c r="B156" t="s">
        <v>346</v>
      </c>
      <c r="C156" s="3">
        <v>16943407</v>
      </c>
      <c r="D156" t="s">
        <v>44</v>
      </c>
      <c r="E156" t="s">
        <v>177</v>
      </c>
      <c r="F156" t="s">
        <v>65</v>
      </c>
      <c r="G156" t="s">
        <v>47</v>
      </c>
      <c r="H156" s="16">
        <v>0</v>
      </c>
      <c r="I156" s="4">
        <f>VLOOKUP(C156,[1]sheet1!$D:$I,6,0)</f>
        <v>0</v>
      </c>
      <c r="J156" s="4">
        <f>VLOOKUP(C156,[2]sheet1!$D:$I,6,0)</f>
        <v>0</v>
      </c>
      <c r="K156" s="4">
        <f>VLOOKUP(C156,[3]sheet1!$D:$I,6,0)</f>
        <v>0</v>
      </c>
      <c r="L156" s="4">
        <f>VLOOKUP(C156,[4]sheet1!$D:$I,6,0)</f>
        <v>0</v>
      </c>
      <c r="M156" s="4">
        <f>VLOOKUP(C156,[5]sheet1!$D:$I,6,0)</f>
        <v>0</v>
      </c>
      <c r="N156" s="4">
        <f>VLOOKUP(C156,[6]sheet1!$D:$I,6,0)</f>
        <v>0</v>
      </c>
      <c r="O156" s="4">
        <f>VLOOKUP(C156,[7]sheet1!$D:$I,6,0)</f>
        <v>0</v>
      </c>
      <c r="P156" s="4">
        <f>VLOOKUP(C156,[8]sheet1!$D:$I,6,0)</f>
        <v>0</v>
      </c>
      <c r="Q156" s="4">
        <f t="shared" si="2"/>
        <v>0</v>
      </c>
      <c r="R156" s="3">
        <v>0</v>
      </c>
      <c r="S156" s="3">
        <v>0</v>
      </c>
      <c r="T156" s="19">
        <v>0</v>
      </c>
      <c r="U156" s="3">
        <v>0</v>
      </c>
      <c r="V156" s="3">
        <v>0</v>
      </c>
      <c r="W156">
        <v>0</v>
      </c>
      <c r="X156" s="3">
        <v>0</v>
      </c>
      <c r="Y156">
        <v>0</v>
      </c>
      <c r="Z156" s="3">
        <v>0</v>
      </c>
      <c r="AA156" t="s">
        <v>49</v>
      </c>
      <c r="AB156" t="s">
        <v>49</v>
      </c>
      <c r="AC156" t="s">
        <v>49</v>
      </c>
      <c r="AD156" t="s">
        <v>49</v>
      </c>
      <c r="AE156">
        <v>0</v>
      </c>
      <c r="AF156" s="3">
        <v>0</v>
      </c>
      <c r="AG156" t="s">
        <v>49</v>
      </c>
      <c r="AH156" t="s">
        <v>49</v>
      </c>
      <c r="AI156" t="s">
        <v>49</v>
      </c>
      <c r="AJ156" t="s">
        <v>49</v>
      </c>
      <c r="AK156" t="s">
        <v>49</v>
      </c>
      <c r="AL156" t="s">
        <v>49</v>
      </c>
      <c r="AM156" t="s">
        <v>49</v>
      </c>
      <c r="AN156" s="3">
        <v>0</v>
      </c>
      <c r="AO156" s="19">
        <v>0</v>
      </c>
      <c r="AP156" s="19">
        <v>0</v>
      </c>
      <c r="AQ156" s="19">
        <v>0</v>
      </c>
      <c r="AR156" s="19">
        <v>0</v>
      </c>
      <c r="AS156" s="19">
        <v>0</v>
      </c>
      <c r="AT156" s="19">
        <v>0</v>
      </c>
      <c r="AU156" s="3">
        <v>0</v>
      </c>
      <c r="AV156" s="3">
        <v>0</v>
      </c>
      <c r="AW156" s="19">
        <v>0</v>
      </c>
      <c r="AX156" s="3">
        <v>0</v>
      </c>
      <c r="AY156" s="3">
        <v>0</v>
      </c>
    </row>
    <row r="157" spans="1:51">
      <c r="A157" s="3">
        <v>8590108</v>
      </c>
      <c r="B157" t="s">
        <v>347</v>
      </c>
      <c r="C157" s="3">
        <v>16903501</v>
      </c>
      <c r="D157" t="s">
        <v>44</v>
      </c>
      <c r="E157" t="s">
        <v>348</v>
      </c>
      <c r="F157" t="s">
        <v>65</v>
      </c>
      <c r="G157" t="s">
        <v>47</v>
      </c>
      <c r="H157" s="16">
        <v>0</v>
      </c>
      <c r="I157" s="4">
        <f>VLOOKUP(C157,[1]sheet1!$D:$I,6,0)</f>
        <v>0</v>
      </c>
      <c r="J157" s="4">
        <f>VLOOKUP(C157,[2]sheet1!$D:$I,6,0)</f>
        <v>0</v>
      </c>
      <c r="K157" s="4">
        <f>VLOOKUP(C157,[3]sheet1!$D:$I,6,0)</f>
        <v>0</v>
      </c>
      <c r="L157" s="4">
        <f>VLOOKUP(C157,[4]sheet1!$D:$I,6,0)</f>
        <v>0</v>
      </c>
      <c r="M157" s="4">
        <f>VLOOKUP(C157,[5]sheet1!$D:$I,6,0)</f>
        <v>0</v>
      </c>
      <c r="N157" s="4">
        <f>VLOOKUP(C157,[6]sheet1!$D:$I,6,0)</f>
        <v>0</v>
      </c>
      <c r="O157" s="4">
        <f>VLOOKUP(C157,[7]sheet1!$D:$I,6,0)</f>
        <v>0</v>
      </c>
      <c r="P157" s="4">
        <f>VLOOKUP(C157,[8]sheet1!$D:$I,6,0)</f>
        <v>0</v>
      </c>
      <c r="Q157" s="4">
        <f t="shared" si="2"/>
        <v>0</v>
      </c>
      <c r="R157" s="3">
        <v>0</v>
      </c>
      <c r="S157" s="3">
        <v>2</v>
      </c>
      <c r="T157" s="19">
        <v>0</v>
      </c>
      <c r="U157" s="3">
        <v>0</v>
      </c>
      <c r="V157" s="3">
        <v>0</v>
      </c>
      <c r="W157">
        <v>0</v>
      </c>
      <c r="X157" s="3">
        <v>0</v>
      </c>
      <c r="Y157">
        <v>0</v>
      </c>
      <c r="Z157" s="3">
        <v>0</v>
      </c>
      <c r="AA157" t="s">
        <v>49</v>
      </c>
      <c r="AB157" t="s">
        <v>49</v>
      </c>
      <c r="AC157" t="s">
        <v>49</v>
      </c>
      <c r="AD157" t="s">
        <v>49</v>
      </c>
      <c r="AE157">
        <v>0</v>
      </c>
      <c r="AF157" s="3">
        <v>0</v>
      </c>
      <c r="AG157" t="s">
        <v>49</v>
      </c>
      <c r="AH157" t="s">
        <v>49</v>
      </c>
      <c r="AI157" t="s">
        <v>49</v>
      </c>
      <c r="AJ157" t="s">
        <v>49</v>
      </c>
      <c r="AK157" t="s">
        <v>49</v>
      </c>
      <c r="AL157" t="s">
        <v>49</v>
      </c>
      <c r="AM157" t="s">
        <v>49</v>
      </c>
      <c r="AN157" s="3">
        <v>2</v>
      </c>
      <c r="AO157" s="19">
        <v>0</v>
      </c>
      <c r="AP157" s="19">
        <v>0</v>
      </c>
      <c r="AQ157" s="19">
        <v>0.5</v>
      </c>
      <c r="AR157" s="19">
        <v>0</v>
      </c>
      <c r="AS157" s="19">
        <v>0</v>
      </c>
      <c r="AT157" s="19">
        <v>0</v>
      </c>
      <c r="AU157" s="3">
        <v>0</v>
      </c>
      <c r="AV157" s="3">
        <v>0</v>
      </c>
      <c r="AW157" s="19">
        <v>0</v>
      </c>
      <c r="AX157" s="3">
        <v>0</v>
      </c>
      <c r="AY157" s="3">
        <v>0</v>
      </c>
    </row>
    <row r="158" spans="1:51">
      <c r="A158" s="3">
        <v>8585855</v>
      </c>
      <c r="B158" t="s">
        <v>349</v>
      </c>
      <c r="C158" s="3">
        <v>12421426</v>
      </c>
      <c r="D158" t="s">
        <v>44</v>
      </c>
      <c r="E158" t="s">
        <v>200</v>
      </c>
      <c r="F158" t="s">
        <v>46</v>
      </c>
      <c r="G158" t="s">
        <v>47</v>
      </c>
      <c r="H158" s="16">
        <v>0</v>
      </c>
      <c r="I158" s="4">
        <f>VLOOKUP(C158,[1]sheet1!$D:$I,6,0)</f>
        <v>0</v>
      </c>
      <c r="J158" s="4">
        <f>VLOOKUP(C158,[2]sheet1!$D:$I,6,0)</f>
        <v>0</v>
      </c>
      <c r="K158" s="4">
        <f>VLOOKUP(C158,[3]sheet1!$D:$I,6,0)</f>
        <v>0</v>
      </c>
      <c r="L158" s="4">
        <f>VLOOKUP(C158,[4]sheet1!$D:$I,6,0)</f>
        <v>0</v>
      </c>
      <c r="M158" s="4">
        <f>VLOOKUP(C158,[5]sheet1!$D:$I,6,0)</f>
        <v>0</v>
      </c>
      <c r="N158" s="4">
        <f>VLOOKUP(C158,[6]sheet1!$D:$I,6,0)</f>
        <v>0</v>
      </c>
      <c r="O158" s="4">
        <f>VLOOKUP(C158,[7]sheet1!$D:$I,6,0)</f>
        <v>0</v>
      </c>
      <c r="P158" s="4">
        <f>VLOOKUP(C158,[8]sheet1!$D:$I,6,0)</f>
        <v>166</v>
      </c>
      <c r="Q158" s="4">
        <f t="shared" si="2"/>
        <v>166</v>
      </c>
      <c r="R158" s="3">
        <v>0</v>
      </c>
      <c r="S158">
        <v>156</v>
      </c>
      <c r="T158">
        <v>0</v>
      </c>
      <c r="U158" s="3">
        <v>0</v>
      </c>
      <c r="V158" s="3">
        <v>0</v>
      </c>
      <c r="W158">
        <v>199</v>
      </c>
      <c r="X158" s="3">
        <v>1</v>
      </c>
      <c r="Y158">
        <v>0</v>
      </c>
      <c r="Z158" s="3">
        <v>0</v>
      </c>
      <c r="AA158" t="s">
        <v>183</v>
      </c>
      <c r="AB158" s="3">
        <v>109</v>
      </c>
      <c r="AC158">
        <v>144.64</v>
      </c>
      <c r="AD158" t="s">
        <v>49</v>
      </c>
      <c r="AE158">
        <v>0</v>
      </c>
      <c r="AF158" s="3">
        <v>0</v>
      </c>
      <c r="AG158" t="s">
        <v>49</v>
      </c>
      <c r="AH158">
        <v>0</v>
      </c>
      <c r="AI158" t="s">
        <v>49</v>
      </c>
      <c r="AJ158">
        <v>83.74</v>
      </c>
      <c r="AK158" t="s">
        <v>49</v>
      </c>
      <c r="AL158">
        <v>0</v>
      </c>
      <c r="AM158" t="s">
        <v>49</v>
      </c>
      <c r="AN158" s="3">
        <v>23</v>
      </c>
      <c r="AO158" s="19">
        <v>0</v>
      </c>
      <c r="AP158" s="19">
        <v>0</v>
      </c>
      <c r="AQ158" s="19">
        <v>0.7778</v>
      </c>
      <c r="AR158" s="19">
        <v>0.2222</v>
      </c>
      <c r="AS158" s="19">
        <v>0</v>
      </c>
      <c r="AT158" s="19">
        <v>0</v>
      </c>
      <c r="AU158" s="3">
        <v>0</v>
      </c>
      <c r="AV158" s="3">
        <v>0</v>
      </c>
      <c r="AW158" s="19">
        <v>0</v>
      </c>
      <c r="AX158" s="3">
        <v>0</v>
      </c>
      <c r="AY158" s="3">
        <v>0</v>
      </c>
    </row>
    <row r="159" spans="1:51">
      <c r="A159" s="3">
        <v>8569460</v>
      </c>
      <c r="B159" t="s">
        <v>350</v>
      </c>
      <c r="C159" s="3">
        <v>12421412</v>
      </c>
      <c r="D159" t="s">
        <v>44</v>
      </c>
      <c r="E159" t="s">
        <v>200</v>
      </c>
      <c r="F159" t="s">
        <v>46</v>
      </c>
      <c r="G159" t="s">
        <v>47</v>
      </c>
      <c r="H159" s="16">
        <v>0</v>
      </c>
      <c r="I159" s="4">
        <f>VLOOKUP(C159,[1]sheet1!$D:$I,6,0)</f>
        <v>0</v>
      </c>
      <c r="J159" s="4">
        <f>VLOOKUP(C159,[2]sheet1!$D:$I,6,0)</f>
        <v>0</v>
      </c>
      <c r="K159" s="4">
        <f>VLOOKUP(C159,[3]sheet1!$D:$I,6,0)</f>
        <v>0</v>
      </c>
      <c r="L159" s="4">
        <f>VLOOKUP(C159,[4]sheet1!$D:$I,6,0)</f>
        <v>0</v>
      </c>
      <c r="M159" s="4">
        <f>VLOOKUP(C159,[5]sheet1!$D:$I,6,0)</f>
        <v>0</v>
      </c>
      <c r="N159" s="4">
        <f>VLOOKUP(C159,[6]sheet1!$D:$I,6,0)</f>
        <v>379</v>
      </c>
      <c r="O159" s="4">
        <f>VLOOKUP(C159,[7]sheet1!$D:$I,6,0)</f>
        <v>0</v>
      </c>
      <c r="P159" s="4">
        <f>VLOOKUP(C159,[8]sheet1!$D:$I,6,0)</f>
        <v>0</v>
      </c>
      <c r="Q159" s="4">
        <f t="shared" si="2"/>
        <v>379</v>
      </c>
      <c r="R159" s="3">
        <v>0</v>
      </c>
      <c r="S159">
        <v>64</v>
      </c>
      <c r="T159">
        <v>0</v>
      </c>
      <c r="U159" s="3">
        <v>0</v>
      </c>
      <c r="V159" s="3">
        <v>0</v>
      </c>
      <c r="W159">
        <v>0</v>
      </c>
      <c r="X159" s="3">
        <v>0</v>
      </c>
      <c r="Y159">
        <v>0</v>
      </c>
      <c r="Z159" s="3">
        <v>0</v>
      </c>
      <c r="AA159" t="s">
        <v>250</v>
      </c>
      <c r="AB159" s="3">
        <v>185</v>
      </c>
      <c r="AC159">
        <v>336.04</v>
      </c>
      <c r="AD159" t="s">
        <v>49</v>
      </c>
      <c r="AE159">
        <v>0</v>
      </c>
      <c r="AF159" s="3">
        <v>0</v>
      </c>
      <c r="AG159" t="s">
        <v>49</v>
      </c>
      <c r="AH159">
        <v>0</v>
      </c>
      <c r="AI159" t="s">
        <v>49</v>
      </c>
      <c r="AJ159">
        <v>149.86</v>
      </c>
      <c r="AK159" t="s">
        <v>49</v>
      </c>
      <c r="AL159">
        <v>0</v>
      </c>
      <c r="AM159" t="s">
        <v>49</v>
      </c>
      <c r="AN159" s="3">
        <v>3</v>
      </c>
      <c r="AO159" s="19">
        <v>0</v>
      </c>
      <c r="AP159" s="19">
        <v>0</v>
      </c>
      <c r="AQ159" s="19">
        <v>0.6667</v>
      </c>
      <c r="AR159" s="19">
        <v>0.3333</v>
      </c>
      <c r="AS159" s="19">
        <v>0</v>
      </c>
      <c r="AT159" s="19">
        <v>0</v>
      </c>
      <c r="AU159" s="3">
        <v>0</v>
      </c>
      <c r="AV159" s="3">
        <v>0</v>
      </c>
      <c r="AW159" s="19">
        <v>0</v>
      </c>
      <c r="AX159" s="3">
        <v>0</v>
      </c>
      <c r="AY159" s="3">
        <v>0</v>
      </c>
    </row>
    <row r="160" spans="1:51">
      <c r="A160" s="3">
        <v>8471115</v>
      </c>
      <c r="B160" t="s">
        <v>351</v>
      </c>
      <c r="C160" s="3">
        <v>11331905</v>
      </c>
      <c r="D160" t="s">
        <v>44</v>
      </c>
      <c r="E160" t="s">
        <v>249</v>
      </c>
      <c r="F160" t="s">
        <v>65</v>
      </c>
      <c r="G160" t="s">
        <v>47</v>
      </c>
      <c r="H160" s="16">
        <v>0</v>
      </c>
      <c r="I160" s="4">
        <f>VLOOKUP(C160,[1]sheet1!$D:$I,6,0)</f>
        <v>0</v>
      </c>
      <c r="J160" s="4">
        <f>VLOOKUP(C160,[2]sheet1!$D:$I,6,0)</f>
        <v>0</v>
      </c>
      <c r="K160" s="4">
        <f>VLOOKUP(C160,[3]sheet1!$D:$I,6,0)</f>
        <v>0</v>
      </c>
      <c r="L160" s="4">
        <f>VLOOKUP(C160,[4]sheet1!$D:$I,6,0)</f>
        <v>0</v>
      </c>
      <c r="M160" s="4">
        <f>VLOOKUP(C160,[5]sheet1!$D:$I,6,0)</f>
        <v>0</v>
      </c>
      <c r="N160" s="4">
        <f>VLOOKUP(C160,[6]sheet1!$D:$I,6,0)</f>
        <v>0</v>
      </c>
      <c r="O160" s="4">
        <f>VLOOKUP(C160,[7]sheet1!$D:$I,6,0)</f>
        <v>0</v>
      </c>
      <c r="P160" s="4">
        <f>VLOOKUP(C160,[8]sheet1!$D:$I,6,0)</f>
        <v>0</v>
      </c>
      <c r="Q160" s="4">
        <f t="shared" si="2"/>
        <v>0</v>
      </c>
      <c r="R160" s="3">
        <v>0</v>
      </c>
      <c r="S160" s="3">
        <v>0</v>
      </c>
      <c r="T160" s="19">
        <v>0</v>
      </c>
      <c r="U160" s="3">
        <v>0</v>
      </c>
      <c r="V160" s="3">
        <v>0</v>
      </c>
      <c r="W160">
        <v>0</v>
      </c>
      <c r="X160" s="3">
        <v>0</v>
      </c>
      <c r="Y160">
        <v>0</v>
      </c>
      <c r="Z160" s="3">
        <v>0</v>
      </c>
      <c r="AA160" t="s">
        <v>139</v>
      </c>
      <c r="AB160" t="s">
        <v>49</v>
      </c>
      <c r="AC160">
        <v>312.13</v>
      </c>
      <c r="AD160" t="s">
        <v>49</v>
      </c>
      <c r="AE160">
        <v>0</v>
      </c>
      <c r="AF160" s="3">
        <v>0</v>
      </c>
      <c r="AG160" t="s">
        <v>49</v>
      </c>
      <c r="AH160">
        <v>0</v>
      </c>
      <c r="AI160" t="s">
        <v>49</v>
      </c>
      <c r="AJ160" t="s">
        <v>49</v>
      </c>
      <c r="AK160" t="s">
        <v>49</v>
      </c>
      <c r="AL160" t="s">
        <v>49</v>
      </c>
      <c r="AM160" t="s">
        <v>49</v>
      </c>
      <c r="AN160" s="3">
        <v>0</v>
      </c>
      <c r="AO160" s="19">
        <v>0</v>
      </c>
      <c r="AP160" s="19">
        <v>0</v>
      </c>
      <c r="AQ160" s="19">
        <v>0</v>
      </c>
      <c r="AR160" s="19">
        <v>0</v>
      </c>
      <c r="AS160" s="19">
        <v>0</v>
      </c>
      <c r="AT160" s="19">
        <v>0</v>
      </c>
      <c r="AU160" s="3">
        <v>0</v>
      </c>
      <c r="AV160" s="3">
        <v>0</v>
      </c>
      <c r="AW160" s="19">
        <v>0</v>
      </c>
      <c r="AX160" s="3">
        <v>0</v>
      </c>
      <c r="AY160" s="3">
        <v>0</v>
      </c>
    </row>
    <row r="161" spans="1:51">
      <c r="A161" s="3">
        <v>8450973</v>
      </c>
      <c r="B161" t="s">
        <v>352</v>
      </c>
      <c r="C161" s="3">
        <v>16043429</v>
      </c>
      <c r="D161" t="s">
        <v>44</v>
      </c>
      <c r="E161" t="s">
        <v>177</v>
      </c>
      <c r="F161" t="s">
        <v>65</v>
      </c>
      <c r="G161" t="s">
        <v>47</v>
      </c>
      <c r="H161" s="16">
        <v>0</v>
      </c>
      <c r="I161" s="4">
        <f>VLOOKUP(C161,[1]sheet1!$D:$I,6,0)</f>
        <v>0</v>
      </c>
      <c r="J161" s="4">
        <f>VLOOKUP(C161,[2]sheet1!$D:$I,6,0)</f>
        <v>0</v>
      </c>
      <c r="K161" s="4">
        <f>VLOOKUP(C161,[3]sheet1!$D:$I,6,0)</f>
        <v>0</v>
      </c>
      <c r="L161" s="4">
        <f>VLOOKUP(C161,[4]sheet1!$D:$I,6,0)</f>
        <v>0</v>
      </c>
      <c r="M161" s="4">
        <f>VLOOKUP(C161,[5]sheet1!$D:$I,6,0)</f>
        <v>0</v>
      </c>
      <c r="N161" s="4">
        <f>VLOOKUP(C161,[6]sheet1!$D:$I,6,0)</f>
        <v>0</v>
      </c>
      <c r="O161" s="4">
        <f>VLOOKUP(C161,[7]sheet1!$D:$I,6,0)</f>
        <v>0</v>
      </c>
      <c r="P161" s="4">
        <f>VLOOKUP(C161,[8]sheet1!$D:$I,6,0)</f>
        <v>0</v>
      </c>
      <c r="Q161" s="4">
        <f t="shared" si="2"/>
        <v>0</v>
      </c>
      <c r="R161" s="3">
        <v>0</v>
      </c>
      <c r="S161" s="3">
        <v>0</v>
      </c>
      <c r="T161" s="19">
        <v>0</v>
      </c>
      <c r="U161" s="3">
        <v>0</v>
      </c>
      <c r="V161" s="3">
        <v>0</v>
      </c>
      <c r="W161">
        <v>0</v>
      </c>
      <c r="X161" s="3">
        <v>0</v>
      </c>
      <c r="Y161">
        <v>0</v>
      </c>
      <c r="Z161" s="3">
        <v>0</v>
      </c>
      <c r="AA161" t="s">
        <v>353</v>
      </c>
      <c r="AB161" t="s">
        <v>49</v>
      </c>
      <c r="AC161">
        <v>46.37</v>
      </c>
      <c r="AD161" t="s">
        <v>49</v>
      </c>
      <c r="AE161">
        <v>0</v>
      </c>
      <c r="AF161" s="3">
        <v>0</v>
      </c>
      <c r="AG161" t="s">
        <v>49</v>
      </c>
      <c r="AH161">
        <v>0</v>
      </c>
      <c r="AI161" t="s">
        <v>49</v>
      </c>
      <c r="AJ161" t="s">
        <v>49</v>
      </c>
      <c r="AK161" t="s">
        <v>49</v>
      </c>
      <c r="AL161" t="s">
        <v>49</v>
      </c>
      <c r="AM161" t="s">
        <v>49</v>
      </c>
      <c r="AN161" s="3">
        <v>0</v>
      </c>
      <c r="AO161" s="19">
        <v>0</v>
      </c>
      <c r="AP161" s="19">
        <v>0</v>
      </c>
      <c r="AQ161" s="19">
        <v>0</v>
      </c>
      <c r="AR161" s="19">
        <v>0</v>
      </c>
      <c r="AS161" s="19">
        <v>0</v>
      </c>
      <c r="AT161" s="19">
        <v>0</v>
      </c>
      <c r="AU161" s="3">
        <v>0</v>
      </c>
      <c r="AV161" s="3">
        <v>0</v>
      </c>
      <c r="AW161" s="19">
        <v>0</v>
      </c>
      <c r="AX161" s="3">
        <v>0</v>
      </c>
      <c r="AY161" s="3">
        <v>0</v>
      </c>
    </row>
    <row r="162" spans="1:51">
      <c r="A162" s="3">
        <v>8249734</v>
      </c>
      <c r="B162" t="s">
        <v>354</v>
      </c>
      <c r="C162" s="3">
        <v>16302836</v>
      </c>
      <c r="D162" t="s">
        <v>44</v>
      </c>
      <c r="E162" t="s">
        <v>355</v>
      </c>
      <c r="F162" t="s">
        <v>65</v>
      </c>
      <c r="G162" t="s">
        <v>356</v>
      </c>
      <c r="H162" s="16">
        <v>0</v>
      </c>
      <c r="I162" s="4">
        <f>VLOOKUP(C162,[1]sheet1!$D:$I,6,0)</f>
        <v>0</v>
      </c>
      <c r="J162" s="4">
        <f>VLOOKUP(C162,[2]sheet1!$D:$I,6,0)</f>
        <v>0</v>
      </c>
      <c r="K162" s="4">
        <f>VLOOKUP(C162,[3]sheet1!$D:$I,6,0)</f>
        <v>0</v>
      </c>
      <c r="L162" s="4">
        <f>VLOOKUP(C162,[4]sheet1!$D:$I,6,0)</f>
        <v>0</v>
      </c>
      <c r="M162" s="4">
        <f>VLOOKUP(C162,[5]sheet1!$D:$I,6,0)</f>
        <v>0</v>
      </c>
      <c r="N162" s="4">
        <f>VLOOKUP(C162,[6]sheet1!$D:$I,6,0)</f>
        <v>0</v>
      </c>
      <c r="O162" s="4">
        <f>VLOOKUP(C162,[7]sheet1!$D:$I,6,0)</f>
        <v>0</v>
      </c>
      <c r="P162" s="4">
        <f>VLOOKUP(C162,[8]sheet1!$D:$I,6,0)</f>
        <v>0</v>
      </c>
      <c r="Q162" s="4">
        <f t="shared" si="2"/>
        <v>0</v>
      </c>
      <c r="R162" s="3">
        <v>0</v>
      </c>
      <c r="S162" s="3">
        <v>3</v>
      </c>
      <c r="T162" s="19">
        <v>0</v>
      </c>
      <c r="U162" s="3">
        <v>0</v>
      </c>
      <c r="V162" s="3">
        <v>0</v>
      </c>
      <c r="W162">
        <v>0</v>
      </c>
      <c r="X162" s="3">
        <v>0</v>
      </c>
      <c r="Y162">
        <v>0</v>
      </c>
      <c r="Z162" s="3">
        <v>0</v>
      </c>
      <c r="AA162" t="s">
        <v>49</v>
      </c>
      <c r="AB162" t="s">
        <v>49</v>
      </c>
      <c r="AC162" t="s">
        <v>49</v>
      </c>
      <c r="AD162" t="s">
        <v>49</v>
      </c>
      <c r="AE162">
        <v>0</v>
      </c>
      <c r="AF162" s="3">
        <v>0</v>
      </c>
      <c r="AG162" t="s">
        <v>49</v>
      </c>
      <c r="AH162" t="s">
        <v>49</v>
      </c>
      <c r="AI162" t="s">
        <v>49</v>
      </c>
      <c r="AJ162" t="s">
        <v>49</v>
      </c>
      <c r="AK162" t="s">
        <v>49</v>
      </c>
      <c r="AL162" t="s">
        <v>49</v>
      </c>
      <c r="AM162" t="s">
        <v>49</v>
      </c>
      <c r="AN162" s="3">
        <v>4</v>
      </c>
      <c r="AO162" s="19">
        <v>0</v>
      </c>
      <c r="AP162" s="19">
        <v>0</v>
      </c>
      <c r="AQ162" s="19">
        <v>0.6667</v>
      </c>
      <c r="AR162" s="19">
        <v>0.3333</v>
      </c>
      <c r="AS162" s="19">
        <v>0</v>
      </c>
      <c r="AT162" s="19">
        <v>0</v>
      </c>
      <c r="AU162" s="3">
        <v>0</v>
      </c>
      <c r="AV162" s="3">
        <v>0</v>
      </c>
      <c r="AW162" s="19">
        <v>0</v>
      </c>
      <c r="AX162" s="3">
        <v>0</v>
      </c>
      <c r="AY162" s="3">
        <v>0</v>
      </c>
    </row>
    <row r="163" spans="1:51">
      <c r="A163" s="3">
        <v>8174657</v>
      </c>
      <c r="B163" t="s">
        <v>357</v>
      </c>
      <c r="C163" s="3">
        <v>11325109</v>
      </c>
      <c r="D163" t="s">
        <v>44</v>
      </c>
      <c r="E163" t="s">
        <v>227</v>
      </c>
      <c r="F163" t="s">
        <v>65</v>
      </c>
      <c r="G163" t="s">
        <v>47</v>
      </c>
      <c r="H163" s="16">
        <v>0</v>
      </c>
      <c r="I163" s="4">
        <f>VLOOKUP(C163,[1]sheet1!$D:$I,6,0)</f>
        <v>0</v>
      </c>
      <c r="J163" s="4">
        <f>VLOOKUP(C163,[2]sheet1!$D:$I,6,0)</f>
        <v>0</v>
      </c>
      <c r="K163" s="4">
        <f>VLOOKUP(C163,[3]sheet1!$D:$I,6,0)</f>
        <v>0</v>
      </c>
      <c r="L163" s="4">
        <f>VLOOKUP(C163,[4]sheet1!$D:$I,6,0)</f>
        <v>0</v>
      </c>
      <c r="M163" s="4">
        <f>VLOOKUP(C163,[5]sheet1!$D:$I,6,0)</f>
        <v>687</v>
      </c>
      <c r="N163" s="4">
        <f>VLOOKUP(C163,[6]sheet1!$D:$I,6,0)</f>
        <v>0</v>
      </c>
      <c r="O163" s="4">
        <f>VLOOKUP(C163,[7]sheet1!$D:$I,6,0)</f>
        <v>0</v>
      </c>
      <c r="P163" s="4">
        <f>VLOOKUP(C163,[8]sheet1!$D:$I,6,0)</f>
        <v>0</v>
      </c>
      <c r="Q163" s="4">
        <f t="shared" si="2"/>
        <v>687</v>
      </c>
      <c r="R163" s="3">
        <v>0</v>
      </c>
      <c r="S163" s="3">
        <v>1</v>
      </c>
      <c r="T163" s="19">
        <v>0</v>
      </c>
      <c r="U163" s="3">
        <v>0</v>
      </c>
      <c r="V163" s="3">
        <v>0</v>
      </c>
      <c r="W163">
        <v>0</v>
      </c>
      <c r="X163" s="3">
        <v>0</v>
      </c>
      <c r="Y163">
        <v>0</v>
      </c>
      <c r="Z163" s="3">
        <v>0</v>
      </c>
      <c r="AA163" t="s">
        <v>49</v>
      </c>
      <c r="AB163" t="s">
        <v>49</v>
      </c>
      <c r="AC163" t="s">
        <v>49</v>
      </c>
      <c r="AD163" t="s">
        <v>49</v>
      </c>
      <c r="AE163">
        <v>0</v>
      </c>
      <c r="AF163" s="3">
        <v>0</v>
      </c>
      <c r="AG163" t="s">
        <v>49</v>
      </c>
      <c r="AH163" t="s">
        <v>49</v>
      </c>
      <c r="AI163" t="s">
        <v>49</v>
      </c>
      <c r="AJ163" t="s">
        <v>49</v>
      </c>
      <c r="AK163" t="s">
        <v>49</v>
      </c>
      <c r="AL163" t="s">
        <v>49</v>
      </c>
      <c r="AM163" t="s">
        <v>49</v>
      </c>
      <c r="AN163" s="3">
        <v>1</v>
      </c>
      <c r="AO163" s="19">
        <v>0</v>
      </c>
      <c r="AP163" s="19">
        <v>0</v>
      </c>
      <c r="AQ163" s="19">
        <v>0</v>
      </c>
      <c r="AR163" s="19">
        <v>0</v>
      </c>
      <c r="AS163" s="19">
        <v>0</v>
      </c>
      <c r="AT163" s="19">
        <v>0</v>
      </c>
      <c r="AU163" s="3">
        <v>0</v>
      </c>
      <c r="AV163" s="3">
        <v>0</v>
      </c>
      <c r="AW163" s="19">
        <v>0</v>
      </c>
      <c r="AX163" s="3">
        <v>0</v>
      </c>
      <c r="AY163" s="3">
        <v>0</v>
      </c>
    </row>
    <row r="164" spans="1:51">
      <c r="A164" s="3">
        <v>7917906</v>
      </c>
      <c r="B164" t="s">
        <v>358</v>
      </c>
      <c r="C164" t="s">
        <v>359</v>
      </c>
      <c r="D164" t="s">
        <v>44</v>
      </c>
      <c r="E164" t="s">
        <v>249</v>
      </c>
      <c r="F164" t="s">
        <v>65</v>
      </c>
      <c r="G164" t="s">
        <v>47</v>
      </c>
      <c r="H164" s="16">
        <v>0</v>
      </c>
      <c r="I164" s="4">
        <f>VLOOKUP(C164,[1]sheet1!$D:$I,6,0)</f>
        <v>0</v>
      </c>
      <c r="J164" s="4">
        <f>VLOOKUP(C164,[2]sheet1!$D:$I,6,0)</f>
        <v>0</v>
      </c>
      <c r="K164" s="4">
        <f>VLOOKUP(C164,[3]sheet1!$D:$I,6,0)</f>
        <v>0</v>
      </c>
      <c r="L164" s="4">
        <f>VLOOKUP(C164,[4]sheet1!$D:$I,6,0)</f>
        <v>0</v>
      </c>
      <c r="M164" s="4">
        <f>VLOOKUP(C164,[5]sheet1!$D:$I,6,0)</f>
        <v>0</v>
      </c>
      <c r="N164" s="4">
        <f>VLOOKUP(C164,[6]sheet1!$D:$I,6,0)</f>
        <v>0</v>
      </c>
      <c r="O164" s="4">
        <f>VLOOKUP(C164,[7]sheet1!$D:$I,6,0)</f>
        <v>0</v>
      </c>
      <c r="P164" s="4">
        <f>VLOOKUP(C164,[8]sheet1!$D:$I,6,0)</f>
        <v>0</v>
      </c>
      <c r="Q164" s="4">
        <f t="shared" si="2"/>
        <v>0</v>
      </c>
      <c r="R164" s="3">
        <v>0</v>
      </c>
      <c r="S164" s="3">
        <v>0</v>
      </c>
      <c r="T164" s="19">
        <v>0</v>
      </c>
      <c r="U164" s="3">
        <v>0</v>
      </c>
      <c r="V164" s="3">
        <v>0</v>
      </c>
      <c r="W164">
        <v>0</v>
      </c>
      <c r="X164" s="3">
        <v>0</v>
      </c>
      <c r="Y164">
        <v>0</v>
      </c>
      <c r="Z164" s="3">
        <v>0</v>
      </c>
      <c r="AA164" t="s">
        <v>139</v>
      </c>
      <c r="AB164" t="s">
        <v>49</v>
      </c>
      <c r="AC164">
        <v>312.13</v>
      </c>
      <c r="AD164" t="s">
        <v>49</v>
      </c>
      <c r="AE164">
        <v>0</v>
      </c>
      <c r="AF164" s="3">
        <v>0</v>
      </c>
      <c r="AG164" t="s">
        <v>49</v>
      </c>
      <c r="AH164">
        <v>0</v>
      </c>
      <c r="AI164" t="s">
        <v>49</v>
      </c>
      <c r="AJ164" t="s">
        <v>49</v>
      </c>
      <c r="AK164" t="s">
        <v>49</v>
      </c>
      <c r="AL164" t="s">
        <v>49</v>
      </c>
      <c r="AM164" t="s">
        <v>49</v>
      </c>
      <c r="AN164" s="3">
        <v>0</v>
      </c>
      <c r="AO164" s="19">
        <v>0</v>
      </c>
      <c r="AP164" s="19">
        <v>0</v>
      </c>
      <c r="AQ164" s="19">
        <v>0</v>
      </c>
      <c r="AR164" s="19">
        <v>0</v>
      </c>
      <c r="AS164" s="19">
        <v>0</v>
      </c>
      <c r="AT164" s="19">
        <v>0</v>
      </c>
      <c r="AU164" s="3">
        <v>0</v>
      </c>
      <c r="AV164" s="3">
        <v>0</v>
      </c>
      <c r="AW164" s="19">
        <v>0</v>
      </c>
      <c r="AX164" s="3">
        <v>0</v>
      </c>
      <c r="AY164" s="3">
        <v>0</v>
      </c>
    </row>
    <row r="165" spans="1:51">
      <c r="A165" s="3">
        <v>7916210</v>
      </c>
      <c r="B165" t="s">
        <v>360</v>
      </c>
      <c r="C165" t="s">
        <v>361</v>
      </c>
      <c r="D165" t="s">
        <v>44</v>
      </c>
      <c r="E165" t="s">
        <v>249</v>
      </c>
      <c r="F165" t="s">
        <v>46</v>
      </c>
      <c r="G165" t="s">
        <v>47</v>
      </c>
      <c r="H165" s="16">
        <v>0</v>
      </c>
      <c r="I165" s="4">
        <f>VLOOKUP(C165,[1]sheet1!$D:$I,6,0)</f>
        <v>0</v>
      </c>
      <c r="J165" s="4">
        <f>VLOOKUP(C165,[2]sheet1!$D:$I,6,0)</f>
        <v>0</v>
      </c>
      <c r="K165" s="4">
        <f>VLOOKUP(C165,[3]sheet1!$D:$I,6,0)</f>
        <v>0</v>
      </c>
      <c r="L165" s="4">
        <f>VLOOKUP(C165,[4]sheet1!$D:$I,6,0)</f>
        <v>0</v>
      </c>
      <c r="M165" s="4">
        <f>VLOOKUP(C165,[5]sheet1!$D:$I,6,0)</f>
        <v>0</v>
      </c>
      <c r="N165" s="4">
        <f>VLOOKUP(C165,[6]sheet1!$D:$I,6,0)</f>
        <v>0</v>
      </c>
      <c r="O165" s="4">
        <f>VLOOKUP(C165,[7]sheet1!$D:$I,6,0)</f>
        <v>0</v>
      </c>
      <c r="P165" s="4">
        <f>VLOOKUP(C165,[8]sheet1!$D:$I,6,0)</f>
        <v>0</v>
      </c>
      <c r="Q165" s="4">
        <f t="shared" si="2"/>
        <v>0</v>
      </c>
      <c r="R165" s="3">
        <v>0</v>
      </c>
      <c r="S165">
        <v>0</v>
      </c>
      <c r="T165">
        <v>0</v>
      </c>
      <c r="U165" s="3">
        <v>0</v>
      </c>
      <c r="V165" s="3">
        <v>0</v>
      </c>
      <c r="W165">
        <v>0</v>
      </c>
      <c r="X165" s="3">
        <v>0</v>
      </c>
      <c r="Y165">
        <v>0</v>
      </c>
      <c r="Z165" s="3">
        <v>0</v>
      </c>
      <c r="AA165" t="s">
        <v>139</v>
      </c>
      <c r="AB165" s="3">
        <v>369</v>
      </c>
      <c r="AC165">
        <v>312.13</v>
      </c>
      <c r="AD165" t="s">
        <v>49</v>
      </c>
      <c r="AE165">
        <v>0</v>
      </c>
      <c r="AF165" s="3">
        <v>0</v>
      </c>
      <c r="AG165" t="s">
        <v>49</v>
      </c>
      <c r="AH165">
        <v>0</v>
      </c>
      <c r="AI165" t="s">
        <v>49</v>
      </c>
      <c r="AJ165" t="s">
        <v>49</v>
      </c>
      <c r="AK165" t="s">
        <v>49</v>
      </c>
      <c r="AL165" t="s">
        <v>49</v>
      </c>
      <c r="AM165" t="s">
        <v>49</v>
      </c>
      <c r="AN165">
        <v>0</v>
      </c>
      <c r="AO165" s="19">
        <v>0</v>
      </c>
      <c r="AP165" s="19">
        <v>0</v>
      </c>
      <c r="AQ165" s="19">
        <v>0</v>
      </c>
      <c r="AR165" s="19">
        <v>0</v>
      </c>
      <c r="AS165" s="19">
        <v>0</v>
      </c>
      <c r="AT165" s="19">
        <v>0</v>
      </c>
      <c r="AU165" s="3">
        <v>0</v>
      </c>
      <c r="AV165" s="3">
        <v>0</v>
      </c>
      <c r="AW165" s="19">
        <v>0</v>
      </c>
      <c r="AX165" s="3">
        <v>0</v>
      </c>
      <c r="AY165" s="3">
        <v>0</v>
      </c>
    </row>
    <row r="166" spans="1:51">
      <c r="A166" s="3">
        <v>7912729</v>
      </c>
      <c r="B166" t="s">
        <v>362</v>
      </c>
      <c r="C166" t="s">
        <v>363</v>
      </c>
      <c r="D166" t="s">
        <v>44</v>
      </c>
      <c r="E166" t="s">
        <v>249</v>
      </c>
      <c r="F166" t="s">
        <v>65</v>
      </c>
      <c r="G166" t="s">
        <v>47</v>
      </c>
      <c r="H166" s="16">
        <v>0</v>
      </c>
      <c r="I166" s="4">
        <f>VLOOKUP(C166,[1]sheet1!$D:$I,6,0)</f>
        <v>0</v>
      </c>
      <c r="J166" s="4">
        <f>VLOOKUP(C166,[2]sheet1!$D:$I,6,0)</f>
        <v>0</v>
      </c>
      <c r="K166" s="4">
        <f>VLOOKUP(C166,[3]sheet1!$D:$I,6,0)</f>
        <v>0</v>
      </c>
      <c r="L166" s="4">
        <f>VLOOKUP(C166,[4]sheet1!$D:$I,6,0)</f>
        <v>0</v>
      </c>
      <c r="M166" s="4">
        <f>VLOOKUP(C166,[5]sheet1!$D:$I,6,0)</f>
        <v>0</v>
      </c>
      <c r="N166" s="4">
        <f>VLOOKUP(C166,[6]sheet1!$D:$I,6,0)</f>
        <v>0</v>
      </c>
      <c r="O166" s="4">
        <f>VLOOKUP(C166,[7]sheet1!$D:$I,6,0)</f>
        <v>0</v>
      </c>
      <c r="P166" s="4">
        <f>VLOOKUP(C166,[8]sheet1!$D:$I,6,0)</f>
        <v>0</v>
      </c>
      <c r="Q166" s="4">
        <f t="shared" si="2"/>
        <v>0</v>
      </c>
      <c r="R166" s="3">
        <v>0</v>
      </c>
      <c r="S166" s="3">
        <v>0</v>
      </c>
      <c r="T166" s="19">
        <v>0</v>
      </c>
      <c r="U166" s="3">
        <v>0</v>
      </c>
      <c r="V166" s="3">
        <v>0</v>
      </c>
      <c r="W166">
        <v>0</v>
      </c>
      <c r="X166" s="3">
        <v>0</v>
      </c>
      <c r="Y166">
        <v>0</v>
      </c>
      <c r="Z166" s="3">
        <v>0</v>
      </c>
      <c r="AA166" t="s">
        <v>139</v>
      </c>
      <c r="AB166" t="s">
        <v>49</v>
      </c>
      <c r="AC166">
        <v>312.13</v>
      </c>
      <c r="AD166" t="s">
        <v>49</v>
      </c>
      <c r="AE166">
        <v>0</v>
      </c>
      <c r="AF166" s="3">
        <v>0</v>
      </c>
      <c r="AG166" t="s">
        <v>49</v>
      </c>
      <c r="AH166">
        <v>0</v>
      </c>
      <c r="AI166" t="s">
        <v>49</v>
      </c>
      <c r="AJ166" t="s">
        <v>49</v>
      </c>
      <c r="AK166" t="s">
        <v>49</v>
      </c>
      <c r="AL166" t="s">
        <v>49</v>
      </c>
      <c r="AM166" t="s">
        <v>49</v>
      </c>
      <c r="AN166" s="3">
        <v>0</v>
      </c>
      <c r="AO166" s="19">
        <v>0</v>
      </c>
      <c r="AP166" s="19">
        <v>0</v>
      </c>
      <c r="AQ166" s="19">
        <v>0</v>
      </c>
      <c r="AR166" s="19">
        <v>0</v>
      </c>
      <c r="AS166" s="19">
        <v>0</v>
      </c>
      <c r="AT166" s="19">
        <v>0</v>
      </c>
      <c r="AU166" s="3">
        <v>0</v>
      </c>
      <c r="AV166" s="3">
        <v>0</v>
      </c>
      <c r="AW166" s="19">
        <v>0</v>
      </c>
      <c r="AX166" s="3">
        <v>0</v>
      </c>
      <c r="AY166" s="3">
        <v>0</v>
      </c>
    </row>
    <row r="167" spans="1:51">
      <c r="A167" s="3">
        <v>6533821</v>
      </c>
      <c r="B167" t="s">
        <v>364</v>
      </c>
      <c r="C167" s="3">
        <v>12340820</v>
      </c>
      <c r="D167" t="s">
        <v>44</v>
      </c>
      <c r="E167" t="s">
        <v>365</v>
      </c>
      <c r="F167" t="s">
        <v>65</v>
      </c>
      <c r="G167" t="s">
        <v>47</v>
      </c>
      <c r="H167" s="16">
        <v>0</v>
      </c>
      <c r="I167" s="4">
        <f>VLOOKUP(C167,[1]sheet1!$D:$I,6,0)</f>
        <v>0</v>
      </c>
      <c r="J167" s="4">
        <f>VLOOKUP(C167,[2]sheet1!$D:$I,6,0)</f>
        <v>0</v>
      </c>
      <c r="K167" s="4">
        <f>VLOOKUP(C167,[3]sheet1!$D:$I,6,0)</f>
        <v>0</v>
      </c>
      <c r="L167" s="4">
        <f>VLOOKUP(C167,[4]sheet1!$D:$I,6,0)</f>
        <v>0</v>
      </c>
      <c r="M167" s="4">
        <f>VLOOKUP(C167,[5]sheet1!$D:$I,6,0)</f>
        <v>0</v>
      </c>
      <c r="N167" s="4">
        <f>VLOOKUP(C167,[6]sheet1!$D:$I,6,0)</f>
        <v>0</v>
      </c>
      <c r="O167" s="4">
        <f>VLOOKUP(C167,[7]sheet1!$D:$I,6,0)</f>
        <v>0</v>
      </c>
      <c r="P167" s="4">
        <f>VLOOKUP(C167,[8]sheet1!$D:$I,6,0)</f>
        <v>0</v>
      </c>
      <c r="Q167" s="4">
        <f t="shared" si="2"/>
        <v>0</v>
      </c>
      <c r="R167" s="3">
        <v>0</v>
      </c>
      <c r="S167" s="3">
        <v>0</v>
      </c>
      <c r="T167" s="19">
        <v>0</v>
      </c>
      <c r="U167" s="3">
        <v>0</v>
      </c>
      <c r="V167" s="3">
        <v>0</v>
      </c>
      <c r="W167">
        <v>0</v>
      </c>
      <c r="X167" s="3">
        <v>0</v>
      </c>
      <c r="Y167">
        <v>0</v>
      </c>
      <c r="Z167" s="3">
        <v>0</v>
      </c>
      <c r="AA167" t="s">
        <v>49</v>
      </c>
      <c r="AB167" t="s">
        <v>49</v>
      </c>
      <c r="AC167" t="s">
        <v>49</v>
      </c>
      <c r="AD167" t="s">
        <v>49</v>
      </c>
      <c r="AE167">
        <v>0</v>
      </c>
      <c r="AF167" s="3">
        <v>0</v>
      </c>
      <c r="AG167" t="s">
        <v>49</v>
      </c>
      <c r="AH167" t="s">
        <v>49</v>
      </c>
      <c r="AI167" t="s">
        <v>49</v>
      </c>
      <c r="AJ167" t="s">
        <v>49</v>
      </c>
      <c r="AK167" t="s">
        <v>49</v>
      </c>
      <c r="AL167" t="s">
        <v>49</v>
      </c>
      <c r="AM167" t="s">
        <v>49</v>
      </c>
      <c r="AN167" s="3">
        <v>0</v>
      </c>
      <c r="AO167" s="19">
        <v>0</v>
      </c>
      <c r="AP167" s="19">
        <v>0</v>
      </c>
      <c r="AQ167" s="19">
        <v>0</v>
      </c>
      <c r="AR167" s="19">
        <v>0</v>
      </c>
      <c r="AS167" s="19">
        <v>0</v>
      </c>
      <c r="AT167" s="19">
        <v>0</v>
      </c>
      <c r="AU167" s="3">
        <v>0</v>
      </c>
      <c r="AV167" s="3">
        <v>0</v>
      </c>
      <c r="AW167" s="19">
        <v>0</v>
      </c>
      <c r="AX167" s="3">
        <v>0</v>
      </c>
      <c r="AY167" s="3">
        <v>0</v>
      </c>
    </row>
    <row r="168" spans="1:51">
      <c r="A168" s="3">
        <v>6416039</v>
      </c>
      <c r="B168" t="s">
        <v>366</v>
      </c>
      <c r="C168" s="3">
        <v>12331028</v>
      </c>
      <c r="D168" t="s">
        <v>44</v>
      </c>
      <c r="E168" t="s">
        <v>117</v>
      </c>
      <c r="F168" t="s">
        <v>65</v>
      </c>
      <c r="G168" t="s">
        <v>47</v>
      </c>
      <c r="H168" s="16">
        <v>0</v>
      </c>
      <c r="I168" s="4">
        <f>VLOOKUP(C168,[1]sheet1!$D:$I,6,0)</f>
        <v>0</v>
      </c>
      <c r="J168" s="4">
        <f>VLOOKUP(C168,[2]sheet1!$D:$I,6,0)</f>
        <v>0</v>
      </c>
      <c r="K168" s="4">
        <f>VLOOKUP(C168,[3]sheet1!$D:$I,6,0)</f>
        <v>0</v>
      </c>
      <c r="L168" s="4">
        <f>VLOOKUP(C168,[4]sheet1!$D:$I,6,0)</f>
        <v>0</v>
      </c>
      <c r="M168" s="4">
        <f>VLOOKUP(C168,[5]sheet1!$D:$I,6,0)</f>
        <v>0</v>
      </c>
      <c r="N168" s="4">
        <f>VLOOKUP(C168,[6]sheet1!$D:$I,6,0)</f>
        <v>0</v>
      </c>
      <c r="O168" s="4">
        <f>VLOOKUP(C168,[7]sheet1!$D:$I,6,0)</f>
        <v>0</v>
      </c>
      <c r="P168" s="4">
        <f>VLOOKUP(C168,[8]sheet1!$D:$I,6,0)</f>
        <v>0</v>
      </c>
      <c r="Q168" s="4">
        <f t="shared" si="2"/>
        <v>0</v>
      </c>
      <c r="R168" s="3">
        <v>0</v>
      </c>
      <c r="S168" s="3">
        <v>3</v>
      </c>
      <c r="T168" s="19">
        <v>0</v>
      </c>
      <c r="U168" s="3">
        <v>0</v>
      </c>
      <c r="V168" s="3">
        <v>0</v>
      </c>
      <c r="W168">
        <v>0</v>
      </c>
      <c r="X168" s="3">
        <v>0</v>
      </c>
      <c r="Y168">
        <v>0</v>
      </c>
      <c r="Z168" s="3">
        <v>0</v>
      </c>
      <c r="AA168" t="s">
        <v>49</v>
      </c>
      <c r="AB168" t="s">
        <v>49</v>
      </c>
      <c r="AC168" t="s">
        <v>49</v>
      </c>
      <c r="AD168" t="s">
        <v>49</v>
      </c>
      <c r="AE168">
        <v>0</v>
      </c>
      <c r="AF168" s="3">
        <v>0</v>
      </c>
      <c r="AG168" t="s">
        <v>49</v>
      </c>
      <c r="AH168" t="s">
        <v>49</v>
      </c>
      <c r="AI168" t="s">
        <v>49</v>
      </c>
      <c r="AJ168" t="s">
        <v>49</v>
      </c>
      <c r="AK168" t="s">
        <v>49</v>
      </c>
      <c r="AL168" t="s">
        <v>49</v>
      </c>
      <c r="AM168" t="s">
        <v>49</v>
      </c>
      <c r="AN168" s="3">
        <v>4</v>
      </c>
      <c r="AO168" s="19">
        <v>0</v>
      </c>
      <c r="AP168" s="19">
        <v>0</v>
      </c>
      <c r="AQ168" s="19">
        <v>1</v>
      </c>
      <c r="AR168" s="19">
        <v>0.3333</v>
      </c>
      <c r="AS168" s="19">
        <v>0</v>
      </c>
      <c r="AT168" s="19">
        <v>0</v>
      </c>
      <c r="AU168" s="3">
        <v>0</v>
      </c>
      <c r="AV168" s="3">
        <v>0</v>
      </c>
      <c r="AW168" s="19">
        <v>0</v>
      </c>
      <c r="AX168" s="3">
        <v>0</v>
      </c>
      <c r="AY168" s="3">
        <v>0</v>
      </c>
    </row>
    <row r="169" spans="1:51">
      <c r="A169" s="3">
        <v>6415844</v>
      </c>
      <c r="B169" t="s">
        <v>367</v>
      </c>
      <c r="C169" s="3">
        <v>12331032</v>
      </c>
      <c r="D169" t="s">
        <v>44</v>
      </c>
      <c r="E169" t="s">
        <v>117</v>
      </c>
      <c r="F169" t="s">
        <v>65</v>
      </c>
      <c r="G169" t="s">
        <v>47</v>
      </c>
      <c r="H169" s="16">
        <v>0</v>
      </c>
      <c r="I169" s="4">
        <f>VLOOKUP(C169,[1]sheet1!$D:$I,6,0)</f>
        <v>0</v>
      </c>
      <c r="J169" s="4">
        <f>VLOOKUP(C169,[2]sheet1!$D:$I,6,0)</f>
        <v>631</v>
      </c>
      <c r="K169" s="4">
        <f>VLOOKUP(C169,[3]sheet1!$D:$I,6,0)</f>
        <v>0</v>
      </c>
      <c r="L169" s="4">
        <f>VLOOKUP(C169,[4]sheet1!$D:$I,6,0)</f>
        <v>0</v>
      </c>
      <c r="M169" s="4">
        <f>VLOOKUP(C169,[5]sheet1!$D:$I,6,0)</f>
        <v>0</v>
      </c>
      <c r="N169" s="4">
        <f>VLOOKUP(C169,[6]sheet1!$D:$I,6,0)</f>
        <v>0</v>
      </c>
      <c r="O169" s="4">
        <f>VLOOKUP(C169,[7]sheet1!$D:$I,6,0)</f>
        <v>0</v>
      </c>
      <c r="P169" s="4">
        <f>VLOOKUP(C169,[8]sheet1!$D:$I,6,0)</f>
        <v>0</v>
      </c>
      <c r="Q169" s="4">
        <f t="shared" si="2"/>
        <v>631</v>
      </c>
      <c r="R169" s="3">
        <v>0</v>
      </c>
      <c r="S169" s="3">
        <v>2</v>
      </c>
      <c r="T169" s="19">
        <v>0</v>
      </c>
      <c r="U169" s="3">
        <v>0</v>
      </c>
      <c r="V169" s="3">
        <v>0</v>
      </c>
      <c r="W169">
        <v>0</v>
      </c>
      <c r="X169" s="3">
        <v>0</v>
      </c>
      <c r="Y169">
        <v>0</v>
      </c>
      <c r="Z169" s="3">
        <v>0</v>
      </c>
      <c r="AA169" t="s">
        <v>49</v>
      </c>
      <c r="AB169" t="s">
        <v>49</v>
      </c>
      <c r="AC169" t="s">
        <v>49</v>
      </c>
      <c r="AD169" t="s">
        <v>49</v>
      </c>
      <c r="AE169">
        <v>0</v>
      </c>
      <c r="AF169" s="3">
        <v>0</v>
      </c>
      <c r="AG169" t="s">
        <v>49</v>
      </c>
      <c r="AH169" t="s">
        <v>49</v>
      </c>
      <c r="AI169" t="s">
        <v>49</v>
      </c>
      <c r="AJ169" t="s">
        <v>49</v>
      </c>
      <c r="AK169" t="s">
        <v>49</v>
      </c>
      <c r="AL169" t="s">
        <v>49</v>
      </c>
      <c r="AM169" t="s">
        <v>49</v>
      </c>
      <c r="AN169" s="3">
        <v>2</v>
      </c>
      <c r="AO169" s="19">
        <v>0</v>
      </c>
      <c r="AP169" s="19">
        <v>0</v>
      </c>
      <c r="AQ169" s="19">
        <v>1</v>
      </c>
      <c r="AR169" s="19">
        <v>0</v>
      </c>
      <c r="AS169" s="19">
        <v>0</v>
      </c>
      <c r="AT169" s="19">
        <v>0</v>
      </c>
      <c r="AU169" s="3">
        <v>0</v>
      </c>
      <c r="AV169" s="3">
        <v>0</v>
      </c>
      <c r="AW169" s="19">
        <v>0</v>
      </c>
      <c r="AX169" s="3">
        <v>0</v>
      </c>
      <c r="AY169" s="3">
        <v>0</v>
      </c>
    </row>
    <row r="170" spans="1:51">
      <c r="A170" s="3">
        <v>6415357</v>
      </c>
      <c r="B170" t="s">
        <v>368</v>
      </c>
      <c r="C170" s="3">
        <v>12340806</v>
      </c>
      <c r="D170" t="s">
        <v>44</v>
      </c>
      <c r="E170" t="s">
        <v>258</v>
      </c>
      <c r="F170" t="s">
        <v>46</v>
      </c>
      <c r="G170" t="s">
        <v>47</v>
      </c>
      <c r="H170" s="16">
        <v>0</v>
      </c>
      <c r="I170" s="4">
        <f>VLOOKUP(C170,[1]sheet1!$D:$I,6,0)</f>
        <v>0</v>
      </c>
      <c r="J170" s="4">
        <f>VLOOKUP(C170,[2]sheet1!$D:$I,6,0)</f>
        <v>0</v>
      </c>
      <c r="K170" s="4">
        <f>VLOOKUP(C170,[3]sheet1!$D:$I,6,0)</f>
        <v>0</v>
      </c>
      <c r="L170" s="4">
        <f>VLOOKUP(C170,[4]sheet1!$D:$I,6,0)</f>
        <v>0</v>
      </c>
      <c r="M170" s="4">
        <f>VLOOKUP(C170,[5]sheet1!$D:$I,6,0)</f>
        <v>0</v>
      </c>
      <c r="N170" s="4">
        <f>VLOOKUP(C170,[6]sheet1!$D:$I,6,0)</f>
        <v>1757</v>
      </c>
      <c r="O170" s="4">
        <f>VLOOKUP(C170,[7]sheet1!$D:$I,6,0)</f>
        <v>0</v>
      </c>
      <c r="P170" s="4">
        <f>VLOOKUP(C170,[8]sheet1!$D:$I,6,0)</f>
        <v>0</v>
      </c>
      <c r="Q170" s="4">
        <f t="shared" si="2"/>
        <v>1757</v>
      </c>
      <c r="R170" s="3">
        <v>0</v>
      </c>
      <c r="S170">
        <v>1286</v>
      </c>
      <c r="T170">
        <v>0</v>
      </c>
      <c r="U170" s="3">
        <v>43</v>
      </c>
      <c r="V170" s="3">
        <v>0</v>
      </c>
      <c r="W170">
        <v>0</v>
      </c>
      <c r="X170" s="3">
        <v>0</v>
      </c>
      <c r="Y170">
        <v>0</v>
      </c>
      <c r="Z170" s="3">
        <v>0</v>
      </c>
      <c r="AA170" t="s">
        <v>369</v>
      </c>
      <c r="AB170" s="3">
        <v>1398</v>
      </c>
      <c r="AC170">
        <v>1511.01</v>
      </c>
      <c r="AD170" t="s">
        <v>49</v>
      </c>
      <c r="AE170">
        <v>0</v>
      </c>
      <c r="AF170" s="3">
        <v>0</v>
      </c>
      <c r="AG170" t="s">
        <v>49</v>
      </c>
      <c r="AH170">
        <v>0</v>
      </c>
      <c r="AI170" t="s">
        <v>49</v>
      </c>
      <c r="AJ170">
        <v>1204.77</v>
      </c>
      <c r="AK170" t="s">
        <v>49</v>
      </c>
      <c r="AL170">
        <v>0</v>
      </c>
      <c r="AM170" t="s">
        <v>49</v>
      </c>
      <c r="AN170">
        <v>1391</v>
      </c>
      <c r="AO170" s="19">
        <v>0</v>
      </c>
      <c r="AP170" s="19">
        <v>0</v>
      </c>
      <c r="AQ170" s="19">
        <v>0.9599</v>
      </c>
      <c r="AR170" s="19">
        <v>0.7733</v>
      </c>
      <c r="AS170" s="19">
        <v>0.9767</v>
      </c>
      <c r="AT170" s="19">
        <v>0.7674</v>
      </c>
      <c r="AU170" s="3">
        <v>0</v>
      </c>
      <c r="AV170" s="3">
        <v>0</v>
      </c>
      <c r="AW170" s="19">
        <v>0</v>
      </c>
      <c r="AX170" s="3">
        <v>0</v>
      </c>
      <c r="AY170" s="3">
        <v>0</v>
      </c>
    </row>
    <row r="171" spans="1:51">
      <c r="A171" s="3">
        <v>6414855</v>
      </c>
      <c r="B171" t="s">
        <v>370</v>
      </c>
      <c r="C171" s="3">
        <v>12331030</v>
      </c>
      <c r="D171" t="s">
        <v>44</v>
      </c>
      <c r="E171" t="s">
        <v>117</v>
      </c>
      <c r="F171" t="s">
        <v>65</v>
      </c>
      <c r="G171" t="s">
        <v>47</v>
      </c>
      <c r="H171" s="16">
        <v>0</v>
      </c>
      <c r="I171" s="4">
        <f>VLOOKUP(C171,[1]sheet1!$D:$I,6,0)</f>
        <v>0</v>
      </c>
      <c r="J171" s="4">
        <f>VLOOKUP(C171,[2]sheet1!$D:$I,6,0)</f>
        <v>0</v>
      </c>
      <c r="K171" s="4">
        <f>VLOOKUP(C171,[3]sheet1!$D:$I,6,0)</f>
        <v>0</v>
      </c>
      <c r="L171" s="4">
        <f>VLOOKUP(C171,[4]sheet1!$D:$I,6,0)</f>
        <v>0</v>
      </c>
      <c r="M171" s="4">
        <f>VLOOKUP(C171,[5]sheet1!$D:$I,6,0)</f>
        <v>0</v>
      </c>
      <c r="N171" s="4">
        <f>VLOOKUP(C171,[6]sheet1!$D:$I,6,0)</f>
        <v>0</v>
      </c>
      <c r="O171" s="4">
        <f>VLOOKUP(C171,[7]sheet1!$D:$I,6,0)</f>
        <v>0</v>
      </c>
      <c r="P171" s="4">
        <f>VLOOKUP(C171,[8]sheet1!$D:$I,6,0)</f>
        <v>0</v>
      </c>
      <c r="Q171" s="4">
        <f t="shared" si="2"/>
        <v>0</v>
      </c>
      <c r="R171" s="3">
        <v>0</v>
      </c>
      <c r="S171" s="3">
        <v>3</v>
      </c>
      <c r="T171" s="19">
        <v>0</v>
      </c>
      <c r="U171" s="3">
        <v>0</v>
      </c>
      <c r="V171" s="3">
        <v>0</v>
      </c>
      <c r="W171">
        <v>0</v>
      </c>
      <c r="X171" s="3">
        <v>0</v>
      </c>
      <c r="Y171">
        <v>0</v>
      </c>
      <c r="Z171" s="3">
        <v>0</v>
      </c>
      <c r="AA171" t="s">
        <v>49</v>
      </c>
      <c r="AB171" t="s">
        <v>49</v>
      </c>
      <c r="AC171" t="s">
        <v>49</v>
      </c>
      <c r="AD171" t="s">
        <v>49</v>
      </c>
      <c r="AE171">
        <v>0</v>
      </c>
      <c r="AF171" s="3">
        <v>0</v>
      </c>
      <c r="AG171" t="s">
        <v>49</v>
      </c>
      <c r="AH171" t="s">
        <v>49</v>
      </c>
      <c r="AI171" t="s">
        <v>49</v>
      </c>
      <c r="AJ171" t="s">
        <v>49</v>
      </c>
      <c r="AK171" t="s">
        <v>49</v>
      </c>
      <c r="AL171" t="s">
        <v>49</v>
      </c>
      <c r="AM171" t="s">
        <v>49</v>
      </c>
      <c r="AN171" s="3">
        <v>3</v>
      </c>
      <c r="AO171" s="19">
        <v>0</v>
      </c>
      <c r="AP171" s="19">
        <v>0</v>
      </c>
      <c r="AQ171" s="19">
        <v>0.6667</v>
      </c>
      <c r="AR171" s="19">
        <v>0.3333</v>
      </c>
      <c r="AS171" s="19">
        <v>0</v>
      </c>
      <c r="AT171" s="19">
        <v>0</v>
      </c>
      <c r="AU171" s="3">
        <v>0</v>
      </c>
      <c r="AV171" s="3">
        <v>0</v>
      </c>
      <c r="AW171" s="19">
        <v>0</v>
      </c>
      <c r="AX171" s="3">
        <v>0</v>
      </c>
      <c r="AY171" s="3">
        <v>0</v>
      </c>
    </row>
    <row r="172" spans="1:51">
      <c r="A172" s="3">
        <v>6414514</v>
      </c>
      <c r="B172" t="s">
        <v>371</v>
      </c>
      <c r="C172" s="3">
        <v>11340805</v>
      </c>
      <c r="D172" t="s">
        <v>44</v>
      </c>
      <c r="E172" t="s">
        <v>365</v>
      </c>
      <c r="F172" t="s">
        <v>46</v>
      </c>
      <c r="G172" t="s">
        <v>47</v>
      </c>
      <c r="H172" s="16">
        <v>0</v>
      </c>
      <c r="I172" s="4">
        <f>VLOOKUP(C172,[1]sheet1!$D:$I,6,0)</f>
        <v>0</v>
      </c>
      <c r="J172" s="4">
        <f>VLOOKUP(C172,[2]sheet1!$D:$I,6,0)</f>
        <v>0</v>
      </c>
      <c r="K172" s="4">
        <f>VLOOKUP(C172,[3]sheet1!$D:$I,6,0)</f>
        <v>0</v>
      </c>
      <c r="L172" s="4">
        <f>VLOOKUP(C172,[4]sheet1!$D:$I,6,0)</f>
        <v>0</v>
      </c>
      <c r="M172" s="4">
        <f>VLOOKUP(C172,[5]sheet1!$D:$I,6,0)</f>
        <v>0</v>
      </c>
      <c r="N172" s="4">
        <f>VLOOKUP(C172,[6]sheet1!$D:$I,6,0)</f>
        <v>0</v>
      </c>
      <c r="O172" s="4">
        <f>VLOOKUP(C172,[7]sheet1!$D:$I,6,0)</f>
        <v>0</v>
      </c>
      <c r="P172" s="4">
        <f>VLOOKUP(C172,[8]sheet1!$D:$I,6,0)</f>
        <v>0</v>
      </c>
      <c r="Q172" s="4">
        <f t="shared" si="2"/>
        <v>0</v>
      </c>
      <c r="R172" s="3">
        <v>0</v>
      </c>
      <c r="S172">
        <v>208</v>
      </c>
      <c r="T172">
        <v>0</v>
      </c>
      <c r="U172" s="3">
        <v>2</v>
      </c>
      <c r="V172" s="3">
        <v>0</v>
      </c>
      <c r="W172">
        <v>0</v>
      </c>
      <c r="X172" s="3">
        <v>0</v>
      </c>
      <c r="Y172">
        <v>0</v>
      </c>
      <c r="Z172" s="3">
        <v>0</v>
      </c>
      <c r="AA172" t="s">
        <v>369</v>
      </c>
      <c r="AB172" s="3">
        <v>1599</v>
      </c>
      <c r="AC172">
        <v>1512.39</v>
      </c>
      <c r="AD172" t="s">
        <v>49</v>
      </c>
      <c r="AE172">
        <v>0</v>
      </c>
      <c r="AF172" s="3">
        <v>0</v>
      </c>
      <c r="AG172" t="s">
        <v>49</v>
      </c>
      <c r="AH172">
        <v>0</v>
      </c>
      <c r="AI172" t="s">
        <v>49</v>
      </c>
      <c r="AJ172">
        <v>1381.02</v>
      </c>
      <c r="AK172" t="s">
        <v>49</v>
      </c>
      <c r="AL172">
        <v>0</v>
      </c>
      <c r="AM172" t="s">
        <v>49</v>
      </c>
      <c r="AN172">
        <v>236</v>
      </c>
      <c r="AO172" s="19">
        <v>0</v>
      </c>
      <c r="AP172" s="19">
        <v>0</v>
      </c>
      <c r="AQ172" s="19">
        <v>0.875</v>
      </c>
      <c r="AR172" s="19">
        <v>0.5625</v>
      </c>
      <c r="AS172" s="19">
        <v>0.5</v>
      </c>
      <c r="AT172" s="19">
        <v>1</v>
      </c>
      <c r="AU172" s="3">
        <v>0</v>
      </c>
      <c r="AV172" s="3">
        <v>0</v>
      </c>
      <c r="AW172" s="19">
        <v>0</v>
      </c>
      <c r="AX172" s="3">
        <v>0</v>
      </c>
      <c r="AY172" s="3">
        <v>0</v>
      </c>
    </row>
    <row r="173" spans="1:51">
      <c r="A173" s="3">
        <v>6413828</v>
      </c>
      <c r="B173" t="s">
        <v>372</v>
      </c>
      <c r="C173" s="3">
        <v>11331021</v>
      </c>
      <c r="D173" t="s">
        <v>44</v>
      </c>
      <c r="E173" t="s">
        <v>117</v>
      </c>
      <c r="F173" t="s">
        <v>65</v>
      </c>
      <c r="G173" t="s">
        <v>47</v>
      </c>
      <c r="H173" s="16">
        <v>0</v>
      </c>
      <c r="I173" s="4">
        <f>VLOOKUP(C173,[1]sheet1!$D:$I,6,0)</f>
        <v>0</v>
      </c>
      <c r="J173" s="4">
        <f>VLOOKUP(C173,[2]sheet1!$D:$I,6,0)</f>
        <v>0</v>
      </c>
      <c r="K173" s="4">
        <f>VLOOKUP(C173,[3]sheet1!$D:$I,6,0)</f>
        <v>0</v>
      </c>
      <c r="L173" s="4">
        <f>VLOOKUP(C173,[4]sheet1!$D:$I,6,0)</f>
        <v>0</v>
      </c>
      <c r="M173" s="4">
        <f>VLOOKUP(C173,[5]sheet1!$D:$I,6,0)</f>
        <v>0</v>
      </c>
      <c r="N173" s="4">
        <f>VLOOKUP(C173,[6]sheet1!$D:$I,6,0)</f>
        <v>0</v>
      </c>
      <c r="O173" s="4">
        <f>VLOOKUP(C173,[7]sheet1!$D:$I,6,0)</f>
        <v>0</v>
      </c>
      <c r="P173" s="4">
        <f>VLOOKUP(C173,[8]sheet1!$D:$I,6,0)</f>
        <v>0</v>
      </c>
      <c r="Q173" s="4">
        <f t="shared" si="2"/>
        <v>0</v>
      </c>
      <c r="R173" s="3">
        <v>0</v>
      </c>
      <c r="S173" s="3">
        <v>3</v>
      </c>
      <c r="T173" s="19">
        <v>0</v>
      </c>
      <c r="U173" s="3">
        <v>0</v>
      </c>
      <c r="V173" s="3">
        <v>0</v>
      </c>
      <c r="W173">
        <v>0</v>
      </c>
      <c r="X173" s="3">
        <v>0</v>
      </c>
      <c r="Y173">
        <v>0</v>
      </c>
      <c r="Z173" s="3">
        <v>0</v>
      </c>
      <c r="AA173" t="s">
        <v>49</v>
      </c>
      <c r="AB173" t="s">
        <v>49</v>
      </c>
      <c r="AC173" t="s">
        <v>49</v>
      </c>
      <c r="AD173" t="s">
        <v>49</v>
      </c>
      <c r="AE173">
        <v>0</v>
      </c>
      <c r="AF173" s="3">
        <v>0</v>
      </c>
      <c r="AG173" t="s">
        <v>49</v>
      </c>
      <c r="AH173" t="s">
        <v>49</v>
      </c>
      <c r="AI173" t="s">
        <v>49</v>
      </c>
      <c r="AJ173" t="s">
        <v>49</v>
      </c>
      <c r="AK173" t="s">
        <v>49</v>
      </c>
      <c r="AL173" t="s">
        <v>49</v>
      </c>
      <c r="AM173" t="s">
        <v>49</v>
      </c>
      <c r="AN173" s="3">
        <v>3</v>
      </c>
      <c r="AO173" s="19">
        <v>0</v>
      </c>
      <c r="AP173" s="19">
        <v>0</v>
      </c>
      <c r="AQ173" s="19">
        <v>0.6667</v>
      </c>
      <c r="AR173" s="19">
        <v>0</v>
      </c>
      <c r="AS173" s="19">
        <v>0</v>
      </c>
      <c r="AT173" s="19">
        <v>0</v>
      </c>
      <c r="AU173" s="3">
        <v>0</v>
      </c>
      <c r="AV173" s="3">
        <v>0</v>
      </c>
      <c r="AW173" s="19">
        <v>0</v>
      </c>
      <c r="AX173" s="3">
        <v>0</v>
      </c>
      <c r="AY173" s="3">
        <v>0</v>
      </c>
    </row>
    <row r="174" spans="1:51">
      <c r="A174" s="3">
        <v>6413235</v>
      </c>
      <c r="B174" t="s">
        <v>373</v>
      </c>
      <c r="C174" s="3">
        <v>11331057</v>
      </c>
      <c r="D174" t="s">
        <v>44</v>
      </c>
      <c r="E174" t="s">
        <v>117</v>
      </c>
      <c r="F174" t="s">
        <v>65</v>
      </c>
      <c r="G174" t="s">
        <v>47</v>
      </c>
      <c r="H174" s="16">
        <v>0</v>
      </c>
      <c r="I174" s="4">
        <f>VLOOKUP(C174,[1]sheet1!$D:$I,6,0)</f>
        <v>0</v>
      </c>
      <c r="J174" s="4">
        <f>VLOOKUP(C174,[2]sheet1!$D:$I,6,0)</f>
        <v>0</v>
      </c>
      <c r="K174" s="4">
        <f>VLOOKUP(C174,[3]sheet1!$D:$I,6,0)</f>
        <v>0</v>
      </c>
      <c r="L174" s="4">
        <f>VLOOKUP(C174,[4]sheet1!$D:$I,6,0)</f>
        <v>0</v>
      </c>
      <c r="M174" s="4">
        <f>VLOOKUP(C174,[5]sheet1!$D:$I,6,0)</f>
        <v>0</v>
      </c>
      <c r="N174" s="4">
        <f>VLOOKUP(C174,[6]sheet1!$D:$I,6,0)</f>
        <v>0</v>
      </c>
      <c r="O174" s="4">
        <f>VLOOKUP(C174,[7]sheet1!$D:$I,6,0)</f>
        <v>0</v>
      </c>
      <c r="P174" s="4">
        <f>VLOOKUP(C174,[8]sheet1!$D:$I,6,0)</f>
        <v>0</v>
      </c>
      <c r="Q174" s="4">
        <f t="shared" si="2"/>
        <v>0</v>
      </c>
      <c r="R174" s="3">
        <v>0</v>
      </c>
      <c r="S174" s="3">
        <v>0</v>
      </c>
      <c r="T174" s="19">
        <v>0</v>
      </c>
      <c r="U174" s="3">
        <v>0</v>
      </c>
      <c r="V174" s="3">
        <v>0</v>
      </c>
      <c r="W174">
        <v>0</v>
      </c>
      <c r="X174" s="3">
        <v>0</v>
      </c>
      <c r="Y174">
        <v>0</v>
      </c>
      <c r="Z174" s="3">
        <v>0</v>
      </c>
      <c r="AA174" t="s">
        <v>49</v>
      </c>
      <c r="AB174" t="s">
        <v>49</v>
      </c>
      <c r="AC174" t="s">
        <v>49</v>
      </c>
      <c r="AD174" t="s">
        <v>49</v>
      </c>
      <c r="AE174">
        <v>0</v>
      </c>
      <c r="AF174" s="3">
        <v>0</v>
      </c>
      <c r="AG174" t="s">
        <v>49</v>
      </c>
      <c r="AH174" t="s">
        <v>49</v>
      </c>
      <c r="AI174" t="s">
        <v>49</v>
      </c>
      <c r="AJ174" t="s">
        <v>49</v>
      </c>
      <c r="AK174" t="s">
        <v>49</v>
      </c>
      <c r="AL174" t="s">
        <v>49</v>
      </c>
      <c r="AM174" t="s">
        <v>49</v>
      </c>
      <c r="AN174" s="3">
        <v>0</v>
      </c>
      <c r="AO174" s="19">
        <v>0</v>
      </c>
      <c r="AP174" s="19">
        <v>0</v>
      </c>
      <c r="AQ174" s="19">
        <v>0</v>
      </c>
      <c r="AR174" s="19">
        <v>0</v>
      </c>
      <c r="AS174" s="19">
        <v>0</v>
      </c>
      <c r="AT174" s="19">
        <v>0</v>
      </c>
      <c r="AU174" s="3">
        <v>0</v>
      </c>
      <c r="AV174" s="3">
        <v>0</v>
      </c>
      <c r="AW174" s="19">
        <v>0</v>
      </c>
      <c r="AX174" s="3">
        <v>0</v>
      </c>
      <c r="AY174" s="3">
        <v>0</v>
      </c>
    </row>
    <row r="175" spans="1:51">
      <c r="A175" s="3">
        <v>6412952</v>
      </c>
      <c r="B175" t="s">
        <v>374</v>
      </c>
      <c r="C175" s="3">
        <v>12340836</v>
      </c>
      <c r="D175" t="s">
        <v>44</v>
      </c>
      <c r="E175" t="s">
        <v>365</v>
      </c>
      <c r="F175" t="s">
        <v>46</v>
      </c>
      <c r="G175" t="s">
        <v>47</v>
      </c>
      <c r="H175" s="16">
        <v>0</v>
      </c>
      <c r="I175" s="4">
        <f>VLOOKUP(C175,[1]sheet1!$D:$I,6,0)</f>
        <v>0</v>
      </c>
      <c r="J175" s="4">
        <f>VLOOKUP(C175,[2]sheet1!$D:$I,6,0)</f>
        <v>0</v>
      </c>
      <c r="K175" s="4">
        <f>VLOOKUP(C175,[3]sheet1!$D:$I,6,0)</f>
        <v>0</v>
      </c>
      <c r="L175" s="4">
        <f>VLOOKUP(C175,[4]sheet1!$D:$I,6,0)</f>
        <v>0</v>
      </c>
      <c r="M175" s="4">
        <f>VLOOKUP(C175,[5]sheet1!$D:$I,6,0)</f>
        <v>0</v>
      </c>
      <c r="N175" s="4">
        <f>VLOOKUP(C175,[6]sheet1!$D:$I,6,0)</f>
        <v>0</v>
      </c>
      <c r="O175" s="4">
        <f>VLOOKUP(C175,[7]sheet1!$D:$I,6,0)</f>
        <v>0</v>
      </c>
      <c r="P175" s="4">
        <f>VLOOKUP(C175,[8]sheet1!$D:$I,6,0)</f>
        <v>0</v>
      </c>
      <c r="Q175" s="4">
        <f t="shared" si="2"/>
        <v>0</v>
      </c>
      <c r="R175" s="3">
        <v>0</v>
      </c>
      <c r="S175">
        <v>147</v>
      </c>
      <c r="T175">
        <v>0</v>
      </c>
      <c r="U175" s="3">
        <v>1</v>
      </c>
      <c r="V175" s="3">
        <v>0</v>
      </c>
      <c r="W175">
        <v>0</v>
      </c>
      <c r="X175" s="3">
        <v>0</v>
      </c>
      <c r="Y175">
        <v>0</v>
      </c>
      <c r="Z175" s="3">
        <v>0</v>
      </c>
      <c r="AA175" t="s">
        <v>375</v>
      </c>
      <c r="AB175" s="3">
        <v>407</v>
      </c>
      <c r="AC175">
        <v>398.79</v>
      </c>
      <c r="AD175" t="s">
        <v>49</v>
      </c>
      <c r="AE175">
        <v>0</v>
      </c>
      <c r="AF175" s="3">
        <v>0</v>
      </c>
      <c r="AG175" t="s">
        <v>49</v>
      </c>
      <c r="AH175">
        <v>0</v>
      </c>
      <c r="AI175" t="s">
        <v>49</v>
      </c>
      <c r="AJ175">
        <v>343.98</v>
      </c>
      <c r="AK175" t="s">
        <v>49</v>
      </c>
      <c r="AL175">
        <v>0</v>
      </c>
      <c r="AM175" t="s">
        <v>49</v>
      </c>
      <c r="AN175" s="3">
        <v>17</v>
      </c>
      <c r="AO175" s="19">
        <v>0</v>
      </c>
      <c r="AP175" s="19">
        <v>0</v>
      </c>
      <c r="AQ175" s="19">
        <v>0.875</v>
      </c>
      <c r="AR175" s="19">
        <v>0.4375</v>
      </c>
      <c r="AS175" s="19">
        <v>1</v>
      </c>
      <c r="AT175" s="19">
        <v>1</v>
      </c>
      <c r="AU175" s="3">
        <v>0</v>
      </c>
      <c r="AV175" s="3">
        <v>0</v>
      </c>
      <c r="AW175" s="19">
        <v>0</v>
      </c>
      <c r="AX175" s="3">
        <v>0</v>
      </c>
      <c r="AY175" s="3">
        <v>0</v>
      </c>
    </row>
    <row r="176" spans="1:51">
      <c r="A176" s="3">
        <v>6412798</v>
      </c>
      <c r="B176" t="s">
        <v>376</v>
      </c>
      <c r="C176" s="3">
        <v>12331058</v>
      </c>
      <c r="D176" t="s">
        <v>44</v>
      </c>
      <c r="E176" t="s">
        <v>206</v>
      </c>
      <c r="F176" t="s">
        <v>65</v>
      </c>
      <c r="G176" t="s">
        <v>47</v>
      </c>
      <c r="H176" s="16">
        <v>0</v>
      </c>
      <c r="I176" s="4">
        <f>VLOOKUP(C176,[1]sheet1!$D:$I,6,0)</f>
        <v>0</v>
      </c>
      <c r="J176" s="4">
        <f>VLOOKUP(C176,[2]sheet1!$D:$I,6,0)</f>
        <v>0</v>
      </c>
      <c r="K176" s="4">
        <f>VLOOKUP(C176,[3]sheet1!$D:$I,6,0)</f>
        <v>0</v>
      </c>
      <c r="L176" s="4">
        <f>VLOOKUP(C176,[4]sheet1!$D:$I,6,0)</f>
        <v>0</v>
      </c>
      <c r="M176" s="4">
        <f>VLOOKUP(C176,[5]sheet1!$D:$I,6,0)</f>
        <v>0</v>
      </c>
      <c r="N176" s="4">
        <f>VLOOKUP(C176,[6]sheet1!$D:$I,6,0)</f>
        <v>0</v>
      </c>
      <c r="O176" s="4">
        <f>VLOOKUP(C176,[7]sheet1!$D:$I,6,0)</f>
        <v>0</v>
      </c>
      <c r="P176" s="4">
        <f>VLOOKUP(C176,[8]sheet1!$D:$I,6,0)</f>
        <v>0</v>
      </c>
      <c r="Q176" s="4">
        <f t="shared" si="2"/>
        <v>0</v>
      </c>
      <c r="R176" s="3">
        <v>0</v>
      </c>
      <c r="S176" s="3">
        <v>7</v>
      </c>
      <c r="T176" s="19">
        <v>0</v>
      </c>
      <c r="U176" s="3">
        <v>0</v>
      </c>
      <c r="V176" s="3">
        <v>0</v>
      </c>
      <c r="W176">
        <v>0</v>
      </c>
      <c r="X176" s="3">
        <v>0</v>
      </c>
      <c r="Y176">
        <v>0</v>
      </c>
      <c r="Z176" s="3">
        <v>0</v>
      </c>
      <c r="AA176" t="s">
        <v>49</v>
      </c>
      <c r="AB176" t="s">
        <v>49</v>
      </c>
      <c r="AC176" t="s">
        <v>49</v>
      </c>
      <c r="AD176" t="s">
        <v>49</v>
      </c>
      <c r="AE176">
        <v>0</v>
      </c>
      <c r="AF176" s="3">
        <v>0</v>
      </c>
      <c r="AG176" t="s">
        <v>49</v>
      </c>
      <c r="AH176" t="s">
        <v>49</v>
      </c>
      <c r="AI176" t="s">
        <v>49</v>
      </c>
      <c r="AJ176" t="s">
        <v>49</v>
      </c>
      <c r="AK176" t="s">
        <v>49</v>
      </c>
      <c r="AL176" t="s">
        <v>49</v>
      </c>
      <c r="AM176" t="s">
        <v>49</v>
      </c>
      <c r="AN176" s="3">
        <v>7</v>
      </c>
      <c r="AO176" s="19">
        <v>0</v>
      </c>
      <c r="AP176" s="19">
        <v>0</v>
      </c>
      <c r="AQ176" s="19">
        <v>1</v>
      </c>
      <c r="AR176" s="19">
        <v>0.1429</v>
      </c>
      <c r="AS176" s="19">
        <v>0</v>
      </c>
      <c r="AT176" s="19">
        <v>0</v>
      </c>
      <c r="AU176" s="3">
        <v>0</v>
      </c>
      <c r="AV176" s="3">
        <v>0</v>
      </c>
      <c r="AW176" s="19">
        <v>0</v>
      </c>
      <c r="AX176" s="3">
        <v>0</v>
      </c>
      <c r="AY176" s="3">
        <v>0</v>
      </c>
    </row>
    <row r="177" spans="1:51">
      <c r="A177" s="3">
        <v>6408230</v>
      </c>
      <c r="B177" t="s">
        <v>377</v>
      </c>
      <c r="C177" s="3">
        <v>11340821</v>
      </c>
      <c r="D177" t="s">
        <v>44</v>
      </c>
      <c r="E177" t="s">
        <v>365</v>
      </c>
      <c r="F177" t="s">
        <v>46</v>
      </c>
      <c r="G177" t="s">
        <v>47</v>
      </c>
      <c r="H177" s="16">
        <v>0</v>
      </c>
      <c r="I177" s="4">
        <f>VLOOKUP(C177,[1]sheet1!$D:$I,6,0)</f>
        <v>1180</v>
      </c>
      <c r="J177" s="4">
        <f>VLOOKUP(C177,[2]sheet1!$D:$I,6,0)</f>
        <v>0</v>
      </c>
      <c r="K177" s="4">
        <f>VLOOKUP(C177,[3]sheet1!$D:$I,6,0)</f>
        <v>0</v>
      </c>
      <c r="L177" s="4">
        <f>VLOOKUP(C177,[4]sheet1!$D:$I,6,0)</f>
        <v>560</v>
      </c>
      <c r="M177" s="4">
        <f>VLOOKUP(C177,[5]sheet1!$D:$I,6,0)</f>
        <v>1762</v>
      </c>
      <c r="N177" s="4">
        <f>VLOOKUP(C177,[6]sheet1!$D:$I,6,0)</f>
        <v>1893</v>
      </c>
      <c r="O177" s="4">
        <f>VLOOKUP(C177,[7]sheet1!$D:$I,6,0)</f>
        <v>2294</v>
      </c>
      <c r="P177" s="4">
        <f>VLOOKUP(C177,[8]sheet1!$D:$I,6,0)</f>
        <v>569</v>
      </c>
      <c r="Q177" s="4">
        <f t="shared" si="2"/>
        <v>8258</v>
      </c>
      <c r="R177" s="3">
        <v>0</v>
      </c>
      <c r="S177">
        <v>808</v>
      </c>
      <c r="T177">
        <v>0</v>
      </c>
      <c r="U177" s="3">
        <v>41</v>
      </c>
      <c r="V177" s="3">
        <v>0</v>
      </c>
      <c r="W177">
        <v>0</v>
      </c>
      <c r="X177" s="3">
        <v>0</v>
      </c>
      <c r="Y177">
        <v>0</v>
      </c>
      <c r="Z177" s="3">
        <v>0</v>
      </c>
      <c r="AA177" t="s">
        <v>378</v>
      </c>
      <c r="AB177" s="3">
        <v>539</v>
      </c>
      <c r="AC177">
        <v>545.82</v>
      </c>
      <c r="AD177" t="s">
        <v>49</v>
      </c>
      <c r="AE177">
        <v>0</v>
      </c>
      <c r="AF177" s="3">
        <v>0</v>
      </c>
      <c r="AG177" t="s">
        <v>49</v>
      </c>
      <c r="AH177">
        <v>0</v>
      </c>
      <c r="AI177" t="s">
        <v>49</v>
      </c>
      <c r="AJ177">
        <v>458.82</v>
      </c>
      <c r="AK177" t="s">
        <v>49</v>
      </c>
      <c r="AL177">
        <v>0</v>
      </c>
      <c r="AM177" t="s">
        <v>49</v>
      </c>
      <c r="AN177" s="3">
        <v>595</v>
      </c>
      <c r="AO177" s="19">
        <v>0</v>
      </c>
      <c r="AP177" s="19">
        <v>0</v>
      </c>
      <c r="AQ177" s="19">
        <v>0.8903</v>
      </c>
      <c r="AR177" s="19">
        <v>0.5714</v>
      </c>
      <c r="AS177" s="19">
        <v>0.878</v>
      </c>
      <c r="AT177" s="19">
        <v>0.4878</v>
      </c>
      <c r="AU177" s="3">
        <v>0</v>
      </c>
      <c r="AV177" s="3">
        <v>0</v>
      </c>
      <c r="AW177" s="19">
        <v>0</v>
      </c>
      <c r="AX177" s="3">
        <v>0</v>
      </c>
      <c r="AY177" s="3">
        <v>0</v>
      </c>
    </row>
    <row r="178" spans="1:51">
      <c r="A178" s="3">
        <v>6404674</v>
      </c>
      <c r="B178" t="s">
        <v>379</v>
      </c>
      <c r="C178" s="3">
        <v>12340828</v>
      </c>
      <c r="D178" t="s">
        <v>44</v>
      </c>
      <c r="E178" t="s">
        <v>365</v>
      </c>
      <c r="F178" t="s">
        <v>46</v>
      </c>
      <c r="G178" t="s">
        <v>47</v>
      </c>
      <c r="H178" s="16">
        <v>0</v>
      </c>
      <c r="I178" s="4">
        <f>VLOOKUP(C178,[1]sheet1!$D:$I,6,0)</f>
        <v>0</v>
      </c>
      <c r="J178" s="4">
        <f>VLOOKUP(C178,[2]sheet1!$D:$I,6,0)</f>
        <v>0</v>
      </c>
      <c r="K178" s="4">
        <f>VLOOKUP(C178,[3]sheet1!$D:$I,6,0)</f>
        <v>0</v>
      </c>
      <c r="L178" s="4">
        <f>VLOOKUP(C178,[4]sheet1!$D:$I,6,0)</f>
        <v>0</v>
      </c>
      <c r="M178" s="4">
        <f>VLOOKUP(C178,[5]sheet1!$D:$I,6,0)</f>
        <v>0</v>
      </c>
      <c r="N178" s="4">
        <f>VLOOKUP(C178,[6]sheet1!$D:$I,6,0)</f>
        <v>0</v>
      </c>
      <c r="O178" s="4">
        <f>VLOOKUP(C178,[7]sheet1!$D:$I,6,0)</f>
        <v>0</v>
      </c>
      <c r="P178" s="4">
        <f>VLOOKUP(C178,[8]sheet1!$D:$I,6,0)</f>
        <v>0</v>
      </c>
      <c r="Q178" s="4">
        <f t="shared" si="2"/>
        <v>0</v>
      </c>
      <c r="R178" s="3">
        <v>0</v>
      </c>
      <c r="S178">
        <v>122</v>
      </c>
      <c r="T178">
        <v>0</v>
      </c>
      <c r="U178" s="3">
        <v>0</v>
      </c>
      <c r="V178" s="3">
        <v>0</v>
      </c>
      <c r="W178">
        <v>0</v>
      </c>
      <c r="X178" s="3">
        <v>0</v>
      </c>
      <c r="Y178">
        <v>0</v>
      </c>
      <c r="Z178" s="3">
        <v>0</v>
      </c>
      <c r="AA178" t="s">
        <v>49</v>
      </c>
      <c r="AB178" s="3">
        <v>799</v>
      </c>
      <c r="AC178" t="s">
        <v>49</v>
      </c>
      <c r="AD178" t="s">
        <v>49</v>
      </c>
      <c r="AE178">
        <v>0</v>
      </c>
      <c r="AF178" s="3">
        <v>0</v>
      </c>
      <c r="AG178" t="s">
        <v>49</v>
      </c>
      <c r="AH178" t="s">
        <v>49</v>
      </c>
      <c r="AI178" t="s">
        <v>49</v>
      </c>
      <c r="AJ178">
        <v>685.02</v>
      </c>
      <c r="AK178" t="s">
        <v>49</v>
      </c>
      <c r="AL178">
        <v>0</v>
      </c>
      <c r="AM178" t="s">
        <v>49</v>
      </c>
      <c r="AN178">
        <v>122</v>
      </c>
      <c r="AO178" s="19">
        <v>0</v>
      </c>
      <c r="AP178" s="19">
        <v>0</v>
      </c>
      <c r="AQ178" s="19">
        <v>1</v>
      </c>
      <c r="AR178" s="19">
        <v>0.3636</v>
      </c>
      <c r="AS178" s="19">
        <v>0</v>
      </c>
      <c r="AT178" s="19">
        <v>0</v>
      </c>
      <c r="AU178" s="3">
        <v>0</v>
      </c>
      <c r="AV178" s="3">
        <v>0</v>
      </c>
      <c r="AW178" s="19">
        <v>0</v>
      </c>
      <c r="AX178" s="3">
        <v>0</v>
      </c>
      <c r="AY178" s="3">
        <v>0</v>
      </c>
    </row>
    <row r="179" spans="1:51">
      <c r="A179" s="3">
        <v>6401110</v>
      </c>
      <c r="B179" t="s">
        <v>380</v>
      </c>
      <c r="C179" s="3">
        <v>12340812</v>
      </c>
      <c r="D179" t="s">
        <v>44</v>
      </c>
      <c r="E179" t="s">
        <v>365</v>
      </c>
      <c r="F179" t="s">
        <v>46</v>
      </c>
      <c r="G179" t="s">
        <v>47</v>
      </c>
      <c r="H179" s="16">
        <v>0</v>
      </c>
      <c r="I179" s="4">
        <f>VLOOKUP(C179,[1]sheet1!$D:$I,6,0)</f>
        <v>0</v>
      </c>
      <c r="J179" s="4">
        <f>VLOOKUP(C179,[2]sheet1!$D:$I,6,0)</f>
        <v>0</v>
      </c>
      <c r="K179" s="4">
        <f>VLOOKUP(C179,[3]sheet1!$D:$I,6,0)</f>
        <v>0</v>
      </c>
      <c r="L179" s="4">
        <f>VLOOKUP(C179,[4]sheet1!$D:$I,6,0)</f>
        <v>0</v>
      </c>
      <c r="M179" s="4">
        <f>VLOOKUP(C179,[5]sheet1!$D:$I,6,0)</f>
        <v>0</v>
      </c>
      <c r="N179" s="4">
        <f>VLOOKUP(C179,[6]sheet1!$D:$I,6,0)</f>
        <v>0</v>
      </c>
      <c r="O179" s="4">
        <f>VLOOKUP(C179,[7]sheet1!$D:$I,6,0)</f>
        <v>0</v>
      </c>
      <c r="P179" s="4">
        <f>VLOOKUP(C179,[8]sheet1!$D:$I,6,0)</f>
        <v>0</v>
      </c>
      <c r="Q179" s="4">
        <f t="shared" si="2"/>
        <v>0</v>
      </c>
      <c r="R179" s="3">
        <v>0</v>
      </c>
      <c r="S179">
        <v>82</v>
      </c>
      <c r="T179">
        <v>0</v>
      </c>
      <c r="U179" s="3">
        <v>0</v>
      </c>
      <c r="V179" s="3">
        <v>0</v>
      </c>
      <c r="W179">
        <v>0</v>
      </c>
      <c r="X179" s="3">
        <v>0</v>
      </c>
      <c r="Y179">
        <v>0</v>
      </c>
      <c r="Z179" s="3">
        <v>0</v>
      </c>
      <c r="AA179" t="s">
        <v>49</v>
      </c>
      <c r="AB179" t="s">
        <v>49</v>
      </c>
      <c r="AC179" t="s">
        <v>49</v>
      </c>
      <c r="AD179" t="s">
        <v>49</v>
      </c>
      <c r="AE179">
        <v>0</v>
      </c>
      <c r="AF179" s="3">
        <v>0</v>
      </c>
      <c r="AG179" t="s">
        <v>49</v>
      </c>
      <c r="AH179" t="s">
        <v>49</v>
      </c>
      <c r="AI179" t="s">
        <v>49</v>
      </c>
      <c r="AJ179" t="s">
        <v>49</v>
      </c>
      <c r="AK179" t="s">
        <v>49</v>
      </c>
      <c r="AL179" t="s">
        <v>49</v>
      </c>
      <c r="AM179" t="s">
        <v>49</v>
      </c>
      <c r="AN179">
        <v>97</v>
      </c>
      <c r="AO179" s="19">
        <v>0</v>
      </c>
      <c r="AP179" s="19">
        <v>0</v>
      </c>
      <c r="AQ179" s="19">
        <v>0.4</v>
      </c>
      <c r="AR179" s="19">
        <v>0.8</v>
      </c>
      <c r="AS179" s="19">
        <v>0</v>
      </c>
      <c r="AT179" s="19">
        <v>0</v>
      </c>
      <c r="AU179" s="3">
        <v>0</v>
      </c>
      <c r="AV179" s="3">
        <v>0</v>
      </c>
      <c r="AW179" s="19">
        <v>0</v>
      </c>
      <c r="AX179" s="3">
        <v>0</v>
      </c>
      <c r="AY179" s="3">
        <v>0</v>
      </c>
    </row>
    <row r="180" spans="1:51">
      <c r="A180" s="3">
        <v>6384089</v>
      </c>
      <c r="B180" t="s">
        <v>381</v>
      </c>
      <c r="C180" s="3">
        <v>12340134</v>
      </c>
      <c r="D180" t="s">
        <v>44</v>
      </c>
      <c r="E180" t="s">
        <v>104</v>
      </c>
      <c r="F180" t="s">
        <v>65</v>
      </c>
      <c r="G180" t="s">
        <v>47</v>
      </c>
      <c r="H180" s="16">
        <v>0</v>
      </c>
      <c r="I180" s="4">
        <f>VLOOKUP(C180,[1]sheet1!$D:$I,6,0)</f>
        <v>0</v>
      </c>
      <c r="J180" s="4">
        <f>VLOOKUP(C180,[2]sheet1!$D:$I,6,0)</f>
        <v>0</v>
      </c>
      <c r="K180" s="4">
        <f>VLOOKUP(C180,[3]sheet1!$D:$I,6,0)</f>
        <v>0</v>
      </c>
      <c r="L180" s="4">
        <f>VLOOKUP(C180,[4]sheet1!$D:$I,6,0)</f>
        <v>0</v>
      </c>
      <c r="M180" s="4">
        <f>VLOOKUP(C180,[5]sheet1!$D:$I,6,0)</f>
        <v>0</v>
      </c>
      <c r="N180" s="4">
        <f>VLOOKUP(C180,[6]sheet1!$D:$I,6,0)</f>
        <v>0</v>
      </c>
      <c r="O180" s="4">
        <f>VLOOKUP(C180,[7]sheet1!$D:$I,6,0)</f>
        <v>0</v>
      </c>
      <c r="P180" s="4">
        <f>VLOOKUP(C180,[8]sheet1!$D:$I,6,0)</f>
        <v>0</v>
      </c>
      <c r="Q180" s="4">
        <f t="shared" si="2"/>
        <v>0</v>
      </c>
      <c r="R180" s="3">
        <v>0</v>
      </c>
      <c r="S180" s="3">
        <v>17</v>
      </c>
      <c r="T180" s="19">
        <v>0</v>
      </c>
      <c r="U180" s="3">
        <v>0</v>
      </c>
      <c r="V180" s="3">
        <v>0</v>
      </c>
      <c r="W180">
        <v>0</v>
      </c>
      <c r="X180" s="3">
        <v>0</v>
      </c>
      <c r="Y180">
        <v>0</v>
      </c>
      <c r="Z180" s="3">
        <v>0</v>
      </c>
      <c r="AA180" t="s">
        <v>382</v>
      </c>
      <c r="AB180" t="s">
        <v>49</v>
      </c>
      <c r="AC180">
        <v>946.52</v>
      </c>
      <c r="AD180" t="s">
        <v>49</v>
      </c>
      <c r="AE180">
        <v>0</v>
      </c>
      <c r="AF180" s="3">
        <v>0</v>
      </c>
      <c r="AG180" t="s">
        <v>49</v>
      </c>
      <c r="AH180">
        <v>0</v>
      </c>
      <c r="AI180" t="s">
        <v>49</v>
      </c>
      <c r="AJ180" t="s">
        <v>49</v>
      </c>
      <c r="AK180" t="s">
        <v>49</v>
      </c>
      <c r="AL180" t="s">
        <v>49</v>
      </c>
      <c r="AM180" t="s">
        <v>49</v>
      </c>
      <c r="AN180" s="3">
        <v>19</v>
      </c>
      <c r="AO180" s="19">
        <v>0</v>
      </c>
      <c r="AP180" s="19">
        <v>0</v>
      </c>
      <c r="AQ180" s="19">
        <v>0.7647</v>
      </c>
      <c r="AR180" s="19">
        <v>0.4118</v>
      </c>
      <c r="AS180" s="19">
        <v>0</v>
      </c>
      <c r="AT180" s="19">
        <v>0</v>
      </c>
      <c r="AU180" s="3">
        <v>0</v>
      </c>
      <c r="AV180" s="3">
        <v>0</v>
      </c>
      <c r="AW180" s="19">
        <v>0</v>
      </c>
      <c r="AX180" s="3">
        <v>0</v>
      </c>
      <c r="AY180" s="3">
        <v>0</v>
      </c>
    </row>
    <row r="181" spans="1:51">
      <c r="A181" s="3">
        <v>6376377</v>
      </c>
      <c r="B181" t="s">
        <v>383</v>
      </c>
      <c r="C181" s="3">
        <v>114408281</v>
      </c>
      <c r="D181" t="s">
        <v>44</v>
      </c>
      <c r="E181" t="s">
        <v>365</v>
      </c>
      <c r="F181" t="s">
        <v>46</v>
      </c>
      <c r="G181" t="s">
        <v>47</v>
      </c>
      <c r="H181" s="16">
        <v>0</v>
      </c>
      <c r="I181" s="4">
        <f>VLOOKUP(C181,[1]sheet1!$D:$I,6,0)</f>
        <v>1538</v>
      </c>
      <c r="J181" s="4">
        <f>VLOOKUP(C181,[2]sheet1!$D:$I,6,0)</f>
        <v>0</v>
      </c>
      <c r="K181" s="4">
        <f>VLOOKUP(C181,[3]sheet1!$D:$I,6,0)</f>
        <v>0</v>
      </c>
      <c r="L181" s="4">
        <f>VLOOKUP(C181,[4]sheet1!$D:$I,6,0)</f>
        <v>0</v>
      </c>
      <c r="M181" s="4">
        <f>VLOOKUP(C181,[5]sheet1!$D:$I,6,0)</f>
        <v>0</v>
      </c>
      <c r="N181" s="4">
        <f>VLOOKUP(C181,[6]sheet1!$D:$I,6,0)</f>
        <v>758</v>
      </c>
      <c r="O181" s="4">
        <f>VLOOKUP(C181,[7]sheet1!$D:$I,6,0)</f>
        <v>1526</v>
      </c>
      <c r="P181" s="4">
        <f>VLOOKUP(C181,[8]sheet1!$D:$I,6,0)</f>
        <v>1358.77</v>
      </c>
      <c r="Q181" s="4">
        <f t="shared" si="2"/>
        <v>5180.77</v>
      </c>
      <c r="R181" s="3">
        <v>0</v>
      </c>
      <c r="S181">
        <v>694</v>
      </c>
      <c r="T181">
        <v>0</v>
      </c>
      <c r="U181" s="3">
        <v>28</v>
      </c>
      <c r="V181" s="3">
        <v>0</v>
      </c>
      <c r="W181">
        <v>0</v>
      </c>
      <c r="X181" s="3">
        <v>0</v>
      </c>
      <c r="Y181">
        <v>0</v>
      </c>
      <c r="Z181" s="3">
        <v>0</v>
      </c>
      <c r="AA181" t="s">
        <v>384</v>
      </c>
      <c r="AB181" s="3">
        <v>627</v>
      </c>
      <c r="AC181">
        <v>641.52</v>
      </c>
      <c r="AD181" t="s">
        <v>49</v>
      </c>
      <c r="AE181">
        <v>0</v>
      </c>
      <c r="AF181" s="3">
        <v>0</v>
      </c>
      <c r="AG181" t="s">
        <v>49</v>
      </c>
      <c r="AH181">
        <v>0</v>
      </c>
      <c r="AI181" t="s">
        <v>49</v>
      </c>
      <c r="AJ181">
        <v>535.38</v>
      </c>
      <c r="AK181" t="s">
        <v>49</v>
      </c>
      <c r="AL181">
        <v>0</v>
      </c>
      <c r="AM181" t="s">
        <v>49</v>
      </c>
      <c r="AN181" s="3">
        <v>437</v>
      </c>
      <c r="AO181" s="19">
        <v>0</v>
      </c>
      <c r="AP181" s="19">
        <v>0</v>
      </c>
      <c r="AQ181" s="19">
        <v>0.8567</v>
      </c>
      <c r="AR181" s="19">
        <v>0.6601</v>
      </c>
      <c r="AS181" s="19">
        <v>0.9286</v>
      </c>
      <c r="AT181" s="19">
        <v>0.6786</v>
      </c>
      <c r="AU181" s="3">
        <v>0</v>
      </c>
      <c r="AV181" s="3">
        <v>0</v>
      </c>
      <c r="AW181" s="19">
        <v>0</v>
      </c>
      <c r="AX181" s="3">
        <v>0</v>
      </c>
      <c r="AY181" s="3">
        <v>0</v>
      </c>
    </row>
    <row r="182" spans="1:51">
      <c r="A182" s="3">
        <v>6375038</v>
      </c>
      <c r="B182" t="s">
        <v>385</v>
      </c>
      <c r="C182" s="3">
        <v>12340804</v>
      </c>
      <c r="D182" t="s">
        <v>44</v>
      </c>
      <c r="E182" t="s">
        <v>258</v>
      </c>
      <c r="F182" t="s">
        <v>46</v>
      </c>
      <c r="G182" t="s">
        <v>47</v>
      </c>
      <c r="H182" s="16">
        <v>0</v>
      </c>
      <c r="I182" s="4">
        <f>VLOOKUP(C182,[1]sheet1!$D:$I,6,0)</f>
        <v>0</v>
      </c>
      <c r="J182" s="4">
        <f>VLOOKUP(C182,[2]sheet1!$D:$I,6,0)</f>
        <v>0</v>
      </c>
      <c r="K182" s="4">
        <f>VLOOKUP(C182,[3]sheet1!$D:$I,6,0)</f>
        <v>0</v>
      </c>
      <c r="L182" s="4">
        <f>VLOOKUP(C182,[4]sheet1!$D:$I,6,0)</f>
        <v>0</v>
      </c>
      <c r="M182" s="4">
        <f>VLOOKUP(C182,[5]sheet1!$D:$I,6,0)</f>
        <v>0</v>
      </c>
      <c r="N182" s="4">
        <f>VLOOKUP(C182,[6]sheet1!$D:$I,6,0)</f>
        <v>0</v>
      </c>
      <c r="O182" s="4">
        <f>VLOOKUP(C182,[7]sheet1!$D:$I,6,0)</f>
        <v>0</v>
      </c>
      <c r="P182" s="4">
        <f>VLOOKUP(C182,[8]sheet1!$D:$I,6,0)</f>
        <v>0</v>
      </c>
      <c r="Q182" s="4">
        <f t="shared" si="2"/>
        <v>0</v>
      </c>
      <c r="R182" s="3">
        <v>0</v>
      </c>
      <c r="S182">
        <v>252</v>
      </c>
      <c r="T182">
        <v>0</v>
      </c>
      <c r="U182" s="3">
        <v>4</v>
      </c>
      <c r="V182" s="3">
        <v>0</v>
      </c>
      <c r="W182">
        <v>0</v>
      </c>
      <c r="X182" s="3">
        <v>0</v>
      </c>
      <c r="Y182">
        <v>0</v>
      </c>
      <c r="Z182" s="3">
        <v>0</v>
      </c>
      <c r="AA182" t="s">
        <v>384</v>
      </c>
      <c r="AB182" s="3">
        <v>659</v>
      </c>
      <c r="AC182">
        <v>640.14</v>
      </c>
      <c r="AD182" t="s">
        <v>49</v>
      </c>
      <c r="AE182">
        <v>0</v>
      </c>
      <c r="AF182" s="3">
        <v>0</v>
      </c>
      <c r="AG182" t="s">
        <v>49</v>
      </c>
      <c r="AH182">
        <v>0</v>
      </c>
      <c r="AI182" t="s">
        <v>49</v>
      </c>
      <c r="AJ182">
        <v>561.84</v>
      </c>
      <c r="AK182" t="s">
        <v>49</v>
      </c>
      <c r="AL182">
        <v>0</v>
      </c>
      <c r="AM182" t="s">
        <v>49</v>
      </c>
      <c r="AN182" s="3">
        <v>54</v>
      </c>
      <c r="AO182" s="19">
        <v>0</v>
      </c>
      <c r="AP182" s="19">
        <v>0</v>
      </c>
      <c r="AQ182" s="19">
        <v>0.7234</v>
      </c>
      <c r="AR182" s="19">
        <v>0.5106</v>
      </c>
      <c r="AS182" s="19">
        <v>0.75</v>
      </c>
      <c r="AT182" s="19">
        <v>0.25</v>
      </c>
      <c r="AU182" s="3">
        <v>0</v>
      </c>
      <c r="AV182" s="3">
        <v>0</v>
      </c>
      <c r="AW182" s="19">
        <v>0</v>
      </c>
      <c r="AX182" s="3">
        <v>0</v>
      </c>
      <c r="AY182" s="3">
        <v>0</v>
      </c>
    </row>
    <row r="183" spans="1:51">
      <c r="A183" s="3">
        <v>6374500</v>
      </c>
      <c r="B183" t="s">
        <v>386</v>
      </c>
      <c r="C183" s="3">
        <v>12340814</v>
      </c>
      <c r="D183" t="s">
        <v>44</v>
      </c>
      <c r="E183" t="s">
        <v>365</v>
      </c>
      <c r="F183" t="s">
        <v>46</v>
      </c>
      <c r="G183" t="s">
        <v>47</v>
      </c>
      <c r="H183" s="16">
        <v>0</v>
      </c>
      <c r="I183" s="4">
        <f>VLOOKUP(C183,[1]sheet1!$D:$I,6,0)</f>
        <v>0</v>
      </c>
      <c r="J183" s="4">
        <f>VLOOKUP(C183,[2]sheet1!$D:$I,6,0)</f>
        <v>0</v>
      </c>
      <c r="K183" s="4">
        <f>VLOOKUP(C183,[3]sheet1!$D:$I,6,0)</f>
        <v>0</v>
      </c>
      <c r="L183" s="4">
        <f>VLOOKUP(C183,[4]sheet1!$D:$I,6,0)</f>
        <v>0</v>
      </c>
      <c r="M183" s="4">
        <f>VLOOKUP(C183,[5]sheet1!$D:$I,6,0)</f>
        <v>0</v>
      </c>
      <c r="N183" s="4">
        <f>VLOOKUP(C183,[6]sheet1!$D:$I,6,0)</f>
        <v>0</v>
      </c>
      <c r="O183" s="4">
        <f>VLOOKUP(C183,[7]sheet1!$D:$I,6,0)</f>
        <v>0</v>
      </c>
      <c r="P183" s="4">
        <f>VLOOKUP(C183,[8]sheet1!$D:$I,6,0)</f>
        <v>0</v>
      </c>
      <c r="Q183" s="4">
        <f t="shared" si="2"/>
        <v>0</v>
      </c>
      <c r="R183" s="3">
        <v>0</v>
      </c>
      <c r="S183">
        <v>255</v>
      </c>
      <c r="T183">
        <v>0</v>
      </c>
      <c r="U183" s="3">
        <v>1</v>
      </c>
      <c r="V183" s="3">
        <v>0</v>
      </c>
      <c r="W183">
        <v>0</v>
      </c>
      <c r="X183" s="3">
        <v>0</v>
      </c>
      <c r="Y183">
        <v>0</v>
      </c>
      <c r="Z183" s="3">
        <v>0</v>
      </c>
      <c r="AA183" t="s">
        <v>387</v>
      </c>
      <c r="AB183" s="3">
        <v>1799</v>
      </c>
      <c r="AC183">
        <v>1903.89</v>
      </c>
      <c r="AD183" t="s">
        <v>49</v>
      </c>
      <c r="AE183">
        <v>0</v>
      </c>
      <c r="AF183" s="3">
        <v>0</v>
      </c>
      <c r="AG183" t="s">
        <v>49</v>
      </c>
      <c r="AH183">
        <v>0</v>
      </c>
      <c r="AI183" t="s">
        <v>49</v>
      </c>
      <c r="AJ183">
        <v>1555.02</v>
      </c>
      <c r="AK183" t="s">
        <v>49</v>
      </c>
      <c r="AL183">
        <v>0</v>
      </c>
      <c r="AM183" t="s">
        <v>49</v>
      </c>
      <c r="AN183">
        <v>292</v>
      </c>
      <c r="AO183" s="19">
        <v>0</v>
      </c>
      <c r="AP183" s="19">
        <v>0</v>
      </c>
      <c r="AQ183" s="19">
        <v>0.7708</v>
      </c>
      <c r="AR183" s="19">
        <v>0.5</v>
      </c>
      <c r="AS183" s="19">
        <v>0</v>
      </c>
      <c r="AT183" s="19">
        <v>0</v>
      </c>
      <c r="AU183" s="3">
        <v>0</v>
      </c>
      <c r="AV183" s="3">
        <v>0</v>
      </c>
      <c r="AW183" s="19">
        <v>0</v>
      </c>
      <c r="AX183" s="3">
        <v>0</v>
      </c>
      <c r="AY183" s="3">
        <v>0</v>
      </c>
    </row>
    <row r="184" spans="1:51">
      <c r="A184" s="3">
        <v>6350694</v>
      </c>
      <c r="B184" t="s">
        <v>388</v>
      </c>
      <c r="C184" s="3">
        <v>11340139</v>
      </c>
      <c r="D184" t="s">
        <v>44</v>
      </c>
      <c r="E184" t="s">
        <v>104</v>
      </c>
      <c r="F184" t="s">
        <v>46</v>
      </c>
      <c r="G184" t="s">
        <v>47</v>
      </c>
      <c r="H184" s="16">
        <v>0</v>
      </c>
      <c r="I184" s="4">
        <f>VLOOKUP(C184,[1]sheet1!$D:$I,6,0)</f>
        <v>0</v>
      </c>
      <c r="J184" s="4">
        <f>VLOOKUP(C184,[2]sheet1!$D:$I,6,0)</f>
        <v>0</v>
      </c>
      <c r="K184" s="4">
        <f>VLOOKUP(C184,[3]sheet1!$D:$I,6,0)</f>
        <v>0</v>
      </c>
      <c r="L184" s="4">
        <f>VLOOKUP(C184,[4]sheet1!$D:$I,6,0)</f>
        <v>0</v>
      </c>
      <c r="M184" s="4">
        <f>VLOOKUP(C184,[5]sheet1!$D:$I,6,0)</f>
        <v>0</v>
      </c>
      <c r="N184" s="4">
        <f>VLOOKUP(C184,[6]sheet1!$D:$I,6,0)</f>
        <v>0</v>
      </c>
      <c r="O184" s="4">
        <f>VLOOKUP(C184,[7]sheet1!$D:$I,6,0)</f>
        <v>0</v>
      </c>
      <c r="P184" s="4">
        <f>VLOOKUP(C184,[8]sheet1!$D:$I,6,0)</f>
        <v>0</v>
      </c>
      <c r="Q184" s="4">
        <f t="shared" si="2"/>
        <v>0</v>
      </c>
      <c r="R184" s="3">
        <v>0</v>
      </c>
      <c r="S184">
        <v>127</v>
      </c>
      <c r="T184">
        <v>0</v>
      </c>
      <c r="U184" s="3">
        <v>0</v>
      </c>
      <c r="V184" s="3">
        <v>0</v>
      </c>
      <c r="W184">
        <v>0</v>
      </c>
      <c r="X184" s="3">
        <v>0</v>
      </c>
      <c r="Y184">
        <v>0</v>
      </c>
      <c r="Z184" s="3">
        <v>0</v>
      </c>
      <c r="AA184" t="s">
        <v>389</v>
      </c>
      <c r="AB184" s="3">
        <v>1475</v>
      </c>
      <c r="AC184">
        <v>1730.39</v>
      </c>
      <c r="AD184" t="s">
        <v>49</v>
      </c>
      <c r="AE184">
        <v>0</v>
      </c>
      <c r="AF184" s="3">
        <v>0</v>
      </c>
      <c r="AG184" t="s">
        <v>49</v>
      </c>
      <c r="AH184">
        <v>0</v>
      </c>
      <c r="AI184" t="s">
        <v>49</v>
      </c>
      <c r="AJ184">
        <v>1273.64</v>
      </c>
      <c r="AK184" t="s">
        <v>49</v>
      </c>
      <c r="AL184">
        <v>0</v>
      </c>
      <c r="AM184" t="s">
        <v>49</v>
      </c>
      <c r="AN184">
        <v>133</v>
      </c>
      <c r="AO184" s="19">
        <v>0</v>
      </c>
      <c r="AP184" s="19">
        <v>0</v>
      </c>
      <c r="AQ184" s="19">
        <v>0.8333</v>
      </c>
      <c r="AR184" s="19">
        <v>0.5</v>
      </c>
      <c r="AS184" s="19">
        <v>0</v>
      </c>
      <c r="AT184" s="19">
        <v>0</v>
      </c>
      <c r="AU184" s="3">
        <v>0</v>
      </c>
      <c r="AV184" s="3">
        <v>0</v>
      </c>
      <c r="AW184" s="19">
        <v>0</v>
      </c>
      <c r="AX184" s="3">
        <v>0</v>
      </c>
      <c r="AY184" s="3">
        <v>0</v>
      </c>
    </row>
    <row r="185" spans="1:51">
      <c r="A185" s="3">
        <v>6288650</v>
      </c>
      <c r="B185" t="s">
        <v>390</v>
      </c>
      <c r="C185" s="3">
        <v>12331018</v>
      </c>
      <c r="D185" t="s">
        <v>44</v>
      </c>
      <c r="E185" t="s">
        <v>117</v>
      </c>
      <c r="F185" t="s">
        <v>65</v>
      </c>
      <c r="G185" t="s">
        <v>47</v>
      </c>
      <c r="H185" s="16">
        <v>0</v>
      </c>
      <c r="I185" s="4">
        <f>VLOOKUP(C185,[1]sheet1!$D:$I,6,0)</f>
        <v>0</v>
      </c>
      <c r="J185" s="4">
        <f>VLOOKUP(C185,[2]sheet1!$D:$I,6,0)</f>
        <v>0</v>
      </c>
      <c r="K185" s="4">
        <f>VLOOKUP(C185,[3]sheet1!$D:$I,6,0)</f>
        <v>0</v>
      </c>
      <c r="L185" s="4">
        <f>VLOOKUP(C185,[4]sheet1!$D:$I,6,0)</f>
        <v>0</v>
      </c>
      <c r="M185" s="4">
        <f>VLOOKUP(C185,[5]sheet1!$D:$I,6,0)</f>
        <v>0</v>
      </c>
      <c r="N185" s="4">
        <f>VLOOKUP(C185,[6]sheet1!$D:$I,6,0)</f>
        <v>0</v>
      </c>
      <c r="O185" s="4">
        <f>VLOOKUP(C185,[7]sheet1!$D:$I,6,0)</f>
        <v>0</v>
      </c>
      <c r="P185" s="4">
        <f>VLOOKUP(C185,[8]sheet1!$D:$I,6,0)</f>
        <v>0</v>
      </c>
      <c r="Q185" s="4">
        <f t="shared" si="2"/>
        <v>0</v>
      </c>
      <c r="R185" s="3">
        <v>0</v>
      </c>
      <c r="S185" s="3">
        <v>0</v>
      </c>
      <c r="T185" s="19">
        <v>0</v>
      </c>
      <c r="U185" s="3">
        <v>0</v>
      </c>
      <c r="V185" s="3">
        <v>0</v>
      </c>
      <c r="W185">
        <v>0</v>
      </c>
      <c r="X185" s="3">
        <v>0</v>
      </c>
      <c r="Y185">
        <v>0</v>
      </c>
      <c r="Z185" s="3">
        <v>0</v>
      </c>
      <c r="AA185" t="s">
        <v>250</v>
      </c>
      <c r="AB185" t="s">
        <v>49</v>
      </c>
      <c r="AC185">
        <v>337.32</v>
      </c>
      <c r="AD185" t="s">
        <v>49</v>
      </c>
      <c r="AE185">
        <v>0</v>
      </c>
      <c r="AF185" s="3">
        <v>0</v>
      </c>
      <c r="AG185" t="s">
        <v>49</v>
      </c>
      <c r="AH185">
        <v>0</v>
      </c>
      <c r="AI185" t="s">
        <v>49</v>
      </c>
      <c r="AJ185" t="s">
        <v>49</v>
      </c>
      <c r="AK185" t="s">
        <v>49</v>
      </c>
      <c r="AL185" t="s">
        <v>49</v>
      </c>
      <c r="AM185" t="s">
        <v>49</v>
      </c>
      <c r="AN185" s="3">
        <v>0</v>
      </c>
      <c r="AO185" s="19">
        <v>0</v>
      </c>
      <c r="AP185" s="19">
        <v>0</v>
      </c>
      <c r="AQ185" s="19">
        <v>0</v>
      </c>
      <c r="AR185" s="19">
        <v>0</v>
      </c>
      <c r="AS185" s="19">
        <v>0</v>
      </c>
      <c r="AT185" s="19">
        <v>0</v>
      </c>
      <c r="AU185" s="3">
        <v>0</v>
      </c>
      <c r="AV185" s="3">
        <v>0</v>
      </c>
      <c r="AW185" s="19">
        <v>0</v>
      </c>
      <c r="AX185" s="3">
        <v>0</v>
      </c>
      <c r="AY185" s="3">
        <v>0</v>
      </c>
    </row>
    <row r="186" spans="1:51">
      <c r="A186" s="3">
        <v>6286856</v>
      </c>
      <c r="B186" t="s">
        <v>391</v>
      </c>
      <c r="C186" s="3">
        <v>12331026</v>
      </c>
      <c r="D186" t="s">
        <v>44</v>
      </c>
      <c r="E186" t="s">
        <v>206</v>
      </c>
      <c r="F186" t="s">
        <v>46</v>
      </c>
      <c r="G186" t="s">
        <v>47</v>
      </c>
      <c r="H186" s="16">
        <v>0</v>
      </c>
      <c r="I186" s="4">
        <f>VLOOKUP(C186,[1]sheet1!$D:$I,6,0)</f>
        <v>0</v>
      </c>
      <c r="J186" s="4">
        <f>VLOOKUP(C186,[2]sheet1!$D:$I,6,0)</f>
        <v>0</v>
      </c>
      <c r="K186" s="4">
        <f>VLOOKUP(C186,[3]sheet1!$D:$I,6,0)</f>
        <v>0</v>
      </c>
      <c r="L186" s="4">
        <f>VLOOKUP(C186,[4]sheet1!$D:$I,6,0)</f>
        <v>0</v>
      </c>
      <c r="M186" s="4">
        <f>VLOOKUP(C186,[5]sheet1!$D:$I,6,0)</f>
        <v>0</v>
      </c>
      <c r="N186" s="4">
        <f>VLOOKUP(C186,[6]sheet1!$D:$I,6,0)</f>
        <v>0</v>
      </c>
      <c r="O186" s="4">
        <f>VLOOKUP(C186,[7]sheet1!$D:$I,6,0)</f>
        <v>0</v>
      </c>
      <c r="P186" s="4">
        <f>VLOOKUP(C186,[8]sheet1!$D:$I,6,0)</f>
        <v>0</v>
      </c>
      <c r="Q186" s="4">
        <f t="shared" si="2"/>
        <v>0</v>
      </c>
      <c r="R186" s="3">
        <v>0</v>
      </c>
      <c r="S186">
        <v>90</v>
      </c>
      <c r="T186">
        <v>0</v>
      </c>
      <c r="U186" s="3">
        <v>0</v>
      </c>
      <c r="V186" s="3">
        <v>0</v>
      </c>
      <c r="W186">
        <v>0</v>
      </c>
      <c r="X186" s="3">
        <v>0</v>
      </c>
      <c r="Y186">
        <v>0</v>
      </c>
      <c r="Z186" s="3">
        <v>0</v>
      </c>
      <c r="AA186" t="s">
        <v>308</v>
      </c>
      <c r="AB186" s="3">
        <v>469</v>
      </c>
      <c r="AC186">
        <v>396.94</v>
      </c>
      <c r="AD186" t="s">
        <v>49</v>
      </c>
      <c r="AE186">
        <v>0</v>
      </c>
      <c r="AF186" s="3">
        <v>0</v>
      </c>
      <c r="AG186" t="s">
        <v>49</v>
      </c>
      <c r="AH186">
        <v>0</v>
      </c>
      <c r="AI186" t="s">
        <v>49</v>
      </c>
      <c r="AJ186" t="s">
        <v>49</v>
      </c>
      <c r="AK186" t="s">
        <v>49</v>
      </c>
      <c r="AL186" t="s">
        <v>49</v>
      </c>
      <c r="AM186" t="s">
        <v>49</v>
      </c>
      <c r="AN186" s="3">
        <v>7</v>
      </c>
      <c r="AO186" s="19">
        <v>0</v>
      </c>
      <c r="AP186" s="19">
        <v>0</v>
      </c>
      <c r="AQ186" s="19">
        <v>0.8333</v>
      </c>
      <c r="AR186" s="19">
        <v>0</v>
      </c>
      <c r="AS186" s="19">
        <v>0</v>
      </c>
      <c r="AT186" s="19">
        <v>0</v>
      </c>
      <c r="AU186" s="3">
        <v>0</v>
      </c>
      <c r="AV186" s="3">
        <v>0</v>
      </c>
      <c r="AW186" s="19">
        <v>0</v>
      </c>
      <c r="AX186" s="3">
        <v>0</v>
      </c>
      <c r="AY186" s="3">
        <v>0</v>
      </c>
    </row>
    <row r="187" spans="1:51">
      <c r="A187" s="3">
        <v>6285941</v>
      </c>
      <c r="B187" t="s">
        <v>392</v>
      </c>
      <c r="C187" s="3">
        <v>11331027</v>
      </c>
      <c r="D187" t="s">
        <v>44</v>
      </c>
      <c r="E187" t="s">
        <v>117</v>
      </c>
      <c r="F187" t="s">
        <v>65</v>
      </c>
      <c r="G187" t="s">
        <v>47</v>
      </c>
      <c r="H187" s="16">
        <v>0</v>
      </c>
      <c r="I187" s="4">
        <f>VLOOKUP(C187,[1]sheet1!$D:$I,6,0)</f>
        <v>0</v>
      </c>
      <c r="J187" s="4">
        <f>VLOOKUP(C187,[2]sheet1!$D:$I,6,0)</f>
        <v>0</v>
      </c>
      <c r="K187" s="4">
        <f>VLOOKUP(C187,[3]sheet1!$D:$I,6,0)</f>
        <v>0</v>
      </c>
      <c r="L187" s="4">
        <f>VLOOKUP(C187,[4]sheet1!$D:$I,6,0)</f>
        <v>0</v>
      </c>
      <c r="M187" s="4">
        <f>VLOOKUP(C187,[5]sheet1!$D:$I,6,0)</f>
        <v>0</v>
      </c>
      <c r="N187" s="4">
        <f>VLOOKUP(C187,[6]sheet1!$D:$I,6,0)</f>
        <v>0</v>
      </c>
      <c r="O187" s="4">
        <f>VLOOKUP(C187,[7]sheet1!$D:$I,6,0)</f>
        <v>0</v>
      </c>
      <c r="P187" s="4">
        <f>VLOOKUP(C187,[8]sheet1!$D:$I,6,0)</f>
        <v>0</v>
      </c>
      <c r="Q187" s="4">
        <f t="shared" si="2"/>
        <v>0</v>
      </c>
      <c r="R187" s="3">
        <v>0</v>
      </c>
      <c r="S187" s="3">
        <v>5</v>
      </c>
      <c r="T187" s="19">
        <v>0</v>
      </c>
      <c r="U187" s="3">
        <v>0</v>
      </c>
      <c r="V187" s="3">
        <v>0</v>
      </c>
      <c r="W187">
        <v>0</v>
      </c>
      <c r="X187" s="3">
        <v>0</v>
      </c>
      <c r="Y187">
        <v>0</v>
      </c>
      <c r="Z187" s="3">
        <v>0</v>
      </c>
      <c r="AA187" t="s">
        <v>49</v>
      </c>
      <c r="AB187" t="s">
        <v>49</v>
      </c>
      <c r="AC187" t="s">
        <v>49</v>
      </c>
      <c r="AD187" t="s">
        <v>49</v>
      </c>
      <c r="AE187">
        <v>0</v>
      </c>
      <c r="AF187" s="3">
        <v>0</v>
      </c>
      <c r="AG187" t="s">
        <v>49</v>
      </c>
      <c r="AH187" t="s">
        <v>49</v>
      </c>
      <c r="AI187" t="s">
        <v>49</v>
      </c>
      <c r="AJ187" t="s">
        <v>49</v>
      </c>
      <c r="AK187" t="s">
        <v>49</v>
      </c>
      <c r="AL187" t="s">
        <v>49</v>
      </c>
      <c r="AM187" t="s">
        <v>49</v>
      </c>
      <c r="AN187" s="3">
        <v>5</v>
      </c>
      <c r="AO187" s="19">
        <v>0</v>
      </c>
      <c r="AP187" s="19">
        <v>0</v>
      </c>
      <c r="AQ187" s="19">
        <v>0.8</v>
      </c>
      <c r="AR187" s="19">
        <v>0.8</v>
      </c>
      <c r="AS187" s="19">
        <v>0</v>
      </c>
      <c r="AT187" s="19">
        <v>0</v>
      </c>
      <c r="AU187" s="3">
        <v>0</v>
      </c>
      <c r="AV187" s="3">
        <v>0</v>
      </c>
      <c r="AW187" s="19">
        <v>0</v>
      </c>
      <c r="AX187" s="3">
        <v>0</v>
      </c>
      <c r="AY187" s="3">
        <v>0</v>
      </c>
    </row>
    <row r="188" spans="1:51">
      <c r="A188" s="3">
        <v>6285587</v>
      </c>
      <c r="B188" t="s">
        <v>393</v>
      </c>
      <c r="C188" s="3">
        <v>12331008</v>
      </c>
      <c r="D188" t="s">
        <v>44</v>
      </c>
      <c r="E188" t="s">
        <v>206</v>
      </c>
      <c r="F188" t="s">
        <v>65</v>
      </c>
      <c r="G188" t="s">
        <v>47</v>
      </c>
      <c r="H188" s="16">
        <v>0</v>
      </c>
      <c r="I188" s="4">
        <f>VLOOKUP(C188,[1]sheet1!$D:$I,6,0)</f>
        <v>0</v>
      </c>
      <c r="J188" s="4">
        <f>VLOOKUP(C188,[2]sheet1!$D:$I,6,0)</f>
        <v>0</v>
      </c>
      <c r="K188" s="4">
        <f>VLOOKUP(C188,[3]sheet1!$D:$I,6,0)</f>
        <v>0</v>
      </c>
      <c r="L188" s="4">
        <f>VLOOKUP(C188,[4]sheet1!$D:$I,6,0)</f>
        <v>0</v>
      </c>
      <c r="M188" s="4">
        <f>VLOOKUP(C188,[5]sheet1!$D:$I,6,0)</f>
        <v>0</v>
      </c>
      <c r="N188" s="4">
        <f>VLOOKUP(C188,[6]sheet1!$D:$I,6,0)</f>
        <v>0</v>
      </c>
      <c r="O188" s="4">
        <f>VLOOKUP(C188,[7]sheet1!$D:$I,6,0)</f>
        <v>0</v>
      </c>
      <c r="P188" s="4">
        <f>VLOOKUP(C188,[8]sheet1!$D:$I,6,0)</f>
        <v>0</v>
      </c>
      <c r="Q188" s="4">
        <f t="shared" si="2"/>
        <v>0</v>
      </c>
      <c r="R188" s="3">
        <v>0</v>
      </c>
      <c r="S188" s="3">
        <v>0</v>
      </c>
      <c r="T188" s="19">
        <v>0</v>
      </c>
      <c r="U188" s="3">
        <v>0</v>
      </c>
      <c r="V188" s="3">
        <v>0</v>
      </c>
      <c r="W188">
        <v>0</v>
      </c>
      <c r="X188" s="3">
        <v>0</v>
      </c>
      <c r="Y188">
        <v>0</v>
      </c>
      <c r="Z188" s="3">
        <v>0</v>
      </c>
      <c r="AA188" t="s">
        <v>394</v>
      </c>
      <c r="AB188" t="s">
        <v>49</v>
      </c>
      <c r="AC188">
        <v>301.24</v>
      </c>
      <c r="AD188" t="s">
        <v>49</v>
      </c>
      <c r="AE188">
        <v>0</v>
      </c>
      <c r="AF188" s="3">
        <v>0</v>
      </c>
      <c r="AG188" t="s">
        <v>49</v>
      </c>
      <c r="AH188">
        <v>0</v>
      </c>
      <c r="AI188" t="s">
        <v>49</v>
      </c>
      <c r="AJ188" t="s">
        <v>49</v>
      </c>
      <c r="AK188" t="s">
        <v>49</v>
      </c>
      <c r="AL188" t="s">
        <v>49</v>
      </c>
      <c r="AM188" t="s">
        <v>49</v>
      </c>
      <c r="AN188" s="3">
        <v>0</v>
      </c>
      <c r="AO188" s="19">
        <v>0</v>
      </c>
      <c r="AP188" s="19">
        <v>0</v>
      </c>
      <c r="AQ188" s="19">
        <v>0</v>
      </c>
      <c r="AR188" s="19">
        <v>0</v>
      </c>
      <c r="AS188" s="19">
        <v>0</v>
      </c>
      <c r="AT188" s="19">
        <v>0</v>
      </c>
      <c r="AU188" s="3">
        <v>0</v>
      </c>
      <c r="AV188" s="3">
        <v>0</v>
      </c>
      <c r="AW188" s="19">
        <v>0</v>
      </c>
      <c r="AX188" s="3">
        <v>0</v>
      </c>
      <c r="AY188" s="3">
        <v>0</v>
      </c>
    </row>
    <row r="189" spans="1:51">
      <c r="A189" s="3">
        <v>6285211</v>
      </c>
      <c r="B189" t="s">
        <v>395</v>
      </c>
      <c r="C189" s="3">
        <v>12331004</v>
      </c>
      <c r="D189" t="s">
        <v>44</v>
      </c>
      <c r="E189" t="s">
        <v>206</v>
      </c>
      <c r="F189" t="s">
        <v>65</v>
      </c>
      <c r="G189" t="s">
        <v>47</v>
      </c>
      <c r="H189" s="16">
        <v>0</v>
      </c>
      <c r="I189" s="4">
        <f>VLOOKUP(C189,[1]sheet1!$D:$I,6,0)</f>
        <v>0</v>
      </c>
      <c r="J189" s="4">
        <f>VLOOKUP(C189,[2]sheet1!$D:$I,6,0)</f>
        <v>0</v>
      </c>
      <c r="K189" s="4">
        <f>VLOOKUP(C189,[3]sheet1!$D:$I,6,0)</f>
        <v>0</v>
      </c>
      <c r="L189" s="4">
        <f>VLOOKUP(C189,[4]sheet1!$D:$I,6,0)</f>
        <v>0</v>
      </c>
      <c r="M189" s="4">
        <f>VLOOKUP(C189,[5]sheet1!$D:$I,6,0)</f>
        <v>0</v>
      </c>
      <c r="N189" s="4">
        <f>VLOOKUP(C189,[6]sheet1!$D:$I,6,0)</f>
        <v>0</v>
      </c>
      <c r="O189" s="4">
        <f>VLOOKUP(C189,[7]sheet1!$D:$I,6,0)</f>
        <v>0</v>
      </c>
      <c r="P189" s="4">
        <f>VLOOKUP(C189,[8]sheet1!$D:$I,6,0)</f>
        <v>0</v>
      </c>
      <c r="Q189" s="4">
        <f t="shared" si="2"/>
        <v>0</v>
      </c>
      <c r="R189" s="3">
        <v>0</v>
      </c>
      <c r="S189" s="3">
        <v>4</v>
      </c>
      <c r="T189" s="19">
        <v>0</v>
      </c>
      <c r="U189" s="3">
        <v>0</v>
      </c>
      <c r="V189" s="3">
        <v>0</v>
      </c>
      <c r="W189">
        <v>0</v>
      </c>
      <c r="X189" s="3">
        <v>0</v>
      </c>
      <c r="Y189">
        <v>0</v>
      </c>
      <c r="Z189" s="3">
        <v>0</v>
      </c>
      <c r="AA189" t="s">
        <v>70</v>
      </c>
      <c r="AB189" t="s">
        <v>49</v>
      </c>
      <c r="AC189">
        <v>205.54</v>
      </c>
      <c r="AD189" t="s">
        <v>49</v>
      </c>
      <c r="AE189">
        <v>0</v>
      </c>
      <c r="AF189" s="3">
        <v>0</v>
      </c>
      <c r="AG189" t="s">
        <v>49</v>
      </c>
      <c r="AH189">
        <v>0</v>
      </c>
      <c r="AI189" t="s">
        <v>49</v>
      </c>
      <c r="AJ189" t="s">
        <v>49</v>
      </c>
      <c r="AK189" t="s">
        <v>49</v>
      </c>
      <c r="AL189" t="s">
        <v>49</v>
      </c>
      <c r="AM189" t="s">
        <v>49</v>
      </c>
      <c r="AN189" s="3">
        <v>4</v>
      </c>
      <c r="AO189" s="19">
        <v>0</v>
      </c>
      <c r="AP189" s="19">
        <v>0</v>
      </c>
      <c r="AQ189" s="19">
        <v>1</v>
      </c>
      <c r="AR189" s="19">
        <v>0.5</v>
      </c>
      <c r="AS189" s="19">
        <v>0</v>
      </c>
      <c r="AT189" s="19">
        <v>0</v>
      </c>
      <c r="AU189" s="3">
        <v>0</v>
      </c>
      <c r="AV189" s="3">
        <v>0</v>
      </c>
      <c r="AW189" s="19">
        <v>0</v>
      </c>
      <c r="AX189" s="3">
        <v>0</v>
      </c>
      <c r="AY189" s="3">
        <v>0</v>
      </c>
    </row>
    <row r="190" spans="1:51">
      <c r="A190" s="3">
        <v>6284247</v>
      </c>
      <c r="B190" t="s">
        <v>396</v>
      </c>
      <c r="C190" s="3">
        <v>12331012</v>
      </c>
      <c r="D190" t="s">
        <v>44</v>
      </c>
      <c r="E190" t="s">
        <v>206</v>
      </c>
      <c r="F190" t="s">
        <v>46</v>
      </c>
      <c r="G190" t="s">
        <v>47</v>
      </c>
      <c r="H190" s="16">
        <v>0</v>
      </c>
      <c r="I190" s="4">
        <f>VLOOKUP(C190,[1]sheet1!$D:$I,6,0)</f>
        <v>164</v>
      </c>
      <c r="J190" s="4">
        <f>VLOOKUP(C190,[2]sheet1!$D:$I,6,0)</f>
        <v>0</v>
      </c>
      <c r="K190" s="4">
        <f>VLOOKUP(C190,[3]sheet1!$D:$I,6,0)</f>
        <v>0</v>
      </c>
      <c r="L190" s="4">
        <f>VLOOKUP(C190,[4]sheet1!$D:$I,6,0)</f>
        <v>324</v>
      </c>
      <c r="M190" s="4">
        <f>VLOOKUP(C190,[5]sheet1!$D:$I,6,0)</f>
        <v>0</v>
      </c>
      <c r="N190" s="4">
        <f>VLOOKUP(C190,[6]sheet1!$D:$I,6,0)</f>
        <v>0</v>
      </c>
      <c r="O190" s="4">
        <f>VLOOKUP(C190,[7]sheet1!$D:$I,6,0)</f>
        <v>0</v>
      </c>
      <c r="P190" s="4">
        <f>VLOOKUP(C190,[8]sheet1!$D:$I,6,0)</f>
        <v>0</v>
      </c>
      <c r="Q190" s="4">
        <f t="shared" si="2"/>
        <v>488</v>
      </c>
      <c r="R190" s="3">
        <v>0</v>
      </c>
      <c r="S190">
        <v>97</v>
      </c>
      <c r="T190">
        <v>0</v>
      </c>
      <c r="U190" s="3">
        <v>0</v>
      </c>
      <c r="V190" s="3">
        <v>0</v>
      </c>
      <c r="W190">
        <v>0</v>
      </c>
      <c r="X190" s="3">
        <v>0</v>
      </c>
      <c r="Y190">
        <v>0</v>
      </c>
      <c r="Z190" s="3">
        <v>0</v>
      </c>
      <c r="AA190" t="s">
        <v>183</v>
      </c>
      <c r="AB190" s="3">
        <v>162</v>
      </c>
      <c r="AC190">
        <v>144.64</v>
      </c>
      <c r="AD190" t="s">
        <v>49</v>
      </c>
      <c r="AE190">
        <v>0</v>
      </c>
      <c r="AF190" s="3">
        <v>0</v>
      </c>
      <c r="AG190" t="s">
        <v>49</v>
      </c>
      <c r="AH190">
        <v>0</v>
      </c>
      <c r="AI190" t="s">
        <v>49</v>
      </c>
      <c r="AJ190">
        <v>129.85</v>
      </c>
      <c r="AK190" t="s">
        <v>49</v>
      </c>
      <c r="AL190">
        <v>0</v>
      </c>
      <c r="AM190" t="s">
        <v>49</v>
      </c>
      <c r="AN190" s="3">
        <v>13</v>
      </c>
      <c r="AO190" s="19">
        <v>0</v>
      </c>
      <c r="AP190" s="19">
        <v>0</v>
      </c>
      <c r="AQ190" s="19">
        <v>0.7143</v>
      </c>
      <c r="AR190" s="19">
        <v>0</v>
      </c>
      <c r="AS190" s="19">
        <v>0</v>
      </c>
      <c r="AT190" s="19">
        <v>0</v>
      </c>
      <c r="AU190" s="3">
        <v>0</v>
      </c>
      <c r="AV190" s="3">
        <v>0</v>
      </c>
      <c r="AW190" s="19">
        <v>0</v>
      </c>
      <c r="AX190" s="3">
        <v>0</v>
      </c>
      <c r="AY190" s="3">
        <v>0</v>
      </c>
    </row>
    <row r="191" spans="1:51">
      <c r="A191" s="3">
        <v>6283880</v>
      </c>
      <c r="B191" t="s">
        <v>397</v>
      </c>
      <c r="C191" s="3">
        <v>11331003</v>
      </c>
      <c r="D191" t="s">
        <v>44</v>
      </c>
      <c r="E191" t="s">
        <v>117</v>
      </c>
      <c r="F191" t="s">
        <v>65</v>
      </c>
      <c r="G191" t="s">
        <v>47</v>
      </c>
      <c r="H191" s="16">
        <v>0</v>
      </c>
      <c r="I191" s="4">
        <f>VLOOKUP(C191,[1]sheet1!$D:$I,6,0)</f>
        <v>0</v>
      </c>
      <c r="J191" s="4">
        <f>VLOOKUP(C191,[2]sheet1!$D:$I,6,0)</f>
        <v>528</v>
      </c>
      <c r="K191" s="4">
        <f>VLOOKUP(C191,[3]sheet1!$D:$I,6,0)</f>
        <v>0</v>
      </c>
      <c r="L191" s="4">
        <f>VLOOKUP(C191,[4]sheet1!$D:$I,6,0)</f>
        <v>272</v>
      </c>
      <c r="M191" s="4">
        <f>VLOOKUP(C191,[5]sheet1!$D:$I,6,0)</f>
        <v>0</v>
      </c>
      <c r="N191" s="4">
        <f>VLOOKUP(C191,[6]sheet1!$D:$I,6,0)</f>
        <v>0</v>
      </c>
      <c r="O191" s="4">
        <f>VLOOKUP(C191,[7]sheet1!$D:$I,6,0)</f>
        <v>0</v>
      </c>
      <c r="P191" s="4">
        <f>VLOOKUP(C191,[8]sheet1!$D:$I,6,0)</f>
        <v>0</v>
      </c>
      <c r="Q191" s="4">
        <f t="shared" si="2"/>
        <v>800</v>
      </c>
      <c r="R191" s="3">
        <v>0</v>
      </c>
      <c r="S191" s="3">
        <v>28</v>
      </c>
      <c r="T191" s="19">
        <v>0</v>
      </c>
      <c r="U191" s="3">
        <v>1</v>
      </c>
      <c r="V191" s="3">
        <v>0</v>
      </c>
      <c r="W191">
        <v>0</v>
      </c>
      <c r="X191" s="3">
        <v>0</v>
      </c>
      <c r="Y191">
        <v>0</v>
      </c>
      <c r="Z191" s="3">
        <v>0</v>
      </c>
      <c r="AA191" t="s">
        <v>70</v>
      </c>
      <c r="AB191" t="s">
        <v>49</v>
      </c>
      <c r="AC191">
        <v>206.82</v>
      </c>
      <c r="AD191" t="s">
        <v>49</v>
      </c>
      <c r="AE191">
        <v>0</v>
      </c>
      <c r="AF191" s="3">
        <v>0</v>
      </c>
      <c r="AG191" t="s">
        <v>49</v>
      </c>
      <c r="AH191">
        <v>0</v>
      </c>
      <c r="AI191" t="s">
        <v>49</v>
      </c>
      <c r="AJ191" t="s">
        <v>49</v>
      </c>
      <c r="AK191" t="s">
        <v>49</v>
      </c>
      <c r="AL191" t="s">
        <v>49</v>
      </c>
      <c r="AM191" t="s">
        <v>49</v>
      </c>
      <c r="AN191" s="3">
        <v>32</v>
      </c>
      <c r="AO191" s="19">
        <v>0</v>
      </c>
      <c r="AP191" s="19">
        <v>0</v>
      </c>
      <c r="AQ191" s="19">
        <v>0.5714</v>
      </c>
      <c r="AR191" s="19">
        <v>0.6071</v>
      </c>
      <c r="AS191" s="19">
        <v>1</v>
      </c>
      <c r="AT191" s="19">
        <v>0</v>
      </c>
      <c r="AU191" s="3">
        <v>0</v>
      </c>
      <c r="AV191" s="3">
        <v>0</v>
      </c>
      <c r="AW191" s="19">
        <v>0</v>
      </c>
      <c r="AX191" s="3">
        <v>0</v>
      </c>
      <c r="AY191" s="3">
        <v>0</v>
      </c>
    </row>
    <row r="192" spans="1:51">
      <c r="A192" s="3">
        <v>6273814</v>
      </c>
      <c r="B192" t="s">
        <v>398</v>
      </c>
      <c r="C192" s="3">
        <v>12340822</v>
      </c>
      <c r="D192" t="s">
        <v>44</v>
      </c>
      <c r="E192" t="s">
        <v>258</v>
      </c>
      <c r="F192" t="s">
        <v>46</v>
      </c>
      <c r="G192" t="s">
        <v>47</v>
      </c>
      <c r="H192" s="16">
        <v>0</v>
      </c>
      <c r="I192" s="4">
        <f>VLOOKUP(C192,[1]sheet1!$D:$I,6,0)</f>
        <v>0</v>
      </c>
      <c r="J192" s="4">
        <f>VLOOKUP(C192,[2]sheet1!$D:$I,6,0)</f>
        <v>0</v>
      </c>
      <c r="K192" s="4">
        <f>VLOOKUP(C192,[3]sheet1!$D:$I,6,0)</f>
        <v>0</v>
      </c>
      <c r="L192" s="4">
        <f>VLOOKUP(C192,[4]sheet1!$D:$I,6,0)</f>
        <v>0</v>
      </c>
      <c r="M192" s="4">
        <f>VLOOKUP(C192,[5]sheet1!$D:$I,6,0)</f>
        <v>587</v>
      </c>
      <c r="N192" s="4">
        <f>VLOOKUP(C192,[6]sheet1!$D:$I,6,0)</f>
        <v>0</v>
      </c>
      <c r="O192" s="4">
        <f>VLOOKUP(C192,[7]sheet1!$D:$I,6,0)</f>
        <v>0</v>
      </c>
      <c r="P192" s="4">
        <f>VLOOKUP(C192,[8]sheet1!$D:$I,6,0)</f>
        <v>0</v>
      </c>
      <c r="Q192" s="4">
        <f t="shared" si="2"/>
        <v>587</v>
      </c>
      <c r="R192" s="3">
        <v>0</v>
      </c>
      <c r="S192">
        <v>737</v>
      </c>
      <c r="T192">
        <v>0</v>
      </c>
      <c r="U192" s="3">
        <v>38</v>
      </c>
      <c r="V192" s="3">
        <v>0</v>
      </c>
      <c r="W192">
        <v>0</v>
      </c>
      <c r="X192" s="3">
        <v>0</v>
      </c>
      <c r="Y192">
        <v>0</v>
      </c>
      <c r="Z192" s="3">
        <v>0</v>
      </c>
      <c r="AA192" t="s">
        <v>378</v>
      </c>
      <c r="AB192" s="3">
        <v>565</v>
      </c>
      <c r="AC192">
        <v>544.44</v>
      </c>
      <c r="AD192" t="s">
        <v>49</v>
      </c>
      <c r="AE192">
        <v>0</v>
      </c>
      <c r="AF192" s="3">
        <v>0</v>
      </c>
      <c r="AG192" t="s">
        <v>49</v>
      </c>
      <c r="AH192">
        <v>0</v>
      </c>
      <c r="AI192" t="s">
        <v>49</v>
      </c>
      <c r="AJ192">
        <v>480.06</v>
      </c>
      <c r="AK192" t="s">
        <v>49</v>
      </c>
      <c r="AL192">
        <v>0</v>
      </c>
      <c r="AM192" t="s">
        <v>49</v>
      </c>
      <c r="AN192" s="3">
        <v>466</v>
      </c>
      <c r="AO192" s="19">
        <v>0</v>
      </c>
      <c r="AP192" s="19">
        <v>0</v>
      </c>
      <c r="AQ192" s="19">
        <v>0.9501</v>
      </c>
      <c r="AR192" s="19">
        <v>0.808</v>
      </c>
      <c r="AS192" s="19">
        <v>0.8684</v>
      </c>
      <c r="AT192" s="19">
        <v>0.7895</v>
      </c>
      <c r="AU192" s="3">
        <v>0</v>
      </c>
      <c r="AV192" s="3">
        <v>0</v>
      </c>
      <c r="AW192" s="19">
        <v>0</v>
      </c>
      <c r="AX192" s="3">
        <v>0</v>
      </c>
      <c r="AY192" s="3">
        <v>0</v>
      </c>
    </row>
    <row r="193" spans="1:51">
      <c r="A193" s="3">
        <v>6181295</v>
      </c>
      <c r="B193" t="s">
        <v>399</v>
      </c>
      <c r="C193" s="3">
        <v>11330601</v>
      </c>
      <c r="D193" t="s">
        <v>44</v>
      </c>
      <c r="E193" t="s">
        <v>143</v>
      </c>
      <c r="F193" t="s">
        <v>65</v>
      </c>
      <c r="G193" t="s">
        <v>47</v>
      </c>
      <c r="H193" s="16">
        <v>0</v>
      </c>
      <c r="I193" s="4">
        <f>VLOOKUP(C193,[1]sheet1!$D:$I,6,0)</f>
        <v>0</v>
      </c>
      <c r="J193" s="4">
        <f>VLOOKUP(C193,[2]sheet1!$D:$I,6,0)</f>
        <v>0</v>
      </c>
      <c r="K193" s="4">
        <f>VLOOKUP(C193,[3]sheet1!$D:$I,6,0)</f>
        <v>0</v>
      </c>
      <c r="L193" s="4">
        <f>VLOOKUP(C193,[4]sheet1!$D:$I,6,0)</f>
        <v>0</v>
      </c>
      <c r="M193" s="4">
        <f>VLOOKUP(C193,[5]sheet1!$D:$I,6,0)</f>
        <v>0</v>
      </c>
      <c r="N193" s="4">
        <f>VLOOKUP(C193,[6]sheet1!$D:$I,6,0)</f>
        <v>0</v>
      </c>
      <c r="O193" s="4">
        <f>VLOOKUP(C193,[7]sheet1!$D:$I,6,0)</f>
        <v>0</v>
      </c>
      <c r="P193" s="4">
        <f>VLOOKUP(C193,[8]sheet1!$D:$I,6,0)</f>
        <v>0</v>
      </c>
      <c r="Q193" s="15">
        <f t="shared" si="2"/>
        <v>0</v>
      </c>
      <c r="R193" s="3">
        <v>0</v>
      </c>
      <c r="S193" s="3">
        <v>16</v>
      </c>
      <c r="T193" s="19">
        <v>0</v>
      </c>
      <c r="U193" s="3">
        <v>0</v>
      </c>
      <c r="V193" s="3">
        <v>0</v>
      </c>
      <c r="W193">
        <v>0</v>
      </c>
      <c r="X193" s="3">
        <v>0</v>
      </c>
      <c r="Y193">
        <v>0</v>
      </c>
      <c r="Z193" s="3">
        <v>0</v>
      </c>
      <c r="AA193" t="s">
        <v>49</v>
      </c>
      <c r="AB193" t="s">
        <v>49</v>
      </c>
      <c r="AC193" t="s">
        <v>49</v>
      </c>
      <c r="AD193" t="s">
        <v>49</v>
      </c>
      <c r="AE193">
        <v>0</v>
      </c>
      <c r="AF193" s="3">
        <v>0</v>
      </c>
      <c r="AG193" t="s">
        <v>49</v>
      </c>
      <c r="AH193" t="s">
        <v>49</v>
      </c>
      <c r="AI193" t="s">
        <v>49</v>
      </c>
      <c r="AJ193" t="s">
        <v>49</v>
      </c>
      <c r="AK193" t="s">
        <v>49</v>
      </c>
      <c r="AL193" t="s">
        <v>49</v>
      </c>
      <c r="AM193" t="s">
        <v>49</v>
      </c>
      <c r="AN193" s="3">
        <v>21</v>
      </c>
      <c r="AO193" s="19">
        <v>0</v>
      </c>
      <c r="AP193" s="19">
        <v>0</v>
      </c>
      <c r="AQ193" s="19">
        <v>0.875</v>
      </c>
      <c r="AR193" s="19">
        <v>0.3125</v>
      </c>
      <c r="AS193" s="19">
        <v>0</v>
      </c>
      <c r="AT193" s="19">
        <v>0</v>
      </c>
      <c r="AU193" s="3">
        <v>0</v>
      </c>
      <c r="AV193" s="3">
        <v>0</v>
      </c>
      <c r="AW193" s="19">
        <v>0</v>
      </c>
      <c r="AX193" s="3">
        <v>0</v>
      </c>
      <c r="AY193" s="3">
        <v>0</v>
      </c>
    </row>
    <row r="194" spans="1:51">
      <c r="A194" s="3">
        <v>6178715</v>
      </c>
      <c r="B194" t="s">
        <v>400</v>
      </c>
      <c r="C194" s="3">
        <v>12330706</v>
      </c>
      <c r="D194" t="s">
        <v>44</v>
      </c>
      <c r="E194" t="s">
        <v>290</v>
      </c>
      <c r="F194" t="s">
        <v>65</v>
      </c>
      <c r="G194" t="s">
        <v>47</v>
      </c>
      <c r="H194" s="16">
        <v>0</v>
      </c>
      <c r="I194" s="4">
        <f>VLOOKUP(C194,[1]sheet1!$D:$I,6,0)</f>
        <v>0</v>
      </c>
      <c r="J194" s="4">
        <f>VLOOKUP(C194,[2]sheet1!$D:$I,6,0)</f>
        <v>0</v>
      </c>
      <c r="K194" s="4">
        <f>VLOOKUP(C194,[3]sheet1!$D:$I,6,0)</f>
        <v>0</v>
      </c>
      <c r="L194" s="4">
        <f>VLOOKUP(C194,[4]sheet1!$D:$I,6,0)</f>
        <v>0</v>
      </c>
      <c r="M194" s="4">
        <f>VLOOKUP(C194,[5]sheet1!$D:$I,6,0)</f>
        <v>0</v>
      </c>
      <c r="N194" s="4">
        <f>VLOOKUP(C194,[6]sheet1!$D:$I,6,0)</f>
        <v>0</v>
      </c>
      <c r="O194" s="4">
        <f>VLOOKUP(C194,[7]sheet1!$D:$I,6,0)</f>
        <v>0</v>
      </c>
      <c r="P194" s="4">
        <f>VLOOKUP(C194,[8]sheet1!$D:$I,6,0)</f>
        <v>0</v>
      </c>
      <c r="Q194" s="15">
        <f t="shared" si="2"/>
        <v>0</v>
      </c>
      <c r="R194" s="3">
        <v>0</v>
      </c>
      <c r="S194" s="3">
        <v>28</v>
      </c>
      <c r="T194" s="19">
        <v>0</v>
      </c>
      <c r="U194" s="3">
        <v>0</v>
      </c>
      <c r="V194" s="3">
        <v>0</v>
      </c>
      <c r="W194">
        <v>0</v>
      </c>
      <c r="X194" s="3">
        <v>0</v>
      </c>
      <c r="Y194">
        <v>0</v>
      </c>
      <c r="Z194" s="3">
        <v>0</v>
      </c>
      <c r="AA194" t="s">
        <v>49</v>
      </c>
      <c r="AB194" t="s">
        <v>49</v>
      </c>
      <c r="AC194" t="s">
        <v>49</v>
      </c>
      <c r="AD194" t="s">
        <v>49</v>
      </c>
      <c r="AE194">
        <v>0</v>
      </c>
      <c r="AF194" s="3">
        <v>0</v>
      </c>
      <c r="AG194" t="s">
        <v>49</v>
      </c>
      <c r="AH194" t="s">
        <v>49</v>
      </c>
      <c r="AI194" t="s">
        <v>49</v>
      </c>
      <c r="AJ194" t="s">
        <v>49</v>
      </c>
      <c r="AK194" t="s">
        <v>49</v>
      </c>
      <c r="AL194" t="s">
        <v>49</v>
      </c>
      <c r="AM194" t="s">
        <v>49</v>
      </c>
      <c r="AN194" s="3">
        <v>37</v>
      </c>
      <c r="AO194" s="19">
        <v>0</v>
      </c>
      <c r="AP194" s="19">
        <v>0</v>
      </c>
      <c r="AQ194" s="19">
        <v>0.8214</v>
      </c>
      <c r="AR194" s="19">
        <v>0.3571</v>
      </c>
      <c r="AS194" s="19">
        <v>0</v>
      </c>
      <c r="AT194" s="19">
        <v>0</v>
      </c>
      <c r="AU194" s="3">
        <v>0</v>
      </c>
      <c r="AV194" s="3">
        <v>0</v>
      </c>
      <c r="AW194" s="19">
        <v>0</v>
      </c>
      <c r="AX194" s="3">
        <v>0</v>
      </c>
      <c r="AY194" s="3">
        <v>0</v>
      </c>
    </row>
    <row r="195" spans="1:51">
      <c r="A195" s="3">
        <v>6079512</v>
      </c>
      <c r="B195" t="s">
        <v>401</v>
      </c>
      <c r="C195" t="s">
        <v>402</v>
      </c>
      <c r="D195" t="s">
        <v>44</v>
      </c>
      <c r="E195" t="s">
        <v>51</v>
      </c>
      <c r="F195" t="s">
        <v>65</v>
      </c>
      <c r="G195" t="s">
        <v>47</v>
      </c>
      <c r="H195" s="16">
        <v>0</v>
      </c>
      <c r="I195" s="4">
        <f>VLOOKUP(C195,[1]sheet1!$D:$I,6,0)</f>
        <v>0</v>
      </c>
      <c r="J195" s="4">
        <f>VLOOKUP(C195,[2]sheet1!$D:$I,6,0)</f>
        <v>0</v>
      </c>
      <c r="K195" s="4">
        <f>VLOOKUP(C195,[3]sheet1!$D:$I,6,0)</f>
        <v>0</v>
      </c>
      <c r="L195" s="4">
        <f>VLOOKUP(C195,[4]sheet1!$D:$I,6,0)</f>
        <v>0</v>
      </c>
      <c r="M195" s="4">
        <f>VLOOKUP(C195,[5]sheet1!$D:$I,6,0)</f>
        <v>0</v>
      </c>
      <c r="N195" s="4">
        <f>VLOOKUP(C195,[6]sheet1!$D:$I,6,0)</f>
        <v>0</v>
      </c>
      <c r="O195" s="4">
        <f>VLOOKUP(C195,[7]sheet1!$D:$I,6,0)</f>
        <v>0</v>
      </c>
      <c r="P195" s="4">
        <f>VLOOKUP(C195,[8]sheet1!$D:$I,6,0)</f>
        <v>0</v>
      </c>
      <c r="Q195" s="4">
        <f t="shared" ref="Q195:Q258" si="3">SUM(H195:P195)</f>
        <v>0</v>
      </c>
      <c r="R195" s="3">
        <v>0</v>
      </c>
      <c r="S195" s="3">
        <v>0</v>
      </c>
      <c r="T195" s="19">
        <v>0</v>
      </c>
      <c r="U195" s="3">
        <v>0</v>
      </c>
      <c r="V195" s="3">
        <v>0</v>
      </c>
      <c r="W195">
        <v>0</v>
      </c>
      <c r="X195" s="3">
        <v>0</v>
      </c>
      <c r="Y195">
        <v>0</v>
      </c>
      <c r="Z195" s="3">
        <v>0</v>
      </c>
      <c r="AA195" t="s">
        <v>183</v>
      </c>
      <c r="AB195" t="s">
        <v>49</v>
      </c>
      <c r="AC195">
        <v>148.22</v>
      </c>
      <c r="AD195" t="s">
        <v>49</v>
      </c>
      <c r="AE195">
        <v>0</v>
      </c>
      <c r="AF195" s="3">
        <v>0</v>
      </c>
      <c r="AG195" t="s">
        <v>49</v>
      </c>
      <c r="AH195">
        <v>0</v>
      </c>
      <c r="AI195" t="s">
        <v>49</v>
      </c>
      <c r="AJ195" t="s">
        <v>49</v>
      </c>
      <c r="AK195" t="s">
        <v>49</v>
      </c>
      <c r="AL195" t="s">
        <v>49</v>
      </c>
      <c r="AM195" t="s">
        <v>49</v>
      </c>
      <c r="AN195" s="3">
        <v>0</v>
      </c>
      <c r="AO195" s="19">
        <v>0</v>
      </c>
      <c r="AP195" s="19">
        <v>0</v>
      </c>
      <c r="AQ195" s="19">
        <v>0</v>
      </c>
      <c r="AR195" s="19">
        <v>0</v>
      </c>
      <c r="AS195" s="19">
        <v>0</v>
      </c>
      <c r="AT195" s="19">
        <v>0</v>
      </c>
      <c r="AU195" s="3">
        <v>0</v>
      </c>
      <c r="AV195" s="3">
        <v>0</v>
      </c>
      <c r="AW195" s="19">
        <v>0</v>
      </c>
      <c r="AX195" s="3">
        <v>0</v>
      </c>
      <c r="AY195" s="3">
        <v>0</v>
      </c>
    </row>
    <row r="196" spans="1:51">
      <c r="A196" s="3">
        <v>6078691</v>
      </c>
      <c r="B196" t="s">
        <v>403</v>
      </c>
      <c r="C196" s="3">
        <v>12933728</v>
      </c>
      <c r="D196" t="s">
        <v>44</v>
      </c>
      <c r="E196" t="s">
        <v>404</v>
      </c>
      <c r="F196" t="s">
        <v>65</v>
      </c>
      <c r="G196" t="s">
        <v>47</v>
      </c>
      <c r="H196" s="16">
        <v>0</v>
      </c>
      <c r="I196" s="4">
        <f>VLOOKUP(C196,[1]sheet1!$D:$I,6,0)</f>
        <v>0</v>
      </c>
      <c r="J196" s="4">
        <f>VLOOKUP(C196,[2]sheet1!$D:$I,6,0)</f>
        <v>0</v>
      </c>
      <c r="K196" s="4">
        <f>VLOOKUP(C196,[3]sheet1!$D:$I,6,0)</f>
        <v>0</v>
      </c>
      <c r="L196" s="4">
        <f>VLOOKUP(C196,[4]sheet1!$D:$I,6,0)</f>
        <v>0</v>
      </c>
      <c r="M196" s="4">
        <f>VLOOKUP(C196,[5]sheet1!$D:$I,6,0)</f>
        <v>0</v>
      </c>
      <c r="N196" s="4">
        <f>VLOOKUP(C196,[6]sheet1!$D:$I,6,0)</f>
        <v>0</v>
      </c>
      <c r="O196" s="4">
        <f>VLOOKUP(C196,[7]sheet1!$D:$I,6,0)</f>
        <v>0</v>
      </c>
      <c r="P196" s="4">
        <f>VLOOKUP(C196,[8]sheet1!$D:$I,6,0)</f>
        <v>0</v>
      </c>
      <c r="Q196" s="4">
        <f t="shared" si="3"/>
        <v>0</v>
      </c>
      <c r="R196" s="3">
        <v>0</v>
      </c>
      <c r="S196" s="3">
        <v>0</v>
      </c>
      <c r="T196" s="19">
        <v>0</v>
      </c>
      <c r="U196" s="3">
        <v>0</v>
      </c>
      <c r="V196" s="3">
        <v>0</v>
      </c>
      <c r="W196">
        <v>0</v>
      </c>
      <c r="X196" s="3">
        <v>0</v>
      </c>
      <c r="Y196">
        <v>0</v>
      </c>
      <c r="Z196" s="3">
        <v>0</v>
      </c>
      <c r="AA196" t="s">
        <v>49</v>
      </c>
      <c r="AB196" t="s">
        <v>49</v>
      </c>
      <c r="AC196" t="s">
        <v>49</v>
      </c>
      <c r="AD196" t="s">
        <v>49</v>
      </c>
      <c r="AE196">
        <v>0</v>
      </c>
      <c r="AF196" s="3">
        <v>0</v>
      </c>
      <c r="AG196" t="s">
        <v>49</v>
      </c>
      <c r="AH196" t="s">
        <v>49</v>
      </c>
      <c r="AI196" t="s">
        <v>49</v>
      </c>
      <c r="AJ196" t="s">
        <v>49</v>
      </c>
      <c r="AK196" t="s">
        <v>49</v>
      </c>
      <c r="AL196" t="s">
        <v>49</v>
      </c>
      <c r="AM196" t="s">
        <v>49</v>
      </c>
      <c r="AN196" s="3">
        <v>0</v>
      </c>
      <c r="AO196" s="19">
        <v>0</v>
      </c>
      <c r="AP196" s="19">
        <v>0</v>
      </c>
      <c r="AQ196" s="19">
        <v>0</v>
      </c>
      <c r="AR196" s="19">
        <v>0</v>
      </c>
      <c r="AS196" s="19">
        <v>0</v>
      </c>
      <c r="AT196" s="19">
        <v>0</v>
      </c>
      <c r="AU196" s="3">
        <v>0</v>
      </c>
      <c r="AV196" s="3">
        <v>0</v>
      </c>
      <c r="AW196" s="19">
        <v>0</v>
      </c>
      <c r="AX196" s="3">
        <v>0</v>
      </c>
      <c r="AY196" s="3">
        <v>0</v>
      </c>
    </row>
    <row r="197" spans="1:51">
      <c r="A197" s="3">
        <v>5938599</v>
      </c>
      <c r="B197" t="s">
        <v>405</v>
      </c>
      <c r="C197" s="3">
        <v>114301085</v>
      </c>
      <c r="D197" t="s">
        <v>44</v>
      </c>
      <c r="E197" t="s">
        <v>104</v>
      </c>
      <c r="F197" t="s">
        <v>46</v>
      </c>
      <c r="G197" t="s">
        <v>47</v>
      </c>
      <c r="H197" s="16">
        <v>0</v>
      </c>
      <c r="I197" s="4">
        <f>VLOOKUP(C197,[1]sheet1!$D:$I,6,0)</f>
        <v>0</v>
      </c>
      <c r="J197" s="4">
        <f>VLOOKUP(C197,[2]sheet1!$D:$I,6,0)</f>
        <v>1768</v>
      </c>
      <c r="K197" s="4">
        <f>VLOOKUP(C197,[3]sheet1!$D:$I,6,0)</f>
        <v>0</v>
      </c>
      <c r="L197" s="4">
        <f>VLOOKUP(C197,[4]sheet1!$D:$I,6,0)</f>
        <v>0</v>
      </c>
      <c r="M197" s="4">
        <f>VLOOKUP(C197,[5]sheet1!$D:$I,6,0)</f>
        <v>0</v>
      </c>
      <c r="N197" s="4">
        <f>VLOOKUP(C197,[6]sheet1!$D:$I,6,0)</f>
        <v>0</v>
      </c>
      <c r="O197" s="4">
        <f>VLOOKUP(C197,[7]sheet1!$D:$I,6,0)</f>
        <v>0</v>
      </c>
      <c r="P197" s="4">
        <f>VLOOKUP(C197,[8]sheet1!$D:$I,6,0)</f>
        <v>0</v>
      </c>
      <c r="Q197" s="4">
        <f t="shared" si="3"/>
        <v>1768</v>
      </c>
      <c r="R197" s="3">
        <v>0</v>
      </c>
      <c r="S197">
        <v>449</v>
      </c>
      <c r="T197">
        <v>0</v>
      </c>
      <c r="U197" s="3">
        <v>8</v>
      </c>
      <c r="V197" s="3">
        <v>0</v>
      </c>
      <c r="W197">
        <v>0</v>
      </c>
      <c r="X197" s="3">
        <v>0</v>
      </c>
      <c r="Y197">
        <v>0</v>
      </c>
      <c r="Z197" s="3">
        <v>0</v>
      </c>
      <c r="AA197" t="s">
        <v>406</v>
      </c>
      <c r="AB197" s="3">
        <v>1057</v>
      </c>
      <c r="AC197">
        <v>1469.39</v>
      </c>
      <c r="AD197" t="s">
        <v>49</v>
      </c>
      <c r="AE197">
        <v>0</v>
      </c>
      <c r="AF197" s="3">
        <v>0</v>
      </c>
      <c r="AG197" t="s">
        <v>49</v>
      </c>
      <c r="AH197">
        <v>0</v>
      </c>
      <c r="AI197" t="s">
        <v>49</v>
      </c>
      <c r="AJ197">
        <v>909.98</v>
      </c>
      <c r="AK197" t="s">
        <v>49</v>
      </c>
      <c r="AL197">
        <v>0</v>
      </c>
      <c r="AM197" t="s">
        <v>49</v>
      </c>
      <c r="AN197" s="3">
        <v>226</v>
      </c>
      <c r="AO197" s="19">
        <v>0</v>
      </c>
      <c r="AP197" s="19">
        <v>0</v>
      </c>
      <c r="AQ197" s="19">
        <v>0.8389</v>
      </c>
      <c r="AR197" s="19">
        <v>0.4497</v>
      </c>
      <c r="AS197" s="19">
        <v>0.625</v>
      </c>
      <c r="AT197" s="19">
        <v>0.25</v>
      </c>
      <c r="AU197" s="3">
        <v>0</v>
      </c>
      <c r="AV197" s="3">
        <v>0</v>
      </c>
      <c r="AW197" s="19">
        <v>0</v>
      </c>
      <c r="AX197" s="3">
        <v>0</v>
      </c>
      <c r="AY197" s="3">
        <v>0</v>
      </c>
    </row>
    <row r="198" spans="1:51">
      <c r="A198" s="3">
        <v>5921378</v>
      </c>
      <c r="B198" t="s">
        <v>407</v>
      </c>
      <c r="C198" s="3">
        <v>11235109</v>
      </c>
      <c r="D198" t="s">
        <v>44</v>
      </c>
      <c r="E198" t="s">
        <v>227</v>
      </c>
      <c r="F198" t="s">
        <v>65</v>
      </c>
      <c r="G198" t="s">
        <v>47</v>
      </c>
      <c r="H198" s="16">
        <v>0</v>
      </c>
      <c r="I198" s="4">
        <f>VLOOKUP(C198,[1]sheet1!$D:$I,6,0)</f>
        <v>0</v>
      </c>
      <c r="J198" s="4">
        <f>VLOOKUP(C198,[2]sheet1!$D:$I,6,0)</f>
        <v>0</v>
      </c>
      <c r="K198" s="4">
        <f>VLOOKUP(C198,[3]sheet1!$D:$I,6,0)</f>
        <v>0</v>
      </c>
      <c r="L198" s="4">
        <f>VLOOKUP(C198,[4]sheet1!$D:$I,6,0)</f>
        <v>0</v>
      </c>
      <c r="M198" s="4">
        <f>VLOOKUP(C198,[5]sheet1!$D:$I,6,0)</f>
        <v>0</v>
      </c>
      <c r="N198" s="4">
        <f>VLOOKUP(C198,[6]sheet1!$D:$I,6,0)</f>
        <v>0</v>
      </c>
      <c r="O198" s="4">
        <f>VLOOKUP(C198,[7]sheet1!$D:$I,6,0)</f>
        <v>0</v>
      </c>
      <c r="P198" s="4">
        <f>VLOOKUP(C198,[8]sheet1!$D:$I,6,0)</f>
        <v>0</v>
      </c>
      <c r="Q198" s="4">
        <f t="shared" si="3"/>
        <v>0</v>
      </c>
      <c r="R198" s="3">
        <v>0</v>
      </c>
      <c r="S198" s="3">
        <v>0</v>
      </c>
      <c r="T198" s="19">
        <v>0</v>
      </c>
      <c r="U198" s="3">
        <v>0</v>
      </c>
      <c r="V198" s="3">
        <v>0</v>
      </c>
      <c r="W198">
        <v>0</v>
      </c>
      <c r="X198" s="3">
        <v>0</v>
      </c>
      <c r="Y198">
        <v>0</v>
      </c>
      <c r="Z198" s="3">
        <v>0</v>
      </c>
      <c r="AA198" t="s">
        <v>49</v>
      </c>
      <c r="AB198" t="s">
        <v>49</v>
      </c>
      <c r="AC198" t="s">
        <v>49</v>
      </c>
      <c r="AD198" t="s">
        <v>49</v>
      </c>
      <c r="AE198">
        <v>0</v>
      </c>
      <c r="AF198" s="3">
        <v>0</v>
      </c>
      <c r="AG198" t="s">
        <v>49</v>
      </c>
      <c r="AH198" t="s">
        <v>49</v>
      </c>
      <c r="AI198" t="s">
        <v>49</v>
      </c>
      <c r="AJ198" t="s">
        <v>49</v>
      </c>
      <c r="AK198" t="s">
        <v>49</v>
      </c>
      <c r="AL198" t="s">
        <v>49</v>
      </c>
      <c r="AM198" t="s">
        <v>49</v>
      </c>
      <c r="AN198" s="3">
        <v>0</v>
      </c>
      <c r="AO198" s="19">
        <v>0</v>
      </c>
      <c r="AP198" s="19">
        <v>0</v>
      </c>
      <c r="AQ198" s="19">
        <v>0</v>
      </c>
      <c r="AR198" s="19">
        <v>0</v>
      </c>
      <c r="AS198" s="19">
        <v>0</v>
      </c>
      <c r="AT198" s="19">
        <v>0</v>
      </c>
      <c r="AU198" s="3">
        <v>0</v>
      </c>
      <c r="AV198" s="3">
        <v>0</v>
      </c>
      <c r="AW198" s="19">
        <v>0</v>
      </c>
      <c r="AX198" s="3">
        <v>0</v>
      </c>
      <c r="AY198" s="3">
        <v>0</v>
      </c>
    </row>
    <row r="199" spans="1:51">
      <c r="A199" s="3">
        <v>5918678</v>
      </c>
      <c r="B199" t="s">
        <v>408</v>
      </c>
      <c r="C199" s="3">
        <v>11140127</v>
      </c>
      <c r="D199" t="s">
        <v>44</v>
      </c>
      <c r="E199" t="s">
        <v>104</v>
      </c>
      <c r="F199" t="s">
        <v>65</v>
      </c>
      <c r="G199" t="s">
        <v>47</v>
      </c>
      <c r="H199" s="16">
        <v>0</v>
      </c>
      <c r="I199" s="4">
        <f>VLOOKUP(C199,[1]sheet1!$D:$I,6,0)</f>
        <v>0</v>
      </c>
      <c r="J199" s="4">
        <f>VLOOKUP(C199,[2]sheet1!$D:$I,6,0)</f>
        <v>0</v>
      </c>
      <c r="K199" s="4">
        <f>VLOOKUP(C199,[3]sheet1!$D:$I,6,0)</f>
        <v>0</v>
      </c>
      <c r="L199" s="4">
        <f>VLOOKUP(C199,[4]sheet1!$D:$I,6,0)</f>
        <v>0</v>
      </c>
      <c r="M199" s="4">
        <f>VLOOKUP(C199,[5]sheet1!$D:$I,6,0)</f>
        <v>0</v>
      </c>
      <c r="N199" s="4">
        <f>VLOOKUP(C199,[6]sheet1!$D:$I,6,0)</f>
        <v>0</v>
      </c>
      <c r="O199" s="4">
        <f>VLOOKUP(C199,[7]sheet1!$D:$I,6,0)</f>
        <v>0</v>
      </c>
      <c r="P199" s="4">
        <f>VLOOKUP(C199,[8]sheet1!$D:$I,6,0)</f>
        <v>0</v>
      </c>
      <c r="Q199" s="4">
        <f t="shared" si="3"/>
        <v>0</v>
      </c>
      <c r="R199" s="3">
        <v>0</v>
      </c>
      <c r="S199" s="3">
        <v>0</v>
      </c>
      <c r="T199" s="19">
        <v>0</v>
      </c>
      <c r="U199" s="3">
        <v>0</v>
      </c>
      <c r="V199" s="3">
        <v>0</v>
      </c>
      <c r="W199">
        <v>0</v>
      </c>
      <c r="X199" s="3">
        <v>0</v>
      </c>
      <c r="Y199">
        <v>0</v>
      </c>
      <c r="Z199" s="3">
        <v>0</v>
      </c>
      <c r="AA199" t="s">
        <v>49</v>
      </c>
      <c r="AB199" t="s">
        <v>49</v>
      </c>
      <c r="AC199" t="s">
        <v>49</v>
      </c>
      <c r="AD199" t="s">
        <v>49</v>
      </c>
      <c r="AE199">
        <v>0</v>
      </c>
      <c r="AF199" s="3">
        <v>0</v>
      </c>
      <c r="AG199" t="s">
        <v>49</v>
      </c>
      <c r="AH199" t="s">
        <v>49</v>
      </c>
      <c r="AI199" t="s">
        <v>49</v>
      </c>
      <c r="AJ199" t="s">
        <v>49</v>
      </c>
      <c r="AK199" t="s">
        <v>49</v>
      </c>
      <c r="AL199" t="s">
        <v>49</v>
      </c>
      <c r="AM199" t="s">
        <v>49</v>
      </c>
      <c r="AN199" s="3">
        <v>0</v>
      </c>
      <c r="AO199" s="19">
        <v>0</v>
      </c>
      <c r="AP199" s="19">
        <v>0</v>
      </c>
      <c r="AQ199" s="19">
        <v>0</v>
      </c>
      <c r="AR199" s="19">
        <v>0</v>
      </c>
      <c r="AS199" s="19">
        <v>0</v>
      </c>
      <c r="AT199" s="19">
        <v>0</v>
      </c>
      <c r="AU199" s="3">
        <v>0</v>
      </c>
      <c r="AV199" s="3">
        <v>0</v>
      </c>
      <c r="AW199" s="19">
        <v>0</v>
      </c>
      <c r="AX199" s="3">
        <v>0</v>
      </c>
      <c r="AY199" s="3">
        <v>0</v>
      </c>
    </row>
    <row r="200" spans="1:51">
      <c r="A200" s="3">
        <v>5918030</v>
      </c>
      <c r="B200" t="s">
        <v>409</v>
      </c>
      <c r="C200" s="3">
        <v>12131002</v>
      </c>
      <c r="D200" t="s">
        <v>44</v>
      </c>
      <c r="E200" t="s">
        <v>206</v>
      </c>
      <c r="F200" t="s">
        <v>65</v>
      </c>
      <c r="G200" t="s">
        <v>47</v>
      </c>
      <c r="H200" s="16">
        <v>0</v>
      </c>
      <c r="I200" s="4">
        <f>VLOOKUP(C200,[1]sheet1!$D:$I,6,0)</f>
        <v>0</v>
      </c>
      <c r="J200" s="4">
        <f>VLOOKUP(C200,[2]sheet1!$D:$I,6,0)</f>
        <v>0</v>
      </c>
      <c r="K200" s="4">
        <f>VLOOKUP(C200,[3]sheet1!$D:$I,6,0)</f>
        <v>0</v>
      </c>
      <c r="L200" s="4">
        <f>VLOOKUP(C200,[4]sheet1!$D:$I,6,0)</f>
        <v>0</v>
      </c>
      <c r="M200" s="4">
        <f>VLOOKUP(C200,[5]sheet1!$D:$I,6,0)</f>
        <v>0</v>
      </c>
      <c r="N200" s="4">
        <f>VLOOKUP(C200,[6]sheet1!$D:$I,6,0)</f>
        <v>0</v>
      </c>
      <c r="O200" s="4">
        <f>VLOOKUP(C200,[7]sheet1!$D:$I,6,0)</f>
        <v>0</v>
      </c>
      <c r="P200" s="4">
        <f>VLOOKUP(C200,[8]sheet1!$D:$I,6,0)</f>
        <v>0</v>
      </c>
      <c r="Q200" s="4">
        <f t="shared" si="3"/>
        <v>0</v>
      </c>
      <c r="R200" s="3">
        <v>0</v>
      </c>
      <c r="S200" s="3">
        <v>0</v>
      </c>
      <c r="T200" s="19">
        <v>0</v>
      </c>
      <c r="U200" s="3">
        <v>0</v>
      </c>
      <c r="V200" s="3">
        <v>0</v>
      </c>
      <c r="W200">
        <v>0</v>
      </c>
      <c r="X200" s="3">
        <v>0</v>
      </c>
      <c r="Y200">
        <v>0</v>
      </c>
      <c r="Z200" s="3">
        <v>0</v>
      </c>
      <c r="AA200" t="s">
        <v>49</v>
      </c>
      <c r="AB200" t="s">
        <v>49</v>
      </c>
      <c r="AC200" t="s">
        <v>49</v>
      </c>
      <c r="AD200" t="s">
        <v>49</v>
      </c>
      <c r="AE200">
        <v>0</v>
      </c>
      <c r="AF200" s="3">
        <v>0</v>
      </c>
      <c r="AG200" t="s">
        <v>49</v>
      </c>
      <c r="AH200" t="s">
        <v>49</v>
      </c>
      <c r="AI200" t="s">
        <v>49</v>
      </c>
      <c r="AJ200" t="s">
        <v>49</v>
      </c>
      <c r="AK200" t="s">
        <v>49</v>
      </c>
      <c r="AL200" t="s">
        <v>49</v>
      </c>
      <c r="AM200" t="s">
        <v>49</v>
      </c>
      <c r="AN200" s="3">
        <v>0</v>
      </c>
      <c r="AO200" s="19">
        <v>0</v>
      </c>
      <c r="AP200" s="19">
        <v>0</v>
      </c>
      <c r="AQ200" s="19">
        <v>0</v>
      </c>
      <c r="AR200" s="19">
        <v>0</v>
      </c>
      <c r="AS200" s="19">
        <v>0</v>
      </c>
      <c r="AT200" s="19">
        <v>0</v>
      </c>
      <c r="AU200" s="3">
        <v>0</v>
      </c>
      <c r="AV200" s="3">
        <v>0</v>
      </c>
      <c r="AW200" s="19">
        <v>0</v>
      </c>
      <c r="AX200" s="3">
        <v>0</v>
      </c>
      <c r="AY200" s="3">
        <v>0</v>
      </c>
    </row>
    <row r="201" spans="1:51">
      <c r="A201" s="3">
        <v>5913475</v>
      </c>
      <c r="B201" t="s">
        <v>410</v>
      </c>
      <c r="C201" s="3">
        <v>12330602</v>
      </c>
      <c r="D201" t="s">
        <v>44</v>
      </c>
      <c r="E201" t="s">
        <v>138</v>
      </c>
      <c r="F201" t="s">
        <v>46</v>
      </c>
      <c r="G201" t="s">
        <v>47</v>
      </c>
      <c r="H201" s="16">
        <v>0</v>
      </c>
      <c r="I201" s="4">
        <f>VLOOKUP(C201,[1]sheet1!$D:$I,6,0)</f>
        <v>381</v>
      </c>
      <c r="J201" s="4">
        <f>VLOOKUP(C201,[2]sheet1!$D:$I,6,0)</f>
        <v>0</v>
      </c>
      <c r="K201" s="4">
        <f>VLOOKUP(C201,[3]sheet1!$D:$I,6,0)</f>
        <v>0</v>
      </c>
      <c r="L201" s="4">
        <f>VLOOKUP(C201,[4]sheet1!$D:$I,6,0)</f>
        <v>0</v>
      </c>
      <c r="M201" s="4">
        <f>VLOOKUP(C201,[5]sheet1!$D:$I,6,0)</f>
        <v>0</v>
      </c>
      <c r="N201" s="4">
        <f>VLOOKUP(C201,[6]sheet1!$D:$I,6,0)</f>
        <v>0</v>
      </c>
      <c r="O201" s="4">
        <f>VLOOKUP(C201,[7]sheet1!$D:$I,6,0)</f>
        <v>0</v>
      </c>
      <c r="P201" s="4">
        <f>VLOOKUP(C201,[8]sheet1!$D:$I,6,0)</f>
        <v>0</v>
      </c>
      <c r="Q201" s="15">
        <f t="shared" si="3"/>
        <v>381</v>
      </c>
      <c r="R201" s="3">
        <v>0</v>
      </c>
      <c r="S201">
        <v>353</v>
      </c>
      <c r="T201">
        <v>0</v>
      </c>
      <c r="U201" s="3">
        <v>1</v>
      </c>
      <c r="V201" s="3">
        <v>0</v>
      </c>
      <c r="W201">
        <v>0</v>
      </c>
      <c r="X201" s="3">
        <v>0</v>
      </c>
      <c r="Y201">
        <v>0</v>
      </c>
      <c r="Z201" s="3">
        <v>0</v>
      </c>
      <c r="AA201" t="s">
        <v>411</v>
      </c>
      <c r="AB201" s="3">
        <v>296</v>
      </c>
      <c r="AC201">
        <v>326.24</v>
      </c>
      <c r="AD201" t="s">
        <v>49</v>
      </c>
      <c r="AE201">
        <v>0</v>
      </c>
      <c r="AF201" s="3">
        <v>0</v>
      </c>
      <c r="AG201" t="s">
        <v>49</v>
      </c>
      <c r="AH201">
        <v>0</v>
      </c>
      <c r="AI201" t="s">
        <v>49</v>
      </c>
      <c r="AJ201">
        <v>245.33</v>
      </c>
      <c r="AK201" t="s">
        <v>49</v>
      </c>
      <c r="AL201">
        <v>0</v>
      </c>
      <c r="AM201" t="s">
        <v>49</v>
      </c>
      <c r="AN201" s="3">
        <v>116</v>
      </c>
      <c r="AO201" s="19">
        <v>0</v>
      </c>
      <c r="AP201" s="19">
        <v>0</v>
      </c>
      <c r="AQ201" s="19">
        <v>0.8804</v>
      </c>
      <c r="AR201" s="19">
        <v>0.4348</v>
      </c>
      <c r="AS201" s="19">
        <v>1</v>
      </c>
      <c r="AT201" s="19">
        <v>0</v>
      </c>
      <c r="AU201" s="3">
        <v>0</v>
      </c>
      <c r="AV201" s="3">
        <v>0</v>
      </c>
      <c r="AW201" s="19">
        <v>0</v>
      </c>
      <c r="AX201" s="3">
        <v>0</v>
      </c>
      <c r="AY201" s="3">
        <v>0</v>
      </c>
    </row>
    <row r="202" spans="1:51">
      <c r="A202" s="3">
        <v>5892722</v>
      </c>
      <c r="B202" t="s">
        <v>412</v>
      </c>
      <c r="C202" s="3">
        <v>12221258</v>
      </c>
      <c r="D202" t="s">
        <v>44</v>
      </c>
      <c r="E202" t="s">
        <v>109</v>
      </c>
      <c r="F202" t="s">
        <v>65</v>
      </c>
      <c r="G202" t="s">
        <v>356</v>
      </c>
      <c r="H202" s="16">
        <v>0</v>
      </c>
      <c r="I202" s="4">
        <f>VLOOKUP(C202,[1]sheet1!$D:$I,6,0)</f>
        <v>0</v>
      </c>
      <c r="J202" s="4">
        <f>VLOOKUP(C202,[2]sheet1!$D:$I,6,0)</f>
        <v>0</v>
      </c>
      <c r="K202" s="4">
        <f>VLOOKUP(C202,[3]sheet1!$D:$I,6,0)</f>
        <v>0</v>
      </c>
      <c r="L202" s="4">
        <f>VLOOKUP(C202,[4]sheet1!$D:$I,6,0)</f>
        <v>0</v>
      </c>
      <c r="M202" s="4">
        <f>VLOOKUP(C202,[5]sheet1!$D:$I,6,0)</f>
        <v>0</v>
      </c>
      <c r="N202" s="4">
        <f>VLOOKUP(C202,[6]sheet1!$D:$I,6,0)</f>
        <v>0</v>
      </c>
      <c r="O202" s="4">
        <f>VLOOKUP(C202,[7]sheet1!$D:$I,6,0)</f>
        <v>0</v>
      </c>
      <c r="P202" s="4">
        <f>VLOOKUP(C202,[8]sheet1!$D:$I,6,0)</f>
        <v>0</v>
      </c>
      <c r="Q202" s="4">
        <f t="shared" si="3"/>
        <v>0</v>
      </c>
      <c r="R202" s="3">
        <v>0</v>
      </c>
      <c r="S202" s="3">
        <v>0</v>
      </c>
      <c r="T202" s="19">
        <v>0</v>
      </c>
      <c r="U202" s="3">
        <v>0</v>
      </c>
      <c r="V202" s="3">
        <v>0</v>
      </c>
      <c r="W202">
        <v>0</v>
      </c>
      <c r="X202" s="3">
        <v>0</v>
      </c>
      <c r="Y202">
        <v>0</v>
      </c>
      <c r="Z202" s="3">
        <v>0</v>
      </c>
      <c r="AA202" t="s">
        <v>49</v>
      </c>
      <c r="AB202" t="s">
        <v>49</v>
      </c>
      <c r="AC202" t="s">
        <v>49</v>
      </c>
      <c r="AD202" t="s">
        <v>49</v>
      </c>
      <c r="AE202">
        <v>0</v>
      </c>
      <c r="AF202" s="3">
        <v>0</v>
      </c>
      <c r="AG202" t="s">
        <v>49</v>
      </c>
      <c r="AH202" t="s">
        <v>49</v>
      </c>
      <c r="AI202" t="s">
        <v>49</v>
      </c>
      <c r="AJ202" t="s">
        <v>49</v>
      </c>
      <c r="AK202" t="s">
        <v>49</v>
      </c>
      <c r="AL202" t="s">
        <v>49</v>
      </c>
      <c r="AM202" t="s">
        <v>49</v>
      </c>
      <c r="AN202" s="3">
        <v>0</v>
      </c>
      <c r="AO202" s="19">
        <v>0</v>
      </c>
      <c r="AP202" s="19">
        <v>0</v>
      </c>
      <c r="AQ202" s="19">
        <v>0</v>
      </c>
      <c r="AR202" s="19">
        <v>0</v>
      </c>
      <c r="AS202" s="19">
        <v>0</v>
      </c>
      <c r="AT202" s="19">
        <v>0</v>
      </c>
      <c r="AU202" s="3">
        <v>0</v>
      </c>
      <c r="AV202" s="3">
        <v>0</v>
      </c>
      <c r="AW202" s="19">
        <v>0</v>
      </c>
      <c r="AX202" s="3">
        <v>0</v>
      </c>
      <c r="AY202" s="3">
        <v>0</v>
      </c>
    </row>
    <row r="203" spans="1:51">
      <c r="A203" s="3">
        <v>5892404</v>
      </c>
      <c r="B203" t="s">
        <v>413</v>
      </c>
      <c r="C203" s="3">
        <v>112221210</v>
      </c>
      <c r="D203" t="s">
        <v>44</v>
      </c>
      <c r="E203" t="s">
        <v>109</v>
      </c>
      <c r="F203" t="s">
        <v>65</v>
      </c>
      <c r="G203" t="s">
        <v>47</v>
      </c>
      <c r="H203" s="16">
        <v>0</v>
      </c>
      <c r="I203" s="4">
        <f>VLOOKUP(C203,[1]sheet1!$D:$I,6,0)</f>
        <v>0</v>
      </c>
      <c r="J203" s="4">
        <f>VLOOKUP(C203,[2]sheet1!$D:$I,6,0)</f>
        <v>0</v>
      </c>
      <c r="K203" s="4">
        <f>VLOOKUP(C203,[3]sheet1!$D:$I,6,0)</f>
        <v>0</v>
      </c>
      <c r="L203" s="4">
        <f>VLOOKUP(C203,[4]sheet1!$D:$I,6,0)</f>
        <v>0</v>
      </c>
      <c r="M203" s="4">
        <f>VLOOKUP(C203,[5]sheet1!$D:$I,6,0)</f>
        <v>0</v>
      </c>
      <c r="N203" s="4">
        <f>VLOOKUP(C203,[6]sheet1!$D:$I,6,0)</f>
        <v>0</v>
      </c>
      <c r="O203" s="4">
        <f>VLOOKUP(C203,[7]sheet1!$D:$I,6,0)</f>
        <v>0</v>
      </c>
      <c r="P203" s="4">
        <f>VLOOKUP(C203,[8]sheet1!$D:$I,6,0)</f>
        <v>0</v>
      </c>
      <c r="Q203" s="4">
        <f t="shared" si="3"/>
        <v>0</v>
      </c>
      <c r="R203" s="3">
        <v>0</v>
      </c>
      <c r="S203" s="3">
        <v>0</v>
      </c>
      <c r="T203" s="19">
        <v>0</v>
      </c>
      <c r="U203" s="3">
        <v>0</v>
      </c>
      <c r="V203" s="3">
        <v>0</v>
      </c>
      <c r="W203">
        <v>0</v>
      </c>
      <c r="X203" s="3">
        <v>0</v>
      </c>
      <c r="Y203">
        <v>0</v>
      </c>
      <c r="Z203" s="3">
        <v>0</v>
      </c>
      <c r="AA203" t="s">
        <v>49</v>
      </c>
      <c r="AB203" t="s">
        <v>49</v>
      </c>
      <c r="AC203" t="s">
        <v>49</v>
      </c>
      <c r="AD203" t="s">
        <v>49</v>
      </c>
      <c r="AE203">
        <v>0</v>
      </c>
      <c r="AF203" s="3">
        <v>0</v>
      </c>
      <c r="AG203" t="s">
        <v>49</v>
      </c>
      <c r="AH203" t="s">
        <v>49</v>
      </c>
      <c r="AI203" t="s">
        <v>49</v>
      </c>
      <c r="AJ203" t="s">
        <v>49</v>
      </c>
      <c r="AK203" t="s">
        <v>49</v>
      </c>
      <c r="AL203" t="s">
        <v>49</v>
      </c>
      <c r="AM203" t="s">
        <v>49</v>
      </c>
      <c r="AN203" s="3">
        <v>0</v>
      </c>
      <c r="AO203" s="19">
        <v>0</v>
      </c>
      <c r="AP203" s="19">
        <v>0</v>
      </c>
      <c r="AQ203" s="19">
        <v>0</v>
      </c>
      <c r="AR203" s="19">
        <v>0</v>
      </c>
      <c r="AS203" s="19">
        <v>0</v>
      </c>
      <c r="AT203" s="19">
        <v>0</v>
      </c>
      <c r="AU203" s="3">
        <v>0</v>
      </c>
      <c r="AV203" s="3">
        <v>0</v>
      </c>
      <c r="AW203" s="19">
        <v>0</v>
      </c>
      <c r="AX203" s="3">
        <v>0</v>
      </c>
      <c r="AY203" s="3">
        <v>0</v>
      </c>
    </row>
    <row r="204" spans="1:51">
      <c r="A204" s="3">
        <v>5889133</v>
      </c>
      <c r="B204" t="s">
        <v>414</v>
      </c>
      <c r="C204" s="3">
        <v>12133802</v>
      </c>
      <c r="D204" t="s">
        <v>44</v>
      </c>
      <c r="E204" t="s">
        <v>415</v>
      </c>
      <c r="F204" t="s">
        <v>65</v>
      </c>
      <c r="G204" t="s">
        <v>47</v>
      </c>
      <c r="H204" s="16">
        <v>0</v>
      </c>
      <c r="I204" s="4">
        <f>VLOOKUP(C204,[1]sheet1!$D:$I,6,0)</f>
        <v>0</v>
      </c>
      <c r="J204" s="4">
        <f>VLOOKUP(C204,[2]sheet1!$D:$I,6,0)</f>
        <v>0</v>
      </c>
      <c r="K204" s="4">
        <f>VLOOKUP(C204,[3]sheet1!$D:$I,6,0)</f>
        <v>0</v>
      </c>
      <c r="L204" s="4">
        <f>VLOOKUP(C204,[4]sheet1!$D:$I,6,0)</f>
        <v>0</v>
      </c>
      <c r="M204" s="4">
        <f>VLOOKUP(C204,[5]sheet1!$D:$I,6,0)</f>
        <v>0</v>
      </c>
      <c r="N204" s="4">
        <f>VLOOKUP(C204,[6]sheet1!$D:$I,6,0)</f>
        <v>0</v>
      </c>
      <c r="O204" s="4">
        <f>VLOOKUP(C204,[7]sheet1!$D:$I,6,0)</f>
        <v>0</v>
      </c>
      <c r="P204" s="4">
        <f>VLOOKUP(C204,[8]sheet1!$D:$I,6,0)</f>
        <v>0</v>
      </c>
      <c r="Q204" s="4">
        <f t="shared" si="3"/>
        <v>0</v>
      </c>
      <c r="R204" s="3">
        <v>0</v>
      </c>
      <c r="S204" s="3">
        <v>2</v>
      </c>
      <c r="T204" s="19">
        <v>0</v>
      </c>
      <c r="U204" s="3">
        <v>0</v>
      </c>
      <c r="V204" s="3">
        <v>0</v>
      </c>
      <c r="W204">
        <v>0</v>
      </c>
      <c r="X204" s="3">
        <v>0</v>
      </c>
      <c r="Y204">
        <v>0</v>
      </c>
      <c r="Z204" s="3">
        <v>0</v>
      </c>
      <c r="AA204" t="s">
        <v>49</v>
      </c>
      <c r="AB204" t="s">
        <v>49</v>
      </c>
      <c r="AC204" t="s">
        <v>49</v>
      </c>
      <c r="AD204" t="s">
        <v>49</v>
      </c>
      <c r="AE204">
        <v>0</v>
      </c>
      <c r="AF204" s="3">
        <v>0</v>
      </c>
      <c r="AG204" t="s">
        <v>49</v>
      </c>
      <c r="AH204" t="s">
        <v>49</v>
      </c>
      <c r="AI204" t="s">
        <v>49</v>
      </c>
      <c r="AJ204" t="s">
        <v>49</v>
      </c>
      <c r="AK204" t="s">
        <v>49</v>
      </c>
      <c r="AL204" t="s">
        <v>49</v>
      </c>
      <c r="AM204" t="s">
        <v>49</v>
      </c>
      <c r="AN204" s="3">
        <v>2</v>
      </c>
      <c r="AO204" s="19">
        <v>0</v>
      </c>
      <c r="AP204" s="19">
        <v>0</v>
      </c>
      <c r="AQ204" s="19">
        <v>1</v>
      </c>
      <c r="AR204" s="19">
        <v>0.5</v>
      </c>
      <c r="AS204" s="19">
        <v>0</v>
      </c>
      <c r="AT204" s="19">
        <v>0</v>
      </c>
      <c r="AU204" s="3">
        <v>0</v>
      </c>
      <c r="AV204" s="3">
        <v>0</v>
      </c>
      <c r="AW204" s="19">
        <v>0</v>
      </c>
      <c r="AX204" s="3">
        <v>0</v>
      </c>
      <c r="AY204" s="3">
        <v>0</v>
      </c>
    </row>
    <row r="205" spans="1:51">
      <c r="A205" s="3">
        <v>5812551</v>
      </c>
      <c r="B205" t="s">
        <v>416</v>
      </c>
      <c r="C205" s="3">
        <v>12340164</v>
      </c>
      <c r="D205" t="s">
        <v>44</v>
      </c>
      <c r="E205" t="s">
        <v>104</v>
      </c>
      <c r="F205" t="s">
        <v>46</v>
      </c>
      <c r="G205" t="s">
        <v>47</v>
      </c>
      <c r="H205" s="16">
        <v>0</v>
      </c>
      <c r="I205" s="4">
        <f>VLOOKUP(C205,[1]sheet1!$D:$I,6,0)</f>
        <v>0</v>
      </c>
      <c r="J205" s="4">
        <f>VLOOKUP(C205,[2]sheet1!$D:$I,6,0)</f>
        <v>2055</v>
      </c>
      <c r="K205" s="4">
        <f>VLOOKUP(C205,[3]sheet1!$D:$I,6,0)</f>
        <v>0</v>
      </c>
      <c r="L205" s="4">
        <f>VLOOKUP(C205,[4]sheet1!$D:$I,6,0)</f>
        <v>668</v>
      </c>
      <c r="M205" s="4">
        <f>VLOOKUP(C205,[5]sheet1!$D:$I,6,0)</f>
        <v>0</v>
      </c>
      <c r="N205" s="4">
        <f>VLOOKUP(C205,[6]sheet1!$D:$I,6,0)</f>
        <v>1347</v>
      </c>
      <c r="O205" s="4">
        <f>VLOOKUP(C205,[7]sheet1!$D:$I,6,0)</f>
        <v>681</v>
      </c>
      <c r="P205" s="4">
        <f>VLOOKUP(C205,[8]sheet1!$D:$I,6,0)</f>
        <v>0</v>
      </c>
      <c r="Q205" s="4">
        <f t="shared" si="3"/>
        <v>4751</v>
      </c>
      <c r="R205" s="3">
        <v>0</v>
      </c>
      <c r="S205">
        <v>1451</v>
      </c>
      <c r="T205">
        <v>0</v>
      </c>
      <c r="U205" s="3">
        <v>112</v>
      </c>
      <c r="V205" s="3">
        <v>0</v>
      </c>
      <c r="W205">
        <v>665</v>
      </c>
      <c r="X205" s="3">
        <v>1</v>
      </c>
      <c r="Y205">
        <v>0</v>
      </c>
      <c r="Z205" s="3">
        <v>0</v>
      </c>
      <c r="AA205" t="s">
        <v>112</v>
      </c>
      <c r="AB205" s="3">
        <v>494</v>
      </c>
      <c r="AC205">
        <v>598.52</v>
      </c>
      <c r="AD205" t="s">
        <v>49</v>
      </c>
      <c r="AE205">
        <v>0</v>
      </c>
      <c r="AF205" s="3">
        <v>0</v>
      </c>
      <c r="AG205" t="s">
        <v>49</v>
      </c>
      <c r="AH205">
        <v>0</v>
      </c>
      <c r="AI205" t="s">
        <v>49</v>
      </c>
      <c r="AJ205">
        <v>420.17</v>
      </c>
      <c r="AK205" t="s">
        <v>49</v>
      </c>
      <c r="AL205">
        <v>0</v>
      </c>
      <c r="AM205" t="s">
        <v>49</v>
      </c>
      <c r="AN205" s="3">
        <v>2461</v>
      </c>
      <c r="AO205" s="19">
        <v>0</v>
      </c>
      <c r="AP205" s="19">
        <v>0</v>
      </c>
      <c r="AQ205" s="19">
        <v>0.8727</v>
      </c>
      <c r="AR205" s="19">
        <v>0.4341</v>
      </c>
      <c r="AS205" s="19">
        <v>0.9018</v>
      </c>
      <c r="AT205" s="19">
        <v>0.5625</v>
      </c>
      <c r="AU205" s="3">
        <v>0</v>
      </c>
      <c r="AV205" s="3">
        <v>0</v>
      </c>
      <c r="AW205" s="19">
        <v>0</v>
      </c>
      <c r="AX205" s="3">
        <v>0</v>
      </c>
      <c r="AY205" s="3">
        <v>0</v>
      </c>
    </row>
    <row r="206" spans="1:51">
      <c r="A206" s="3">
        <v>5714308</v>
      </c>
      <c r="B206" t="s">
        <v>417</v>
      </c>
      <c r="C206" s="3">
        <v>112325110</v>
      </c>
      <c r="D206" t="s">
        <v>44</v>
      </c>
      <c r="E206" t="s">
        <v>418</v>
      </c>
      <c r="F206" t="s">
        <v>65</v>
      </c>
      <c r="G206" t="s">
        <v>356</v>
      </c>
      <c r="H206" s="16">
        <v>0</v>
      </c>
      <c r="I206" s="4">
        <f>VLOOKUP(C206,[1]sheet1!$D:$I,6,0)</f>
        <v>0</v>
      </c>
      <c r="J206" s="4">
        <f>VLOOKUP(C206,[2]sheet1!$D:$I,6,0)</f>
        <v>0</v>
      </c>
      <c r="K206" s="4">
        <f>VLOOKUP(C206,[3]sheet1!$D:$I,6,0)</f>
        <v>0</v>
      </c>
      <c r="L206" s="4">
        <f>VLOOKUP(C206,[4]sheet1!$D:$I,6,0)</f>
        <v>0</v>
      </c>
      <c r="M206" s="4">
        <f>VLOOKUP(C206,[5]sheet1!$D:$I,6,0)</f>
        <v>0</v>
      </c>
      <c r="N206" s="4">
        <f>VLOOKUP(C206,[6]sheet1!$D:$I,6,0)</f>
        <v>0</v>
      </c>
      <c r="O206" s="4">
        <f>VLOOKUP(C206,[7]sheet1!$D:$I,6,0)</f>
        <v>0</v>
      </c>
      <c r="P206" s="4">
        <f>VLOOKUP(C206,[8]sheet1!$D:$I,6,0)</f>
        <v>0</v>
      </c>
      <c r="Q206" s="4">
        <f t="shared" si="3"/>
        <v>0</v>
      </c>
      <c r="R206" s="3">
        <v>0</v>
      </c>
      <c r="S206" s="3">
        <v>0</v>
      </c>
      <c r="T206" s="19">
        <v>0</v>
      </c>
      <c r="U206" s="3">
        <v>0</v>
      </c>
      <c r="V206" s="3">
        <v>0</v>
      </c>
      <c r="W206">
        <v>0</v>
      </c>
      <c r="X206" s="3">
        <v>0</v>
      </c>
      <c r="Y206">
        <v>0</v>
      </c>
      <c r="Z206" s="3">
        <v>0</v>
      </c>
      <c r="AA206" t="s">
        <v>49</v>
      </c>
      <c r="AB206" t="s">
        <v>49</v>
      </c>
      <c r="AC206" t="s">
        <v>49</v>
      </c>
      <c r="AD206" t="s">
        <v>49</v>
      </c>
      <c r="AE206">
        <v>0</v>
      </c>
      <c r="AF206" s="3">
        <v>0</v>
      </c>
      <c r="AG206" t="s">
        <v>49</v>
      </c>
      <c r="AH206" t="s">
        <v>49</v>
      </c>
      <c r="AI206" t="s">
        <v>49</v>
      </c>
      <c r="AJ206" t="s">
        <v>49</v>
      </c>
      <c r="AK206" t="s">
        <v>49</v>
      </c>
      <c r="AL206" t="s">
        <v>49</v>
      </c>
      <c r="AM206" t="s">
        <v>49</v>
      </c>
      <c r="AN206" s="3">
        <v>0</v>
      </c>
      <c r="AO206" s="19">
        <v>0</v>
      </c>
      <c r="AP206" s="19">
        <v>0</v>
      </c>
      <c r="AQ206" s="19">
        <v>0</v>
      </c>
      <c r="AR206" s="19">
        <v>0</v>
      </c>
      <c r="AS206" s="19">
        <v>0</v>
      </c>
      <c r="AT206" s="19">
        <v>0</v>
      </c>
      <c r="AU206" s="3">
        <v>0</v>
      </c>
      <c r="AV206" s="3">
        <v>0</v>
      </c>
      <c r="AW206" s="19">
        <v>0</v>
      </c>
      <c r="AX206" s="3">
        <v>0</v>
      </c>
      <c r="AY206" s="3">
        <v>0</v>
      </c>
    </row>
    <row r="207" spans="1:51">
      <c r="A207" s="3">
        <v>5453603</v>
      </c>
      <c r="B207" t="s">
        <v>419</v>
      </c>
      <c r="C207" s="3">
        <v>12340132</v>
      </c>
      <c r="D207" t="s">
        <v>44</v>
      </c>
      <c r="E207" t="s">
        <v>104</v>
      </c>
      <c r="F207" t="s">
        <v>65</v>
      </c>
      <c r="G207" t="s">
        <v>47</v>
      </c>
      <c r="H207" s="16">
        <v>0</v>
      </c>
      <c r="I207" s="4">
        <f>VLOOKUP(C207,[1]sheet1!$D:$I,6,0)</f>
        <v>0</v>
      </c>
      <c r="J207" s="4">
        <f>VLOOKUP(C207,[2]sheet1!$D:$I,6,0)</f>
        <v>0</v>
      </c>
      <c r="K207" s="4">
        <f>VLOOKUP(C207,[3]sheet1!$D:$I,6,0)</f>
        <v>0</v>
      </c>
      <c r="L207" s="4">
        <f>VLOOKUP(C207,[4]sheet1!$D:$I,6,0)</f>
        <v>0</v>
      </c>
      <c r="M207" s="4">
        <f>VLOOKUP(C207,[5]sheet1!$D:$I,6,0)</f>
        <v>0</v>
      </c>
      <c r="N207" s="4">
        <f>VLOOKUP(C207,[6]sheet1!$D:$I,6,0)</f>
        <v>0</v>
      </c>
      <c r="O207" s="4">
        <f>VLOOKUP(C207,[7]sheet1!$D:$I,6,0)</f>
        <v>0</v>
      </c>
      <c r="P207" s="4">
        <f>VLOOKUP(C207,[8]sheet1!$D:$I,6,0)</f>
        <v>0</v>
      </c>
      <c r="Q207" s="4">
        <f t="shared" si="3"/>
        <v>0</v>
      </c>
      <c r="R207" s="3">
        <v>0</v>
      </c>
      <c r="S207" s="3">
        <v>7</v>
      </c>
      <c r="T207" s="19">
        <v>0</v>
      </c>
      <c r="U207" s="3">
        <v>0</v>
      </c>
      <c r="V207" s="3">
        <v>0</v>
      </c>
      <c r="W207">
        <v>0</v>
      </c>
      <c r="X207" s="3">
        <v>0</v>
      </c>
      <c r="Y207">
        <v>0</v>
      </c>
      <c r="Z207" s="3">
        <v>0</v>
      </c>
      <c r="AA207" t="s">
        <v>420</v>
      </c>
      <c r="AB207" t="s">
        <v>49</v>
      </c>
      <c r="AC207">
        <v>494.12</v>
      </c>
      <c r="AD207" t="s">
        <v>49</v>
      </c>
      <c r="AE207">
        <v>0</v>
      </c>
      <c r="AF207" s="3">
        <v>0</v>
      </c>
      <c r="AG207" t="s">
        <v>49</v>
      </c>
      <c r="AH207">
        <v>0</v>
      </c>
      <c r="AI207" t="s">
        <v>49</v>
      </c>
      <c r="AJ207" t="s">
        <v>49</v>
      </c>
      <c r="AK207" t="s">
        <v>49</v>
      </c>
      <c r="AL207" t="s">
        <v>49</v>
      </c>
      <c r="AM207" t="s">
        <v>49</v>
      </c>
      <c r="AN207" s="3">
        <v>8</v>
      </c>
      <c r="AO207" s="19">
        <v>0</v>
      </c>
      <c r="AP207" s="19">
        <v>0</v>
      </c>
      <c r="AQ207" s="19">
        <v>0.7143</v>
      </c>
      <c r="AR207" s="19">
        <v>0.4286</v>
      </c>
      <c r="AS207" s="19">
        <v>0</v>
      </c>
      <c r="AT207" s="19">
        <v>0</v>
      </c>
      <c r="AU207" s="3">
        <v>0</v>
      </c>
      <c r="AV207" s="3">
        <v>0</v>
      </c>
      <c r="AW207" s="19">
        <v>0</v>
      </c>
      <c r="AX207" s="3">
        <v>0</v>
      </c>
      <c r="AY207" s="3">
        <v>0</v>
      </c>
    </row>
    <row r="208" spans="1:51">
      <c r="A208" s="3">
        <v>5406707</v>
      </c>
      <c r="B208" t="s">
        <v>421</v>
      </c>
      <c r="C208" s="3">
        <v>16202509</v>
      </c>
      <c r="D208" t="s">
        <v>44</v>
      </c>
      <c r="E208" t="s">
        <v>78</v>
      </c>
      <c r="F208" t="s">
        <v>65</v>
      </c>
      <c r="G208" t="s">
        <v>47</v>
      </c>
      <c r="H208" s="16">
        <v>0</v>
      </c>
      <c r="I208" s="4">
        <f>VLOOKUP(C208,[1]sheet1!$D:$I,6,0)</f>
        <v>0</v>
      </c>
      <c r="J208" s="4">
        <f>VLOOKUP(C208,[2]sheet1!$D:$I,6,0)</f>
        <v>0</v>
      </c>
      <c r="K208" s="4">
        <f>VLOOKUP(C208,[3]sheet1!$D:$I,6,0)</f>
        <v>0</v>
      </c>
      <c r="L208" s="4">
        <f>VLOOKUP(C208,[4]sheet1!$D:$I,6,0)</f>
        <v>0</v>
      </c>
      <c r="M208" s="4">
        <f>VLOOKUP(C208,[5]sheet1!$D:$I,6,0)</f>
        <v>0</v>
      </c>
      <c r="N208" s="4">
        <f>VLOOKUP(C208,[6]sheet1!$D:$I,6,0)</f>
        <v>418</v>
      </c>
      <c r="O208" s="4">
        <f>VLOOKUP(C208,[7]sheet1!$D:$I,6,0)</f>
        <v>0</v>
      </c>
      <c r="P208" s="4">
        <f>VLOOKUP(C208,[8]sheet1!$D:$I,6,0)</f>
        <v>0</v>
      </c>
      <c r="Q208" s="4">
        <f t="shared" si="3"/>
        <v>418</v>
      </c>
      <c r="R208" s="3">
        <v>0</v>
      </c>
      <c r="S208" s="3">
        <v>11</v>
      </c>
      <c r="T208" s="19">
        <v>0</v>
      </c>
      <c r="U208" s="3">
        <v>0</v>
      </c>
      <c r="V208" s="3">
        <v>0</v>
      </c>
      <c r="W208">
        <v>0</v>
      </c>
      <c r="X208" s="3">
        <v>0</v>
      </c>
      <c r="Y208">
        <v>0</v>
      </c>
      <c r="Z208" s="3">
        <v>0</v>
      </c>
      <c r="AA208" t="s">
        <v>49</v>
      </c>
      <c r="AB208" t="s">
        <v>49</v>
      </c>
      <c r="AC208" t="s">
        <v>49</v>
      </c>
      <c r="AD208" t="s">
        <v>49</v>
      </c>
      <c r="AE208">
        <v>0</v>
      </c>
      <c r="AF208" s="3">
        <v>0</v>
      </c>
      <c r="AG208" t="s">
        <v>49</v>
      </c>
      <c r="AH208" t="s">
        <v>49</v>
      </c>
      <c r="AI208" t="s">
        <v>49</v>
      </c>
      <c r="AJ208" t="s">
        <v>49</v>
      </c>
      <c r="AK208" t="s">
        <v>49</v>
      </c>
      <c r="AL208" t="s">
        <v>49</v>
      </c>
      <c r="AM208" t="s">
        <v>49</v>
      </c>
      <c r="AN208" s="3">
        <v>14</v>
      </c>
      <c r="AO208" s="19">
        <v>0</v>
      </c>
      <c r="AP208" s="19">
        <v>0</v>
      </c>
      <c r="AQ208" s="19">
        <v>0.6364</v>
      </c>
      <c r="AR208" s="19">
        <v>0.5455</v>
      </c>
      <c r="AS208" s="19">
        <v>0</v>
      </c>
      <c r="AT208" s="19">
        <v>0</v>
      </c>
      <c r="AU208" s="3">
        <v>0</v>
      </c>
      <c r="AV208" s="3">
        <v>0</v>
      </c>
      <c r="AW208" s="19">
        <v>0</v>
      </c>
      <c r="AX208" s="3">
        <v>0</v>
      </c>
      <c r="AY208" s="3">
        <v>0</v>
      </c>
    </row>
    <row r="209" spans="1:51">
      <c r="A209" s="3">
        <v>5346808</v>
      </c>
      <c r="B209" t="s">
        <v>422</v>
      </c>
      <c r="C209" s="3">
        <v>12340104</v>
      </c>
      <c r="D209" t="s">
        <v>44</v>
      </c>
      <c r="E209" t="s">
        <v>141</v>
      </c>
      <c r="F209" t="s">
        <v>46</v>
      </c>
      <c r="G209" t="s">
        <v>47</v>
      </c>
      <c r="H209" s="16">
        <v>0</v>
      </c>
      <c r="I209" s="4">
        <f>VLOOKUP(C209,[1]sheet1!$D:$I,6,0)</f>
        <v>0</v>
      </c>
      <c r="J209" s="4">
        <f>VLOOKUP(C209,[2]sheet1!$D:$I,6,0)</f>
        <v>0</v>
      </c>
      <c r="K209" s="4">
        <f>VLOOKUP(C209,[3]sheet1!$D:$I,6,0)</f>
        <v>0</v>
      </c>
      <c r="L209" s="4">
        <f>VLOOKUP(C209,[4]sheet1!$D:$I,6,0)</f>
        <v>0</v>
      </c>
      <c r="M209" s="4">
        <f>VLOOKUP(C209,[5]sheet1!$D:$I,6,0)</f>
        <v>0</v>
      </c>
      <c r="N209" s="4">
        <f>VLOOKUP(C209,[6]sheet1!$D:$I,6,0)</f>
        <v>0</v>
      </c>
      <c r="O209" s="4">
        <f>VLOOKUP(C209,[7]sheet1!$D:$I,6,0)</f>
        <v>0</v>
      </c>
      <c r="P209" s="4">
        <f>VLOOKUP(C209,[8]sheet1!$D:$I,6,0)</f>
        <v>0</v>
      </c>
      <c r="Q209" s="4">
        <f t="shared" si="3"/>
        <v>0</v>
      </c>
      <c r="R209" s="3">
        <v>0</v>
      </c>
      <c r="S209">
        <v>138</v>
      </c>
      <c r="T209">
        <v>0</v>
      </c>
      <c r="U209" s="3">
        <v>1</v>
      </c>
      <c r="V209" s="3">
        <v>0</v>
      </c>
      <c r="W209">
        <v>0</v>
      </c>
      <c r="X209" s="3">
        <v>0</v>
      </c>
      <c r="Y209">
        <v>0</v>
      </c>
      <c r="Z209" s="3">
        <v>0</v>
      </c>
      <c r="AA209" t="s">
        <v>423</v>
      </c>
      <c r="AB209" s="3">
        <v>337</v>
      </c>
      <c r="AC209">
        <v>379.24</v>
      </c>
      <c r="AD209" t="s">
        <v>49</v>
      </c>
      <c r="AE209">
        <v>0</v>
      </c>
      <c r="AF209" s="3">
        <v>0</v>
      </c>
      <c r="AG209" t="s">
        <v>49</v>
      </c>
      <c r="AH209">
        <v>0</v>
      </c>
      <c r="AI209" t="s">
        <v>49</v>
      </c>
      <c r="AJ209">
        <v>281.8</v>
      </c>
      <c r="AK209" t="s">
        <v>49</v>
      </c>
      <c r="AL209">
        <v>0</v>
      </c>
      <c r="AM209" t="s">
        <v>49</v>
      </c>
      <c r="AN209" s="3">
        <v>15</v>
      </c>
      <c r="AO209" s="19">
        <v>0</v>
      </c>
      <c r="AP209" s="19">
        <v>0</v>
      </c>
      <c r="AQ209" s="19">
        <v>0.9286</v>
      </c>
      <c r="AR209" s="19">
        <v>0.0714</v>
      </c>
      <c r="AS209" s="19">
        <v>1</v>
      </c>
      <c r="AT209" s="19">
        <v>0</v>
      </c>
      <c r="AU209" s="3">
        <v>0</v>
      </c>
      <c r="AV209" s="3">
        <v>0</v>
      </c>
      <c r="AW209" s="19">
        <v>0</v>
      </c>
      <c r="AX209" s="3">
        <v>0</v>
      </c>
      <c r="AY209" s="3">
        <v>0</v>
      </c>
    </row>
    <row r="210" spans="1:51">
      <c r="A210" s="3">
        <v>5111561</v>
      </c>
      <c r="B210" t="s">
        <v>424</v>
      </c>
      <c r="C210" t="s">
        <v>425</v>
      </c>
      <c r="D210" t="s">
        <v>44</v>
      </c>
      <c r="E210" t="s">
        <v>249</v>
      </c>
      <c r="F210" t="s">
        <v>65</v>
      </c>
      <c r="G210" t="s">
        <v>47</v>
      </c>
      <c r="H210" s="16">
        <v>0</v>
      </c>
      <c r="I210" s="4">
        <f>VLOOKUP(C210,[1]sheet1!$D:$I,6,0)</f>
        <v>0</v>
      </c>
      <c r="J210" s="4">
        <f>VLOOKUP(C210,[2]sheet1!$D:$I,6,0)</f>
        <v>0</v>
      </c>
      <c r="K210" s="4">
        <f>VLOOKUP(C210,[3]sheet1!$D:$I,6,0)</f>
        <v>0</v>
      </c>
      <c r="L210" s="4">
        <f>VLOOKUP(C210,[4]sheet1!$D:$I,6,0)</f>
        <v>0</v>
      </c>
      <c r="M210" s="4">
        <f>VLOOKUP(C210,[5]sheet1!$D:$I,6,0)</f>
        <v>0</v>
      </c>
      <c r="N210" s="4">
        <f>VLOOKUP(C210,[6]sheet1!$D:$I,6,0)</f>
        <v>0</v>
      </c>
      <c r="O210" s="4">
        <f>VLOOKUP(C210,[7]sheet1!$D:$I,6,0)</f>
        <v>0</v>
      </c>
      <c r="P210" s="4">
        <f>VLOOKUP(C210,[8]sheet1!$D:$I,6,0)</f>
        <v>0</v>
      </c>
      <c r="Q210" s="4">
        <f t="shared" si="3"/>
        <v>0</v>
      </c>
      <c r="R210" s="3">
        <v>0</v>
      </c>
      <c r="S210" s="3">
        <v>2</v>
      </c>
      <c r="T210" s="19">
        <v>0</v>
      </c>
      <c r="U210" s="3">
        <v>0</v>
      </c>
      <c r="V210" s="3">
        <v>0</v>
      </c>
      <c r="W210">
        <v>0</v>
      </c>
      <c r="X210" s="3">
        <v>0</v>
      </c>
      <c r="Y210">
        <v>0</v>
      </c>
      <c r="Z210" s="3">
        <v>0</v>
      </c>
      <c r="AA210" t="s">
        <v>49</v>
      </c>
      <c r="AB210" t="s">
        <v>49</v>
      </c>
      <c r="AC210" t="s">
        <v>49</v>
      </c>
      <c r="AD210" t="s">
        <v>49</v>
      </c>
      <c r="AE210">
        <v>0</v>
      </c>
      <c r="AF210" s="3">
        <v>0</v>
      </c>
      <c r="AG210" t="s">
        <v>49</v>
      </c>
      <c r="AH210" t="s">
        <v>49</v>
      </c>
      <c r="AI210" t="s">
        <v>49</v>
      </c>
      <c r="AJ210" t="s">
        <v>49</v>
      </c>
      <c r="AK210" t="s">
        <v>49</v>
      </c>
      <c r="AL210" t="s">
        <v>49</v>
      </c>
      <c r="AM210" t="s">
        <v>49</v>
      </c>
      <c r="AN210" s="3">
        <v>2</v>
      </c>
      <c r="AO210" s="19">
        <v>0</v>
      </c>
      <c r="AP210" s="19">
        <v>0</v>
      </c>
      <c r="AQ210" s="19">
        <v>0.5</v>
      </c>
      <c r="AR210" s="19">
        <v>0</v>
      </c>
      <c r="AS210" s="19">
        <v>0</v>
      </c>
      <c r="AT210" s="19">
        <v>0</v>
      </c>
      <c r="AU210" s="3">
        <v>0</v>
      </c>
      <c r="AV210" s="3">
        <v>0</v>
      </c>
      <c r="AW210" s="19">
        <v>0</v>
      </c>
      <c r="AX210" s="3">
        <v>0</v>
      </c>
      <c r="AY210" s="3">
        <v>0</v>
      </c>
    </row>
    <row r="211" spans="1:51">
      <c r="A211" s="3">
        <v>5054561</v>
      </c>
      <c r="B211" t="s">
        <v>426</v>
      </c>
      <c r="C211" t="s">
        <v>427</v>
      </c>
      <c r="D211" t="s">
        <v>44</v>
      </c>
      <c r="E211" t="s">
        <v>249</v>
      </c>
      <c r="F211" t="s">
        <v>65</v>
      </c>
      <c r="G211" t="s">
        <v>47</v>
      </c>
      <c r="H211" s="16">
        <v>0</v>
      </c>
      <c r="I211" s="4">
        <f>VLOOKUP(C211,[1]sheet1!$D:$I,6,0)</f>
        <v>0</v>
      </c>
      <c r="J211" s="4">
        <f>VLOOKUP(C211,[2]sheet1!$D:$I,6,0)</f>
        <v>0</v>
      </c>
      <c r="K211" s="4">
        <f>VLOOKUP(C211,[3]sheet1!$D:$I,6,0)</f>
        <v>0</v>
      </c>
      <c r="L211" s="4">
        <f>VLOOKUP(C211,[4]sheet1!$D:$I,6,0)</f>
        <v>0</v>
      </c>
      <c r="M211" s="4">
        <f>VLOOKUP(C211,[5]sheet1!$D:$I,6,0)</f>
        <v>0</v>
      </c>
      <c r="N211" s="4">
        <f>VLOOKUP(C211,[6]sheet1!$D:$I,6,0)</f>
        <v>0</v>
      </c>
      <c r="O211" s="4">
        <f>VLOOKUP(C211,[7]sheet1!$D:$I,6,0)</f>
        <v>0</v>
      </c>
      <c r="P211" s="4">
        <f>VLOOKUP(C211,[8]sheet1!$D:$I,6,0)</f>
        <v>0</v>
      </c>
      <c r="Q211" s="4">
        <f t="shared" si="3"/>
        <v>0</v>
      </c>
      <c r="R211" s="3">
        <v>0</v>
      </c>
      <c r="S211" s="3">
        <v>0</v>
      </c>
      <c r="T211" s="19">
        <v>0</v>
      </c>
      <c r="U211" s="3">
        <v>0</v>
      </c>
      <c r="V211" s="3">
        <v>0</v>
      </c>
      <c r="W211">
        <v>0</v>
      </c>
      <c r="X211" s="3">
        <v>0</v>
      </c>
      <c r="Y211">
        <v>0</v>
      </c>
      <c r="Z211" s="3">
        <v>0</v>
      </c>
      <c r="AA211" t="s">
        <v>394</v>
      </c>
      <c r="AB211" t="s">
        <v>49</v>
      </c>
      <c r="AC211">
        <v>303.43</v>
      </c>
      <c r="AD211" t="s">
        <v>49</v>
      </c>
      <c r="AE211">
        <v>0</v>
      </c>
      <c r="AF211" s="3">
        <v>0</v>
      </c>
      <c r="AG211" t="s">
        <v>49</v>
      </c>
      <c r="AH211">
        <v>0</v>
      </c>
      <c r="AI211" t="s">
        <v>49</v>
      </c>
      <c r="AJ211" t="s">
        <v>49</v>
      </c>
      <c r="AK211" t="s">
        <v>49</v>
      </c>
      <c r="AL211" t="s">
        <v>49</v>
      </c>
      <c r="AM211" t="s">
        <v>49</v>
      </c>
      <c r="AN211" s="3">
        <v>0</v>
      </c>
      <c r="AO211" s="19">
        <v>0</v>
      </c>
      <c r="AP211" s="19">
        <v>0</v>
      </c>
      <c r="AQ211" s="19">
        <v>0</v>
      </c>
      <c r="AR211" s="19">
        <v>0</v>
      </c>
      <c r="AS211" s="19">
        <v>0</v>
      </c>
      <c r="AT211" s="19">
        <v>0</v>
      </c>
      <c r="AU211" s="3">
        <v>0</v>
      </c>
      <c r="AV211" s="3">
        <v>0</v>
      </c>
      <c r="AW211" s="19">
        <v>0</v>
      </c>
      <c r="AX211" s="3">
        <v>0</v>
      </c>
      <c r="AY211" s="3">
        <v>0</v>
      </c>
    </row>
    <row r="212" spans="1:51">
      <c r="A212" s="3">
        <v>4632037</v>
      </c>
      <c r="B212" t="s">
        <v>428</v>
      </c>
      <c r="C212" s="3">
        <v>12231034</v>
      </c>
      <c r="D212" t="s">
        <v>44</v>
      </c>
      <c r="E212" t="s">
        <v>206</v>
      </c>
      <c r="F212" t="s">
        <v>65</v>
      </c>
      <c r="G212" t="s">
        <v>47</v>
      </c>
      <c r="H212" s="16">
        <v>0</v>
      </c>
      <c r="I212" s="4">
        <f>VLOOKUP(C212,[1]sheet1!$D:$I,6,0)</f>
        <v>0</v>
      </c>
      <c r="J212" s="4">
        <f>VLOOKUP(C212,[2]sheet1!$D:$I,6,0)</f>
        <v>0</v>
      </c>
      <c r="K212" s="4">
        <f>VLOOKUP(C212,[3]sheet1!$D:$I,6,0)</f>
        <v>0</v>
      </c>
      <c r="L212" s="4">
        <f>VLOOKUP(C212,[4]sheet1!$D:$I,6,0)</f>
        <v>0</v>
      </c>
      <c r="M212" s="4">
        <f>VLOOKUP(C212,[5]sheet1!$D:$I,6,0)</f>
        <v>0</v>
      </c>
      <c r="N212" s="4">
        <f>VLOOKUP(C212,[6]sheet1!$D:$I,6,0)</f>
        <v>0</v>
      </c>
      <c r="O212" s="4">
        <f>VLOOKUP(C212,[7]sheet1!$D:$I,6,0)</f>
        <v>0</v>
      </c>
      <c r="P212" s="4">
        <f>VLOOKUP(C212,[8]sheet1!$D:$I,6,0)</f>
        <v>0</v>
      </c>
      <c r="Q212" s="4">
        <f t="shared" si="3"/>
        <v>0</v>
      </c>
      <c r="R212" s="3">
        <v>0</v>
      </c>
      <c r="S212" s="3">
        <v>1</v>
      </c>
      <c r="T212" s="19">
        <v>0</v>
      </c>
      <c r="U212" s="3">
        <v>0</v>
      </c>
      <c r="V212" s="3">
        <v>0</v>
      </c>
      <c r="W212">
        <v>0</v>
      </c>
      <c r="X212" s="3">
        <v>0</v>
      </c>
      <c r="Y212">
        <v>0</v>
      </c>
      <c r="Z212" s="3">
        <v>0</v>
      </c>
      <c r="AA212" t="s">
        <v>49</v>
      </c>
      <c r="AB212" t="s">
        <v>49</v>
      </c>
      <c r="AC212" t="s">
        <v>49</v>
      </c>
      <c r="AD212" t="s">
        <v>49</v>
      </c>
      <c r="AE212">
        <v>0</v>
      </c>
      <c r="AF212" s="3">
        <v>0</v>
      </c>
      <c r="AG212" t="s">
        <v>49</v>
      </c>
      <c r="AH212" t="s">
        <v>49</v>
      </c>
      <c r="AI212" t="s">
        <v>49</v>
      </c>
      <c r="AJ212" t="s">
        <v>49</v>
      </c>
      <c r="AK212" t="s">
        <v>49</v>
      </c>
      <c r="AL212" t="s">
        <v>49</v>
      </c>
      <c r="AM212" t="s">
        <v>49</v>
      </c>
      <c r="AN212" s="3">
        <v>1</v>
      </c>
      <c r="AO212" s="19">
        <v>0</v>
      </c>
      <c r="AP212" s="19">
        <v>0</v>
      </c>
      <c r="AQ212" s="19">
        <v>1</v>
      </c>
      <c r="AR212" s="19">
        <v>0</v>
      </c>
      <c r="AS212" s="19">
        <v>0</v>
      </c>
      <c r="AT212" s="19">
        <v>0</v>
      </c>
      <c r="AU212" s="3">
        <v>0</v>
      </c>
      <c r="AV212" s="3">
        <v>0</v>
      </c>
      <c r="AW212" s="19">
        <v>0</v>
      </c>
      <c r="AX212" s="3">
        <v>0</v>
      </c>
      <c r="AY212" s="3">
        <v>0</v>
      </c>
    </row>
    <row r="213" spans="1:51">
      <c r="A213" s="3">
        <v>4632023</v>
      </c>
      <c r="B213" t="s">
        <v>429</v>
      </c>
      <c r="C213" s="3">
        <v>12231026</v>
      </c>
      <c r="D213" t="s">
        <v>44</v>
      </c>
      <c r="E213" t="s">
        <v>206</v>
      </c>
      <c r="F213" t="s">
        <v>65</v>
      </c>
      <c r="G213" t="s">
        <v>47</v>
      </c>
      <c r="H213" s="16">
        <v>0</v>
      </c>
      <c r="I213" s="4">
        <f>VLOOKUP(C213,[1]sheet1!$D:$I,6,0)</f>
        <v>0</v>
      </c>
      <c r="J213" s="4">
        <f>VLOOKUP(C213,[2]sheet1!$D:$I,6,0)</f>
        <v>0</v>
      </c>
      <c r="K213" s="4">
        <f>VLOOKUP(C213,[3]sheet1!$D:$I,6,0)</f>
        <v>0</v>
      </c>
      <c r="L213" s="4">
        <f>VLOOKUP(C213,[4]sheet1!$D:$I,6,0)</f>
        <v>0</v>
      </c>
      <c r="M213" s="4">
        <f>VLOOKUP(C213,[5]sheet1!$D:$I,6,0)</f>
        <v>0</v>
      </c>
      <c r="N213" s="4">
        <f>VLOOKUP(C213,[6]sheet1!$D:$I,6,0)</f>
        <v>0</v>
      </c>
      <c r="O213" s="4">
        <f>VLOOKUP(C213,[7]sheet1!$D:$I,6,0)</f>
        <v>0</v>
      </c>
      <c r="P213" s="4">
        <f>VLOOKUP(C213,[8]sheet1!$D:$I,6,0)</f>
        <v>0</v>
      </c>
      <c r="Q213" s="4">
        <f t="shared" si="3"/>
        <v>0</v>
      </c>
      <c r="R213" s="3">
        <v>0</v>
      </c>
      <c r="S213" s="3">
        <v>0</v>
      </c>
      <c r="T213" s="19">
        <v>0</v>
      </c>
      <c r="U213" s="3">
        <v>0</v>
      </c>
      <c r="V213" s="3">
        <v>0</v>
      </c>
      <c r="W213">
        <v>0</v>
      </c>
      <c r="X213" s="3">
        <v>0</v>
      </c>
      <c r="Y213">
        <v>0</v>
      </c>
      <c r="Z213" s="3">
        <v>0</v>
      </c>
      <c r="AA213" t="s">
        <v>430</v>
      </c>
      <c r="AB213" t="s">
        <v>49</v>
      </c>
      <c r="AC213">
        <v>188.14</v>
      </c>
      <c r="AD213" t="s">
        <v>49</v>
      </c>
      <c r="AE213">
        <v>0</v>
      </c>
      <c r="AF213" s="3">
        <v>0</v>
      </c>
      <c r="AG213" t="s">
        <v>49</v>
      </c>
      <c r="AH213">
        <v>0</v>
      </c>
      <c r="AI213" t="s">
        <v>49</v>
      </c>
      <c r="AJ213" t="s">
        <v>49</v>
      </c>
      <c r="AK213" t="s">
        <v>49</v>
      </c>
      <c r="AL213" t="s">
        <v>49</v>
      </c>
      <c r="AM213" t="s">
        <v>49</v>
      </c>
      <c r="AN213" s="3">
        <v>0</v>
      </c>
      <c r="AO213" s="19">
        <v>0</v>
      </c>
      <c r="AP213" s="19">
        <v>0</v>
      </c>
      <c r="AQ213" s="19">
        <v>0</v>
      </c>
      <c r="AR213" s="19">
        <v>0</v>
      </c>
      <c r="AS213" s="19">
        <v>0</v>
      </c>
      <c r="AT213" s="19">
        <v>0</v>
      </c>
      <c r="AU213" s="3">
        <v>0</v>
      </c>
      <c r="AV213" s="3">
        <v>0</v>
      </c>
      <c r="AW213" s="19">
        <v>0</v>
      </c>
      <c r="AX213" s="3">
        <v>0</v>
      </c>
      <c r="AY213" s="3">
        <v>0</v>
      </c>
    </row>
    <row r="214" spans="1:51">
      <c r="A214" s="3">
        <v>4631930</v>
      </c>
      <c r="B214" t="s">
        <v>431</v>
      </c>
      <c r="C214" s="3">
        <v>11813705</v>
      </c>
      <c r="D214" t="s">
        <v>44</v>
      </c>
      <c r="E214" t="s">
        <v>432</v>
      </c>
      <c r="F214" t="s">
        <v>65</v>
      </c>
      <c r="G214" t="s">
        <v>47</v>
      </c>
      <c r="H214" s="16">
        <v>0</v>
      </c>
      <c r="I214" s="4">
        <f>VLOOKUP(C214,[1]sheet1!$D:$I,6,0)</f>
        <v>0</v>
      </c>
      <c r="J214" s="4">
        <f>VLOOKUP(C214,[2]sheet1!$D:$I,6,0)</f>
        <v>0</v>
      </c>
      <c r="K214" s="4">
        <f>VLOOKUP(C214,[3]sheet1!$D:$I,6,0)</f>
        <v>0</v>
      </c>
      <c r="L214" s="4">
        <f>VLOOKUP(C214,[4]sheet1!$D:$I,6,0)</f>
        <v>0</v>
      </c>
      <c r="M214" s="4">
        <f>VLOOKUP(C214,[5]sheet1!$D:$I,6,0)</f>
        <v>0</v>
      </c>
      <c r="N214" s="4">
        <f>VLOOKUP(C214,[6]sheet1!$D:$I,6,0)</f>
        <v>0</v>
      </c>
      <c r="O214" s="4">
        <f>VLOOKUP(C214,[7]sheet1!$D:$I,6,0)</f>
        <v>0</v>
      </c>
      <c r="P214" s="4">
        <f>VLOOKUP(C214,[8]sheet1!$D:$I,6,0)</f>
        <v>0</v>
      </c>
      <c r="Q214" s="4">
        <f t="shared" si="3"/>
        <v>0</v>
      </c>
      <c r="R214" s="3">
        <v>0</v>
      </c>
      <c r="S214" s="3">
        <v>0</v>
      </c>
      <c r="T214" s="19">
        <v>0</v>
      </c>
      <c r="U214" s="3">
        <v>0</v>
      </c>
      <c r="V214" s="3">
        <v>0</v>
      </c>
      <c r="W214">
        <v>0</v>
      </c>
      <c r="X214" s="3">
        <v>0</v>
      </c>
      <c r="Y214">
        <v>0</v>
      </c>
      <c r="Z214" s="3">
        <v>0</v>
      </c>
      <c r="AA214" t="s">
        <v>433</v>
      </c>
      <c r="AB214" t="s">
        <v>49</v>
      </c>
      <c r="AC214">
        <v>139.49</v>
      </c>
      <c r="AD214" t="s">
        <v>49</v>
      </c>
      <c r="AE214">
        <v>0</v>
      </c>
      <c r="AF214" s="3">
        <v>0</v>
      </c>
      <c r="AG214" t="s">
        <v>49</v>
      </c>
      <c r="AH214">
        <v>0</v>
      </c>
      <c r="AI214" t="s">
        <v>49</v>
      </c>
      <c r="AJ214" t="s">
        <v>49</v>
      </c>
      <c r="AK214" t="s">
        <v>49</v>
      </c>
      <c r="AL214" t="s">
        <v>49</v>
      </c>
      <c r="AM214" t="s">
        <v>49</v>
      </c>
      <c r="AN214" s="3">
        <v>0</v>
      </c>
      <c r="AO214" s="19">
        <v>0</v>
      </c>
      <c r="AP214" s="19">
        <v>0</v>
      </c>
      <c r="AQ214" s="19">
        <v>0</v>
      </c>
      <c r="AR214" s="19">
        <v>0</v>
      </c>
      <c r="AS214" s="19">
        <v>0</v>
      </c>
      <c r="AT214" s="19">
        <v>0</v>
      </c>
      <c r="AU214" s="3">
        <v>0</v>
      </c>
      <c r="AV214" s="3">
        <v>0</v>
      </c>
      <c r="AW214" s="19">
        <v>0</v>
      </c>
      <c r="AX214" s="3">
        <v>0</v>
      </c>
      <c r="AY214" s="3">
        <v>0</v>
      </c>
    </row>
    <row r="215" spans="1:51">
      <c r="A215" s="3">
        <v>4605530</v>
      </c>
      <c r="B215" t="s">
        <v>434</v>
      </c>
      <c r="C215" s="3">
        <v>11133803</v>
      </c>
      <c r="D215" t="s">
        <v>44</v>
      </c>
      <c r="E215" t="s">
        <v>188</v>
      </c>
      <c r="F215" t="s">
        <v>65</v>
      </c>
      <c r="G215" t="s">
        <v>47</v>
      </c>
      <c r="H215" s="16">
        <v>0</v>
      </c>
      <c r="I215" s="4">
        <f>VLOOKUP(C215,[1]sheet1!$D:$I,6,0)</f>
        <v>0</v>
      </c>
      <c r="J215" s="4">
        <f>VLOOKUP(C215,[2]sheet1!$D:$I,6,0)</f>
        <v>0</v>
      </c>
      <c r="K215" s="4">
        <f>VLOOKUP(C215,[3]sheet1!$D:$I,6,0)</f>
        <v>0</v>
      </c>
      <c r="L215" s="4">
        <f>VLOOKUP(C215,[4]sheet1!$D:$I,6,0)</f>
        <v>0</v>
      </c>
      <c r="M215" s="4">
        <f>VLOOKUP(C215,[5]sheet1!$D:$I,6,0)</f>
        <v>0</v>
      </c>
      <c r="N215" s="4">
        <f>VLOOKUP(C215,[6]sheet1!$D:$I,6,0)</f>
        <v>0</v>
      </c>
      <c r="O215" s="4">
        <f>VLOOKUP(C215,[7]sheet1!$D:$I,6,0)</f>
        <v>0</v>
      </c>
      <c r="P215" s="4">
        <f>VLOOKUP(C215,[8]sheet1!$D:$I,6,0)</f>
        <v>0</v>
      </c>
      <c r="Q215" s="4">
        <f t="shared" si="3"/>
        <v>0</v>
      </c>
      <c r="R215" s="3">
        <v>0</v>
      </c>
      <c r="S215" s="3">
        <v>1</v>
      </c>
      <c r="T215" s="19">
        <v>0</v>
      </c>
      <c r="U215" s="3">
        <v>0</v>
      </c>
      <c r="V215" s="3">
        <v>0</v>
      </c>
      <c r="W215">
        <v>0</v>
      </c>
      <c r="X215" s="3">
        <v>0</v>
      </c>
      <c r="Y215">
        <v>0</v>
      </c>
      <c r="Z215" s="3">
        <v>0</v>
      </c>
      <c r="AA215" t="s">
        <v>49</v>
      </c>
      <c r="AB215" t="s">
        <v>49</v>
      </c>
      <c r="AC215" t="s">
        <v>49</v>
      </c>
      <c r="AD215" t="s">
        <v>49</v>
      </c>
      <c r="AE215">
        <v>0</v>
      </c>
      <c r="AF215" s="3">
        <v>0</v>
      </c>
      <c r="AG215" t="s">
        <v>49</v>
      </c>
      <c r="AH215" t="s">
        <v>49</v>
      </c>
      <c r="AI215" t="s">
        <v>49</v>
      </c>
      <c r="AJ215" t="s">
        <v>49</v>
      </c>
      <c r="AK215" t="s">
        <v>49</v>
      </c>
      <c r="AL215" t="s">
        <v>49</v>
      </c>
      <c r="AM215" t="s">
        <v>49</v>
      </c>
      <c r="AN215" s="3">
        <v>1</v>
      </c>
      <c r="AO215" s="19">
        <v>0</v>
      </c>
      <c r="AP215" s="19">
        <v>0</v>
      </c>
      <c r="AQ215" s="19">
        <v>0</v>
      </c>
      <c r="AR215" s="19">
        <v>0</v>
      </c>
      <c r="AS215" s="19">
        <v>0</v>
      </c>
      <c r="AT215" s="19">
        <v>0</v>
      </c>
      <c r="AU215" s="3">
        <v>0</v>
      </c>
      <c r="AV215" s="3">
        <v>0</v>
      </c>
      <c r="AW215" s="19">
        <v>0</v>
      </c>
      <c r="AX215" s="3">
        <v>0</v>
      </c>
      <c r="AY215" s="3">
        <v>0</v>
      </c>
    </row>
    <row r="216" spans="1:51">
      <c r="A216" s="3">
        <v>4605369</v>
      </c>
      <c r="B216" t="s">
        <v>435</v>
      </c>
      <c r="C216" s="3">
        <v>13321435</v>
      </c>
      <c r="D216" t="s">
        <v>44</v>
      </c>
      <c r="E216" t="s">
        <v>436</v>
      </c>
      <c r="F216" t="s">
        <v>65</v>
      </c>
      <c r="G216" t="s">
        <v>47</v>
      </c>
      <c r="H216" s="16">
        <v>0</v>
      </c>
      <c r="I216" s="4">
        <f>VLOOKUP(C216,[1]sheet1!$D:$I,6,0)</f>
        <v>0</v>
      </c>
      <c r="J216" s="4">
        <f>VLOOKUP(C216,[2]sheet1!$D:$I,6,0)</f>
        <v>0</v>
      </c>
      <c r="K216" s="4">
        <f>VLOOKUP(C216,[3]sheet1!$D:$I,6,0)</f>
        <v>0</v>
      </c>
      <c r="L216" s="4">
        <f>VLOOKUP(C216,[4]sheet1!$D:$I,6,0)</f>
        <v>0</v>
      </c>
      <c r="M216" s="4">
        <f>VLOOKUP(C216,[5]sheet1!$D:$I,6,0)</f>
        <v>0</v>
      </c>
      <c r="N216" s="4">
        <f>VLOOKUP(C216,[6]sheet1!$D:$I,6,0)</f>
        <v>0</v>
      </c>
      <c r="O216" s="4">
        <f>VLOOKUP(C216,[7]sheet1!$D:$I,6,0)</f>
        <v>0</v>
      </c>
      <c r="P216" s="4">
        <f>VLOOKUP(C216,[8]sheet1!$D:$I,6,0)</f>
        <v>0</v>
      </c>
      <c r="Q216" s="4">
        <f t="shared" si="3"/>
        <v>0</v>
      </c>
      <c r="R216" s="3">
        <v>0</v>
      </c>
      <c r="S216" s="3">
        <v>2</v>
      </c>
      <c r="T216" s="19">
        <v>0</v>
      </c>
      <c r="U216" s="3">
        <v>0</v>
      </c>
      <c r="V216" s="3">
        <v>0</v>
      </c>
      <c r="W216">
        <v>0</v>
      </c>
      <c r="X216" s="3">
        <v>0</v>
      </c>
      <c r="Y216">
        <v>0</v>
      </c>
      <c r="Z216" s="3">
        <v>0</v>
      </c>
      <c r="AA216" t="s">
        <v>319</v>
      </c>
      <c r="AB216" t="s">
        <v>49</v>
      </c>
      <c r="AC216">
        <v>67.09</v>
      </c>
      <c r="AD216" t="s">
        <v>49</v>
      </c>
      <c r="AE216">
        <v>0</v>
      </c>
      <c r="AF216" s="3">
        <v>0</v>
      </c>
      <c r="AG216" t="s">
        <v>49</v>
      </c>
      <c r="AH216">
        <v>0</v>
      </c>
      <c r="AI216" t="s">
        <v>49</v>
      </c>
      <c r="AJ216" t="s">
        <v>49</v>
      </c>
      <c r="AK216" t="s">
        <v>49</v>
      </c>
      <c r="AL216" t="s">
        <v>49</v>
      </c>
      <c r="AM216" t="s">
        <v>49</v>
      </c>
      <c r="AN216" s="3">
        <v>2</v>
      </c>
      <c r="AO216" s="19">
        <v>0</v>
      </c>
      <c r="AP216" s="19">
        <v>0</v>
      </c>
      <c r="AQ216" s="19">
        <v>1</v>
      </c>
      <c r="AR216" s="19">
        <v>0</v>
      </c>
      <c r="AS216" s="19">
        <v>0</v>
      </c>
      <c r="AT216" s="19">
        <v>0</v>
      </c>
      <c r="AU216" s="3">
        <v>0</v>
      </c>
      <c r="AV216" s="3">
        <v>0</v>
      </c>
      <c r="AW216" s="19">
        <v>0</v>
      </c>
      <c r="AX216" s="3">
        <v>0</v>
      </c>
      <c r="AY216" s="3">
        <v>0</v>
      </c>
    </row>
    <row r="217" spans="1:51">
      <c r="A217" s="3">
        <v>4605182</v>
      </c>
      <c r="B217" t="s">
        <v>437</v>
      </c>
      <c r="C217" s="3">
        <v>23930709</v>
      </c>
      <c r="D217" t="s">
        <v>44</v>
      </c>
      <c r="E217" t="s">
        <v>438</v>
      </c>
      <c r="F217" t="s">
        <v>65</v>
      </c>
      <c r="G217" t="s">
        <v>47</v>
      </c>
      <c r="H217" s="16">
        <v>0</v>
      </c>
      <c r="I217" s="4">
        <f>VLOOKUP(C217,[1]sheet1!$D:$I,6,0)</f>
        <v>0</v>
      </c>
      <c r="J217" s="4">
        <f>VLOOKUP(C217,[2]sheet1!$D:$I,6,0)</f>
        <v>0</v>
      </c>
      <c r="K217" s="4">
        <f>VLOOKUP(C217,[3]sheet1!$D:$I,6,0)</f>
        <v>0</v>
      </c>
      <c r="L217" s="4">
        <f>VLOOKUP(C217,[4]sheet1!$D:$I,6,0)</f>
        <v>0</v>
      </c>
      <c r="M217" s="4">
        <f>VLOOKUP(C217,[5]sheet1!$D:$I,6,0)</f>
        <v>0</v>
      </c>
      <c r="N217" s="4">
        <f>VLOOKUP(C217,[6]sheet1!$D:$I,6,0)</f>
        <v>0</v>
      </c>
      <c r="O217" s="4">
        <f>VLOOKUP(C217,[7]sheet1!$D:$I,6,0)</f>
        <v>0</v>
      </c>
      <c r="P217" s="4">
        <f>VLOOKUP(C217,[8]sheet1!$D:$I,6,0)</f>
        <v>0</v>
      </c>
      <c r="Q217" s="4">
        <f t="shared" si="3"/>
        <v>0</v>
      </c>
      <c r="R217" s="3">
        <v>0</v>
      </c>
      <c r="S217" s="3">
        <v>12</v>
      </c>
      <c r="T217" s="19">
        <v>0</v>
      </c>
      <c r="U217" s="3">
        <v>0</v>
      </c>
      <c r="V217" s="3">
        <v>0</v>
      </c>
      <c r="W217">
        <v>0</v>
      </c>
      <c r="X217" s="3">
        <v>0</v>
      </c>
      <c r="Y217">
        <v>0</v>
      </c>
      <c r="Z217" s="3">
        <v>0</v>
      </c>
      <c r="AA217" t="s">
        <v>439</v>
      </c>
      <c r="AB217" t="s">
        <v>49</v>
      </c>
      <c r="AC217">
        <v>125.54</v>
      </c>
      <c r="AD217" t="s">
        <v>49</v>
      </c>
      <c r="AE217">
        <v>0</v>
      </c>
      <c r="AF217" s="3">
        <v>0</v>
      </c>
      <c r="AG217" t="s">
        <v>49</v>
      </c>
      <c r="AH217">
        <v>0</v>
      </c>
      <c r="AI217" t="s">
        <v>49</v>
      </c>
      <c r="AJ217" t="s">
        <v>49</v>
      </c>
      <c r="AK217" t="s">
        <v>49</v>
      </c>
      <c r="AL217" t="s">
        <v>49</v>
      </c>
      <c r="AM217" t="s">
        <v>49</v>
      </c>
      <c r="AN217" s="3">
        <v>12</v>
      </c>
      <c r="AO217" s="19">
        <v>0</v>
      </c>
      <c r="AP217" s="19">
        <v>0</v>
      </c>
      <c r="AQ217" s="19">
        <v>0.6667</v>
      </c>
      <c r="AR217" s="19">
        <v>0</v>
      </c>
      <c r="AS217" s="19">
        <v>0</v>
      </c>
      <c r="AT217" s="19">
        <v>0</v>
      </c>
      <c r="AU217" s="3">
        <v>0</v>
      </c>
      <c r="AV217" s="3">
        <v>0</v>
      </c>
      <c r="AW217" s="19">
        <v>0</v>
      </c>
      <c r="AX217" s="3">
        <v>0</v>
      </c>
      <c r="AY217" s="3">
        <v>0</v>
      </c>
    </row>
    <row r="218" spans="1:51">
      <c r="A218" s="3">
        <v>4605129</v>
      </c>
      <c r="B218" t="s">
        <v>440</v>
      </c>
      <c r="C218" s="3">
        <v>12121216</v>
      </c>
      <c r="D218" t="s">
        <v>44</v>
      </c>
      <c r="E218" t="s">
        <v>109</v>
      </c>
      <c r="F218" t="s">
        <v>46</v>
      </c>
      <c r="G218" t="s">
        <v>47</v>
      </c>
      <c r="H218" s="16">
        <v>0</v>
      </c>
      <c r="I218" s="4">
        <f>VLOOKUP(C218,[1]sheet1!$D:$I,6,0)</f>
        <v>0</v>
      </c>
      <c r="J218" s="4">
        <f>VLOOKUP(C218,[2]sheet1!$D:$I,6,0)</f>
        <v>0</v>
      </c>
      <c r="K218" s="4">
        <f>VLOOKUP(C218,[3]sheet1!$D:$I,6,0)</f>
        <v>0</v>
      </c>
      <c r="L218" s="4">
        <f>VLOOKUP(C218,[4]sheet1!$D:$I,6,0)</f>
        <v>0</v>
      </c>
      <c r="M218" s="4">
        <f>VLOOKUP(C218,[5]sheet1!$D:$I,6,0)</f>
        <v>0</v>
      </c>
      <c r="N218" s="4">
        <f>VLOOKUP(C218,[6]sheet1!$D:$I,6,0)</f>
        <v>0</v>
      </c>
      <c r="O218" s="4">
        <f>VLOOKUP(C218,[7]sheet1!$D:$I,6,0)</f>
        <v>0</v>
      </c>
      <c r="P218" s="4">
        <f>VLOOKUP(C218,[8]sheet1!$D:$I,6,0)</f>
        <v>0</v>
      </c>
      <c r="Q218" s="4">
        <f t="shared" si="3"/>
        <v>0</v>
      </c>
      <c r="R218" s="3">
        <v>0</v>
      </c>
      <c r="S218">
        <v>0</v>
      </c>
      <c r="T218">
        <v>0</v>
      </c>
      <c r="U218" s="3">
        <v>0</v>
      </c>
      <c r="V218" s="3">
        <v>0</v>
      </c>
      <c r="W218">
        <v>0</v>
      </c>
      <c r="X218" s="3">
        <v>0</v>
      </c>
      <c r="Y218">
        <v>0</v>
      </c>
      <c r="Z218" s="3">
        <v>0</v>
      </c>
      <c r="AA218" t="s">
        <v>49</v>
      </c>
      <c r="AB218" t="s">
        <v>49</v>
      </c>
      <c r="AC218" t="s">
        <v>49</v>
      </c>
      <c r="AD218" t="s">
        <v>49</v>
      </c>
      <c r="AE218">
        <v>0</v>
      </c>
      <c r="AF218" s="3">
        <v>0</v>
      </c>
      <c r="AG218" t="s">
        <v>49</v>
      </c>
      <c r="AH218" t="s">
        <v>49</v>
      </c>
      <c r="AI218" t="s">
        <v>49</v>
      </c>
      <c r="AJ218" t="s">
        <v>49</v>
      </c>
      <c r="AK218" t="s">
        <v>49</v>
      </c>
      <c r="AL218" t="s">
        <v>49</v>
      </c>
      <c r="AM218" t="s">
        <v>49</v>
      </c>
      <c r="AN218">
        <v>0</v>
      </c>
      <c r="AO218" s="19">
        <v>0</v>
      </c>
      <c r="AP218" s="19">
        <v>0</v>
      </c>
      <c r="AQ218" s="19">
        <v>0</v>
      </c>
      <c r="AR218" s="19">
        <v>0</v>
      </c>
      <c r="AS218" s="19">
        <v>0</v>
      </c>
      <c r="AT218" s="19">
        <v>0</v>
      </c>
      <c r="AU218" s="3">
        <v>0</v>
      </c>
      <c r="AV218" s="3">
        <v>0</v>
      </c>
      <c r="AW218" s="19">
        <v>0</v>
      </c>
      <c r="AX218" s="3">
        <v>0</v>
      </c>
      <c r="AY218" s="3">
        <v>0</v>
      </c>
    </row>
    <row r="219" spans="1:51">
      <c r="A219" s="3">
        <v>4605082</v>
      </c>
      <c r="B219" t="s">
        <v>441</v>
      </c>
      <c r="C219" s="3">
        <v>13131023</v>
      </c>
      <c r="D219" t="s">
        <v>44</v>
      </c>
      <c r="E219" t="s">
        <v>442</v>
      </c>
      <c r="F219" t="s">
        <v>65</v>
      </c>
      <c r="G219" t="s">
        <v>47</v>
      </c>
      <c r="H219" s="16">
        <v>0</v>
      </c>
      <c r="I219" s="4">
        <f>VLOOKUP(C219,[1]sheet1!$D:$I,6,0)</f>
        <v>0</v>
      </c>
      <c r="J219" s="4">
        <f>VLOOKUP(C219,[2]sheet1!$D:$I,6,0)</f>
        <v>0</v>
      </c>
      <c r="K219" s="4">
        <f>VLOOKUP(C219,[3]sheet1!$D:$I,6,0)</f>
        <v>0</v>
      </c>
      <c r="L219" s="4">
        <f>VLOOKUP(C219,[4]sheet1!$D:$I,6,0)</f>
        <v>0</v>
      </c>
      <c r="M219" s="4">
        <f>VLOOKUP(C219,[5]sheet1!$D:$I,6,0)</f>
        <v>0</v>
      </c>
      <c r="N219" s="4">
        <f>VLOOKUP(C219,[6]sheet1!$D:$I,6,0)</f>
        <v>0</v>
      </c>
      <c r="O219" s="4">
        <f>VLOOKUP(C219,[7]sheet1!$D:$I,6,0)</f>
        <v>0</v>
      </c>
      <c r="P219" s="4">
        <f>VLOOKUP(C219,[8]sheet1!$D:$I,6,0)</f>
        <v>0</v>
      </c>
      <c r="Q219" s="4">
        <f t="shared" si="3"/>
        <v>0</v>
      </c>
      <c r="R219" s="3">
        <v>0</v>
      </c>
      <c r="S219" s="3">
        <v>0</v>
      </c>
      <c r="T219" s="19">
        <v>0</v>
      </c>
      <c r="U219" s="3">
        <v>0</v>
      </c>
      <c r="V219" s="3">
        <v>0</v>
      </c>
      <c r="W219">
        <v>0</v>
      </c>
      <c r="X219" s="3">
        <v>0</v>
      </c>
      <c r="Y219">
        <v>0</v>
      </c>
      <c r="Z219" s="3">
        <v>0</v>
      </c>
      <c r="AA219" t="s">
        <v>49</v>
      </c>
      <c r="AB219" t="s">
        <v>49</v>
      </c>
      <c r="AC219" t="s">
        <v>49</v>
      </c>
      <c r="AD219" t="s">
        <v>49</v>
      </c>
      <c r="AE219">
        <v>0</v>
      </c>
      <c r="AF219" s="3">
        <v>0</v>
      </c>
      <c r="AG219" t="s">
        <v>49</v>
      </c>
      <c r="AH219" t="s">
        <v>49</v>
      </c>
      <c r="AI219" t="s">
        <v>49</v>
      </c>
      <c r="AJ219" t="s">
        <v>49</v>
      </c>
      <c r="AK219" t="s">
        <v>49</v>
      </c>
      <c r="AL219" t="s">
        <v>49</v>
      </c>
      <c r="AM219" t="s">
        <v>49</v>
      </c>
      <c r="AN219" s="3">
        <v>0</v>
      </c>
      <c r="AO219" s="19">
        <v>0</v>
      </c>
      <c r="AP219" s="19">
        <v>0</v>
      </c>
      <c r="AQ219" s="19">
        <v>0</v>
      </c>
      <c r="AR219" s="19">
        <v>0</v>
      </c>
      <c r="AS219" s="19">
        <v>0</v>
      </c>
      <c r="AT219" s="19">
        <v>0</v>
      </c>
      <c r="AU219" s="3">
        <v>0</v>
      </c>
      <c r="AV219" s="3">
        <v>0</v>
      </c>
      <c r="AW219" s="19">
        <v>0</v>
      </c>
      <c r="AX219" s="3">
        <v>0</v>
      </c>
      <c r="AY219" s="3">
        <v>0</v>
      </c>
    </row>
    <row r="220" spans="1:51">
      <c r="A220" s="3">
        <v>4605055</v>
      </c>
      <c r="B220" t="s">
        <v>443</v>
      </c>
      <c r="C220" s="3">
        <v>13231017</v>
      </c>
      <c r="D220" t="s">
        <v>44</v>
      </c>
      <c r="E220" t="s">
        <v>283</v>
      </c>
      <c r="F220" t="s">
        <v>65</v>
      </c>
      <c r="G220" t="s">
        <v>47</v>
      </c>
      <c r="H220" s="16">
        <v>0</v>
      </c>
      <c r="I220" s="4">
        <f>VLOOKUP(C220,[1]sheet1!$D:$I,6,0)</f>
        <v>0</v>
      </c>
      <c r="J220" s="4">
        <f>VLOOKUP(C220,[2]sheet1!$D:$I,6,0)</f>
        <v>0</v>
      </c>
      <c r="K220" s="4">
        <f>VLOOKUP(C220,[3]sheet1!$D:$I,6,0)</f>
        <v>0</v>
      </c>
      <c r="L220" s="4">
        <f>VLOOKUP(C220,[4]sheet1!$D:$I,6,0)</f>
        <v>0</v>
      </c>
      <c r="M220" s="4">
        <f>VLOOKUP(C220,[5]sheet1!$D:$I,6,0)</f>
        <v>0</v>
      </c>
      <c r="N220" s="4">
        <f>VLOOKUP(C220,[6]sheet1!$D:$I,6,0)</f>
        <v>0</v>
      </c>
      <c r="O220" s="4">
        <f>VLOOKUP(C220,[7]sheet1!$D:$I,6,0)</f>
        <v>0</v>
      </c>
      <c r="P220" s="4">
        <f>VLOOKUP(C220,[8]sheet1!$D:$I,6,0)</f>
        <v>0</v>
      </c>
      <c r="Q220" s="4">
        <f t="shared" si="3"/>
        <v>0</v>
      </c>
      <c r="R220" s="3">
        <v>0</v>
      </c>
      <c r="S220" s="3">
        <v>1</v>
      </c>
      <c r="T220" s="19">
        <v>0</v>
      </c>
      <c r="U220" s="3">
        <v>0</v>
      </c>
      <c r="V220" s="3">
        <v>0</v>
      </c>
      <c r="W220">
        <v>0</v>
      </c>
      <c r="X220" s="3">
        <v>0</v>
      </c>
      <c r="Y220">
        <v>0</v>
      </c>
      <c r="Z220" s="3">
        <v>0</v>
      </c>
      <c r="AA220" t="s">
        <v>49</v>
      </c>
      <c r="AB220" t="s">
        <v>49</v>
      </c>
      <c r="AC220" t="s">
        <v>49</v>
      </c>
      <c r="AD220" t="s">
        <v>49</v>
      </c>
      <c r="AE220">
        <v>0</v>
      </c>
      <c r="AF220" s="3">
        <v>0</v>
      </c>
      <c r="AG220" t="s">
        <v>49</v>
      </c>
      <c r="AH220" t="s">
        <v>49</v>
      </c>
      <c r="AI220" t="s">
        <v>49</v>
      </c>
      <c r="AJ220" t="s">
        <v>49</v>
      </c>
      <c r="AK220" t="s">
        <v>49</v>
      </c>
      <c r="AL220" t="s">
        <v>49</v>
      </c>
      <c r="AM220" t="s">
        <v>49</v>
      </c>
      <c r="AN220" s="3">
        <v>1</v>
      </c>
      <c r="AO220" s="19">
        <v>0</v>
      </c>
      <c r="AP220" s="19">
        <v>0</v>
      </c>
      <c r="AQ220" s="19">
        <v>1</v>
      </c>
      <c r="AR220" s="19">
        <v>0</v>
      </c>
      <c r="AS220" s="19">
        <v>0</v>
      </c>
      <c r="AT220" s="19">
        <v>0</v>
      </c>
      <c r="AU220" s="3">
        <v>0</v>
      </c>
      <c r="AV220" s="3">
        <v>0</v>
      </c>
      <c r="AW220" s="19">
        <v>0</v>
      </c>
      <c r="AX220" s="3">
        <v>0</v>
      </c>
      <c r="AY220" s="3">
        <v>0</v>
      </c>
    </row>
    <row r="221" spans="1:51">
      <c r="A221" s="3">
        <v>4605031</v>
      </c>
      <c r="B221" t="s">
        <v>444</v>
      </c>
      <c r="C221" s="3">
        <v>12131004</v>
      </c>
      <c r="D221" t="s">
        <v>44</v>
      </c>
      <c r="E221" t="s">
        <v>206</v>
      </c>
      <c r="F221" t="s">
        <v>65</v>
      </c>
      <c r="G221" t="s">
        <v>47</v>
      </c>
      <c r="H221" s="16">
        <v>0</v>
      </c>
      <c r="I221" s="4">
        <f>VLOOKUP(C221,[1]sheet1!$D:$I,6,0)</f>
        <v>0</v>
      </c>
      <c r="J221" s="4">
        <f>VLOOKUP(C221,[2]sheet1!$D:$I,6,0)</f>
        <v>0</v>
      </c>
      <c r="K221" s="4">
        <f>VLOOKUP(C221,[3]sheet1!$D:$I,6,0)</f>
        <v>0</v>
      </c>
      <c r="L221" s="4">
        <f>VLOOKUP(C221,[4]sheet1!$D:$I,6,0)</f>
        <v>0</v>
      </c>
      <c r="M221" s="4">
        <f>VLOOKUP(C221,[5]sheet1!$D:$I,6,0)</f>
        <v>0</v>
      </c>
      <c r="N221" s="4">
        <f>VLOOKUP(C221,[6]sheet1!$D:$I,6,0)</f>
        <v>0</v>
      </c>
      <c r="O221" s="4">
        <f>VLOOKUP(C221,[7]sheet1!$D:$I,6,0)</f>
        <v>0</v>
      </c>
      <c r="P221" s="4">
        <f>VLOOKUP(C221,[8]sheet1!$D:$I,6,0)</f>
        <v>0</v>
      </c>
      <c r="Q221" s="4">
        <f t="shared" si="3"/>
        <v>0</v>
      </c>
      <c r="R221" s="3">
        <v>0</v>
      </c>
      <c r="S221" s="3">
        <v>0</v>
      </c>
      <c r="T221" s="19">
        <v>0</v>
      </c>
      <c r="U221" s="3">
        <v>0</v>
      </c>
      <c r="V221" s="3">
        <v>0</v>
      </c>
      <c r="W221">
        <v>0</v>
      </c>
      <c r="X221" s="3">
        <v>0</v>
      </c>
      <c r="Y221">
        <v>0</v>
      </c>
      <c r="Z221" s="3">
        <v>0</v>
      </c>
      <c r="AA221" t="s">
        <v>49</v>
      </c>
      <c r="AB221" t="s">
        <v>49</v>
      </c>
      <c r="AC221" t="s">
        <v>49</v>
      </c>
      <c r="AD221" t="s">
        <v>49</v>
      </c>
      <c r="AE221">
        <v>0</v>
      </c>
      <c r="AF221" s="3">
        <v>0</v>
      </c>
      <c r="AG221" t="s">
        <v>49</v>
      </c>
      <c r="AH221" t="s">
        <v>49</v>
      </c>
      <c r="AI221" t="s">
        <v>49</v>
      </c>
      <c r="AJ221" t="s">
        <v>49</v>
      </c>
      <c r="AK221" t="s">
        <v>49</v>
      </c>
      <c r="AL221" t="s">
        <v>49</v>
      </c>
      <c r="AM221" t="s">
        <v>49</v>
      </c>
      <c r="AN221" s="3">
        <v>0</v>
      </c>
      <c r="AO221" s="19">
        <v>0</v>
      </c>
      <c r="AP221" s="19">
        <v>0</v>
      </c>
      <c r="AQ221" s="19">
        <v>0</v>
      </c>
      <c r="AR221" s="19">
        <v>0</v>
      </c>
      <c r="AS221" s="19">
        <v>0</v>
      </c>
      <c r="AT221" s="19">
        <v>0</v>
      </c>
      <c r="AU221" s="3">
        <v>0</v>
      </c>
      <c r="AV221" s="3">
        <v>0</v>
      </c>
      <c r="AW221" s="19">
        <v>0</v>
      </c>
      <c r="AX221" s="3">
        <v>0</v>
      </c>
      <c r="AY221" s="3">
        <v>0</v>
      </c>
    </row>
    <row r="222" spans="1:51">
      <c r="A222" s="3">
        <v>4604980</v>
      </c>
      <c r="B222" t="s">
        <v>445</v>
      </c>
      <c r="C222" s="3">
        <v>13131026</v>
      </c>
      <c r="D222" t="s">
        <v>44</v>
      </c>
      <c r="E222" t="s">
        <v>446</v>
      </c>
      <c r="F222" t="s">
        <v>65</v>
      </c>
      <c r="G222" t="s">
        <v>47</v>
      </c>
      <c r="H222" s="16">
        <v>0</v>
      </c>
      <c r="I222" s="4">
        <f>VLOOKUP(C222,[1]sheet1!$D:$I,6,0)</f>
        <v>0</v>
      </c>
      <c r="J222" s="4">
        <f>VLOOKUP(C222,[2]sheet1!$D:$I,6,0)</f>
        <v>0</v>
      </c>
      <c r="K222" s="4">
        <f>VLOOKUP(C222,[3]sheet1!$D:$I,6,0)</f>
        <v>0</v>
      </c>
      <c r="L222" s="4">
        <f>VLOOKUP(C222,[4]sheet1!$D:$I,6,0)</f>
        <v>0</v>
      </c>
      <c r="M222" s="4">
        <f>VLOOKUP(C222,[5]sheet1!$D:$I,6,0)</f>
        <v>0</v>
      </c>
      <c r="N222" s="4">
        <f>VLOOKUP(C222,[6]sheet1!$D:$I,6,0)</f>
        <v>0</v>
      </c>
      <c r="O222" s="4">
        <f>VLOOKUP(C222,[7]sheet1!$D:$I,6,0)</f>
        <v>0</v>
      </c>
      <c r="P222" s="4">
        <f>VLOOKUP(C222,[8]sheet1!$D:$I,6,0)</f>
        <v>0</v>
      </c>
      <c r="Q222" s="4">
        <f t="shared" si="3"/>
        <v>0</v>
      </c>
      <c r="R222" s="3">
        <v>0</v>
      </c>
      <c r="S222" s="3">
        <v>0</v>
      </c>
      <c r="T222" s="19">
        <v>0</v>
      </c>
      <c r="U222" s="3">
        <v>0</v>
      </c>
      <c r="V222" s="3">
        <v>0</v>
      </c>
      <c r="W222">
        <v>0</v>
      </c>
      <c r="X222" s="3">
        <v>0</v>
      </c>
      <c r="Y222">
        <v>0</v>
      </c>
      <c r="Z222" s="3">
        <v>0</v>
      </c>
      <c r="AA222" t="s">
        <v>49</v>
      </c>
      <c r="AB222" t="s">
        <v>49</v>
      </c>
      <c r="AC222" t="s">
        <v>49</v>
      </c>
      <c r="AD222" t="s">
        <v>49</v>
      </c>
      <c r="AE222">
        <v>0</v>
      </c>
      <c r="AF222" s="3">
        <v>0</v>
      </c>
      <c r="AG222" t="s">
        <v>49</v>
      </c>
      <c r="AH222" t="s">
        <v>49</v>
      </c>
      <c r="AI222" t="s">
        <v>49</v>
      </c>
      <c r="AJ222" t="s">
        <v>49</v>
      </c>
      <c r="AK222" t="s">
        <v>49</v>
      </c>
      <c r="AL222" t="s">
        <v>49</v>
      </c>
      <c r="AM222" t="s">
        <v>49</v>
      </c>
      <c r="AN222" s="3">
        <v>0</v>
      </c>
      <c r="AO222" s="19">
        <v>0</v>
      </c>
      <c r="AP222" s="19">
        <v>0</v>
      </c>
      <c r="AQ222" s="19">
        <v>0</v>
      </c>
      <c r="AR222" s="19">
        <v>0</v>
      </c>
      <c r="AS222" s="19">
        <v>0</v>
      </c>
      <c r="AT222" s="19">
        <v>0</v>
      </c>
      <c r="AU222" s="3">
        <v>0</v>
      </c>
      <c r="AV222" s="3">
        <v>0</v>
      </c>
      <c r="AW222" s="19">
        <v>0</v>
      </c>
      <c r="AX222" s="3">
        <v>0</v>
      </c>
      <c r="AY222" s="3">
        <v>0</v>
      </c>
    </row>
    <row r="223" spans="1:51">
      <c r="A223" s="3">
        <v>4604874</v>
      </c>
      <c r="B223" t="s">
        <v>447</v>
      </c>
      <c r="C223" s="3">
        <v>13131501</v>
      </c>
      <c r="D223" t="s">
        <v>44</v>
      </c>
      <c r="E223" t="s">
        <v>448</v>
      </c>
      <c r="F223" t="s">
        <v>65</v>
      </c>
      <c r="G223" t="s">
        <v>47</v>
      </c>
      <c r="H223" s="16">
        <v>0</v>
      </c>
      <c r="I223" s="4">
        <f>VLOOKUP(C223,[1]sheet1!$D:$I,6,0)</f>
        <v>0</v>
      </c>
      <c r="J223" s="4">
        <f>VLOOKUP(C223,[2]sheet1!$D:$I,6,0)</f>
        <v>0</v>
      </c>
      <c r="K223" s="4">
        <f>VLOOKUP(C223,[3]sheet1!$D:$I,6,0)</f>
        <v>0</v>
      </c>
      <c r="L223" s="4">
        <f>VLOOKUP(C223,[4]sheet1!$D:$I,6,0)</f>
        <v>0</v>
      </c>
      <c r="M223" s="4">
        <f>VLOOKUP(C223,[5]sheet1!$D:$I,6,0)</f>
        <v>0</v>
      </c>
      <c r="N223" s="4">
        <f>VLOOKUP(C223,[6]sheet1!$D:$I,6,0)</f>
        <v>0</v>
      </c>
      <c r="O223" s="4">
        <f>VLOOKUP(C223,[7]sheet1!$D:$I,6,0)</f>
        <v>0</v>
      </c>
      <c r="P223" s="4">
        <f>VLOOKUP(C223,[8]sheet1!$D:$I,6,0)</f>
        <v>0</v>
      </c>
      <c r="Q223" s="4">
        <f t="shared" si="3"/>
        <v>0</v>
      </c>
      <c r="R223" s="3">
        <v>0</v>
      </c>
      <c r="S223" s="3">
        <v>0</v>
      </c>
      <c r="T223" s="19">
        <v>0</v>
      </c>
      <c r="U223" s="3">
        <v>0</v>
      </c>
      <c r="V223" s="3">
        <v>0</v>
      </c>
      <c r="W223">
        <v>0</v>
      </c>
      <c r="X223" s="3">
        <v>0</v>
      </c>
      <c r="Y223">
        <v>0</v>
      </c>
      <c r="Z223" s="3">
        <v>0</v>
      </c>
      <c r="AA223" t="s">
        <v>49</v>
      </c>
      <c r="AB223" t="s">
        <v>49</v>
      </c>
      <c r="AC223" t="s">
        <v>49</v>
      </c>
      <c r="AD223" t="s">
        <v>49</v>
      </c>
      <c r="AE223">
        <v>0</v>
      </c>
      <c r="AF223" s="3">
        <v>0</v>
      </c>
      <c r="AG223" t="s">
        <v>49</v>
      </c>
      <c r="AH223" t="s">
        <v>49</v>
      </c>
      <c r="AI223" t="s">
        <v>49</v>
      </c>
      <c r="AJ223" t="s">
        <v>49</v>
      </c>
      <c r="AK223" t="s">
        <v>49</v>
      </c>
      <c r="AL223" t="s">
        <v>49</v>
      </c>
      <c r="AM223" t="s">
        <v>49</v>
      </c>
      <c r="AN223" s="3">
        <v>0</v>
      </c>
      <c r="AO223" s="19">
        <v>0</v>
      </c>
      <c r="AP223" s="19">
        <v>0</v>
      </c>
      <c r="AQ223" s="19">
        <v>0</v>
      </c>
      <c r="AR223" s="19">
        <v>0</v>
      </c>
      <c r="AS223" s="19">
        <v>0</v>
      </c>
      <c r="AT223" s="19">
        <v>0</v>
      </c>
      <c r="AU223" s="3">
        <v>0</v>
      </c>
      <c r="AV223" s="3">
        <v>0</v>
      </c>
      <c r="AW223" s="19">
        <v>0</v>
      </c>
      <c r="AX223" s="3">
        <v>0</v>
      </c>
      <c r="AY223" s="3">
        <v>0</v>
      </c>
    </row>
    <row r="224" spans="1:51">
      <c r="A224" s="3">
        <v>4604788</v>
      </c>
      <c r="B224" t="s">
        <v>449</v>
      </c>
      <c r="C224" s="3">
        <v>13221533</v>
      </c>
      <c r="D224" t="s">
        <v>44</v>
      </c>
      <c r="E224" t="s">
        <v>448</v>
      </c>
      <c r="F224" t="s">
        <v>65</v>
      </c>
      <c r="G224" t="s">
        <v>47</v>
      </c>
      <c r="H224" s="16">
        <v>0</v>
      </c>
      <c r="I224" s="4">
        <f>VLOOKUP(C224,[1]sheet1!$D:$I,6,0)</f>
        <v>0</v>
      </c>
      <c r="J224" s="4">
        <f>VLOOKUP(C224,[2]sheet1!$D:$I,6,0)</f>
        <v>0</v>
      </c>
      <c r="K224" s="4">
        <f>VLOOKUP(C224,[3]sheet1!$D:$I,6,0)</f>
        <v>0</v>
      </c>
      <c r="L224" s="4">
        <f>VLOOKUP(C224,[4]sheet1!$D:$I,6,0)</f>
        <v>0</v>
      </c>
      <c r="M224" s="4">
        <f>VLOOKUP(C224,[5]sheet1!$D:$I,6,0)</f>
        <v>0</v>
      </c>
      <c r="N224" s="4">
        <f>VLOOKUP(C224,[6]sheet1!$D:$I,6,0)</f>
        <v>0</v>
      </c>
      <c r="O224" s="4">
        <f>VLOOKUP(C224,[7]sheet1!$D:$I,6,0)</f>
        <v>0</v>
      </c>
      <c r="P224" s="4">
        <f>VLOOKUP(C224,[8]sheet1!$D:$I,6,0)</f>
        <v>0</v>
      </c>
      <c r="Q224" s="4">
        <f t="shared" si="3"/>
        <v>0</v>
      </c>
      <c r="R224" s="3">
        <v>0</v>
      </c>
      <c r="S224" s="3">
        <v>1</v>
      </c>
      <c r="T224" s="19">
        <v>0</v>
      </c>
      <c r="U224" s="3">
        <v>0</v>
      </c>
      <c r="V224" s="3">
        <v>0</v>
      </c>
      <c r="W224">
        <v>0</v>
      </c>
      <c r="X224" s="3">
        <v>0</v>
      </c>
      <c r="Y224">
        <v>0</v>
      </c>
      <c r="Z224" s="3">
        <v>0</v>
      </c>
      <c r="AA224" t="s">
        <v>49</v>
      </c>
      <c r="AB224" t="s">
        <v>49</v>
      </c>
      <c r="AC224" t="s">
        <v>49</v>
      </c>
      <c r="AD224" t="s">
        <v>49</v>
      </c>
      <c r="AE224">
        <v>0</v>
      </c>
      <c r="AF224" s="3">
        <v>0</v>
      </c>
      <c r="AG224" t="s">
        <v>49</v>
      </c>
      <c r="AH224" t="s">
        <v>49</v>
      </c>
      <c r="AI224" t="s">
        <v>49</v>
      </c>
      <c r="AJ224" t="s">
        <v>49</v>
      </c>
      <c r="AK224" t="s">
        <v>49</v>
      </c>
      <c r="AL224" t="s">
        <v>49</v>
      </c>
      <c r="AM224" t="s">
        <v>49</v>
      </c>
      <c r="AN224" s="3">
        <v>1</v>
      </c>
      <c r="AO224" s="19">
        <v>0</v>
      </c>
      <c r="AP224" s="19">
        <v>0</v>
      </c>
      <c r="AQ224" s="19">
        <v>0</v>
      </c>
      <c r="AR224" s="19">
        <v>0</v>
      </c>
      <c r="AS224" s="19">
        <v>0</v>
      </c>
      <c r="AT224" s="19">
        <v>0</v>
      </c>
      <c r="AU224" s="3">
        <v>0</v>
      </c>
      <c r="AV224" s="3">
        <v>0</v>
      </c>
      <c r="AW224" s="19">
        <v>0</v>
      </c>
      <c r="AX224" s="3">
        <v>0</v>
      </c>
      <c r="AY224" s="3">
        <v>0</v>
      </c>
    </row>
    <row r="225" spans="1:51">
      <c r="A225" s="3">
        <v>4604743</v>
      </c>
      <c r="B225" t="s">
        <v>450</v>
      </c>
      <c r="C225" s="3">
        <v>12123812</v>
      </c>
      <c r="D225" t="s">
        <v>44</v>
      </c>
      <c r="E225" t="s">
        <v>451</v>
      </c>
      <c r="F225" t="s">
        <v>65</v>
      </c>
      <c r="G225" t="s">
        <v>47</v>
      </c>
      <c r="H225" s="16">
        <v>0</v>
      </c>
      <c r="I225" s="4">
        <f>VLOOKUP(C225,[1]sheet1!$D:$I,6,0)</f>
        <v>0</v>
      </c>
      <c r="J225" s="4">
        <f>VLOOKUP(C225,[2]sheet1!$D:$I,6,0)</f>
        <v>0</v>
      </c>
      <c r="K225" s="4">
        <f>VLOOKUP(C225,[3]sheet1!$D:$I,6,0)</f>
        <v>0</v>
      </c>
      <c r="L225" s="4">
        <f>VLOOKUP(C225,[4]sheet1!$D:$I,6,0)</f>
        <v>0</v>
      </c>
      <c r="M225" s="4">
        <f>VLOOKUP(C225,[5]sheet1!$D:$I,6,0)</f>
        <v>0</v>
      </c>
      <c r="N225" s="4">
        <f>VLOOKUP(C225,[6]sheet1!$D:$I,6,0)</f>
        <v>0</v>
      </c>
      <c r="O225" s="4">
        <f>VLOOKUP(C225,[7]sheet1!$D:$I,6,0)</f>
        <v>0</v>
      </c>
      <c r="P225" s="4">
        <f>VLOOKUP(C225,[8]sheet1!$D:$I,6,0)</f>
        <v>0</v>
      </c>
      <c r="Q225" s="4">
        <f t="shared" si="3"/>
        <v>0</v>
      </c>
      <c r="R225" s="3">
        <v>0</v>
      </c>
      <c r="S225" s="3">
        <v>12</v>
      </c>
      <c r="T225" s="19">
        <v>0</v>
      </c>
      <c r="U225" s="3">
        <v>0</v>
      </c>
      <c r="V225" s="3">
        <v>0</v>
      </c>
      <c r="W225">
        <v>0</v>
      </c>
      <c r="X225" s="3">
        <v>0</v>
      </c>
      <c r="Y225">
        <v>0</v>
      </c>
      <c r="Z225" s="3">
        <v>0</v>
      </c>
      <c r="AA225" t="s">
        <v>49</v>
      </c>
      <c r="AB225" t="s">
        <v>49</v>
      </c>
      <c r="AC225" t="s">
        <v>49</v>
      </c>
      <c r="AD225" t="s">
        <v>49</v>
      </c>
      <c r="AE225">
        <v>0</v>
      </c>
      <c r="AF225" s="3">
        <v>0</v>
      </c>
      <c r="AG225" t="s">
        <v>49</v>
      </c>
      <c r="AH225" t="s">
        <v>49</v>
      </c>
      <c r="AI225" t="s">
        <v>49</v>
      </c>
      <c r="AJ225" t="s">
        <v>49</v>
      </c>
      <c r="AK225" t="s">
        <v>49</v>
      </c>
      <c r="AL225" t="s">
        <v>49</v>
      </c>
      <c r="AM225" t="s">
        <v>49</v>
      </c>
      <c r="AN225" s="3">
        <v>13</v>
      </c>
      <c r="AO225" s="19">
        <v>0</v>
      </c>
      <c r="AP225" s="19">
        <v>0</v>
      </c>
      <c r="AQ225" s="19">
        <v>0.3333</v>
      </c>
      <c r="AR225" s="19">
        <v>0</v>
      </c>
      <c r="AS225" s="19">
        <v>0</v>
      </c>
      <c r="AT225" s="19">
        <v>0</v>
      </c>
      <c r="AU225" s="3">
        <v>0</v>
      </c>
      <c r="AV225" s="3">
        <v>0</v>
      </c>
      <c r="AW225" s="19">
        <v>0</v>
      </c>
      <c r="AX225" s="3">
        <v>0</v>
      </c>
      <c r="AY225" s="3">
        <v>0</v>
      </c>
    </row>
    <row r="226" spans="1:51">
      <c r="A226" s="3">
        <v>4604565</v>
      </c>
      <c r="B226" t="s">
        <v>452</v>
      </c>
      <c r="C226" s="3">
        <v>13113706</v>
      </c>
      <c r="D226" t="s">
        <v>44</v>
      </c>
      <c r="E226" t="s">
        <v>453</v>
      </c>
      <c r="F226" t="s">
        <v>65</v>
      </c>
      <c r="G226" t="s">
        <v>47</v>
      </c>
      <c r="H226" s="16">
        <v>0</v>
      </c>
      <c r="I226" s="4">
        <f>VLOOKUP(C226,[1]sheet1!$D:$I,6,0)</f>
        <v>0</v>
      </c>
      <c r="J226" s="4">
        <f>VLOOKUP(C226,[2]sheet1!$D:$I,6,0)</f>
        <v>0</v>
      </c>
      <c r="K226" s="4">
        <f>VLOOKUP(C226,[3]sheet1!$D:$I,6,0)</f>
        <v>0</v>
      </c>
      <c r="L226" s="4">
        <f>VLOOKUP(C226,[4]sheet1!$D:$I,6,0)</f>
        <v>0</v>
      </c>
      <c r="M226" s="4">
        <f>VLOOKUP(C226,[5]sheet1!$D:$I,6,0)</f>
        <v>0</v>
      </c>
      <c r="N226" s="4">
        <f>VLOOKUP(C226,[6]sheet1!$D:$I,6,0)</f>
        <v>0</v>
      </c>
      <c r="O226" s="4">
        <f>VLOOKUP(C226,[7]sheet1!$D:$I,6,0)</f>
        <v>0</v>
      </c>
      <c r="P226" s="4">
        <f>VLOOKUP(C226,[8]sheet1!$D:$I,6,0)</f>
        <v>0</v>
      </c>
      <c r="Q226" s="4">
        <f t="shared" si="3"/>
        <v>0</v>
      </c>
      <c r="R226" s="3">
        <v>0</v>
      </c>
      <c r="S226" s="3">
        <v>0</v>
      </c>
      <c r="T226" s="19">
        <v>0</v>
      </c>
      <c r="U226" s="3">
        <v>0</v>
      </c>
      <c r="V226" s="3">
        <v>0</v>
      </c>
      <c r="W226">
        <v>0</v>
      </c>
      <c r="X226" s="3">
        <v>0</v>
      </c>
      <c r="Y226">
        <v>0</v>
      </c>
      <c r="Z226" s="3">
        <v>0</v>
      </c>
      <c r="AA226" t="s">
        <v>49</v>
      </c>
      <c r="AB226" t="s">
        <v>49</v>
      </c>
      <c r="AC226" t="s">
        <v>49</v>
      </c>
      <c r="AD226" t="s">
        <v>49</v>
      </c>
      <c r="AE226">
        <v>0</v>
      </c>
      <c r="AF226" s="3">
        <v>0</v>
      </c>
      <c r="AG226" t="s">
        <v>49</v>
      </c>
      <c r="AH226" t="s">
        <v>49</v>
      </c>
      <c r="AI226" t="s">
        <v>49</v>
      </c>
      <c r="AJ226" t="s">
        <v>49</v>
      </c>
      <c r="AK226" t="s">
        <v>49</v>
      </c>
      <c r="AL226" t="s">
        <v>49</v>
      </c>
      <c r="AM226" t="s">
        <v>49</v>
      </c>
      <c r="AN226" s="3">
        <v>0</v>
      </c>
      <c r="AO226" s="19">
        <v>0</v>
      </c>
      <c r="AP226" s="19">
        <v>0</v>
      </c>
      <c r="AQ226" s="19">
        <v>0</v>
      </c>
      <c r="AR226" s="19">
        <v>0</v>
      </c>
      <c r="AS226" s="19">
        <v>0</v>
      </c>
      <c r="AT226" s="19">
        <v>0</v>
      </c>
      <c r="AU226" s="3">
        <v>0</v>
      </c>
      <c r="AV226" s="3">
        <v>0</v>
      </c>
      <c r="AW226" s="19">
        <v>0</v>
      </c>
      <c r="AX226" s="3">
        <v>0</v>
      </c>
      <c r="AY226" s="3">
        <v>0</v>
      </c>
    </row>
    <row r="227" spans="1:51">
      <c r="A227" s="3">
        <v>4604435</v>
      </c>
      <c r="B227" t="s">
        <v>454</v>
      </c>
      <c r="C227" s="3">
        <v>13221525</v>
      </c>
      <c r="D227" t="s">
        <v>44</v>
      </c>
      <c r="E227" t="s">
        <v>448</v>
      </c>
      <c r="F227" t="s">
        <v>65</v>
      </c>
      <c r="G227" t="s">
        <v>47</v>
      </c>
      <c r="H227" s="16">
        <v>0</v>
      </c>
      <c r="I227" s="4">
        <f>VLOOKUP(C227,[1]sheet1!$D:$I,6,0)</f>
        <v>0</v>
      </c>
      <c r="J227" s="4">
        <f>VLOOKUP(C227,[2]sheet1!$D:$I,6,0)</f>
        <v>0</v>
      </c>
      <c r="K227" s="4">
        <f>VLOOKUP(C227,[3]sheet1!$D:$I,6,0)</f>
        <v>0</v>
      </c>
      <c r="L227" s="4">
        <f>VLOOKUP(C227,[4]sheet1!$D:$I,6,0)</f>
        <v>0</v>
      </c>
      <c r="M227" s="4">
        <f>VLOOKUP(C227,[5]sheet1!$D:$I,6,0)</f>
        <v>0</v>
      </c>
      <c r="N227" s="4">
        <f>VLOOKUP(C227,[6]sheet1!$D:$I,6,0)</f>
        <v>0</v>
      </c>
      <c r="O227" s="4">
        <f>VLOOKUP(C227,[7]sheet1!$D:$I,6,0)</f>
        <v>0</v>
      </c>
      <c r="P227" s="4">
        <f>VLOOKUP(C227,[8]sheet1!$D:$I,6,0)</f>
        <v>0</v>
      </c>
      <c r="Q227" s="4">
        <f t="shared" si="3"/>
        <v>0</v>
      </c>
      <c r="R227" s="3">
        <v>0</v>
      </c>
      <c r="S227" s="3">
        <v>3</v>
      </c>
      <c r="T227" s="19">
        <v>0</v>
      </c>
      <c r="U227" s="3">
        <v>0</v>
      </c>
      <c r="V227" s="3">
        <v>0</v>
      </c>
      <c r="W227">
        <v>0</v>
      </c>
      <c r="X227" s="3">
        <v>0</v>
      </c>
      <c r="Y227">
        <v>0</v>
      </c>
      <c r="Z227" s="3">
        <v>0</v>
      </c>
      <c r="AA227" t="s">
        <v>49</v>
      </c>
      <c r="AB227" t="s">
        <v>49</v>
      </c>
      <c r="AC227" t="s">
        <v>49</v>
      </c>
      <c r="AD227" t="s">
        <v>49</v>
      </c>
      <c r="AE227">
        <v>0</v>
      </c>
      <c r="AF227" s="3">
        <v>0</v>
      </c>
      <c r="AG227" t="s">
        <v>49</v>
      </c>
      <c r="AH227" t="s">
        <v>49</v>
      </c>
      <c r="AI227" t="s">
        <v>49</v>
      </c>
      <c r="AJ227" t="s">
        <v>49</v>
      </c>
      <c r="AK227" t="s">
        <v>49</v>
      </c>
      <c r="AL227" t="s">
        <v>49</v>
      </c>
      <c r="AM227" t="s">
        <v>49</v>
      </c>
      <c r="AN227" s="3">
        <v>3</v>
      </c>
      <c r="AO227" s="19">
        <v>0</v>
      </c>
      <c r="AP227" s="19">
        <v>0</v>
      </c>
      <c r="AQ227" s="19">
        <v>0.6667</v>
      </c>
      <c r="AR227" s="19">
        <v>0.3333</v>
      </c>
      <c r="AS227" s="19">
        <v>0</v>
      </c>
      <c r="AT227" s="19">
        <v>0</v>
      </c>
      <c r="AU227" s="3">
        <v>0</v>
      </c>
      <c r="AV227" s="3">
        <v>0</v>
      </c>
      <c r="AW227" s="19">
        <v>0</v>
      </c>
      <c r="AX227" s="3">
        <v>0</v>
      </c>
      <c r="AY227" s="3">
        <v>0</v>
      </c>
    </row>
    <row r="228" spans="1:51">
      <c r="A228" s="3">
        <v>4604109</v>
      </c>
      <c r="B228" t="s">
        <v>455</v>
      </c>
      <c r="C228" s="3">
        <v>113221526</v>
      </c>
      <c r="D228" t="s">
        <v>44</v>
      </c>
      <c r="E228" t="s">
        <v>448</v>
      </c>
      <c r="F228" t="s">
        <v>65</v>
      </c>
      <c r="G228" t="s">
        <v>47</v>
      </c>
      <c r="H228" s="16">
        <v>0</v>
      </c>
      <c r="I228" s="4">
        <f>VLOOKUP(C228,[1]sheet1!$D:$I,6,0)</f>
        <v>0</v>
      </c>
      <c r="J228" s="4">
        <f>VLOOKUP(C228,[2]sheet1!$D:$I,6,0)</f>
        <v>0</v>
      </c>
      <c r="K228" s="4">
        <f>VLOOKUP(C228,[3]sheet1!$D:$I,6,0)</f>
        <v>0</v>
      </c>
      <c r="L228" s="4">
        <f>VLOOKUP(C228,[4]sheet1!$D:$I,6,0)</f>
        <v>0</v>
      </c>
      <c r="M228" s="4">
        <f>VLOOKUP(C228,[5]sheet1!$D:$I,6,0)</f>
        <v>0</v>
      </c>
      <c r="N228" s="4">
        <f>VLOOKUP(C228,[6]sheet1!$D:$I,6,0)</f>
        <v>0</v>
      </c>
      <c r="O228" s="4">
        <f>VLOOKUP(C228,[7]sheet1!$D:$I,6,0)</f>
        <v>0</v>
      </c>
      <c r="P228" s="4">
        <f>VLOOKUP(C228,[8]sheet1!$D:$I,6,0)</f>
        <v>0</v>
      </c>
      <c r="Q228" s="4">
        <f t="shared" si="3"/>
        <v>0</v>
      </c>
      <c r="R228" s="3">
        <v>0</v>
      </c>
      <c r="S228" s="3">
        <v>0</v>
      </c>
      <c r="T228" s="19">
        <v>0</v>
      </c>
      <c r="U228" s="3">
        <v>0</v>
      </c>
      <c r="V228" s="3">
        <v>0</v>
      </c>
      <c r="W228">
        <v>0</v>
      </c>
      <c r="X228" s="3">
        <v>0</v>
      </c>
      <c r="Y228">
        <v>0</v>
      </c>
      <c r="Z228" s="3">
        <v>0</v>
      </c>
      <c r="AA228" t="s">
        <v>49</v>
      </c>
      <c r="AB228" t="s">
        <v>49</v>
      </c>
      <c r="AC228" t="s">
        <v>49</v>
      </c>
      <c r="AD228" t="s">
        <v>49</v>
      </c>
      <c r="AE228">
        <v>0</v>
      </c>
      <c r="AF228" s="3">
        <v>0</v>
      </c>
      <c r="AG228" t="s">
        <v>49</v>
      </c>
      <c r="AH228" t="s">
        <v>49</v>
      </c>
      <c r="AI228" t="s">
        <v>49</v>
      </c>
      <c r="AJ228" t="s">
        <v>49</v>
      </c>
      <c r="AK228" t="s">
        <v>49</v>
      </c>
      <c r="AL228" t="s">
        <v>49</v>
      </c>
      <c r="AM228" t="s">
        <v>49</v>
      </c>
      <c r="AN228" s="3">
        <v>0</v>
      </c>
      <c r="AO228" s="19">
        <v>0</v>
      </c>
      <c r="AP228" s="19">
        <v>0</v>
      </c>
      <c r="AQ228" s="19">
        <v>0</v>
      </c>
      <c r="AR228" s="19">
        <v>0</v>
      </c>
      <c r="AS228" s="19">
        <v>0</v>
      </c>
      <c r="AT228" s="19">
        <v>0</v>
      </c>
      <c r="AU228" s="3">
        <v>0</v>
      </c>
      <c r="AV228" s="3">
        <v>0</v>
      </c>
      <c r="AW228" s="19">
        <v>0</v>
      </c>
      <c r="AX228" s="3">
        <v>0</v>
      </c>
      <c r="AY228" s="3">
        <v>0</v>
      </c>
    </row>
    <row r="229" spans="1:51">
      <c r="A229" s="3">
        <v>4603803</v>
      </c>
      <c r="B229" t="s">
        <v>456</v>
      </c>
      <c r="C229" s="3">
        <v>12133704</v>
      </c>
      <c r="D229" t="s">
        <v>44</v>
      </c>
      <c r="E229" t="s">
        <v>404</v>
      </c>
      <c r="F229" t="s">
        <v>65</v>
      </c>
      <c r="G229" t="s">
        <v>47</v>
      </c>
      <c r="H229" s="16">
        <v>0</v>
      </c>
      <c r="I229" s="4">
        <f>VLOOKUP(C229,[1]sheet1!$D:$I,6,0)</f>
        <v>0</v>
      </c>
      <c r="J229" s="4">
        <f>VLOOKUP(C229,[2]sheet1!$D:$I,6,0)</f>
        <v>0</v>
      </c>
      <c r="K229" s="4">
        <f>VLOOKUP(C229,[3]sheet1!$D:$I,6,0)</f>
        <v>0</v>
      </c>
      <c r="L229" s="4">
        <f>VLOOKUP(C229,[4]sheet1!$D:$I,6,0)</f>
        <v>0</v>
      </c>
      <c r="M229" s="4">
        <f>VLOOKUP(C229,[5]sheet1!$D:$I,6,0)</f>
        <v>0</v>
      </c>
      <c r="N229" s="4">
        <f>VLOOKUP(C229,[6]sheet1!$D:$I,6,0)</f>
        <v>0</v>
      </c>
      <c r="O229" s="4">
        <f>VLOOKUP(C229,[7]sheet1!$D:$I,6,0)</f>
        <v>0</v>
      </c>
      <c r="P229" s="4">
        <f>VLOOKUP(C229,[8]sheet1!$D:$I,6,0)</f>
        <v>0</v>
      </c>
      <c r="Q229" s="4">
        <f t="shared" si="3"/>
        <v>0</v>
      </c>
      <c r="R229" s="3">
        <v>0</v>
      </c>
      <c r="S229" s="3">
        <v>3</v>
      </c>
      <c r="T229" s="19">
        <v>0</v>
      </c>
      <c r="U229" s="3">
        <v>0</v>
      </c>
      <c r="V229" s="3">
        <v>0</v>
      </c>
      <c r="W229">
        <v>0</v>
      </c>
      <c r="X229" s="3">
        <v>0</v>
      </c>
      <c r="Y229">
        <v>0</v>
      </c>
      <c r="Z229" s="3">
        <v>0</v>
      </c>
      <c r="AA229" t="s">
        <v>49</v>
      </c>
      <c r="AB229" t="s">
        <v>49</v>
      </c>
      <c r="AC229" t="s">
        <v>49</v>
      </c>
      <c r="AD229" t="s">
        <v>49</v>
      </c>
      <c r="AE229">
        <v>0</v>
      </c>
      <c r="AF229" s="3">
        <v>0</v>
      </c>
      <c r="AG229" t="s">
        <v>49</v>
      </c>
      <c r="AH229" t="s">
        <v>49</v>
      </c>
      <c r="AI229" t="s">
        <v>49</v>
      </c>
      <c r="AJ229" t="s">
        <v>49</v>
      </c>
      <c r="AK229" t="s">
        <v>49</v>
      </c>
      <c r="AL229" t="s">
        <v>49</v>
      </c>
      <c r="AM229" t="s">
        <v>49</v>
      </c>
      <c r="AN229" s="3">
        <v>3</v>
      </c>
      <c r="AO229" s="19">
        <v>0</v>
      </c>
      <c r="AP229" s="19">
        <v>0</v>
      </c>
      <c r="AQ229" s="19">
        <v>1</v>
      </c>
      <c r="AR229" s="19">
        <v>0.3333</v>
      </c>
      <c r="AS229" s="19">
        <v>0</v>
      </c>
      <c r="AT229" s="19">
        <v>0</v>
      </c>
      <c r="AU229" s="3">
        <v>0</v>
      </c>
      <c r="AV229" s="3">
        <v>0</v>
      </c>
      <c r="AW229" s="19">
        <v>0</v>
      </c>
      <c r="AX229" s="3">
        <v>0</v>
      </c>
      <c r="AY229" s="3">
        <v>0</v>
      </c>
    </row>
    <row r="230" spans="1:51">
      <c r="A230" s="3">
        <v>4603087</v>
      </c>
      <c r="B230" t="s">
        <v>457</v>
      </c>
      <c r="C230" s="3">
        <v>11133707</v>
      </c>
      <c r="D230" t="s">
        <v>44</v>
      </c>
      <c r="E230" t="s">
        <v>432</v>
      </c>
      <c r="F230" t="s">
        <v>65</v>
      </c>
      <c r="G230" t="s">
        <v>47</v>
      </c>
      <c r="H230" s="16">
        <v>0</v>
      </c>
      <c r="I230" s="4">
        <f>VLOOKUP(C230,[1]sheet1!$D:$I,6,0)</f>
        <v>0</v>
      </c>
      <c r="J230" s="4">
        <f>VLOOKUP(C230,[2]sheet1!$D:$I,6,0)</f>
        <v>0</v>
      </c>
      <c r="K230" s="4">
        <f>VLOOKUP(C230,[3]sheet1!$D:$I,6,0)</f>
        <v>0</v>
      </c>
      <c r="L230" s="4">
        <f>VLOOKUP(C230,[4]sheet1!$D:$I,6,0)</f>
        <v>0</v>
      </c>
      <c r="M230" s="4">
        <f>VLOOKUP(C230,[5]sheet1!$D:$I,6,0)</f>
        <v>0</v>
      </c>
      <c r="N230" s="4">
        <f>VLOOKUP(C230,[6]sheet1!$D:$I,6,0)</f>
        <v>0</v>
      </c>
      <c r="O230" s="4">
        <f>VLOOKUP(C230,[7]sheet1!$D:$I,6,0)</f>
        <v>0</v>
      </c>
      <c r="P230" s="4">
        <f>VLOOKUP(C230,[8]sheet1!$D:$I,6,0)</f>
        <v>0</v>
      </c>
      <c r="Q230" s="4">
        <f t="shared" si="3"/>
        <v>0</v>
      </c>
      <c r="R230" s="3">
        <v>0</v>
      </c>
      <c r="S230" s="3">
        <v>1</v>
      </c>
      <c r="T230" s="19">
        <v>0</v>
      </c>
      <c r="U230" s="3">
        <v>0</v>
      </c>
      <c r="V230" s="3">
        <v>0</v>
      </c>
      <c r="W230">
        <v>0</v>
      </c>
      <c r="X230" s="3">
        <v>0</v>
      </c>
      <c r="Y230">
        <v>0</v>
      </c>
      <c r="Z230" s="3">
        <v>0</v>
      </c>
      <c r="AA230" t="s">
        <v>49</v>
      </c>
      <c r="AB230" t="s">
        <v>49</v>
      </c>
      <c r="AC230" t="s">
        <v>49</v>
      </c>
      <c r="AD230" t="s">
        <v>49</v>
      </c>
      <c r="AE230">
        <v>0</v>
      </c>
      <c r="AF230" s="3">
        <v>0</v>
      </c>
      <c r="AG230" t="s">
        <v>49</v>
      </c>
      <c r="AH230" t="s">
        <v>49</v>
      </c>
      <c r="AI230" t="s">
        <v>49</v>
      </c>
      <c r="AJ230" t="s">
        <v>49</v>
      </c>
      <c r="AK230" t="s">
        <v>49</v>
      </c>
      <c r="AL230" t="s">
        <v>49</v>
      </c>
      <c r="AM230" t="s">
        <v>49</v>
      </c>
      <c r="AN230" s="3">
        <v>1</v>
      </c>
      <c r="AO230" s="19">
        <v>0</v>
      </c>
      <c r="AP230" s="19">
        <v>0</v>
      </c>
      <c r="AQ230" s="19">
        <v>1</v>
      </c>
      <c r="AR230" s="19">
        <v>1</v>
      </c>
      <c r="AS230" s="19">
        <v>0</v>
      </c>
      <c r="AT230" s="19">
        <v>0</v>
      </c>
      <c r="AU230" s="3">
        <v>0</v>
      </c>
      <c r="AV230" s="3">
        <v>0</v>
      </c>
      <c r="AW230" s="19">
        <v>0</v>
      </c>
      <c r="AX230" s="3">
        <v>0</v>
      </c>
      <c r="AY230" s="3">
        <v>0</v>
      </c>
    </row>
    <row r="231" spans="1:51">
      <c r="A231" s="3">
        <v>4602526</v>
      </c>
      <c r="B231" t="s">
        <v>458</v>
      </c>
      <c r="C231" s="3">
        <v>11133805</v>
      </c>
      <c r="D231" t="s">
        <v>44</v>
      </c>
      <c r="E231" t="s">
        <v>188</v>
      </c>
      <c r="F231" t="s">
        <v>65</v>
      </c>
      <c r="G231" t="s">
        <v>47</v>
      </c>
      <c r="H231" s="16">
        <v>0</v>
      </c>
      <c r="I231" s="4">
        <f>VLOOKUP(C231,[1]sheet1!$D:$I,6,0)</f>
        <v>0</v>
      </c>
      <c r="J231" s="4">
        <f>VLOOKUP(C231,[2]sheet1!$D:$I,6,0)</f>
        <v>0</v>
      </c>
      <c r="K231" s="4">
        <f>VLOOKUP(C231,[3]sheet1!$D:$I,6,0)</f>
        <v>0</v>
      </c>
      <c r="L231" s="4">
        <f>VLOOKUP(C231,[4]sheet1!$D:$I,6,0)</f>
        <v>0</v>
      </c>
      <c r="M231" s="4">
        <f>VLOOKUP(C231,[5]sheet1!$D:$I,6,0)</f>
        <v>0</v>
      </c>
      <c r="N231" s="4">
        <f>VLOOKUP(C231,[6]sheet1!$D:$I,6,0)</f>
        <v>0</v>
      </c>
      <c r="O231" s="4">
        <f>VLOOKUP(C231,[7]sheet1!$D:$I,6,0)</f>
        <v>0</v>
      </c>
      <c r="P231" s="4">
        <f>VLOOKUP(C231,[8]sheet1!$D:$I,6,0)</f>
        <v>0</v>
      </c>
      <c r="Q231" s="4">
        <f t="shared" si="3"/>
        <v>0</v>
      </c>
      <c r="R231" s="3">
        <v>0</v>
      </c>
      <c r="S231" s="3">
        <v>0</v>
      </c>
      <c r="T231" s="19">
        <v>0</v>
      </c>
      <c r="U231" s="3">
        <v>0</v>
      </c>
      <c r="V231" s="3">
        <v>0</v>
      </c>
      <c r="W231">
        <v>0</v>
      </c>
      <c r="X231" s="3">
        <v>0</v>
      </c>
      <c r="Y231">
        <v>0</v>
      </c>
      <c r="Z231" s="3">
        <v>0</v>
      </c>
      <c r="AA231" t="s">
        <v>49</v>
      </c>
      <c r="AB231" t="s">
        <v>49</v>
      </c>
      <c r="AC231" t="s">
        <v>49</v>
      </c>
      <c r="AD231" t="s">
        <v>49</v>
      </c>
      <c r="AE231">
        <v>0</v>
      </c>
      <c r="AF231" s="3">
        <v>0</v>
      </c>
      <c r="AG231" t="s">
        <v>49</v>
      </c>
      <c r="AH231" t="s">
        <v>49</v>
      </c>
      <c r="AI231" t="s">
        <v>49</v>
      </c>
      <c r="AJ231" t="s">
        <v>49</v>
      </c>
      <c r="AK231" t="s">
        <v>49</v>
      </c>
      <c r="AL231" t="s">
        <v>49</v>
      </c>
      <c r="AM231" t="s">
        <v>49</v>
      </c>
      <c r="AN231" s="3">
        <v>0</v>
      </c>
      <c r="AO231" s="19">
        <v>0</v>
      </c>
      <c r="AP231" s="19">
        <v>0</v>
      </c>
      <c r="AQ231" s="19">
        <v>0</v>
      </c>
      <c r="AR231" s="19">
        <v>0</v>
      </c>
      <c r="AS231" s="19">
        <v>0</v>
      </c>
      <c r="AT231" s="19">
        <v>0</v>
      </c>
      <c r="AU231" s="3">
        <v>0</v>
      </c>
      <c r="AV231" s="3">
        <v>0</v>
      </c>
      <c r="AW231" s="19">
        <v>0</v>
      </c>
      <c r="AX231" s="3">
        <v>0</v>
      </c>
      <c r="AY231" s="3">
        <v>0</v>
      </c>
    </row>
    <row r="232" spans="1:51">
      <c r="A232" s="3">
        <v>4507720</v>
      </c>
      <c r="B232" t="s">
        <v>459</v>
      </c>
      <c r="C232" s="3">
        <v>11131105</v>
      </c>
      <c r="D232" t="s">
        <v>44</v>
      </c>
      <c r="E232" t="s">
        <v>174</v>
      </c>
      <c r="F232" t="s">
        <v>65</v>
      </c>
      <c r="G232" t="s">
        <v>47</v>
      </c>
      <c r="H232" s="16">
        <v>0</v>
      </c>
      <c r="I232" s="4">
        <f>VLOOKUP(C232,[1]sheet1!$D:$I,6,0)</f>
        <v>0</v>
      </c>
      <c r="J232" s="4">
        <f>VLOOKUP(C232,[2]sheet1!$D:$I,6,0)</f>
        <v>0</v>
      </c>
      <c r="K232" s="4">
        <f>VLOOKUP(C232,[3]sheet1!$D:$I,6,0)</f>
        <v>0</v>
      </c>
      <c r="L232" s="4">
        <f>VLOOKUP(C232,[4]sheet1!$D:$I,6,0)</f>
        <v>0</v>
      </c>
      <c r="M232" s="4">
        <f>VLOOKUP(C232,[5]sheet1!$D:$I,6,0)</f>
        <v>0</v>
      </c>
      <c r="N232" s="4">
        <f>VLOOKUP(C232,[6]sheet1!$D:$I,6,0)</f>
        <v>0</v>
      </c>
      <c r="O232" s="4">
        <f>VLOOKUP(C232,[7]sheet1!$D:$I,6,0)</f>
        <v>0</v>
      </c>
      <c r="P232" s="4">
        <f>VLOOKUP(C232,[8]sheet1!$D:$I,6,0)</f>
        <v>0</v>
      </c>
      <c r="Q232" s="4">
        <f t="shared" si="3"/>
        <v>0</v>
      </c>
      <c r="R232" s="3">
        <v>0</v>
      </c>
      <c r="S232" s="3">
        <v>2</v>
      </c>
      <c r="T232" s="19">
        <v>0</v>
      </c>
      <c r="U232" s="3">
        <v>0</v>
      </c>
      <c r="V232" s="3">
        <v>0</v>
      </c>
      <c r="W232">
        <v>0</v>
      </c>
      <c r="X232" s="3">
        <v>0</v>
      </c>
      <c r="Y232">
        <v>0</v>
      </c>
      <c r="Z232" s="3">
        <v>0</v>
      </c>
      <c r="AA232" t="s">
        <v>49</v>
      </c>
      <c r="AB232" t="s">
        <v>49</v>
      </c>
      <c r="AC232" t="s">
        <v>49</v>
      </c>
      <c r="AD232" t="s">
        <v>49</v>
      </c>
      <c r="AE232">
        <v>0</v>
      </c>
      <c r="AF232" s="3">
        <v>0</v>
      </c>
      <c r="AG232" t="s">
        <v>49</v>
      </c>
      <c r="AH232" t="s">
        <v>49</v>
      </c>
      <c r="AI232" t="s">
        <v>49</v>
      </c>
      <c r="AJ232" t="s">
        <v>49</v>
      </c>
      <c r="AK232" t="s">
        <v>49</v>
      </c>
      <c r="AL232" t="s">
        <v>49</v>
      </c>
      <c r="AM232" t="s">
        <v>49</v>
      </c>
      <c r="AN232" s="3">
        <v>2</v>
      </c>
      <c r="AO232" s="19">
        <v>0</v>
      </c>
      <c r="AP232" s="19">
        <v>0</v>
      </c>
      <c r="AQ232" s="19">
        <v>0.5</v>
      </c>
      <c r="AR232" s="19">
        <v>0</v>
      </c>
      <c r="AS232" s="19">
        <v>0</v>
      </c>
      <c r="AT232" s="19">
        <v>0</v>
      </c>
      <c r="AU232" s="3">
        <v>0</v>
      </c>
      <c r="AV232" s="3">
        <v>0</v>
      </c>
      <c r="AW232" s="19">
        <v>0</v>
      </c>
      <c r="AX232" s="3">
        <v>0</v>
      </c>
      <c r="AY232" s="3">
        <v>0</v>
      </c>
    </row>
    <row r="233" spans="1:51">
      <c r="A233" s="3">
        <v>4471068</v>
      </c>
      <c r="B233" t="s">
        <v>460</v>
      </c>
      <c r="C233" s="3">
        <v>112221508</v>
      </c>
      <c r="D233" t="s">
        <v>44</v>
      </c>
      <c r="E233" t="s">
        <v>461</v>
      </c>
      <c r="F233" t="s">
        <v>65</v>
      </c>
      <c r="G233" t="s">
        <v>47</v>
      </c>
      <c r="H233" s="16">
        <v>0</v>
      </c>
      <c r="I233" s="4">
        <f>VLOOKUP(C233,[1]sheet1!$D:$I,6,0)</f>
        <v>0</v>
      </c>
      <c r="J233" s="4">
        <f>VLOOKUP(C233,[2]sheet1!$D:$I,6,0)</f>
        <v>0</v>
      </c>
      <c r="K233" s="4">
        <f>VLOOKUP(C233,[3]sheet1!$D:$I,6,0)</f>
        <v>0</v>
      </c>
      <c r="L233" s="4">
        <f>VLOOKUP(C233,[4]sheet1!$D:$I,6,0)</f>
        <v>0</v>
      </c>
      <c r="M233" s="4">
        <f>VLOOKUP(C233,[5]sheet1!$D:$I,6,0)</f>
        <v>0</v>
      </c>
      <c r="N233" s="4">
        <f>VLOOKUP(C233,[6]sheet1!$D:$I,6,0)</f>
        <v>0</v>
      </c>
      <c r="O233" s="4">
        <f>VLOOKUP(C233,[7]sheet1!$D:$I,6,0)</f>
        <v>0</v>
      </c>
      <c r="P233" s="4">
        <f>VLOOKUP(C233,[8]sheet1!$D:$I,6,0)</f>
        <v>0</v>
      </c>
      <c r="Q233" s="4">
        <f t="shared" si="3"/>
        <v>0</v>
      </c>
      <c r="R233" s="3">
        <v>0</v>
      </c>
      <c r="S233" s="3">
        <v>4</v>
      </c>
      <c r="T233" s="19">
        <v>0</v>
      </c>
      <c r="U233" s="3">
        <v>0</v>
      </c>
      <c r="V233" s="3">
        <v>0</v>
      </c>
      <c r="W233">
        <v>0</v>
      </c>
      <c r="X233" s="3">
        <v>0</v>
      </c>
      <c r="Y233">
        <v>0</v>
      </c>
      <c r="Z233" s="3">
        <v>0</v>
      </c>
      <c r="AA233" t="s">
        <v>49</v>
      </c>
      <c r="AB233" t="s">
        <v>49</v>
      </c>
      <c r="AC233" t="s">
        <v>49</v>
      </c>
      <c r="AD233" t="s">
        <v>49</v>
      </c>
      <c r="AE233">
        <v>0</v>
      </c>
      <c r="AF233" s="3">
        <v>0</v>
      </c>
      <c r="AG233" t="s">
        <v>49</v>
      </c>
      <c r="AH233" t="s">
        <v>49</v>
      </c>
      <c r="AI233" t="s">
        <v>49</v>
      </c>
      <c r="AJ233" t="s">
        <v>49</v>
      </c>
      <c r="AK233" t="s">
        <v>49</v>
      </c>
      <c r="AL233" t="s">
        <v>49</v>
      </c>
      <c r="AM233" t="s">
        <v>49</v>
      </c>
      <c r="AN233" s="3">
        <v>5</v>
      </c>
      <c r="AO233" s="19">
        <v>0</v>
      </c>
      <c r="AP233" s="19">
        <v>0</v>
      </c>
      <c r="AQ233" s="19">
        <v>0.5</v>
      </c>
      <c r="AR233" s="19">
        <v>0.25</v>
      </c>
      <c r="AS233" s="19">
        <v>0</v>
      </c>
      <c r="AT233" s="19">
        <v>0</v>
      </c>
      <c r="AU233" s="3">
        <v>0</v>
      </c>
      <c r="AV233" s="3">
        <v>0</v>
      </c>
      <c r="AW233" s="19">
        <v>0</v>
      </c>
      <c r="AX233" s="3">
        <v>0</v>
      </c>
      <c r="AY233" s="3">
        <v>0</v>
      </c>
    </row>
    <row r="234" spans="1:51">
      <c r="A234" s="3">
        <v>4464967</v>
      </c>
      <c r="B234" t="s">
        <v>462</v>
      </c>
      <c r="C234" s="3">
        <v>13213709</v>
      </c>
      <c r="D234" t="s">
        <v>44</v>
      </c>
      <c r="E234" t="s">
        <v>442</v>
      </c>
      <c r="F234" t="s">
        <v>65</v>
      </c>
      <c r="G234" t="s">
        <v>47</v>
      </c>
      <c r="H234" s="16">
        <v>0</v>
      </c>
      <c r="I234" s="4">
        <f>VLOOKUP(C234,[1]sheet1!$D:$I,6,0)</f>
        <v>0</v>
      </c>
      <c r="J234" s="4">
        <f>VLOOKUP(C234,[2]sheet1!$D:$I,6,0)</f>
        <v>0</v>
      </c>
      <c r="K234" s="4">
        <f>VLOOKUP(C234,[3]sheet1!$D:$I,6,0)</f>
        <v>0</v>
      </c>
      <c r="L234" s="4">
        <f>VLOOKUP(C234,[4]sheet1!$D:$I,6,0)</f>
        <v>0</v>
      </c>
      <c r="M234" s="4">
        <f>VLOOKUP(C234,[5]sheet1!$D:$I,6,0)</f>
        <v>0</v>
      </c>
      <c r="N234" s="4">
        <f>VLOOKUP(C234,[6]sheet1!$D:$I,6,0)</f>
        <v>0</v>
      </c>
      <c r="O234" s="4">
        <f>VLOOKUP(C234,[7]sheet1!$D:$I,6,0)</f>
        <v>0</v>
      </c>
      <c r="P234" s="4">
        <f>VLOOKUP(C234,[8]sheet1!$D:$I,6,0)</f>
        <v>0</v>
      </c>
      <c r="Q234" s="4">
        <f t="shared" si="3"/>
        <v>0</v>
      </c>
      <c r="R234" s="3">
        <v>0</v>
      </c>
      <c r="S234" s="3">
        <v>0</v>
      </c>
      <c r="T234" s="19">
        <v>0</v>
      </c>
      <c r="U234" s="3">
        <v>0</v>
      </c>
      <c r="V234" s="3">
        <v>0</v>
      </c>
      <c r="W234">
        <v>0</v>
      </c>
      <c r="X234" s="3">
        <v>0</v>
      </c>
      <c r="Y234">
        <v>0</v>
      </c>
      <c r="Z234" s="3">
        <v>0</v>
      </c>
      <c r="AA234" t="s">
        <v>49</v>
      </c>
      <c r="AB234" t="s">
        <v>49</v>
      </c>
      <c r="AC234" t="s">
        <v>49</v>
      </c>
      <c r="AD234" t="s">
        <v>49</v>
      </c>
      <c r="AE234">
        <v>0</v>
      </c>
      <c r="AF234" s="3">
        <v>0</v>
      </c>
      <c r="AG234" t="s">
        <v>49</v>
      </c>
      <c r="AH234" t="s">
        <v>49</v>
      </c>
      <c r="AI234" t="s">
        <v>49</v>
      </c>
      <c r="AJ234" t="s">
        <v>49</v>
      </c>
      <c r="AK234" t="s">
        <v>49</v>
      </c>
      <c r="AL234" t="s">
        <v>49</v>
      </c>
      <c r="AM234" t="s">
        <v>49</v>
      </c>
      <c r="AN234" s="3">
        <v>0</v>
      </c>
      <c r="AO234" s="19">
        <v>0</v>
      </c>
      <c r="AP234" s="19">
        <v>0</v>
      </c>
      <c r="AQ234" s="19">
        <v>0</v>
      </c>
      <c r="AR234" s="19">
        <v>0</v>
      </c>
      <c r="AS234" s="19">
        <v>0</v>
      </c>
      <c r="AT234" s="19">
        <v>0</v>
      </c>
      <c r="AU234" s="3">
        <v>0</v>
      </c>
      <c r="AV234" s="3">
        <v>0</v>
      </c>
      <c r="AW234" s="19">
        <v>0</v>
      </c>
      <c r="AX234" s="3">
        <v>0</v>
      </c>
      <c r="AY234" s="3">
        <v>0</v>
      </c>
    </row>
    <row r="235" spans="1:51">
      <c r="A235" s="3">
        <v>4464941</v>
      </c>
      <c r="B235" t="s">
        <v>463</v>
      </c>
      <c r="C235" s="3">
        <v>13121426</v>
      </c>
      <c r="D235" t="s">
        <v>44</v>
      </c>
      <c r="E235" t="s">
        <v>436</v>
      </c>
      <c r="F235" t="s">
        <v>65</v>
      </c>
      <c r="G235" t="s">
        <v>47</v>
      </c>
      <c r="H235" s="16">
        <v>0</v>
      </c>
      <c r="I235" s="4">
        <f>VLOOKUP(C235,[1]sheet1!$D:$I,6,0)</f>
        <v>0</v>
      </c>
      <c r="J235" s="4">
        <f>VLOOKUP(C235,[2]sheet1!$D:$I,6,0)</f>
        <v>0</v>
      </c>
      <c r="K235" s="4">
        <f>VLOOKUP(C235,[3]sheet1!$D:$I,6,0)</f>
        <v>0</v>
      </c>
      <c r="L235" s="4">
        <f>VLOOKUP(C235,[4]sheet1!$D:$I,6,0)</f>
        <v>0</v>
      </c>
      <c r="M235" s="4">
        <f>VLOOKUP(C235,[5]sheet1!$D:$I,6,0)</f>
        <v>0</v>
      </c>
      <c r="N235" s="4">
        <f>VLOOKUP(C235,[6]sheet1!$D:$I,6,0)</f>
        <v>0</v>
      </c>
      <c r="O235" s="4">
        <f>VLOOKUP(C235,[7]sheet1!$D:$I,6,0)</f>
        <v>0</v>
      </c>
      <c r="P235" s="4">
        <f>VLOOKUP(C235,[8]sheet1!$D:$I,6,0)</f>
        <v>0</v>
      </c>
      <c r="Q235" s="4">
        <f t="shared" si="3"/>
        <v>0</v>
      </c>
      <c r="R235" s="3">
        <v>0</v>
      </c>
      <c r="S235" s="3">
        <v>0</v>
      </c>
      <c r="T235" s="19">
        <v>0</v>
      </c>
      <c r="U235" s="3">
        <v>0</v>
      </c>
      <c r="V235" s="3">
        <v>0</v>
      </c>
      <c r="W235">
        <v>0</v>
      </c>
      <c r="X235" s="3">
        <v>0</v>
      </c>
      <c r="Y235">
        <v>0</v>
      </c>
      <c r="Z235" s="3">
        <v>0</v>
      </c>
      <c r="AA235" t="s">
        <v>181</v>
      </c>
      <c r="AB235" t="s">
        <v>49</v>
      </c>
      <c r="AC235">
        <v>92.59</v>
      </c>
      <c r="AD235" t="s">
        <v>49</v>
      </c>
      <c r="AE235">
        <v>0</v>
      </c>
      <c r="AF235" s="3">
        <v>0</v>
      </c>
      <c r="AG235" t="s">
        <v>49</v>
      </c>
      <c r="AH235">
        <v>0</v>
      </c>
      <c r="AI235" t="s">
        <v>49</v>
      </c>
      <c r="AJ235" t="s">
        <v>49</v>
      </c>
      <c r="AK235" t="s">
        <v>49</v>
      </c>
      <c r="AL235" t="s">
        <v>49</v>
      </c>
      <c r="AM235" t="s">
        <v>49</v>
      </c>
      <c r="AN235" s="3">
        <v>0</v>
      </c>
      <c r="AO235" s="19">
        <v>0</v>
      </c>
      <c r="AP235" s="19">
        <v>0</v>
      </c>
      <c r="AQ235" s="19">
        <v>0</v>
      </c>
      <c r="AR235" s="19">
        <v>0</v>
      </c>
      <c r="AS235" s="19">
        <v>0</v>
      </c>
      <c r="AT235" s="19">
        <v>0</v>
      </c>
      <c r="AU235" s="3">
        <v>0</v>
      </c>
      <c r="AV235" s="3">
        <v>0</v>
      </c>
      <c r="AW235" s="19">
        <v>0</v>
      </c>
      <c r="AX235" s="3">
        <v>0</v>
      </c>
      <c r="AY235" s="3">
        <v>0</v>
      </c>
    </row>
    <row r="236" spans="1:51">
      <c r="A236" s="3">
        <v>4464926</v>
      </c>
      <c r="B236" t="s">
        <v>464</v>
      </c>
      <c r="C236" s="3">
        <v>111121427</v>
      </c>
      <c r="D236" t="s">
        <v>44</v>
      </c>
      <c r="E236" t="s">
        <v>57</v>
      </c>
      <c r="F236" t="s">
        <v>65</v>
      </c>
      <c r="G236" t="s">
        <v>47</v>
      </c>
      <c r="H236" s="16">
        <v>0</v>
      </c>
      <c r="I236" s="4">
        <f>VLOOKUP(C236,[1]sheet1!$D:$I,6,0)</f>
        <v>0</v>
      </c>
      <c r="J236" s="4">
        <f>VLOOKUP(C236,[2]sheet1!$D:$I,6,0)</f>
        <v>0</v>
      </c>
      <c r="K236" s="4">
        <f>VLOOKUP(C236,[3]sheet1!$D:$I,6,0)</f>
        <v>0</v>
      </c>
      <c r="L236" s="4">
        <f>VLOOKUP(C236,[4]sheet1!$D:$I,6,0)</f>
        <v>0</v>
      </c>
      <c r="M236" s="4">
        <f>VLOOKUP(C236,[5]sheet1!$D:$I,6,0)</f>
        <v>0</v>
      </c>
      <c r="N236" s="4">
        <f>VLOOKUP(C236,[6]sheet1!$D:$I,6,0)</f>
        <v>162</v>
      </c>
      <c r="O236" s="4">
        <f>VLOOKUP(C236,[7]sheet1!$D:$I,6,0)</f>
        <v>0</v>
      </c>
      <c r="P236" s="4">
        <f>VLOOKUP(C236,[8]sheet1!$D:$I,6,0)</f>
        <v>0</v>
      </c>
      <c r="Q236" s="4">
        <f t="shared" si="3"/>
        <v>162</v>
      </c>
      <c r="R236" s="3">
        <v>0</v>
      </c>
      <c r="S236" s="3">
        <v>11</v>
      </c>
      <c r="T236" s="19">
        <v>0</v>
      </c>
      <c r="U236" s="3">
        <v>0</v>
      </c>
      <c r="V236" s="3">
        <v>0</v>
      </c>
      <c r="W236">
        <v>0</v>
      </c>
      <c r="X236" s="3">
        <v>0</v>
      </c>
      <c r="Y236">
        <v>0</v>
      </c>
      <c r="Z236" s="3">
        <v>0</v>
      </c>
      <c r="AA236" t="s">
        <v>49</v>
      </c>
      <c r="AB236" t="s">
        <v>49</v>
      </c>
      <c r="AC236" t="s">
        <v>49</v>
      </c>
      <c r="AD236" t="s">
        <v>49</v>
      </c>
      <c r="AE236">
        <v>0</v>
      </c>
      <c r="AF236" s="3">
        <v>0</v>
      </c>
      <c r="AG236" t="s">
        <v>49</v>
      </c>
      <c r="AH236" t="s">
        <v>49</v>
      </c>
      <c r="AI236" t="s">
        <v>49</v>
      </c>
      <c r="AJ236" t="s">
        <v>49</v>
      </c>
      <c r="AK236" t="s">
        <v>49</v>
      </c>
      <c r="AL236" t="s">
        <v>49</v>
      </c>
      <c r="AM236" t="s">
        <v>49</v>
      </c>
      <c r="AN236" s="3">
        <v>14</v>
      </c>
      <c r="AO236" s="19">
        <v>0</v>
      </c>
      <c r="AP236" s="19">
        <v>0</v>
      </c>
      <c r="AQ236" s="19">
        <v>0.3636</v>
      </c>
      <c r="AR236" s="19">
        <v>0</v>
      </c>
      <c r="AS236" s="19">
        <v>0</v>
      </c>
      <c r="AT236" s="19">
        <v>0</v>
      </c>
      <c r="AU236" s="3">
        <v>0</v>
      </c>
      <c r="AV236" s="3">
        <v>0</v>
      </c>
      <c r="AW236" s="19">
        <v>0</v>
      </c>
      <c r="AX236" s="3">
        <v>0</v>
      </c>
      <c r="AY236" s="3">
        <v>0</v>
      </c>
    </row>
    <row r="237" spans="1:51">
      <c r="A237" s="3">
        <v>4464903</v>
      </c>
      <c r="B237" t="s">
        <v>465</v>
      </c>
      <c r="C237" s="3">
        <v>13231018</v>
      </c>
      <c r="D237" t="s">
        <v>44</v>
      </c>
      <c r="E237" t="s">
        <v>453</v>
      </c>
      <c r="F237" t="s">
        <v>65</v>
      </c>
      <c r="G237" t="s">
        <v>47</v>
      </c>
      <c r="H237" s="16">
        <v>0</v>
      </c>
      <c r="I237" s="4">
        <f>VLOOKUP(C237,[1]sheet1!$D:$I,6,0)</f>
        <v>0</v>
      </c>
      <c r="J237" s="4">
        <f>VLOOKUP(C237,[2]sheet1!$D:$I,6,0)</f>
        <v>0</v>
      </c>
      <c r="K237" s="4">
        <f>VLOOKUP(C237,[3]sheet1!$D:$I,6,0)</f>
        <v>0</v>
      </c>
      <c r="L237" s="4">
        <f>VLOOKUP(C237,[4]sheet1!$D:$I,6,0)</f>
        <v>0</v>
      </c>
      <c r="M237" s="4">
        <f>VLOOKUP(C237,[5]sheet1!$D:$I,6,0)</f>
        <v>0</v>
      </c>
      <c r="N237" s="4">
        <f>VLOOKUP(C237,[6]sheet1!$D:$I,6,0)</f>
        <v>0</v>
      </c>
      <c r="O237" s="4">
        <f>VLOOKUP(C237,[7]sheet1!$D:$I,6,0)</f>
        <v>0</v>
      </c>
      <c r="P237" s="4">
        <f>VLOOKUP(C237,[8]sheet1!$D:$I,6,0)</f>
        <v>0</v>
      </c>
      <c r="Q237" s="4">
        <f t="shared" si="3"/>
        <v>0</v>
      </c>
      <c r="R237" s="3">
        <v>0</v>
      </c>
      <c r="S237" s="3">
        <v>1</v>
      </c>
      <c r="T237" s="19">
        <v>0</v>
      </c>
      <c r="U237" s="3">
        <v>0</v>
      </c>
      <c r="V237" s="3">
        <v>0</v>
      </c>
      <c r="W237">
        <v>0</v>
      </c>
      <c r="X237" s="3">
        <v>0</v>
      </c>
      <c r="Y237">
        <v>0</v>
      </c>
      <c r="Z237" s="3">
        <v>0</v>
      </c>
      <c r="AA237" t="s">
        <v>181</v>
      </c>
      <c r="AB237" t="s">
        <v>49</v>
      </c>
      <c r="AC237">
        <v>91.39</v>
      </c>
      <c r="AD237" t="s">
        <v>49</v>
      </c>
      <c r="AE237">
        <v>0</v>
      </c>
      <c r="AF237" s="3">
        <v>0</v>
      </c>
      <c r="AG237" t="s">
        <v>49</v>
      </c>
      <c r="AH237">
        <v>0</v>
      </c>
      <c r="AI237" t="s">
        <v>49</v>
      </c>
      <c r="AJ237" t="s">
        <v>49</v>
      </c>
      <c r="AK237" t="s">
        <v>49</v>
      </c>
      <c r="AL237" t="s">
        <v>49</v>
      </c>
      <c r="AM237" t="s">
        <v>49</v>
      </c>
      <c r="AN237" s="3">
        <v>1</v>
      </c>
      <c r="AO237" s="19">
        <v>0</v>
      </c>
      <c r="AP237" s="19">
        <v>0</v>
      </c>
      <c r="AQ237" s="19">
        <v>1</v>
      </c>
      <c r="AR237" s="19">
        <v>1</v>
      </c>
      <c r="AS237" s="19">
        <v>0</v>
      </c>
      <c r="AT237" s="19">
        <v>0</v>
      </c>
      <c r="AU237" s="3">
        <v>0</v>
      </c>
      <c r="AV237" s="3">
        <v>0</v>
      </c>
      <c r="AW237" s="19">
        <v>0</v>
      </c>
      <c r="AX237" s="3">
        <v>0</v>
      </c>
      <c r="AY237" s="3">
        <v>0</v>
      </c>
    </row>
    <row r="238" spans="1:51">
      <c r="A238" s="3">
        <v>4464878</v>
      </c>
      <c r="B238" t="s">
        <v>466</v>
      </c>
      <c r="C238" s="3">
        <v>112221424</v>
      </c>
      <c r="D238" t="s">
        <v>44</v>
      </c>
      <c r="E238" t="s">
        <v>467</v>
      </c>
      <c r="F238" t="s">
        <v>65</v>
      </c>
      <c r="G238" t="s">
        <v>47</v>
      </c>
      <c r="H238" s="16">
        <v>0</v>
      </c>
      <c r="I238" s="4">
        <f>VLOOKUP(C238,[1]sheet1!$D:$I,6,0)</f>
        <v>0</v>
      </c>
      <c r="J238" s="4">
        <f>VLOOKUP(C238,[2]sheet1!$D:$I,6,0)</f>
        <v>0</v>
      </c>
      <c r="K238" s="4">
        <f>VLOOKUP(C238,[3]sheet1!$D:$I,6,0)</f>
        <v>0</v>
      </c>
      <c r="L238" s="4">
        <f>VLOOKUP(C238,[4]sheet1!$D:$I,6,0)</f>
        <v>0</v>
      </c>
      <c r="M238" s="4">
        <f>VLOOKUP(C238,[5]sheet1!$D:$I,6,0)</f>
        <v>0</v>
      </c>
      <c r="N238" s="4">
        <f>VLOOKUP(C238,[6]sheet1!$D:$I,6,0)</f>
        <v>0</v>
      </c>
      <c r="O238" s="4">
        <f>VLOOKUP(C238,[7]sheet1!$D:$I,6,0)</f>
        <v>0</v>
      </c>
      <c r="P238" s="4">
        <f>VLOOKUP(C238,[8]sheet1!$D:$I,6,0)</f>
        <v>0</v>
      </c>
      <c r="Q238" s="4">
        <f t="shared" si="3"/>
        <v>0</v>
      </c>
      <c r="R238" s="3">
        <v>0</v>
      </c>
      <c r="S238" s="3">
        <v>1</v>
      </c>
      <c r="T238" s="19">
        <v>0</v>
      </c>
      <c r="U238" s="3">
        <v>0</v>
      </c>
      <c r="V238" s="3">
        <v>0</v>
      </c>
      <c r="W238">
        <v>0</v>
      </c>
      <c r="X238" s="3">
        <v>0</v>
      </c>
      <c r="Y238">
        <v>0</v>
      </c>
      <c r="Z238" s="3">
        <v>0</v>
      </c>
      <c r="AA238" t="s">
        <v>49</v>
      </c>
      <c r="AB238" t="s">
        <v>49</v>
      </c>
      <c r="AC238" t="s">
        <v>49</v>
      </c>
      <c r="AD238" t="s">
        <v>49</v>
      </c>
      <c r="AE238">
        <v>0</v>
      </c>
      <c r="AF238" s="3">
        <v>0</v>
      </c>
      <c r="AG238" t="s">
        <v>49</v>
      </c>
      <c r="AH238" t="s">
        <v>49</v>
      </c>
      <c r="AI238" t="s">
        <v>49</v>
      </c>
      <c r="AJ238" t="s">
        <v>49</v>
      </c>
      <c r="AK238" t="s">
        <v>49</v>
      </c>
      <c r="AL238" t="s">
        <v>49</v>
      </c>
      <c r="AM238" t="s">
        <v>49</v>
      </c>
      <c r="AN238" s="3">
        <v>1</v>
      </c>
      <c r="AO238" s="19">
        <v>0</v>
      </c>
      <c r="AP238" s="19">
        <v>0</v>
      </c>
      <c r="AQ238" s="19">
        <v>1</v>
      </c>
      <c r="AR238" s="19">
        <v>1</v>
      </c>
      <c r="AS238" s="19">
        <v>0</v>
      </c>
      <c r="AT238" s="19">
        <v>0</v>
      </c>
      <c r="AU238" s="3">
        <v>0</v>
      </c>
      <c r="AV238" s="3">
        <v>0</v>
      </c>
      <c r="AW238" s="19">
        <v>0</v>
      </c>
      <c r="AX238" s="3">
        <v>0</v>
      </c>
      <c r="AY238" s="3">
        <v>0</v>
      </c>
    </row>
    <row r="239" spans="1:51">
      <c r="A239" s="3">
        <v>4464840</v>
      </c>
      <c r="B239" t="s">
        <v>468</v>
      </c>
      <c r="C239" s="3">
        <v>13213805</v>
      </c>
      <c r="D239" t="s">
        <v>44</v>
      </c>
      <c r="E239" t="s">
        <v>436</v>
      </c>
      <c r="F239" t="s">
        <v>65</v>
      </c>
      <c r="G239" t="s">
        <v>47</v>
      </c>
      <c r="H239" s="16">
        <v>0</v>
      </c>
      <c r="I239" s="4">
        <f>VLOOKUP(C239,[1]sheet1!$D:$I,6,0)</f>
        <v>0</v>
      </c>
      <c r="J239" s="4">
        <f>VLOOKUP(C239,[2]sheet1!$D:$I,6,0)</f>
        <v>0</v>
      </c>
      <c r="K239" s="4">
        <f>VLOOKUP(C239,[3]sheet1!$D:$I,6,0)</f>
        <v>0</v>
      </c>
      <c r="L239" s="4">
        <f>VLOOKUP(C239,[4]sheet1!$D:$I,6,0)</f>
        <v>0</v>
      </c>
      <c r="M239" s="4">
        <f>VLOOKUP(C239,[5]sheet1!$D:$I,6,0)</f>
        <v>0</v>
      </c>
      <c r="N239" s="4">
        <f>VLOOKUP(C239,[6]sheet1!$D:$I,6,0)</f>
        <v>0</v>
      </c>
      <c r="O239" s="4">
        <f>VLOOKUP(C239,[7]sheet1!$D:$I,6,0)</f>
        <v>0</v>
      </c>
      <c r="P239" s="4">
        <f>VLOOKUP(C239,[8]sheet1!$D:$I,6,0)</f>
        <v>0</v>
      </c>
      <c r="Q239" s="4">
        <f t="shared" si="3"/>
        <v>0</v>
      </c>
      <c r="R239" s="3">
        <v>0</v>
      </c>
      <c r="S239" s="3">
        <v>1</v>
      </c>
      <c r="T239" s="19">
        <v>0</v>
      </c>
      <c r="U239" s="3">
        <v>0</v>
      </c>
      <c r="V239" s="3">
        <v>0</v>
      </c>
      <c r="W239">
        <v>0</v>
      </c>
      <c r="X239" s="3">
        <v>0</v>
      </c>
      <c r="Y239">
        <v>0</v>
      </c>
      <c r="Z239" s="3">
        <v>0</v>
      </c>
      <c r="AA239" t="s">
        <v>49</v>
      </c>
      <c r="AB239" t="s">
        <v>49</v>
      </c>
      <c r="AC239" t="s">
        <v>49</v>
      </c>
      <c r="AD239" t="s">
        <v>49</v>
      </c>
      <c r="AE239">
        <v>0</v>
      </c>
      <c r="AF239" s="3">
        <v>0</v>
      </c>
      <c r="AG239" t="s">
        <v>49</v>
      </c>
      <c r="AH239" t="s">
        <v>49</v>
      </c>
      <c r="AI239" t="s">
        <v>49</v>
      </c>
      <c r="AJ239" t="s">
        <v>49</v>
      </c>
      <c r="AK239" t="s">
        <v>49</v>
      </c>
      <c r="AL239" t="s">
        <v>49</v>
      </c>
      <c r="AM239" t="s">
        <v>49</v>
      </c>
      <c r="AN239" s="3">
        <v>1</v>
      </c>
      <c r="AO239" s="19">
        <v>0</v>
      </c>
      <c r="AP239" s="19">
        <v>0</v>
      </c>
      <c r="AQ239" s="19">
        <v>1</v>
      </c>
      <c r="AR239" s="19">
        <v>0</v>
      </c>
      <c r="AS239" s="19">
        <v>0</v>
      </c>
      <c r="AT239" s="19">
        <v>0</v>
      </c>
      <c r="AU239" s="3">
        <v>0</v>
      </c>
      <c r="AV239" s="3">
        <v>0</v>
      </c>
      <c r="AW239" s="19">
        <v>0</v>
      </c>
      <c r="AX239" s="3">
        <v>0</v>
      </c>
      <c r="AY239" s="3">
        <v>0</v>
      </c>
    </row>
    <row r="240" spans="1:51">
      <c r="A240" s="3">
        <v>4464828</v>
      </c>
      <c r="B240" t="s">
        <v>469</v>
      </c>
      <c r="C240" s="3">
        <v>13121220</v>
      </c>
      <c r="D240" t="s">
        <v>44</v>
      </c>
      <c r="E240" t="s">
        <v>232</v>
      </c>
      <c r="F240" t="s">
        <v>65</v>
      </c>
      <c r="G240" t="s">
        <v>47</v>
      </c>
      <c r="H240" s="16">
        <v>0</v>
      </c>
      <c r="I240" s="4">
        <f>VLOOKUP(C240,[1]sheet1!$D:$I,6,0)</f>
        <v>0</v>
      </c>
      <c r="J240" s="4">
        <f>VLOOKUP(C240,[2]sheet1!$D:$I,6,0)</f>
        <v>0</v>
      </c>
      <c r="K240" s="4">
        <f>VLOOKUP(C240,[3]sheet1!$D:$I,6,0)</f>
        <v>0</v>
      </c>
      <c r="L240" s="4">
        <f>VLOOKUP(C240,[4]sheet1!$D:$I,6,0)</f>
        <v>0</v>
      </c>
      <c r="M240" s="4">
        <f>VLOOKUP(C240,[5]sheet1!$D:$I,6,0)</f>
        <v>0</v>
      </c>
      <c r="N240" s="4">
        <f>VLOOKUP(C240,[6]sheet1!$D:$I,6,0)</f>
        <v>0</v>
      </c>
      <c r="O240" s="4">
        <f>VLOOKUP(C240,[7]sheet1!$D:$I,6,0)</f>
        <v>0</v>
      </c>
      <c r="P240" s="4">
        <f>VLOOKUP(C240,[8]sheet1!$D:$I,6,0)</f>
        <v>0</v>
      </c>
      <c r="Q240" s="4">
        <f t="shared" si="3"/>
        <v>0</v>
      </c>
      <c r="R240" s="3">
        <v>0</v>
      </c>
      <c r="S240" s="3">
        <v>1</v>
      </c>
      <c r="T240" s="19">
        <v>0</v>
      </c>
      <c r="U240" s="3">
        <v>0</v>
      </c>
      <c r="V240" s="3">
        <v>0</v>
      </c>
      <c r="W240">
        <v>0</v>
      </c>
      <c r="X240" s="3">
        <v>0</v>
      </c>
      <c r="Y240">
        <v>0</v>
      </c>
      <c r="Z240" s="3">
        <v>0</v>
      </c>
      <c r="AA240" t="s">
        <v>49</v>
      </c>
      <c r="AB240" t="s">
        <v>49</v>
      </c>
      <c r="AC240" t="s">
        <v>49</v>
      </c>
      <c r="AD240" t="s">
        <v>49</v>
      </c>
      <c r="AE240">
        <v>0</v>
      </c>
      <c r="AF240" s="3">
        <v>0</v>
      </c>
      <c r="AG240" t="s">
        <v>49</v>
      </c>
      <c r="AH240" t="s">
        <v>49</v>
      </c>
      <c r="AI240" t="s">
        <v>49</v>
      </c>
      <c r="AJ240" t="s">
        <v>49</v>
      </c>
      <c r="AK240" t="s">
        <v>49</v>
      </c>
      <c r="AL240" t="s">
        <v>49</v>
      </c>
      <c r="AM240" t="s">
        <v>49</v>
      </c>
      <c r="AN240" s="3">
        <v>1</v>
      </c>
      <c r="AO240" s="19">
        <v>0</v>
      </c>
      <c r="AP240" s="19">
        <v>0</v>
      </c>
      <c r="AQ240" s="19">
        <v>1</v>
      </c>
      <c r="AR240" s="19">
        <v>1</v>
      </c>
      <c r="AS240" s="19">
        <v>0</v>
      </c>
      <c r="AT240" s="19">
        <v>0</v>
      </c>
      <c r="AU240" s="3">
        <v>0</v>
      </c>
      <c r="AV240" s="3">
        <v>0</v>
      </c>
      <c r="AW240" s="19">
        <v>0</v>
      </c>
      <c r="AX240" s="3">
        <v>0</v>
      </c>
      <c r="AY240" s="3">
        <v>0</v>
      </c>
    </row>
    <row r="241" spans="1:51">
      <c r="A241" s="3">
        <v>4464800</v>
      </c>
      <c r="B241" t="s">
        <v>470</v>
      </c>
      <c r="C241" s="3">
        <v>112121402</v>
      </c>
      <c r="D241" t="s">
        <v>44</v>
      </c>
      <c r="E241" t="s">
        <v>467</v>
      </c>
      <c r="F241" t="s">
        <v>65</v>
      </c>
      <c r="G241" t="s">
        <v>47</v>
      </c>
      <c r="H241" s="16">
        <v>0</v>
      </c>
      <c r="I241" s="4">
        <f>VLOOKUP(C241,[1]sheet1!$D:$I,6,0)</f>
        <v>0</v>
      </c>
      <c r="J241" s="4">
        <f>VLOOKUP(C241,[2]sheet1!$D:$I,6,0)</f>
        <v>0</v>
      </c>
      <c r="K241" s="4">
        <f>VLOOKUP(C241,[3]sheet1!$D:$I,6,0)</f>
        <v>0</v>
      </c>
      <c r="L241" s="4">
        <f>VLOOKUP(C241,[4]sheet1!$D:$I,6,0)</f>
        <v>0</v>
      </c>
      <c r="M241" s="4">
        <f>VLOOKUP(C241,[5]sheet1!$D:$I,6,0)</f>
        <v>0</v>
      </c>
      <c r="N241" s="4">
        <f>VLOOKUP(C241,[6]sheet1!$D:$I,6,0)</f>
        <v>0</v>
      </c>
      <c r="O241" s="4">
        <f>VLOOKUP(C241,[7]sheet1!$D:$I,6,0)</f>
        <v>0</v>
      </c>
      <c r="P241" s="4">
        <f>VLOOKUP(C241,[8]sheet1!$D:$I,6,0)</f>
        <v>0</v>
      </c>
      <c r="Q241" s="4">
        <f t="shared" si="3"/>
        <v>0</v>
      </c>
      <c r="R241" s="3">
        <v>0</v>
      </c>
      <c r="S241" s="3">
        <v>4</v>
      </c>
      <c r="T241" s="19">
        <v>0</v>
      </c>
      <c r="U241" s="3">
        <v>0</v>
      </c>
      <c r="V241" s="3">
        <v>0</v>
      </c>
      <c r="W241">
        <v>0</v>
      </c>
      <c r="X241" s="3">
        <v>0</v>
      </c>
      <c r="Y241">
        <v>0</v>
      </c>
      <c r="Z241" s="3">
        <v>0</v>
      </c>
      <c r="AA241" t="s">
        <v>49</v>
      </c>
      <c r="AB241" t="s">
        <v>49</v>
      </c>
      <c r="AC241" t="s">
        <v>49</v>
      </c>
      <c r="AD241" t="s">
        <v>49</v>
      </c>
      <c r="AE241">
        <v>0</v>
      </c>
      <c r="AF241" s="3">
        <v>0</v>
      </c>
      <c r="AG241" t="s">
        <v>49</v>
      </c>
      <c r="AH241" t="s">
        <v>49</v>
      </c>
      <c r="AI241" t="s">
        <v>49</v>
      </c>
      <c r="AJ241" t="s">
        <v>49</v>
      </c>
      <c r="AK241" t="s">
        <v>49</v>
      </c>
      <c r="AL241" t="s">
        <v>49</v>
      </c>
      <c r="AM241" t="s">
        <v>49</v>
      </c>
      <c r="AN241" s="3">
        <v>4</v>
      </c>
      <c r="AO241" s="19">
        <v>0</v>
      </c>
      <c r="AP241" s="19">
        <v>0</v>
      </c>
      <c r="AQ241" s="19">
        <v>0.75</v>
      </c>
      <c r="AR241" s="19">
        <v>0.25</v>
      </c>
      <c r="AS241" s="19">
        <v>0</v>
      </c>
      <c r="AT241" s="19">
        <v>0</v>
      </c>
      <c r="AU241" s="3">
        <v>0</v>
      </c>
      <c r="AV241" s="3">
        <v>0</v>
      </c>
      <c r="AW241" s="19">
        <v>0</v>
      </c>
      <c r="AX241" s="3">
        <v>0</v>
      </c>
      <c r="AY241" s="3">
        <v>0</v>
      </c>
    </row>
    <row r="242" spans="1:51">
      <c r="A242" s="3">
        <v>4464759</v>
      </c>
      <c r="B242" t="s">
        <v>471</v>
      </c>
      <c r="C242" s="3">
        <v>113021234</v>
      </c>
      <c r="D242" t="s">
        <v>44</v>
      </c>
      <c r="E242" t="s">
        <v>232</v>
      </c>
      <c r="F242" t="s">
        <v>65</v>
      </c>
      <c r="G242" t="s">
        <v>356</v>
      </c>
      <c r="H242" s="16">
        <v>0</v>
      </c>
      <c r="I242" s="4">
        <f>VLOOKUP(C242,[1]sheet1!$D:$I,6,0)</f>
        <v>0</v>
      </c>
      <c r="J242" s="4">
        <f>VLOOKUP(C242,[2]sheet1!$D:$I,6,0)</f>
        <v>0</v>
      </c>
      <c r="K242" s="4">
        <f>VLOOKUP(C242,[3]sheet1!$D:$I,6,0)</f>
        <v>0</v>
      </c>
      <c r="L242" s="4">
        <f>VLOOKUP(C242,[4]sheet1!$D:$I,6,0)</f>
        <v>0</v>
      </c>
      <c r="M242" s="4">
        <f>VLOOKUP(C242,[5]sheet1!$D:$I,6,0)</f>
        <v>0</v>
      </c>
      <c r="N242" s="4">
        <f>VLOOKUP(C242,[6]sheet1!$D:$I,6,0)</f>
        <v>0</v>
      </c>
      <c r="O242" s="4">
        <f>VLOOKUP(C242,[7]sheet1!$D:$I,6,0)</f>
        <v>0</v>
      </c>
      <c r="P242" s="4">
        <f>VLOOKUP(C242,[8]sheet1!$D:$I,6,0)</f>
        <v>0</v>
      </c>
      <c r="Q242" s="4">
        <f t="shared" si="3"/>
        <v>0</v>
      </c>
      <c r="R242" s="3">
        <v>0</v>
      </c>
      <c r="S242" s="3">
        <v>0</v>
      </c>
      <c r="T242" s="19">
        <v>0</v>
      </c>
      <c r="U242" s="3">
        <v>0</v>
      </c>
      <c r="V242" s="3">
        <v>0</v>
      </c>
      <c r="W242">
        <v>0</v>
      </c>
      <c r="X242" s="3">
        <v>0</v>
      </c>
      <c r="Y242">
        <v>0</v>
      </c>
      <c r="Z242" s="3">
        <v>0</v>
      </c>
      <c r="AA242" t="s">
        <v>49</v>
      </c>
      <c r="AB242" t="s">
        <v>49</v>
      </c>
      <c r="AC242" t="s">
        <v>49</v>
      </c>
      <c r="AD242" t="s">
        <v>49</v>
      </c>
      <c r="AE242">
        <v>0</v>
      </c>
      <c r="AF242" s="3">
        <v>0</v>
      </c>
      <c r="AG242" t="s">
        <v>49</v>
      </c>
      <c r="AH242" t="s">
        <v>49</v>
      </c>
      <c r="AI242" t="s">
        <v>49</v>
      </c>
      <c r="AJ242" t="s">
        <v>49</v>
      </c>
      <c r="AK242" t="s">
        <v>49</v>
      </c>
      <c r="AL242" t="s">
        <v>49</v>
      </c>
      <c r="AM242" t="s">
        <v>49</v>
      </c>
      <c r="AN242" s="3">
        <v>0</v>
      </c>
      <c r="AO242" s="19">
        <v>0</v>
      </c>
      <c r="AP242" s="19">
        <v>0</v>
      </c>
      <c r="AQ242" s="19">
        <v>0</v>
      </c>
      <c r="AR242" s="19">
        <v>0</v>
      </c>
      <c r="AS242" s="19">
        <v>0</v>
      </c>
      <c r="AT242" s="19">
        <v>0</v>
      </c>
      <c r="AU242" s="3">
        <v>0</v>
      </c>
      <c r="AV242" s="3">
        <v>0</v>
      </c>
      <c r="AW242" s="19">
        <v>0</v>
      </c>
      <c r="AX242" s="3">
        <v>0</v>
      </c>
      <c r="AY242" s="3">
        <v>0</v>
      </c>
    </row>
    <row r="243" spans="1:51">
      <c r="A243" s="3">
        <v>4464737</v>
      </c>
      <c r="B243" t="s">
        <v>472</v>
      </c>
      <c r="C243" s="3">
        <v>113121276</v>
      </c>
      <c r="D243" t="s">
        <v>44</v>
      </c>
      <c r="E243" t="s">
        <v>232</v>
      </c>
      <c r="F243" t="s">
        <v>65</v>
      </c>
      <c r="G243" t="s">
        <v>47</v>
      </c>
      <c r="H243" s="16">
        <v>0</v>
      </c>
      <c r="I243" s="4">
        <f>VLOOKUP(C243,[1]sheet1!$D:$I,6,0)</f>
        <v>0</v>
      </c>
      <c r="J243" s="4">
        <f>VLOOKUP(C243,[2]sheet1!$D:$I,6,0)</f>
        <v>0</v>
      </c>
      <c r="K243" s="4">
        <f>VLOOKUP(C243,[3]sheet1!$D:$I,6,0)</f>
        <v>0</v>
      </c>
      <c r="L243" s="4">
        <f>VLOOKUP(C243,[4]sheet1!$D:$I,6,0)</f>
        <v>0</v>
      </c>
      <c r="M243" s="4">
        <f>VLOOKUP(C243,[5]sheet1!$D:$I,6,0)</f>
        <v>0</v>
      </c>
      <c r="N243" s="4">
        <f>VLOOKUP(C243,[6]sheet1!$D:$I,6,0)</f>
        <v>0</v>
      </c>
      <c r="O243" s="4">
        <f>VLOOKUP(C243,[7]sheet1!$D:$I,6,0)</f>
        <v>0</v>
      </c>
      <c r="P243" s="4">
        <f>VLOOKUP(C243,[8]sheet1!$D:$I,6,0)</f>
        <v>0</v>
      </c>
      <c r="Q243" s="4">
        <f t="shared" si="3"/>
        <v>0</v>
      </c>
      <c r="R243" s="3">
        <v>0</v>
      </c>
      <c r="S243" s="3">
        <v>0</v>
      </c>
      <c r="T243" s="19">
        <v>0</v>
      </c>
      <c r="U243" s="3">
        <v>0</v>
      </c>
      <c r="V243" s="3">
        <v>0</v>
      </c>
      <c r="W243">
        <v>0</v>
      </c>
      <c r="X243" s="3">
        <v>0</v>
      </c>
      <c r="Y243">
        <v>0</v>
      </c>
      <c r="Z243" s="3">
        <v>0</v>
      </c>
      <c r="AA243" t="s">
        <v>353</v>
      </c>
      <c r="AB243" t="s">
        <v>49</v>
      </c>
      <c r="AC243">
        <v>46.89</v>
      </c>
      <c r="AD243" t="s">
        <v>49</v>
      </c>
      <c r="AE243">
        <v>0</v>
      </c>
      <c r="AF243" s="3">
        <v>0</v>
      </c>
      <c r="AG243" t="s">
        <v>49</v>
      </c>
      <c r="AH243">
        <v>0</v>
      </c>
      <c r="AI243" t="s">
        <v>49</v>
      </c>
      <c r="AJ243" t="s">
        <v>49</v>
      </c>
      <c r="AK243" t="s">
        <v>49</v>
      </c>
      <c r="AL243" t="s">
        <v>49</v>
      </c>
      <c r="AM243" t="s">
        <v>49</v>
      </c>
      <c r="AN243" s="3">
        <v>0</v>
      </c>
      <c r="AO243" s="19">
        <v>0</v>
      </c>
      <c r="AP243" s="19">
        <v>0</v>
      </c>
      <c r="AQ243" s="19">
        <v>0</v>
      </c>
      <c r="AR243" s="19">
        <v>0</v>
      </c>
      <c r="AS243" s="19">
        <v>0</v>
      </c>
      <c r="AT243" s="19">
        <v>0</v>
      </c>
      <c r="AU243" s="3">
        <v>0</v>
      </c>
      <c r="AV243" s="3">
        <v>0</v>
      </c>
      <c r="AW243" s="19">
        <v>0</v>
      </c>
      <c r="AX243" s="3">
        <v>0</v>
      </c>
      <c r="AY243" s="3">
        <v>0</v>
      </c>
    </row>
    <row r="244" spans="1:51">
      <c r="A244" s="3">
        <v>4464723</v>
      </c>
      <c r="B244" t="s">
        <v>473</v>
      </c>
      <c r="C244" s="3">
        <v>13113805</v>
      </c>
      <c r="D244" t="s">
        <v>44</v>
      </c>
      <c r="E244" t="s">
        <v>436</v>
      </c>
      <c r="F244" t="s">
        <v>65</v>
      </c>
      <c r="G244" t="s">
        <v>47</v>
      </c>
      <c r="H244" s="16">
        <v>0</v>
      </c>
      <c r="I244" s="4">
        <f>VLOOKUP(C244,[1]sheet1!$D:$I,6,0)</f>
        <v>0</v>
      </c>
      <c r="J244" s="4">
        <f>VLOOKUP(C244,[2]sheet1!$D:$I,6,0)</f>
        <v>0</v>
      </c>
      <c r="K244" s="4">
        <f>VLOOKUP(C244,[3]sheet1!$D:$I,6,0)</f>
        <v>0</v>
      </c>
      <c r="L244" s="4">
        <f>VLOOKUP(C244,[4]sheet1!$D:$I,6,0)</f>
        <v>0</v>
      </c>
      <c r="M244" s="4">
        <f>VLOOKUP(C244,[5]sheet1!$D:$I,6,0)</f>
        <v>0</v>
      </c>
      <c r="N244" s="4">
        <f>VLOOKUP(C244,[6]sheet1!$D:$I,6,0)</f>
        <v>0</v>
      </c>
      <c r="O244" s="4">
        <f>VLOOKUP(C244,[7]sheet1!$D:$I,6,0)</f>
        <v>0</v>
      </c>
      <c r="P244" s="4">
        <f>VLOOKUP(C244,[8]sheet1!$D:$I,6,0)</f>
        <v>0</v>
      </c>
      <c r="Q244" s="4">
        <f t="shared" si="3"/>
        <v>0</v>
      </c>
      <c r="R244" s="3">
        <v>0</v>
      </c>
      <c r="S244" s="3">
        <v>0</v>
      </c>
      <c r="T244" s="19">
        <v>0</v>
      </c>
      <c r="U244" s="3">
        <v>0</v>
      </c>
      <c r="V244" s="3">
        <v>0</v>
      </c>
      <c r="W244">
        <v>0</v>
      </c>
      <c r="X244" s="3">
        <v>0</v>
      </c>
      <c r="Y244">
        <v>0</v>
      </c>
      <c r="Z244" s="3">
        <v>0</v>
      </c>
      <c r="AA244" t="s">
        <v>55</v>
      </c>
      <c r="AB244" t="s">
        <v>49</v>
      </c>
      <c r="AC244">
        <v>109.59</v>
      </c>
      <c r="AD244" t="s">
        <v>49</v>
      </c>
      <c r="AE244">
        <v>0</v>
      </c>
      <c r="AF244" s="3">
        <v>0</v>
      </c>
      <c r="AG244" t="s">
        <v>49</v>
      </c>
      <c r="AH244">
        <v>0</v>
      </c>
      <c r="AI244" t="s">
        <v>49</v>
      </c>
      <c r="AJ244" t="s">
        <v>49</v>
      </c>
      <c r="AK244" t="s">
        <v>49</v>
      </c>
      <c r="AL244" t="s">
        <v>49</v>
      </c>
      <c r="AM244" t="s">
        <v>49</v>
      </c>
      <c r="AN244" s="3">
        <v>0</v>
      </c>
      <c r="AO244" s="19">
        <v>0</v>
      </c>
      <c r="AP244" s="19">
        <v>0</v>
      </c>
      <c r="AQ244" s="19">
        <v>0</v>
      </c>
      <c r="AR244" s="19">
        <v>0</v>
      </c>
      <c r="AS244" s="19">
        <v>0</v>
      </c>
      <c r="AT244" s="19">
        <v>0</v>
      </c>
      <c r="AU244" s="3">
        <v>0</v>
      </c>
      <c r="AV244" s="3">
        <v>0</v>
      </c>
      <c r="AW244" s="19">
        <v>0</v>
      </c>
      <c r="AX244" s="3">
        <v>0</v>
      </c>
      <c r="AY244" s="3">
        <v>0</v>
      </c>
    </row>
    <row r="245" spans="1:51">
      <c r="A245" s="3">
        <v>4464676</v>
      </c>
      <c r="B245" t="s">
        <v>474</v>
      </c>
      <c r="C245" s="3">
        <v>113231543</v>
      </c>
      <c r="D245" t="s">
        <v>44</v>
      </c>
      <c r="E245" t="s">
        <v>448</v>
      </c>
      <c r="F245" t="s">
        <v>65</v>
      </c>
      <c r="G245" t="s">
        <v>47</v>
      </c>
      <c r="H245" s="16">
        <v>0</v>
      </c>
      <c r="I245" s="4">
        <f>VLOOKUP(C245,[1]sheet1!$D:$I,6,0)</f>
        <v>0</v>
      </c>
      <c r="J245" s="4">
        <f>VLOOKUP(C245,[2]sheet1!$D:$I,6,0)</f>
        <v>0</v>
      </c>
      <c r="K245" s="4">
        <f>VLOOKUP(C245,[3]sheet1!$D:$I,6,0)</f>
        <v>0</v>
      </c>
      <c r="L245" s="4">
        <f>VLOOKUP(C245,[4]sheet1!$D:$I,6,0)</f>
        <v>0</v>
      </c>
      <c r="M245" s="4">
        <f>VLOOKUP(C245,[5]sheet1!$D:$I,6,0)</f>
        <v>0</v>
      </c>
      <c r="N245" s="4">
        <f>VLOOKUP(C245,[6]sheet1!$D:$I,6,0)</f>
        <v>0</v>
      </c>
      <c r="O245" s="4">
        <f>VLOOKUP(C245,[7]sheet1!$D:$I,6,0)</f>
        <v>0</v>
      </c>
      <c r="P245" s="4">
        <f>VLOOKUP(C245,[8]sheet1!$D:$I,6,0)</f>
        <v>0</v>
      </c>
      <c r="Q245" s="4">
        <f t="shared" si="3"/>
        <v>0</v>
      </c>
      <c r="R245" s="3">
        <v>0</v>
      </c>
      <c r="S245" s="3">
        <v>1</v>
      </c>
      <c r="T245" s="19">
        <v>0</v>
      </c>
      <c r="U245" s="3">
        <v>0</v>
      </c>
      <c r="V245" s="3">
        <v>0</v>
      </c>
      <c r="W245">
        <v>0</v>
      </c>
      <c r="X245" s="3">
        <v>0</v>
      </c>
      <c r="Y245">
        <v>0</v>
      </c>
      <c r="Z245" s="3">
        <v>0</v>
      </c>
      <c r="AA245" t="s">
        <v>49</v>
      </c>
      <c r="AB245" t="s">
        <v>49</v>
      </c>
      <c r="AC245" t="s">
        <v>49</v>
      </c>
      <c r="AD245" t="s">
        <v>49</v>
      </c>
      <c r="AE245">
        <v>0</v>
      </c>
      <c r="AF245" s="3">
        <v>0</v>
      </c>
      <c r="AG245" t="s">
        <v>49</v>
      </c>
      <c r="AH245" t="s">
        <v>49</v>
      </c>
      <c r="AI245" t="s">
        <v>49</v>
      </c>
      <c r="AJ245" t="s">
        <v>49</v>
      </c>
      <c r="AK245" t="s">
        <v>49</v>
      </c>
      <c r="AL245" t="s">
        <v>49</v>
      </c>
      <c r="AM245" t="s">
        <v>49</v>
      </c>
      <c r="AN245" s="3">
        <v>1</v>
      </c>
      <c r="AO245" s="19">
        <v>0</v>
      </c>
      <c r="AP245" s="19">
        <v>0</v>
      </c>
      <c r="AQ245" s="19">
        <v>1</v>
      </c>
      <c r="AR245" s="19">
        <v>0</v>
      </c>
      <c r="AS245" s="19">
        <v>0</v>
      </c>
      <c r="AT245" s="19">
        <v>0</v>
      </c>
      <c r="AU245" s="3">
        <v>0</v>
      </c>
      <c r="AV245" s="3">
        <v>0</v>
      </c>
      <c r="AW245" s="19">
        <v>0</v>
      </c>
      <c r="AX245" s="3">
        <v>0</v>
      </c>
      <c r="AY245" s="3">
        <v>0</v>
      </c>
    </row>
    <row r="246" spans="1:51">
      <c r="A246" s="3">
        <v>4464610</v>
      </c>
      <c r="B246" t="s">
        <v>475</v>
      </c>
      <c r="C246" s="3">
        <v>11021525</v>
      </c>
      <c r="D246" t="s">
        <v>44</v>
      </c>
      <c r="E246" t="s">
        <v>54</v>
      </c>
      <c r="F246" t="s">
        <v>65</v>
      </c>
      <c r="G246" t="s">
        <v>47</v>
      </c>
      <c r="H246" s="16">
        <v>0</v>
      </c>
      <c r="I246" s="4">
        <f>VLOOKUP(C246,[1]sheet1!$D:$I,6,0)</f>
        <v>0</v>
      </c>
      <c r="J246" s="4">
        <f>VLOOKUP(C246,[2]sheet1!$D:$I,6,0)</f>
        <v>0</v>
      </c>
      <c r="K246" s="4">
        <f>VLOOKUP(C246,[3]sheet1!$D:$I,6,0)</f>
        <v>0</v>
      </c>
      <c r="L246" s="4">
        <f>VLOOKUP(C246,[4]sheet1!$D:$I,6,0)</f>
        <v>0</v>
      </c>
      <c r="M246" s="4">
        <f>VLOOKUP(C246,[5]sheet1!$D:$I,6,0)</f>
        <v>0</v>
      </c>
      <c r="N246" s="4">
        <f>VLOOKUP(C246,[6]sheet1!$D:$I,6,0)</f>
        <v>0</v>
      </c>
      <c r="O246" s="4">
        <f>VLOOKUP(C246,[7]sheet1!$D:$I,6,0)</f>
        <v>0</v>
      </c>
      <c r="P246" s="4">
        <f>VLOOKUP(C246,[8]sheet1!$D:$I,6,0)</f>
        <v>0</v>
      </c>
      <c r="Q246" s="4">
        <f t="shared" si="3"/>
        <v>0</v>
      </c>
      <c r="R246" s="3">
        <v>0</v>
      </c>
      <c r="S246" s="3">
        <v>0</v>
      </c>
      <c r="T246" s="19">
        <v>0</v>
      </c>
      <c r="U246" s="3">
        <v>0</v>
      </c>
      <c r="V246" s="3">
        <v>0</v>
      </c>
      <c r="W246">
        <v>0</v>
      </c>
      <c r="X246" s="3">
        <v>0</v>
      </c>
      <c r="Y246">
        <v>0</v>
      </c>
      <c r="Z246" s="3">
        <v>0</v>
      </c>
      <c r="AA246" t="s">
        <v>476</v>
      </c>
      <c r="AB246" t="s">
        <v>49</v>
      </c>
      <c r="AC246">
        <v>101.54</v>
      </c>
      <c r="AD246" t="s">
        <v>49</v>
      </c>
      <c r="AE246">
        <v>0</v>
      </c>
      <c r="AF246" s="3">
        <v>0</v>
      </c>
      <c r="AG246" t="s">
        <v>49</v>
      </c>
      <c r="AH246">
        <v>0</v>
      </c>
      <c r="AI246" t="s">
        <v>49</v>
      </c>
      <c r="AJ246" t="s">
        <v>49</v>
      </c>
      <c r="AK246" t="s">
        <v>49</v>
      </c>
      <c r="AL246" t="s">
        <v>49</v>
      </c>
      <c r="AM246" t="s">
        <v>49</v>
      </c>
      <c r="AN246" s="3">
        <v>0</v>
      </c>
      <c r="AO246" s="19">
        <v>0</v>
      </c>
      <c r="AP246" s="19">
        <v>0</v>
      </c>
      <c r="AQ246" s="19">
        <v>0</v>
      </c>
      <c r="AR246" s="19">
        <v>0</v>
      </c>
      <c r="AS246" s="19">
        <v>0</v>
      </c>
      <c r="AT246" s="19">
        <v>0</v>
      </c>
      <c r="AU246" s="3">
        <v>0</v>
      </c>
      <c r="AV246" s="3">
        <v>0</v>
      </c>
      <c r="AW246" s="19">
        <v>0</v>
      </c>
      <c r="AX246" s="3">
        <v>0</v>
      </c>
      <c r="AY246" s="3">
        <v>0</v>
      </c>
    </row>
    <row r="247" spans="1:51">
      <c r="A247" s="3">
        <v>4464604</v>
      </c>
      <c r="B247" t="s">
        <v>477</v>
      </c>
      <c r="C247" s="3">
        <v>13221427</v>
      </c>
      <c r="D247" t="s">
        <v>44</v>
      </c>
      <c r="E247" t="s">
        <v>436</v>
      </c>
      <c r="F247" t="s">
        <v>65</v>
      </c>
      <c r="G247" t="s">
        <v>47</v>
      </c>
      <c r="H247" s="16">
        <v>0</v>
      </c>
      <c r="I247" s="4">
        <f>VLOOKUP(C247,[1]sheet1!$D:$I,6,0)</f>
        <v>0</v>
      </c>
      <c r="J247" s="4">
        <f>VLOOKUP(C247,[2]sheet1!$D:$I,6,0)</f>
        <v>0</v>
      </c>
      <c r="K247" s="4">
        <f>VLOOKUP(C247,[3]sheet1!$D:$I,6,0)</f>
        <v>0</v>
      </c>
      <c r="L247" s="4">
        <f>VLOOKUP(C247,[4]sheet1!$D:$I,6,0)</f>
        <v>0</v>
      </c>
      <c r="M247" s="4">
        <f>VLOOKUP(C247,[5]sheet1!$D:$I,6,0)</f>
        <v>0</v>
      </c>
      <c r="N247" s="4">
        <f>VLOOKUP(C247,[6]sheet1!$D:$I,6,0)</f>
        <v>0</v>
      </c>
      <c r="O247" s="4">
        <f>VLOOKUP(C247,[7]sheet1!$D:$I,6,0)</f>
        <v>0</v>
      </c>
      <c r="P247" s="4">
        <f>VLOOKUP(C247,[8]sheet1!$D:$I,6,0)</f>
        <v>0</v>
      </c>
      <c r="Q247" s="4">
        <f t="shared" si="3"/>
        <v>0</v>
      </c>
      <c r="R247" s="3">
        <v>0</v>
      </c>
      <c r="S247" s="3">
        <v>1</v>
      </c>
      <c r="T247" s="19">
        <v>0</v>
      </c>
      <c r="U247" s="3">
        <v>0</v>
      </c>
      <c r="V247" s="3">
        <v>0</v>
      </c>
      <c r="W247">
        <v>0</v>
      </c>
      <c r="X247" s="3">
        <v>0</v>
      </c>
      <c r="Y247">
        <v>0</v>
      </c>
      <c r="Z247" s="3">
        <v>0</v>
      </c>
      <c r="AA247" t="s">
        <v>49</v>
      </c>
      <c r="AB247" t="s">
        <v>49</v>
      </c>
      <c r="AC247" t="s">
        <v>49</v>
      </c>
      <c r="AD247" t="s">
        <v>49</v>
      </c>
      <c r="AE247">
        <v>0</v>
      </c>
      <c r="AF247" s="3">
        <v>0</v>
      </c>
      <c r="AG247" t="s">
        <v>49</v>
      </c>
      <c r="AH247" t="s">
        <v>49</v>
      </c>
      <c r="AI247" t="s">
        <v>49</v>
      </c>
      <c r="AJ247" t="s">
        <v>49</v>
      </c>
      <c r="AK247" t="s">
        <v>49</v>
      </c>
      <c r="AL247" t="s">
        <v>49</v>
      </c>
      <c r="AM247" t="s">
        <v>49</v>
      </c>
      <c r="AN247" s="3">
        <v>1</v>
      </c>
      <c r="AO247" s="19">
        <v>0</v>
      </c>
      <c r="AP247" s="19">
        <v>0</v>
      </c>
      <c r="AQ247" s="19">
        <v>1</v>
      </c>
      <c r="AR247" s="19">
        <v>0</v>
      </c>
      <c r="AS247" s="19">
        <v>0</v>
      </c>
      <c r="AT247" s="19">
        <v>0</v>
      </c>
      <c r="AU247" s="3">
        <v>0</v>
      </c>
      <c r="AV247" s="3">
        <v>0</v>
      </c>
      <c r="AW247" s="19">
        <v>0</v>
      </c>
      <c r="AX247" s="3">
        <v>0</v>
      </c>
      <c r="AY247" s="3">
        <v>0</v>
      </c>
    </row>
    <row r="248" spans="1:51">
      <c r="A248" s="3">
        <v>4464573</v>
      </c>
      <c r="B248" t="s">
        <v>478</v>
      </c>
      <c r="C248" s="3">
        <v>13245112</v>
      </c>
      <c r="D248" t="s">
        <v>44</v>
      </c>
      <c r="E248" t="s">
        <v>84</v>
      </c>
      <c r="F248" t="s">
        <v>46</v>
      </c>
      <c r="G248" t="s">
        <v>47</v>
      </c>
      <c r="H248" s="16">
        <v>0</v>
      </c>
      <c r="I248" s="4">
        <f>VLOOKUP(C248,[1]sheet1!$D:$I,6,0)</f>
        <v>0</v>
      </c>
      <c r="J248" s="4">
        <f>VLOOKUP(C248,[2]sheet1!$D:$I,6,0)</f>
        <v>0</v>
      </c>
      <c r="K248" s="4">
        <f>VLOOKUP(C248,[3]sheet1!$D:$I,6,0)</f>
        <v>0</v>
      </c>
      <c r="L248" s="4">
        <f>VLOOKUP(C248,[4]sheet1!$D:$I,6,0)</f>
        <v>0</v>
      </c>
      <c r="M248" s="4">
        <f>VLOOKUP(C248,[5]sheet1!$D:$I,6,0)</f>
        <v>0</v>
      </c>
      <c r="N248" s="4">
        <f>VLOOKUP(C248,[6]sheet1!$D:$I,6,0)</f>
        <v>0</v>
      </c>
      <c r="O248" s="4">
        <f>VLOOKUP(C248,[7]sheet1!$D:$I,6,0)</f>
        <v>0</v>
      </c>
      <c r="P248" s="4">
        <f>VLOOKUP(C248,[8]sheet1!$D:$I,6,0)</f>
        <v>0</v>
      </c>
      <c r="Q248" s="4">
        <f t="shared" si="3"/>
        <v>0</v>
      </c>
      <c r="R248" s="3">
        <v>0</v>
      </c>
      <c r="S248">
        <v>82</v>
      </c>
      <c r="T248">
        <v>0</v>
      </c>
      <c r="U248" s="3">
        <v>1</v>
      </c>
      <c r="V248" s="3">
        <v>0</v>
      </c>
      <c r="W248">
        <v>0</v>
      </c>
      <c r="X248" s="3">
        <v>0</v>
      </c>
      <c r="Y248">
        <v>0</v>
      </c>
      <c r="Z248" s="3">
        <v>0</v>
      </c>
      <c r="AA248" t="s">
        <v>170</v>
      </c>
      <c r="AB248" s="3">
        <v>299</v>
      </c>
      <c r="AC248">
        <v>243.19</v>
      </c>
      <c r="AD248" t="s">
        <v>49</v>
      </c>
      <c r="AE248">
        <v>0</v>
      </c>
      <c r="AF248" s="3">
        <v>0</v>
      </c>
      <c r="AG248" t="s">
        <v>49</v>
      </c>
      <c r="AH248">
        <v>0</v>
      </c>
      <c r="AI248" t="s">
        <v>49</v>
      </c>
      <c r="AJ248" t="s">
        <v>49</v>
      </c>
      <c r="AK248" t="s">
        <v>49</v>
      </c>
      <c r="AL248" t="s">
        <v>49</v>
      </c>
      <c r="AM248" t="s">
        <v>49</v>
      </c>
      <c r="AN248">
        <v>110</v>
      </c>
      <c r="AO248" s="19">
        <v>0</v>
      </c>
      <c r="AP248" s="19">
        <v>0</v>
      </c>
      <c r="AQ248" s="19">
        <v>0.8</v>
      </c>
      <c r="AR248" s="19">
        <v>0.2</v>
      </c>
      <c r="AS248" s="19">
        <v>1</v>
      </c>
      <c r="AT248" s="19">
        <v>0</v>
      </c>
      <c r="AU248" s="3">
        <v>0</v>
      </c>
      <c r="AV248" s="3">
        <v>0</v>
      </c>
      <c r="AW248" s="19">
        <v>0</v>
      </c>
      <c r="AX248" s="3">
        <v>0</v>
      </c>
      <c r="AY248" s="3">
        <v>0</v>
      </c>
    </row>
    <row r="249" spans="1:51">
      <c r="A249" s="3">
        <v>4464544</v>
      </c>
      <c r="B249" t="s">
        <v>479</v>
      </c>
      <c r="C249" s="3">
        <v>113115106</v>
      </c>
      <c r="D249" t="s">
        <v>44</v>
      </c>
      <c r="E249" t="s">
        <v>84</v>
      </c>
      <c r="F249" t="s">
        <v>65</v>
      </c>
      <c r="G249" t="s">
        <v>47</v>
      </c>
      <c r="H249" s="16">
        <v>0</v>
      </c>
      <c r="I249" s="4">
        <f>VLOOKUP(C249,[1]sheet1!$D:$I,6,0)</f>
        <v>0</v>
      </c>
      <c r="J249" s="4">
        <f>VLOOKUP(C249,[2]sheet1!$D:$I,6,0)</f>
        <v>0</v>
      </c>
      <c r="K249" s="4">
        <f>VLOOKUP(C249,[3]sheet1!$D:$I,6,0)</f>
        <v>0</v>
      </c>
      <c r="L249" s="4">
        <f>VLOOKUP(C249,[4]sheet1!$D:$I,6,0)</f>
        <v>0</v>
      </c>
      <c r="M249" s="4">
        <f>VLOOKUP(C249,[5]sheet1!$D:$I,6,0)</f>
        <v>0</v>
      </c>
      <c r="N249" s="4">
        <f>VLOOKUP(C249,[6]sheet1!$D:$I,6,0)</f>
        <v>0</v>
      </c>
      <c r="O249" s="4">
        <f>VLOOKUP(C249,[7]sheet1!$D:$I,6,0)</f>
        <v>0</v>
      </c>
      <c r="P249" s="4">
        <f>VLOOKUP(C249,[8]sheet1!$D:$I,6,0)</f>
        <v>0</v>
      </c>
      <c r="Q249" s="4">
        <f t="shared" si="3"/>
        <v>0</v>
      </c>
      <c r="R249" s="3">
        <v>0</v>
      </c>
      <c r="S249" s="3">
        <v>4</v>
      </c>
      <c r="T249" s="19">
        <v>0</v>
      </c>
      <c r="U249" s="3">
        <v>0</v>
      </c>
      <c r="V249" s="3">
        <v>0</v>
      </c>
      <c r="W249">
        <v>0</v>
      </c>
      <c r="X249" s="3">
        <v>0</v>
      </c>
      <c r="Y249">
        <v>0</v>
      </c>
      <c r="Z249" s="3">
        <v>0</v>
      </c>
      <c r="AA249" t="s">
        <v>49</v>
      </c>
      <c r="AB249" t="s">
        <v>49</v>
      </c>
      <c r="AC249" t="s">
        <v>49</v>
      </c>
      <c r="AD249" t="s">
        <v>49</v>
      </c>
      <c r="AE249">
        <v>0</v>
      </c>
      <c r="AF249" s="3">
        <v>0</v>
      </c>
      <c r="AG249" t="s">
        <v>49</v>
      </c>
      <c r="AH249" t="s">
        <v>49</v>
      </c>
      <c r="AI249" t="s">
        <v>49</v>
      </c>
      <c r="AJ249" t="s">
        <v>49</v>
      </c>
      <c r="AK249" t="s">
        <v>49</v>
      </c>
      <c r="AL249" t="s">
        <v>49</v>
      </c>
      <c r="AM249" t="s">
        <v>49</v>
      </c>
      <c r="AN249" s="3">
        <v>4</v>
      </c>
      <c r="AO249" s="19">
        <v>0</v>
      </c>
      <c r="AP249" s="19">
        <v>0</v>
      </c>
      <c r="AQ249" s="19">
        <v>1</v>
      </c>
      <c r="AR249" s="19">
        <v>0.75</v>
      </c>
      <c r="AS249" s="19">
        <v>0</v>
      </c>
      <c r="AT249" s="19">
        <v>0</v>
      </c>
      <c r="AU249" s="3">
        <v>0</v>
      </c>
      <c r="AV249" s="3">
        <v>0</v>
      </c>
      <c r="AW249" s="19">
        <v>0</v>
      </c>
      <c r="AX249" s="3">
        <v>0</v>
      </c>
      <c r="AY249" s="3">
        <v>0</v>
      </c>
    </row>
    <row r="250" spans="1:51">
      <c r="A250" s="3">
        <v>4464536</v>
      </c>
      <c r="B250" t="s">
        <v>480</v>
      </c>
      <c r="C250" s="3">
        <v>13040127</v>
      </c>
      <c r="D250" t="s">
        <v>44</v>
      </c>
      <c r="E250" t="s">
        <v>84</v>
      </c>
      <c r="F250" t="s">
        <v>65</v>
      </c>
      <c r="G250" t="s">
        <v>47</v>
      </c>
      <c r="H250" s="16">
        <v>0</v>
      </c>
      <c r="I250" s="4">
        <f>VLOOKUP(C250,[1]sheet1!$D:$I,6,0)</f>
        <v>0</v>
      </c>
      <c r="J250" s="4">
        <f>VLOOKUP(C250,[2]sheet1!$D:$I,6,0)</f>
        <v>0</v>
      </c>
      <c r="K250" s="4">
        <f>VLOOKUP(C250,[3]sheet1!$D:$I,6,0)</f>
        <v>0</v>
      </c>
      <c r="L250" s="4">
        <f>VLOOKUP(C250,[4]sheet1!$D:$I,6,0)</f>
        <v>0</v>
      </c>
      <c r="M250" s="4">
        <f>VLOOKUP(C250,[5]sheet1!$D:$I,6,0)</f>
        <v>0</v>
      </c>
      <c r="N250" s="4">
        <f>VLOOKUP(C250,[6]sheet1!$D:$I,6,0)</f>
        <v>0</v>
      </c>
      <c r="O250" s="4">
        <f>VLOOKUP(C250,[7]sheet1!$D:$I,6,0)</f>
        <v>0</v>
      </c>
      <c r="P250" s="4">
        <f>VLOOKUP(C250,[8]sheet1!$D:$I,6,0)</f>
        <v>0</v>
      </c>
      <c r="Q250" s="4">
        <f t="shared" si="3"/>
        <v>0</v>
      </c>
      <c r="R250" s="3">
        <v>0</v>
      </c>
      <c r="S250" s="3">
        <v>3</v>
      </c>
      <c r="T250" s="19">
        <v>0</v>
      </c>
      <c r="U250" s="3">
        <v>0</v>
      </c>
      <c r="V250" s="3">
        <v>0</v>
      </c>
      <c r="W250">
        <v>0</v>
      </c>
      <c r="X250" s="3">
        <v>0</v>
      </c>
      <c r="Y250">
        <v>0</v>
      </c>
      <c r="Z250" s="3">
        <v>0</v>
      </c>
      <c r="AA250" t="s">
        <v>144</v>
      </c>
      <c r="AB250" t="s">
        <v>49</v>
      </c>
      <c r="AC250">
        <v>311.19</v>
      </c>
      <c r="AD250" t="s">
        <v>49</v>
      </c>
      <c r="AE250">
        <v>0</v>
      </c>
      <c r="AF250" s="3">
        <v>0</v>
      </c>
      <c r="AG250" t="s">
        <v>49</v>
      </c>
      <c r="AH250">
        <v>0</v>
      </c>
      <c r="AI250" t="s">
        <v>49</v>
      </c>
      <c r="AJ250" t="s">
        <v>49</v>
      </c>
      <c r="AK250" t="s">
        <v>49</v>
      </c>
      <c r="AL250" t="s">
        <v>49</v>
      </c>
      <c r="AM250" t="s">
        <v>49</v>
      </c>
      <c r="AN250" s="3">
        <v>5</v>
      </c>
      <c r="AO250" s="19">
        <v>0</v>
      </c>
      <c r="AP250" s="19">
        <v>0</v>
      </c>
      <c r="AQ250" s="19">
        <v>0.6667</v>
      </c>
      <c r="AR250" s="19">
        <v>0.3333</v>
      </c>
      <c r="AS250" s="19">
        <v>0</v>
      </c>
      <c r="AT250" s="19">
        <v>0</v>
      </c>
      <c r="AU250" s="3">
        <v>0</v>
      </c>
      <c r="AV250" s="3">
        <v>0</v>
      </c>
      <c r="AW250" s="19">
        <v>0</v>
      </c>
      <c r="AX250" s="3">
        <v>0</v>
      </c>
      <c r="AY250" s="3">
        <v>0</v>
      </c>
    </row>
    <row r="251" spans="1:51">
      <c r="A251" s="3">
        <v>4464531</v>
      </c>
      <c r="B251" t="s">
        <v>481</v>
      </c>
      <c r="C251" s="3">
        <v>13921412</v>
      </c>
      <c r="D251" t="s">
        <v>44</v>
      </c>
      <c r="E251" t="s">
        <v>436</v>
      </c>
      <c r="F251" t="s">
        <v>65</v>
      </c>
      <c r="G251" t="s">
        <v>47</v>
      </c>
      <c r="H251" s="16">
        <v>0</v>
      </c>
      <c r="I251" s="4">
        <f>VLOOKUP(C251,[1]sheet1!$D:$I,6,0)</f>
        <v>0</v>
      </c>
      <c r="J251" s="4">
        <f>VLOOKUP(C251,[2]sheet1!$D:$I,6,0)</f>
        <v>0</v>
      </c>
      <c r="K251" s="4">
        <f>VLOOKUP(C251,[3]sheet1!$D:$I,6,0)</f>
        <v>0</v>
      </c>
      <c r="L251" s="4">
        <f>VLOOKUP(C251,[4]sheet1!$D:$I,6,0)</f>
        <v>0</v>
      </c>
      <c r="M251" s="4">
        <f>VLOOKUP(C251,[5]sheet1!$D:$I,6,0)</f>
        <v>0</v>
      </c>
      <c r="N251" s="4">
        <f>VLOOKUP(C251,[6]sheet1!$D:$I,6,0)</f>
        <v>0</v>
      </c>
      <c r="O251" s="4">
        <f>VLOOKUP(C251,[7]sheet1!$D:$I,6,0)</f>
        <v>0</v>
      </c>
      <c r="P251" s="4">
        <f>VLOOKUP(C251,[8]sheet1!$D:$I,6,0)</f>
        <v>0</v>
      </c>
      <c r="Q251" s="4">
        <f t="shared" si="3"/>
        <v>0</v>
      </c>
      <c r="R251" s="3">
        <v>0</v>
      </c>
      <c r="S251" s="3">
        <v>0</v>
      </c>
      <c r="T251" s="19">
        <v>0</v>
      </c>
      <c r="U251" s="3">
        <v>0</v>
      </c>
      <c r="V251" s="3">
        <v>0</v>
      </c>
      <c r="W251">
        <v>0</v>
      </c>
      <c r="X251" s="3">
        <v>0</v>
      </c>
      <c r="Y251">
        <v>0</v>
      </c>
      <c r="Z251" s="3">
        <v>0</v>
      </c>
      <c r="AA251" t="s">
        <v>55</v>
      </c>
      <c r="AB251" t="s">
        <v>49</v>
      </c>
      <c r="AC251">
        <v>109.59</v>
      </c>
      <c r="AD251" t="s">
        <v>49</v>
      </c>
      <c r="AE251">
        <v>0</v>
      </c>
      <c r="AF251" s="3">
        <v>0</v>
      </c>
      <c r="AG251" t="s">
        <v>49</v>
      </c>
      <c r="AH251">
        <v>0</v>
      </c>
      <c r="AI251" t="s">
        <v>49</v>
      </c>
      <c r="AJ251" t="s">
        <v>49</v>
      </c>
      <c r="AK251" t="s">
        <v>49</v>
      </c>
      <c r="AL251" t="s">
        <v>49</v>
      </c>
      <c r="AM251" t="s">
        <v>49</v>
      </c>
      <c r="AN251" s="3">
        <v>0</v>
      </c>
      <c r="AO251" s="19">
        <v>0</v>
      </c>
      <c r="AP251" s="19">
        <v>0</v>
      </c>
      <c r="AQ251" s="19">
        <v>0</v>
      </c>
      <c r="AR251" s="19">
        <v>0</v>
      </c>
      <c r="AS251" s="19">
        <v>0</v>
      </c>
      <c r="AT251" s="19">
        <v>0</v>
      </c>
      <c r="AU251" s="3">
        <v>0</v>
      </c>
      <c r="AV251" s="3">
        <v>0</v>
      </c>
      <c r="AW251" s="19">
        <v>0</v>
      </c>
      <c r="AX251" s="3">
        <v>0</v>
      </c>
      <c r="AY251" s="3">
        <v>0</v>
      </c>
    </row>
    <row r="252" spans="1:51">
      <c r="A252" s="3">
        <v>4464530</v>
      </c>
      <c r="B252" t="s">
        <v>482</v>
      </c>
      <c r="C252" s="3">
        <v>11115101</v>
      </c>
      <c r="D252" t="s">
        <v>44</v>
      </c>
      <c r="E252" t="s">
        <v>227</v>
      </c>
      <c r="F252" t="s">
        <v>65</v>
      </c>
      <c r="G252" t="s">
        <v>47</v>
      </c>
      <c r="H252" s="16">
        <v>0</v>
      </c>
      <c r="I252" s="4">
        <f>VLOOKUP(C252,[1]sheet1!$D:$I,6,0)</f>
        <v>0</v>
      </c>
      <c r="J252" s="4">
        <f>VLOOKUP(C252,[2]sheet1!$D:$I,6,0)</f>
        <v>0</v>
      </c>
      <c r="K252" s="4">
        <f>VLOOKUP(C252,[3]sheet1!$D:$I,6,0)</f>
        <v>0</v>
      </c>
      <c r="L252" s="4">
        <f>VLOOKUP(C252,[4]sheet1!$D:$I,6,0)</f>
        <v>0</v>
      </c>
      <c r="M252" s="4">
        <f>VLOOKUP(C252,[5]sheet1!$D:$I,6,0)</f>
        <v>0</v>
      </c>
      <c r="N252" s="4">
        <f>VLOOKUP(C252,[6]sheet1!$D:$I,6,0)</f>
        <v>0</v>
      </c>
      <c r="O252" s="4">
        <f>VLOOKUP(C252,[7]sheet1!$D:$I,6,0)</f>
        <v>0</v>
      </c>
      <c r="P252" s="4">
        <f>VLOOKUP(C252,[8]sheet1!$D:$I,6,0)</f>
        <v>0</v>
      </c>
      <c r="Q252" s="4">
        <f t="shared" si="3"/>
        <v>0</v>
      </c>
      <c r="R252" s="3">
        <v>0</v>
      </c>
      <c r="S252" s="3">
        <v>0</v>
      </c>
      <c r="T252" s="19">
        <v>0</v>
      </c>
      <c r="U252" s="3">
        <v>0</v>
      </c>
      <c r="V252" s="3">
        <v>0</v>
      </c>
      <c r="W252">
        <v>0</v>
      </c>
      <c r="X252" s="3">
        <v>0</v>
      </c>
      <c r="Y252">
        <v>0</v>
      </c>
      <c r="Z252" s="3">
        <v>0</v>
      </c>
      <c r="AA252" t="s">
        <v>49</v>
      </c>
      <c r="AB252" t="s">
        <v>49</v>
      </c>
      <c r="AC252" t="s">
        <v>49</v>
      </c>
      <c r="AD252" t="s">
        <v>49</v>
      </c>
      <c r="AE252">
        <v>0</v>
      </c>
      <c r="AF252" s="3">
        <v>0</v>
      </c>
      <c r="AG252" t="s">
        <v>49</v>
      </c>
      <c r="AH252" t="s">
        <v>49</v>
      </c>
      <c r="AI252" t="s">
        <v>49</v>
      </c>
      <c r="AJ252" t="s">
        <v>49</v>
      </c>
      <c r="AK252" t="s">
        <v>49</v>
      </c>
      <c r="AL252" t="s">
        <v>49</v>
      </c>
      <c r="AM252" t="s">
        <v>49</v>
      </c>
      <c r="AN252" s="3">
        <v>0</v>
      </c>
      <c r="AO252" s="19">
        <v>0</v>
      </c>
      <c r="AP252" s="19">
        <v>0</v>
      </c>
      <c r="AQ252" s="19">
        <v>0</v>
      </c>
      <c r="AR252" s="19">
        <v>0</v>
      </c>
      <c r="AS252" s="19">
        <v>0</v>
      </c>
      <c r="AT252" s="19">
        <v>0</v>
      </c>
      <c r="AU252" s="3">
        <v>0</v>
      </c>
      <c r="AV252" s="3">
        <v>0</v>
      </c>
      <c r="AW252" s="19">
        <v>0</v>
      </c>
      <c r="AX252" s="3">
        <v>0</v>
      </c>
      <c r="AY252" s="3">
        <v>0</v>
      </c>
    </row>
    <row r="253" spans="1:51">
      <c r="A253" s="3">
        <v>4464525</v>
      </c>
      <c r="B253" t="s">
        <v>483</v>
      </c>
      <c r="C253" s="3">
        <v>13930611</v>
      </c>
      <c r="D253" t="s">
        <v>44</v>
      </c>
      <c r="E253" t="s">
        <v>84</v>
      </c>
      <c r="F253" t="s">
        <v>46</v>
      </c>
      <c r="G253" t="s">
        <v>47</v>
      </c>
      <c r="H253" s="16">
        <v>0</v>
      </c>
      <c r="I253" s="4">
        <f>VLOOKUP(C253,[1]sheet1!$D:$I,6,0)</f>
        <v>0</v>
      </c>
      <c r="J253" s="4">
        <f>VLOOKUP(C253,[2]sheet1!$D:$I,6,0)</f>
        <v>0</v>
      </c>
      <c r="K253" s="4">
        <f>VLOOKUP(C253,[3]sheet1!$D:$I,6,0)</f>
        <v>0</v>
      </c>
      <c r="L253" s="4">
        <f>VLOOKUP(C253,[4]sheet1!$D:$I,6,0)</f>
        <v>0</v>
      </c>
      <c r="M253" s="4">
        <f>VLOOKUP(C253,[5]sheet1!$D:$I,6,0)</f>
        <v>0</v>
      </c>
      <c r="N253" s="4">
        <f>VLOOKUP(C253,[6]sheet1!$D:$I,6,0)</f>
        <v>0</v>
      </c>
      <c r="O253" s="4">
        <f>VLOOKUP(C253,[7]sheet1!$D:$I,6,0)</f>
        <v>0</v>
      </c>
      <c r="P253" s="4">
        <f>VLOOKUP(C253,[8]sheet1!$D:$I,6,0)</f>
        <v>0</v>
      </c>
      <c r="Q253" s="4">
        <f t="shared" si="3"/>
        <v>0</v>
      </c>
      <c r="R253" s="3">
        <v>0</v>
      </c>
      <c r="S253">
        <v>90</v>
      </c>
      <c r="T253">
        <v>0</v>
      </c>
      <c r="U253" s="3">
        <v>1</v>
      </c>
      <c r="V253" s="3">
        <v>0</v>
      </c>
      <c r="W253">
        <v>0</v>
      </c>
      <c r="X253" s="3">
        <v>0</v>
      </c>
      <c r="Y253">
        <v>0</v>
      </c>
      <c r="Z253" s="3">
        <v>0</v>
      </c>
      <c r="AA253" t="s">
        <v>484</v>
      </c>
      <c r="AB253" s="3">
        <v>189</v>
      </c>
      <c r="AC253">
        <v>149.69</v>
      </c>
      <c r="AD253" t="s">
        <v>49</v>
      </c>
      <c r="AE253">
        <v>0</v>
      </c>
      <c r="AF253" s="3">
        <v>0</v>
      </c>
      <c r="AG253" t="s">
        <v>49</v>
      </c>
      <c r="AH253">
        <v>0</v>
      </c>
      <c r="AI253" t="s">
        <v>49</v>
      </c>
      <c r="AJ253" t="s">
        <v>49</v>
      </c>
      <c r="AK253" t="s">
        <v>49</v>
      </c>
      <c r="AL253" t="s">
        <v>49</v>
      </c>
      <c r="AM253" t="s">
        <v>49</v>
      </c>
      <c r="AN253" s="3">
        <v>9</v>
      </c>
      <c r="AO253" s="19">
        <v>0</v>
      </c>
      <c r="AP253" s="19">
        <v>0</v>
      </c>
      <c r="AQ253" s="19">
        <v>0.6667</v>
      </c>
      <c r="AR253" s="19">
        <v>0.1667</v>
      </c>
      <c r="AS253" s="19">
        <v>1</v>
      </c>
      <c r="AT253" s="19">
        <v>0</v>
      </c>
      <c r="AU253" s="3">
        <v>0</v>
      </c>
      <c r="AV253" s="3">
        <v>0</v>
      </c>
      <c r="AW253" s="19">
        <v>0</v>
      </c>
      <c r="AX253" s="3">
        <v>0</v>
      </c>
      <c r="AY253" s="3">
        <v>0</v>
      </c>
    </row>
    <row r="254" spans="1:51">
      <c r="A254" s="3">
        <v>4464470</v>
      </c>
      <c r="B254" t="s">
        <v>485</v>
      </c>
      <c r="C254" s="3">
        <v>113321236</v>
      </c>
      <c r="D254" t="s">
        <v>44</v>
      </c>
      <c r="E254" t="s">
        <v>232</v>
      </c>
      <c r="F254" t="s">
        <v>65</v>
      </c>
      <c r="G254" t="s">
        <v>47</v>
      </c>
      <c r="H254" s="16">
        <v>0</v>
      </c>
      <c r="I254" s="4">
        <f>VLOOKUP(C254,[1]sheet1!$D:$I,6,0)</f>
        <v>0</v>
      </c>
      <c r="J254" s="4">
        <f>VLOOKUP(C254,[2]sheet1!$D:$I,6,0)</f>
        <v>0</v>
      </c>
      <c r="K254" s="4">
        <f>VLOOKUP(C254,[3]sheet1!$D:$I,6,0)</f>
        <v>0</v>
      </c>
      <c r="L254" s="4">
        <f>VLOOKUP(C254,[4]sheet1!$D:$I,6,0)</f>
        <v>0</v>
      </c>
      <c r="M254" s="4">
        <f>VLOOKUP(C254,[5]sheet1!$D:$I,6,0)</f>
        <v>0</v>
      </c>
      <c r="N254" s="4">
        <f>VLOOKUP(C254,[6]sheet1!$D:$I,6,0)</f>
        <v>0</v>
      </c>
      <c r="O254" s="4">
        <f>VLOOKUP(C254,[7]sheet1!$D:$I,6,0)</f>
        <v>0</v>
      </c>
      <c r="P254" s="4">
        <f>VLOOKUP(C254,[8]sheet1!$D:$I,6,0)</f>
        <v>0</v>
      </c>
      <c r="Q254" s="4">
        <f t="shared" si="3"/>
        <v>0</v>
      </c>
      <c r="R254" s="3">
        <v>0</v>
      </c>
      <c r="S254" s="3">
        <v>3</v>
      </c>
      <c r="T254" s="19">
        <v>0</v>
      </c>
      <c r="U254" s="3">
        <v>0</v>
      </c>
      <c r="V254" s="3">
        <v>0</v>
      </c>
      <c r="W254">
        <v>0</v>
      </c>
      <c r="X254" s="3">
        <v>0</v>
      </c>
      <c r="Y254">
        <v>0</v>
      </c>
      <c r="Z254" s="3">
        <v>0</v>
      </c>
      <c r="AA254" t="s">
        <v>49</v>
      </c>
      <c r="AB254" t="s">
        <v>49</v>
      </c>
      <c r="AC254" t="s">
        <v>49</v>
      </c>
      <c r="AD254" t="s">
        <v>49</v>
      </c>
      <c r="AE254">
        <v>0</v>
      </c>
      <c r="AF254" s="3">
        <v>0</v>
      </c>
      <c r="AG254" t="s">
        <v>49</v>
      </c>
      <c r="AH254" t="s">
        <v>49</v>
      </c>
      <c r="AI254" t="s">
        <v>49</v>
      </c>
      <c r="AJ254" t="s">
        <v>49</v>
      </c>
      <c r="AK254" t="s">
        <v>49</v>
      </c>
      <c r="AL254" t="s">
        <v>49</v>
      </c>
      <c r="AM254" t="s">
        <v>49</v>
      </c>
      <c r="AN254" s="3">
        <v>4</v>
      </c>
      <c r="AO254" s="19">
        <v>0</v>
      </c>
      <c r="AP254" s="19">
        <v>0</v>
      </c>
      <c r="AQ254" s="19">
        <v>0.6667</v>
      </c>
      <c r="AR254" s="19">
        <v>0.3333</v>
      </c>
      <c r="AS254" s="19">
        <v>0</v>
      </c>
      <c r="AT254" s="19">
        <v>0</v>
      </c>
      <c r="AU254" s="3">
        <v>0</v>
      </c>
      <c r="AV254" s="3">
        <v>0</v>
      </c>
      <c r="AW254" s="19">
        <v>0</v>
      </c>
      <c r="AX254" s="3">
        <v>0</v>
      </c>
      <c r="AY254" s="3">
        <v>0</v>
      </c>
    </row>
    <row r="255" spans="1:51">
      <c r="A255" s="3">
        <v>4464454</v>
      </c>
      <c r="B255" t="s">
        <v>486</v>
      </c>
      <c r="C255" s="3">
        <v>13221249</v>
      </c>
      <c r="D255" t="s">
        <v>44</v>
      </c>
      <c r="E255" t="s">
        <v>232</v>
      </c>
      <c r="F255" t="s">
        <v>65</v>
      </c>
      <c r="G255" t="s">
        <v>47</v>
      </c>
      <c r="H255" s="16">
        <v>0</v>
      </c>
      <c r="I255" s="4">
        <f>VLOOKUP(C255,[1]sheet1!$D:$I,6,0)</f>
        <v>0</v>
      </c>
      <c r="J255" s="4">
        <f>VLOOKUP(C255,[2]sheet1!$D:$I,6,0)</f>
        <v>0</v>
      </c>
      <c r="K255" s="4">
        <f>VLOOKUP(C255,[3]sheet1!$D:$I,6,0)</f>
        <v>0</v>
      </c>
      <c r="L255" s="4">
        <f>VLOOKUP(C255,[4]sheet1!$D:$I,6,0)</f>
        <v>0</v>
      </c>
      <c r="M255" s="4">
        <f>VLOOKUP(C255,[5]sheet1!$D:$I,6,0)</f>
        <v>0</v>
      </c>
      <c r="N255" s="4">
        <f>VLOOKUP(C255,[6]sheet1!$D:$I,6,0)</f>
        <v>0</v>
      </c>
      <c r="O255" s="4">
        <f>VLOOKUP(C255,[7]sheet1!$D:$I,6,0)</f>
        <v>0</v>
      </c>
      <c r="P255" s="4">
        <f>VLOOKUP(C255,[8]sheet1!$D:$I,6,0)</f>
        <v>0</v>
      </c>
      <c r="Q255" s="4">
        <f t="shared" si="3"/>
        <v>0</v>
      </c>
      <c r="R255" s="3">
        <v>0</v>
      </c>
      <c r="S255" s="3">
        <v>0</v>
      </c>
      <c r="T255" s="19">
        <v>0</v>
      </c>
      <c r="U255" s="3">
        <v>0</v>
      </c>
      <c r="V255" s="3">
        <v>0</v>
      </c>
      <c r="W255">
        <v>0</v>
      </c>
      <c r="X255" s="3">
        <v>0</v>
      </c>
      <c r="Y255">
        <v>0</v>
      </c>
      <c r="Z255" s="3">
        <v>0</v>
      </c>
      <c r="AA255" t="s">
        <v>487</v>
      </c>
      <c r="AB255" t="s">
        <v>49</v>
      </c>
      <c r="AC255">
        <v>111.49</v>
      </c>
      <c r="AD255" t="s">
        <v>49</v>
      </c>
      <c r="AE255">
        <v>0</v>
      </c>
      <c r="AF255" s="3">
        <v>0</v>
      </c>
      <c r="AG255" t="s">
        <v>49</v>
      </c>
      <c r="AH255">
        <v>0</v>
      </c>
      <c r="AI255" t="s">
        <v>49</v>
      </c>
      <c r="AJ255" t="s">
        <v>49</v>
      </c>
      <c r="AK255" t="s">
        <v>49</v>
      </c>
      <c r="AL255" t="s">
        <v>49</v>
      </c>
      <c r="AM255" t="s">
        <v>49</v>
      </c>
      <c r="AN255" s="3">
        <v>0</v>
      </c>
      <c r="AO255" s="19">
        <v>0</v>
      </c>
      <c r="AP255" s="19">
        <v>0</v>
      </c>
      <c r="AQ255" s="19">
        <v>0</v>
      </c>
      <c r="AR255" s="19">
        <v>0</v>
      </c>
      <c r="AS255" s="19">
        <v>0</v>
      </c>
      <c r="AT255" s="19">
        <v>0</v>
      </c>
      <c r="AU255" s="3">
        <v>0</v>
      </c>
      <c r="AV255" s="3">
        <v>0</v>
      </c>
      <c r="AW255" s="19">
        <v>0</v>
      </c>
      <c r="AX255" s="3">
        <v>0</v>
      </c>
      <c r="AY255" s="3">
        <v>0</v>
      </c>
    </row>
    <row r="256" spans="1:51">
      <c r="A256" s="3">
        <v>4464416</v>
      </c>
      <c r="B256" t="s">
        <v>488</v>
      </c>
      <c r="C256" s="3">
        <v>13031019</v>
      </c>
      <c r="D256" t="s">
        <v>44</v>
      </c>
      <c r="E256" t="s">
        <v>446</v>
      </c>
      <c r="F256" t="s">
        <v>65</v>
      </c>
      <c r="G256" t="s">
        <v>47</v>
      </c>
      <c r="H256" s="16">
        <v>0</v>
      </c>
      <c r="I256" s="4">
        <f>VLOOKUP(C256,[1]sheet1!$D:$I,6,0)</f>
        <v>0</v>
      </c>
      <c r="J256" s="4">
        <f>VLOOKUP(C256,[2]sheet1!$D:$I,6,0)</f>
        <v>0</v>
      </c>
      <c r="K256" s="4">
        <f>VLOOKUP(C256,[3]sheet1!$D:$I,6,0)</f>
        <v>0</v>
      </c>
      <c r="L256" s="4">
        <f>VLOOKUP(C256,[4]sheet1!$D:$I,6,0)</f>
        <v>0</v>
      </c>
      <c r="M256" s="4">
        <f>VLOOKUP(C256,[5]sheet1!$D:$I,6,0)</f>
        <v>0</v>
      </c>
      <c r="N256" s="4">
        <f>VLOOKUP(C256,[6]sheet1!$D:$I,6,0)</f>
        <v>0</v>
      </c>
      <c r="O256" s="4">
        <f>VLOOKUP(C256,[7]sheet1!$D:$I,6,0)</f>
        <v>0</v>
      </c>
      <c r="P256" s="4">
        <f>VLOOKUP(C256,[8]sheet1!$D:$I,6,0)</f>
        <v>0</v>
      </c>
      <c r="Q256" s="4">
        <f t="shared" si="3"/>
        <v>0</v>
      </c>
      <c r="R256" s="3">
        <v>0</v>
      </c>
      <c r="S256" s="3">
        <v>0</v>
      </c>
      <c r="T256" s="19">
        <v>0</v>
      </c>
      <c r="U256" s="3">
        <v>0</v>
      </c>
      <c r="V256" s="3">
        <v>0</v>
      </c>
      <c r="W256">
        <v>0</v>
      </c>
      <c r="X256" s="3">
        <v>0</v>
      </c>
      <c r="Y256">
        <v>0</v>
      </c>
      <c r="Z256" s="3">
        <v>0</v>
      </c>
      <c r="AA256" t="s">
        <v>49</v>
      </c>
      <c r="AB256" t="s">
        <v>49</v>
      </c>
      <c r="AC256" t="s">
        <v>49</v>
      </c>
      <c r="AD256" t="s">
        <v>49</v>
      </c>
      <c r="AE256">
        <v>0</v>
      </c>
      <c r="AF256" s="3">
        <v>0</v>
      </c>
      <c r="AG256" t="s">
        <v>49</v>
      </c>
      <c r="AH256" t="s">
        <v>49</v>
      </c>
      <c r="AI256" t="s">
        <v>49</v>
      </c>
      <c r="AJ256" t="s">
        <v>49</v>
      </c>
      <c r="AK256" t="s">
        <v>49</v>
      </c>
      <c r="AL256" t="s">
        <v>49</v>
      </c>
      <c r="AM256" t="s">
        <v>49</v>
      </c>
      <c r="AN256" s="3">
        <v>0</v>
      </c>
      <c r="AO256" s="19">
        <v>0</v>
      </c>
      <c r="AP256" s="19">
        <v>0</v>
      </c>
      <c r="AQ256" s="19">
        <v>0</v>
      </c>
      <c r="AR256" s="19">
        <v>0</v>
      </c>
      <c r="AS256" s="19">
        <v>0</v>
      </c>
      <c r="AT256" s="19">
        <v>0</v>
      </c>
      <c r="AU256" s="3">
        <v>0</v>
      </c>
      <c r="AV256" s="3">
        <v>0</v>
      </c>
      <c r="AW256" s="19">
        <v>0</v>
      </c>
      <c r="AX256" s="3">
        <v>0</v>
      </c>
      <c r="AY256" s="3">
        <v>0</v>
      </c>
    </row>
    <row r="257" spans="1:51">
      <c r="A257" s="3">
        <v>4464395</v>
      </c>
      <c r="B257" t="s">
        <v>489</v>
      </c>
      <c r="C257" s="3">
        <v>13121530</v>
      </c>
      <c r="D257" t="s">
        <v>44</v>
      </c>
      <c r="E257" t="s">
        <v>448</v>
      </c>
      <c r="F257" t="s">
        <v>65</v>
      </c>
      <c r="G257" t="s">
        <v>47</v>
      </c>
      <c r="H257" s="16">
        <v>0</v>
      </c>
      <c r="I257" s="4">
        <f>VLOOKUP(C257,[1]sheet1!$D:$I,6,0)</f>
        <v>0</v>
      </c>
      <c r="J257" s="4">
        <f>VLOOKUP(C257,[2]sheet1!$D:$I,6,0)</f>
        <v>0</v>
      </c>
      <c r="K257" s="4">
        <f>VLOOKUP(C257,[3]sheet1!$D:$I,6,0)</f>
        <v>0</v>
      </c>
      <c r="L257" s="4">
        <f>VLOOKUP(C257,[4]sheet1!$D:$I,6,0)</f>
        <v>0</v>
      </c>
      <c r="M257" s="4">
        <f>VLOOKUP(C257,[5]sheet1!$D:$I,6,0)</f>
        <v>0</v>
      </c>
      <c r="N257" s="4">
        <f>VLOOKUP(C257,[6]sheet1!$D:$I,6,0)</f>
        <v>0</v>
      </c>
      <c r="O257" s="4">
        <f>VLOOKUP(C257,[7]sheet1!$D:$I,6,0)</f>
        <v>0</v>
      </c>
      <c r="P257" s="4">
        <f>VLOOKUP(C257,[8]sheet1!$D:$I,6,0)</f>
        <v>0</v>
      </c>
      <c r="Q257" s="4">
        <f t="shared" si="3"/>
        <v>0</v>
      </c>
      <c r="R257" s="3">
        <v>0</v>
      </c>
      <c r="S257" s="3">
        <v>0</v>
      </c>
      <c r="T257" s="19">
        <v>0</v>
      </c>
      <c r="U257" s="3">
        <v>0</v>
      </c>
      <c r="V257" s="3">
        <v>0</v>
      </c>
      <c r="W257">
        <v>0</v>
      </c>
      <c r="X257" s="3">
        <v>0</v>
      </c>
      <c r="Y257">
        <v>0</v>
      </c>
      <c r="Z257" s="3">
        <v>0</v>
      </c>
      <c r="AA257" t="s">
        <v>49</v>
      </c>
      <c r="AB257" t="s">
        <v>49</v>
      </c>
      <c r="AC257" t="s">
        <v>49</v>
      </c>
      <c r="AD257" t="s">
        <v>49</v>
      </c>
      <c r="AE257">
        <v>0</v>
      </c>
      <c r="AF257" s="3">
        <v>0</v>
      </c>
      <c r="AG257" t="s">
        <v>49</v>
      </c>
      <c r="AH257" t="s">
        <v>49</v>
      </c>
      <c r="AI257" t="s">
        <v>49</v>
      </c>
      <c r="AJ257" t="s">
        <v>49</v>
      </c>
      <c r="AK257" t="s">
        <v>49</v>
      </c>
      <c r="AL257" t="s">
        <v>49</v>
      </c>
      <c r="AM257" t="s">
        <v>49</v>
      </c>
      <c r="AN257" s="3">
        <v>0</v>
      </c>
      <c r="AO257" s="19">
        <v>0</v>
      </c>
      <c r="AP257" s="19">
        <v>0</v>
      </c>
      <c r="AQ257" s="19">
        <v>0</v>
      </c>
      <c r="AR257" s="19">
        <v>0</v>
      </c>
      <c r="AS257" s="19">
        <v>0</v>
      </c>
      <c r="AT257" s="19">
        <v>0</v>
      </c>
      <c r="AU257" s="3">
        <v>0</v>
      </c>
      <c r="AV257" s="3">
        <v>0</v>
      </c>
      <c r="AW257" s="19">
        <v>0</v>
      </c>
      <c r="AX257" s="3">
        <v>0</v>
      </c>
      <c r="AY257" s="3">
        <v>0</v>
      </c>
    </row>
    <row r="258" spans="1:51">
      <c r="A258" s="3">
        <v>4464384</v>
      </c>
      <c r="B258" t="s">
        <v>490</v>
      </c>
      <c r="C258" s="3">
        <v>13133807</v>
      </c>
      <c r="D258" t="s">
        <v>44</v>
      </c>
      <c r="E258" t="s">
        <v>436</v>
      </c>
      <c r="F258" t="s">
        <v>65</v>
      </c>
      <c r="G258" t="s">
        <v>47</v>
      </c>
      <c r="H258" s="16">
        <v>0</v>
      </c>
      <c r="I258" s="4">
        <f>VLOOKUP(C258,[1]sheet1!$D:$I,6,0)</f>
        <v>0</v>
      </c>
      <c r="J258" s="4">
        <f>VLOOKUP(C258,[2]sheet1!$D:$I,6,0)</f>
        <v>0</v>
      </c>
      <c r="K258" s="4">
        <f>VLOOKUP(C258,[3]sheet1!$D:$I,6,0)</f>
        <v>0</v>
      </c>
      <c r="L258" s="4">
        <f>VLOOKUP(C258,[4]sheet1!$D:$I,6,0)</f>
        <v>0</v>
      </c>
      <c r="M258" s="4">
        <f>VLOOKUP(C258,[5]sheet1!$D:$I,6,0)</f>
        <v>0</v>
      </c>
      <c r="N258" s="4">
        <f>VLOOKUP(C258,[6]sheet1!$D:$I,6,0)</f>
        <v>0</v>
      </c>
      <c r="O258" s="4">
        <f>VLOOKUP(C258,[7]sheet1!$D:$I,6,0)</f>
        <v>0</v>
      </c>
      <c r="P258" s="4">
        <f>VLOOKUP(C258,[8]sheet1!$D:$I,6,0)</f>
        <v>0</v>
      </c>
      <c r="Q258" s="4">
        <f t="shared" si="3"/>
        <v>0</v>
      </c>
      <c r="R258" s="3">
        <v>0</v>
      </c>
      <c r="S258" s="3">
        <v>0</v>
      </c>
      <c r="T258" s="19">
        <v>0</v>
      </c>
      <c r="U258" s="3">
        <v>0</v>
      </c>
      <c r="V258" s="3">
        <v>0</v>
      </c>
      <c r="W258">
        <v>0</v>
      </c>
      <c r="X258" s="3">
        <v>0</v>
      </c>
      <c r="Y258">
        <v>0</v>
      </c>
      <c r="Z258" s="3">
        <v>0</v>
      </c>
      <c r="AA258" t="s">
        <v>49</v>
      </c>
      <c r="AB258" t="s">
        <v>49</v>
      </c>
      <c r="AC258" t="s">
        <v>49</v>
      </c>
      <c r="AD258" t="s">
        <v>49</v>
      </c>
      <c r="AE258">
        <v>0</v>
      </c>
      <c r="AF258" s="3">
        <v>0</v>
      </c>
      <c r="AG258" t="s">
        <v>49</v>
      </c>
      <c r="AH258" t="s">
        <v>49</v>
      </c>
      <c r="AI258" t="s">
        <v>49</v>
      </c>
      <c r="AJ258" t="s">
        <v>49</v>
      </c>
      <c r="AK258" t="s">
        <v>49</v>
      </c>
      <c r="AL258" t="s">
        <v>49</v>
      </c>
      <c r="AM258" t="s">
        <v>49</v>
      </c>
      <c r="AN258" s="3">
        <v>0</v>
      </c>
      <c r="AO258" s="19">
        <v>0</v>
      </c>
      <c r="AP258" s="19">
        <v>0</v>
      </c>
      <c r="AQ258" s="19">
        <v>0</v>
      </c>
      <c r="AR258" s="19">
        <v>0</v>
      </c>
      <c r="AS258" s="19">
        <v>0</v>
      </c>
      <c r="AT258" s="19">
        <v>0</v>
      </c>
      <c r="AU258" s="3">
        <v>0</v>
      </c>
      <c r="AV258" s="3">
        <v>0</v>
      </c>
      <c r="AW258" s="19">
        <v>0</v>
      </c>
      <c r="AX258" s="3">
        <v>0</v>
      </c>
      <c r="AY258" s="3">
        <v>0</v>
      </c>
    </row>
    <row r="259" spans="1:51">
      <c r="A259" s="3">
        <v>4464373</v>
      </c>
      <c r="B259" t="s">
        <v>491</v>
      </c>
      <c r="C259" s="3">
        <v>13121274</v>
      </c>
      <c r="D259" t="s">
        <v>44</v>
      </c>
      <c r="E259" t="s">
        <v>232</v>
      </c>
      <c r="F259" t="s">
        <v>65</v>
      </c>
      <c r="G259" t="s">
        <v>47</v>
      </c>
      <c r="H259" s="16">
        <v>0</v>
      </c>
      <c r="I259" s="4">
        <f>VLOOKUP(C259,[1]sheet1!$D:$I,6,0)</f>
        <v>0</v>
      </c>
      <c r="J259" s="4">
        <f>VLOOKUP(C259,[2]sheet1!$D:$I,6,0)</f>
        <v>0</v>
      </c>
      <c r="K259" s="4">
        <f>VLOOKUP(C259,[3]sheet1!$D:$I,6,0)</f>
        <v>0</v>
      </c>
      <c r="L259" s="4">
        <f>VLOOKUP(C259,[4]sheet1!$D:$I,6,0)</f>
        <v>111</v>
      </c>
      <c r="M259" s="4">
        <f>VLOOKUP(C259,[5]sheet1!$D:$I,6,0)</f>
        <v>0</v>
      </c>
      <c r="N259" s="4">
        <f>VLOOKUP(C259,[6]sheet1!$D:$I,6,0)</f>
        <v>0</v>
      </c>
      <c r="O259" s="4">
        <f>VLOOKUP(C259,[7]sheet1!$D:$I,6,0)</f>
        <v>0</v>
      </c>
      <c r="P259" s="4">
        <f>VLOOKUP(C259,[8]sheet1!$D:$I,6,0)</f>
        <v>0</v>
      </c>
      <c r="Q259" s="4">
        <f t="shared" ref="Q259:Q322" si="4">SUM(H259:P259)</f>
        <v>111</v>
      </c>
      <c r="R259" s="3">
        <v>0</v>
      </c>
      <c r="S259" s="3">
        <v>0</v>
      </c>
      <c r="T259" s="19">
        <v>0</v>
      </c>
      <c r="U259" s="3">
        <v>0</v>
      </c>
      <c r="V259" s="3">
        <v>0</v>
      </c>
      <c r="W259">
        <v>0</v>
      </c>
      <c r="X259" s="3">
        <v>0</v>
      </c>
      <c r="Y259">
        <v>0</v>
      </c>
      <c r="Z259" s="3">
        <v>0</v>
      </c>
      <c r="AA259" t="s">
        <v>492</v>
      </c>
      <c r="AB259" t="s">
        <v>49</v>
      </c>
      <c r="AC259">
        <v>97.89</v>
      </c>
      <c r="AD259" t="s">
        <v>49</v>
      </c>
      <c r="AE259">
        <v>0</v>
      </c>
      <c r="AF259" s="3">
        <v>0</v>
      </c>
      <c r="AG259" t="s">
        <v>49</v>
      </c>
      <c r="AH259">
        <v>0</v>
      </c>
      <c r="AI259" t="s">
        <v>49</v>
      </c>
      <c r="AJ259" t="s">
        <v>49</v>
      </c>
      <c r="AK259" t="s">
        <v>49</v>
      </c>
      <c r="AL259" t="s">
        <v>49</v>
      </c>
      <c r="AM259" t="s">
        <v>49</v>
      </c>
      <c r="AN259" s="3">
        <v>0</v>
      </c>
      <c r="AO259" s="19">
        <v>0</v>
      </c>
      <c r="AP259" s="19">
        <v>0</v>
      </c>
      <c r="AQ259" s="19">
        <v>0</v>
      </c>
      <c r="AR259" s="19">
        <v>0</v>
      </c>
      <c r="AS259" s="19">
        <v>0</v>
      </c>
      <c r="AT259" s="19">
        <v>0</v>
      </c>
      <c r="AU259" s="3">
        <v>0</v>
      </c>
      <c r="AV259" s="3">
        <v>0</v>
      </c>
      <c r="AW259" s="19">
        <v>0</v>
      </c>
      <c r="AX259" s="3">
        <v>0</v>
      </c>
      <c r="AY259" s="3">
        <v>0</v>
      </c>
    </row>
    <row r="260" spans="1:51">
      <c r="A260" s="3">
        <v>4464366</v>
      </c>
      <c r="B260" t="s">
        <v>493</v>
      </c>
      <c r="C260" s="3">
        <v>13321235</v>
      </c>
      <c r="D260" t="s">
        <v>44</v>
      </c>
      <c r="E260" t="s">
        <v>232</v>
      </c>
      <c r="F260" t="s">
        <v>65</v>
      </c>
      <c r="G260" t="s">
        <v>47</v>
      </c>
      <c r="H260" s="16">
        <v>0</v>
      </c>
      <c r="I260" s="4">
        <f>VLOOKUP(C260,[1]sheet1!$D:$I,6,0)</f>
        <v>0</v>
      </c>
      <c r="J260" s="4">
        <f>VLOOKUP(C260,[2]sheet1!$D:$I,6,0)</f>
        <v>0</v>
      </c>
      <c r="K260" s="4">
        <f>VLOOKUP(C260,[3]sheet1!$D:$I,6,0)</f>
        <v>0</v>
      </c>
      <c r="L260" s="4">
        <f>VLOOKUP(C260,[4]sheet1!$D:$I,6,0)</f>
        <v>0</v>
      </c>
      <c r="M260" s="4">
        <f>VLOOKUP(C260,[5]sheet1!$D:$I,6,0)</f>
        <v>0</v>
      </c>
      <c r="N260" s="4">
        <f>VLOOKUP(C260,[6]sheet1!$D:$I,6,0)</f>
        <v>0</v>
      </c>
      <c r="O260" s="4">
        <f>VLOOKUP(C260,[7]sheet1!$D:$I,6,0)</f>
        <v>0</v>
      </c>
      <c r="P260" s="4">
        <f>VLOOKUP(C260,[8]sheet1!$D:$I,6,0)</f>
        <v>0</v>
      </c>
      <c r="Q260" s="4">
        <f t="shared" si="4"/>
        <v>0</v>
      </c>
      <c r="R260" s="3">
        <v>0</v>
      </c>
      <c r="S260" s="3">
        <v>0</v>
      </c>
      <c r="T260" s="19">
        <v>0</v>
      </c>
      <c r="U260" s="3">
        <v>0</v>
      </c>
      <c r="V260" s="3">
        <v>0</v>
      </c>
      <c r="W260">
        <v>0</v>
      </c>
      <c r="X260" s="3">
        <v>0</v>
      </c>
      <c r="Y260">
        <v>0</v>
      </c>
      <c r="Z260" s="3">
        <v>0</v>
      </c>
      <c r="AA260" t="s">
        <v>61</v>
      </c>
      <c r="AB260" t="s">
        <v>49</v>
      </c>
      <c r="AC260">
        <v>131.89</v>
      </c>
      <c r="AD260" t="s">
        <v>49</v>
      </c>
      <c r="AE260">
        <v>0</v>
      </c>
      <c r="AF260" s="3">
        <v>0</v>
      </c>
      <c r="AG260" t="s">
        <v>49</v>
      </c>
      <c r="AH260">
        <v>0</v>
      </c>
      <c r="AI260" t="s">
        <v>49</v>
      </c>
      <c r="AJ260" t="s">
        <v>49</v>
      </c>
      <c r="AK260" t="s">
        <v>49</v>
      </c>
      <c r="AL260" t="s">
        <v>49</v>
      </c>
      <c r="AM260" t="s">
        <v>49</v>
      </c>
      <c r="AN260" s="3">
        <v>0</v>
      </c>
      <c r="AO260" s="19">
        <v>0</v>
      </c>
      <c r="AP260" s="19">
        <v>0</v>
      </c>
      <c r="AQ260" s="19">
        <v>0</v>
      </c>
      <c r="AR260" s="19">
        <v>0</v>
      </c>
      <c r="AS260" s="19">
        <v>0</v>
      </c>
      <c r="AT260" s="19">
        <v>0</v>
      </c>
      <c r="AU260" s="3">
        <v>0</v>
      </c>
      <c r="AV260" s="3">
        <v>0</v>
      </c>
      <c r="AW260" s="19">
        <v>0</v>
      </c>
      <c r="AX260" s="3">
        <v>0</v>
      </c>
      <c r="AY260" s="3">
        <v>0</v>
      </c>
    </row>
    <row r="261" spans="1:51">
      <c r="A261" s="3">
        <v>4464275</v>
      </c>
      <c r="B261" t="s">
        <v>494</v>
      </c>
      <c r="C261" s="3">
        <v>13221245</v>
      </c>
      <c r="D261" t="s">
        <v>44</v>
      </c>
      <c r="E261" t="s">
        <v>232</v>
      </c>
      <c r="F261" t="s">
        <v>65</v>
      </c>
      <c r="G261" t="s">
        <v>47</v>
      </c>
      <c r="H261" s="16">
        <v>0</v>
      </c>
      <c r="I261" s="4">
        <f>VLOOKUP(C261,[1]sheet1!$D:$I,6,0)</f>
        <v>0</v>
      </c>
      <c r="J261" s="4">
        <f>VLOOKUP(C261,[2]sheet1!$D:$I,6,0)</f>
        <v>0</v>
      </c>
      <c r="K261" s="4">
        <f>VLOOKUP(C261,[3]sheet1!$D:$I,6,0)</f>
        <v>0</v>
      </c>
      <c r="L261" s="4">
        <f>VLOOKUP(C261,[4]sheet1!$D:$I,6,0)</f>
        <v>0</v>
      </c>
      <c r="M261" s="4">
        <f>VLOOKUP(C261,[5]sheet1!$D:$I,6,0)</f>
        <v>0</v>
      </c>
      <c r="N261" s="4">
        <f>VLOOKUP(C261,[6]sheet1!$D:$I,6,0)</f>
        <v>0</v>
      </c>
      <c r="O261" s="4">
        <f>VLOOKUP(C261,[7]sheet1!$D:$I,6,0)</f>
        <v>0</v>
      </c>
      <c r="P261" s="4">
        <f>VLOOKUP(C261,[8]sheet1!$D:$I,6,0)</f>
        <v>0</v>
      </c>
      <c r="Q261" s="4">
        <f t="shared" si="4"/>
        <v>0</v>
      </c>
      <c r="R261" s="3">
        <v>0</v>
      </c>
      <c r="S261" s="3">
        <v>0</v>
      </c>
      <c r="T261" s="19">
        <v>0</v>
      </c>
      <c r="U261" s="3">
        <v>0</v>
      </c>
      <c r="V261" s="3">
        <v>0</v>
      </c>
      <c r="W261">
        <v>0</v>
      </c>
      <c r="X261" s="3">
        <v>0</v>
      </c>
      <c r="Y261">
        <v>0</v>
      </c>
      <c r="Z261" s="3">
        <v>0</v>
      </c>
      <c r="AA261" t="s">
        <v>492</v>
      </c>
      <c r="AB261" t="s">
        <v>49</v>
      </c>
      <c r="AC261">
        <v>97.89</v>
      </c>
      <c r="AD261" t="s">
        <v>49</v>
      </c>
      <c r="AE261">
        <v>0</v>
      </c>
      <c r="AF261" s="3">
        <v>0</v>
      </c>
      <c r="AG261" t="s">
        <v>49</v>
      </c>
      <c r="AH261">
        <v>0</v>
      </c>
      <c r="AI261" t="s">
        <v>49</v>
      </c>
      <c r="AJ261" t="s">
        <v>49</v>
      </c>
      <c r="AK261" t="s">
        <v>49</v>
      </c>
      <c r="AL261" t="s">
        <v>49</v>
      </c>
      <c r="AM261" t="s">
        <v>49</v>
      </c>
      <c r="AN261" s="3">
        <v>0</v>
      </c>
      <c r="AO261" s="19">
        <v>0</v>
      </c>
      <c r="AP261" s="19">
        <v>0</v>
      </c>
      <c r="AQ261" s="19">
        <v>0</v>
      </c>
      <c r="AR261" s="19">
        <v>0</v>
      </c>
      <c r="AS261" s="19">
        <v>0</v>
      </c>
      <c r="AT261" s="19">
        <v>0</v>
      </c>
      <c r="AU261" s="3">
        <v>0</v>
      </c>
      <c r="AV261" s="3">
        <v>0</v>
      </c>
      <c r="AW261" s="19">
        <v>0</v>
      </c>
      <c r="AX261" s="3">
        <v>0</v>
      </c>
      <c r="AY261" s="3">
        <v>0</v>
      </c>
    </row>
    <row r="262" spans="1:51">
      <c r="A262" s="3">
        <v>4464272</v>
      </c>
      <c r="B262" t="s">
        <v>495</v>
      </c>
      <c r="C262" s="3">
        <v>13031113</v>
      </c>
      <c r="D262" t="s">
        <v>44</v>
      </c>
      <c r="E262" t="s">
        <v>436</v>
      </c>
      <c r="F262" t="s">
        <v>65</v>
      </c>
      <c r="G262" t="s">
        <v>47</v>
      </c>
      <c r="H262" s="16">
        <v>0</v>
      </c>
      <c r="I262" s="4">
        <f>VLOOKUP(C262,[1]sheet1!$D:$I,6,0)</f>
        <v>0</v>
      </c>
      <c r="J262" s="4">
        <f>VLOOKUP(C262,[2]sheet1!$D:$I,6,0)</f>
        <v>0</v>
      </c>
      <c r="K262" s="4">
        <f>VLOOKUP(C262,[3]sheet1!$D:$I,6,0)</f>
        <v>0</v>
      </c>
      <c r="L262" s="4">
        <f>VLOOKUP(C262,[4]sheet1!$D:$I,6,0)</f>
        <v>0</v>
      </c>
      <c r="M262" s="4">
        <f>VLOOKUP(C262,[5]sheet1!$D:$I,6,0)</f>
        <v>0</v>
      </c>
      <c r="N262" s="4">
        <f>VLOOKUP(C262,[6]sheet1!$D:$I,6,0)</f>
        <v>0</v>
      </c>
      <c r="O262" s="4">
        <f>VLOOKUP(C262,[7]sheet1!$D:$I,6,0)</f>
        <v>0</v>
      </c>
      <c r="P262" s="4">
        <f>VLOOKUP(C262,[8]sheet1!$D:$I,6,0)</f>
        <v>0</v>
      </c>
      <c r="Q262" s="4">
        <f t="shared" si="4"/>
        <v>0</v>
      </c>
      <c r="R262" s="3">
        <v>0</v>
      </c>
      <c r="S262" s="3">
        <v>0</v>
      </c>
      <c r="T262" s="19">
        <v>0</v>
      </c>
      <c r="U262" s="3">
        <v>0</v>
      </c>
      <c r="V262" s="3">
        <v>0</v>
      </c>
      <c r="W262">
        <v>0</v>
      </c>
      <c r="X262" s="3">
        <v>0</v>
      </c>
      <c r="Y262">
        <v>0</v>
      </c>
      <c r="Z262" s="3">
        <v>0</v>
      </c>
      <c r="AA262" t="s">
        <v>49</v>
      </c>
      <c r="AB262" t="s">
        <v>49</v>
      </c>
      <c r="AC262" t="s">
        <v>49</v>
      </c>
      <c r="AD262" t="s">
        <v>49</v>
      </c>
      <c r="AE262">
        <v>0</v>
      </c>
      <c r="AF262" s="3">
        <v>0</v>
      </c>
      <c r="AG262" t="s">
        <v>49</v>
      </c>
      <c r="AH262" t="s">
        <v>49</v>
      </c>
      <c r="AI262" t="s">
        <v>49</v>
      </c>
      <c r="AJ262" t="s">
        <v>49</v>
      </c>
      <c r="AK262" t="s">
        <v>49</v>
      </c>
      <c r="AL262" t="s">
        <v>49</v>
      </c>
      <c r="AM262" t="s">
        <v>49</v>
      </c>
      <c r="AN262" s="3">
        <v>0</v>
      </c>
      <c r="AO262" s="19">
        <v>0</v>
      </c>
      <c r="AP262" s="19">
        <v>0</v>
      </c>
      <c r="AQ262" s="19">
        <v>0</v>
      </c>
      <c r="AR262" s="19">
        <v>0</v>
      </c>
      <c r="AS262" s="19">
        <v>0</v>
      </c>
      <c r="AT262" s="19">
        <v>0</v>
      </c>
      <c r="AU262" s="3">
        <v>0</v>
      </c>
      <c r="AV262" s="3">
        <v>0</v>
      </c>
      <c r="AW262" s="19">
        <v>0</v>
      </c>
      <c r="AX262" s="3">
        <v>0</v>
      </c>
      <c r="AY262" s="3">
        <v>0</v>
      </c>
    </row>
    <row r="263" spans="1:51">
      <c r="A263" s="3">
        <v>4464167</v>
      </c>
      <c r="B263" t="s">
        <v>496</v>
      </c>
      <c r="C263" s="3">
        <v>13121436</v>
      </c>
      <c r="D263" t="s">
        <v>44</v>
      </c>
      <c r="E263" t="s">
        <v>436</v>
      </c>
      <c r="F263" t="s">
        <v>46</v>
      </c>
      <c r="G263" t="s">
        <v>47</v>
      </c>
      <c r="H263" s="16">
        <v>0</v>
      </c>
      <c r="I263" s="4">
        <f>VLOOKUP(C263,[1]sheet1!$D:$I,6,0)</f>
        <v>0</v>
      </c>
      <c r="J263" s="4">
        <f>VLOOKUP(C263,[2]sheet1!$D:$I,6,0)</f>
        <v>0</v>
      </c>
      <c r="K263" s="4">
        <f>VLOOKUP(C263,[3]sheet1!$D:$I,6,0)</f>
        <v>0</v>
      </c>
      <c r="L263" s="4">
        <f>VLOOKUP(C263,[4]sheet1!$D:$I,6,0)</f>
        <v>0</v>
      </c>
      <c r="M263" s="4">
        <f>VLOOKUP(C263,[5]sheet1!$D:$I,6,0)</f>
        <v>0</v>
      </c>
      <c r="N263" s="4">
        <f>VLOOKUP(C263,[6]sheet1!$D:$I,6,0)</f>
        <v>0</v>
      </c>
      <c r="O263" s="4">
        <f>VLOOKUP(C263,[7]sheet1!$D:$I,6,0)</f>
        <v>0</v>
      </c>
      <c r="P263" s="4">
        <f>VLOOKUP(C263,[8]sheet1!$D:$I,6,0)</f>
        <v>0</v>
      </c>
      <c r="Q263" s="4">
        <f t="shared" si="4"/>
        <v>0</v>
      </c>
      <c r="R263" s="3">
        <v>0</v>
      </c>
      <c r="S263">
        <v>0</v>
      </c>
      <c r="T263">
        <v>0</v>
      </c>
      <c r="U263" s="3">
        <v>0</v>
      </c>
      <c r="V263" s="3">
        <v>0</v>
      </c>
      <c r="W263">
        <v>0</v>
      </c>
      <c r="X263" s="3">
        <v>0</v>
      </c>
      <c r="Y263">
        <v>0</v>
      </c>
      <c r="Z263" s="3">
        <v>0</v>
      </c>
      <c r="AA263" t="s">
        <v>497</v>
      </c>
      <c r="AB263" s="3">
        <v>54</v>
      </c>
      <c r="AC263">
        <v>54.34</v>
      </c>
      <c r="AD263" t="s">
        <v>49</v>
      </c>
      <c r="AE263">
        <v>0</v>
      </c>
      <c r="AF263" s="3">
        <v>0</v>
      </c>
      <c r="AG263" t="s">
        <v>49</v>
      </c>
      <c r="AH263">
        <v>0</v>
      </c>
      <c r="AI263" t="s">
        <v>49</v>
      </c>
      <c r="AJ263">
        <v>37.34</v>
      </c>
      <c r="AK263" t="s">
        <v>49</v>
      </c>
      <c r="AL263">
        <v>0</v>
      </c>
      <c r="AM263" t="s">
        <v>49</v>
      </c>
      <c r="AN263" s="3">
        <v>0</v>
      </c>
      <c r="AO263" s="19">
        <v>0</v>
      </c>
      <c r="AP263" s="19">
        <v>0</v>
      </c>
      <c r="AQ263" s="19">
        <v>0</v>
      </c>
      <c r="AR263" s="19">
        <v>0</v>
      </c>
      <c r="AS263" s="19">
        <v>0</v>
      </c>
      <c r="AT263" s="19">
        <v>0</v>
      </c>
      <c r="AU263" s="3">
        <v>0</v>
      </c>
      <c r="AV263" s="3">
        <v>0</v>
      </c>
      <c r="AW263" s="19">
        <v>0</v>
      </c>
      <c r="AX263" s="3">
        <v>0</v>
      </c>
      <c r="AY263" s="3">
        <v>0</v>
      </c>
    </row>
    <row r="264" spans="1:51">
      <c r="A264" s="3">
        <v>4464159</v>
      </c>
      <c r="B264" t="s">
        <v>498</v>
      </c>
      <c r="C264" s="3">
        <v>112031026</v>
      </c>
      <c r="D264" t="s">
        <v>44</v>
      </c>
      <c r="E264" t="s">
        <v>206</v>
      </c>
      <c r="F264" t="s">
        <v>65</v>
      </c>
      <c r="G264" t="s">
        <v>47</v>
      </c>
      <c r="H264" s="16">
        <v>0</v>
      </c>
      <c r="I264" s="4">
        <f>VLOOKUP(C264,[1]sheet1!$D:$I,6,0)</f>
        <v>0</v>
      </c>
      <c r="J264" s="4">
        <f>VLOOKUP(C264,[2]sheet1!$D:$I,6,0)</f>
        <v>0</v>
      </c>
      <c r="K264" s="4">
        <f>VLOOKUP(C264,[3]sheet1!$D:$I,6,0)</f>
        <v>0</v>
      </c>
      <c r="L264" s="4">
        <f>VLOOKUP(C264,[4]sheet1!$D:$I,6,0)</f>
        <v>0</v>
      </c>
      <c r="M264" s="4">
        <f>VLOOKUP(C264,[5]sheet1!$D:$I,6,0)</f>
        <v>0</v>
      </c>
      <c r="N264" s="4">
        <f>VLOOKUP(C264,[6]sheet1!$D:$I,6,0)</f>
        <v>0</v>
      </c>
      <c r="O264" s="4">
        <f>VLOOKUP(C264,[7]sheet1!$D:$I,6,0)</f>
        <v>0</v>
      </c>
      <c r="P264" s="4">
        <f>VLOOKUP(C264,[8]sheet1!$D:$I,6,0)</f>
        <v>0</v>
      </c>
      <c r="Q264" s="4">
        <f t="shared" si="4"/>
        <v>0</v>
      </c>
      <c r="R264" s="3">
        <v>0</v>
      </c>
      <c r="S264" s="3">
        <v>0</v>
      </c>
      <c r="T264" s="19">
        <v>0</v>
      </c>
      <c r="U264" s="3">
        <v>0</v>
      </c>
      <c r="V264" s="3">
        <v>0</v>
      </c>
      <c r="W264">
        <v>0</v>
      </c>
      <c r="X264" s="3">
        <v>0</v>
      </c>
      <c r="Y264">
        <v>0</v>
      </c>
      <c r="Z264" s="3">
        <v>0</v>
      </c>
      <c r="AA264" t="s">
        <v>49</v>
      </c>
      <c r="AB264" t="s">
        <v>49</v>
      </c>
      <c r="AC264" t="s">
        <v>49</v>
      </c>
      <c r="AD264" t="s">
        <v>49</v>
      </c>
      <c r="AE264">
        <v>0</v>
      </c>
      <c r="AF264" s="3">
        <v>0</v>
      </c>
      <c r="AG264" t="s">
        <v>49</v>
      </c>
      <c r="AH264" t="s">
        <v>49</v>
      </c>
      <c r="AI264" t="s">
        <v>49</v>
      </c>
      <c r="AJ264" t="s">
        <v>49</v>
      </c>
      <c r="AK264" t="s">
        <v>49</v>
      </c>
      <c r="AL264" t="s">
        <v>49</v>
      </c>
      <c r="AM264" t="s">
        <v>49</v>
      </c>
      <c r="AN264" s="3">
        <v>0</v>
      </c>
      <c r="AO264" s="19">
        <v>0</v>
      </c>
      <c r="AP264" s="19">
        <v>0</v>
      </c>
      <c r="AQ264" s="19">
        <v>0</v>
      </c>
      <c r="AR264" s="19">
        <v>0</v>
      </c>
      <c r="AS264" s="19">
        <v>0</v>
      </c>
      <c r="AT264" s="19">
        <v>0</v>
      </c>
      <c r="AU264" s="3">
        <v>0</v>
      </c>
      <c r="AV264" s="3">
        <v>0</v>
      </c>
      <c r="AW264" s="19">
        <v>0</v>
      </c>
      <c r="AX264" s="3">
        <v>0</v>
      </c>
      <c r="AY264" s="3">
        <v>0</v>
      </c>
    </row>
    <row r="265" spans="1:51">
      <c r="A265" s="3">
        <v>4464146</v>
      </c>
      <c r="B265" t="s">
        <v>499</v>
      </c>
      <c r="C265" s="3">
        <v>12140128</v>
      </c>
      <c r="D265" t="s">
        <v>44</v>
      </c>
      <c r="E265" t="s">
        <v>141</v>
      </c>
      <c r="F265" t="s">
        <v>65</v>
      </c>
      <c r="G265" t="s">
        <v>47</v>
      </c>
      <c r="H265" s="16">
        <v>0</v>
      </c>
      <c r="I265" s="4">
        <f>VLOOKUP(C265,[1]sheet1!$D:$I,6,0)</f>
        <v>0</v>
      </c>
      <c r="J265" s="4">
        <f>VLOOKUP(C265,[2]sheet1!$D:$I,6,0)</f>
        <v>0</v>
      </c>
      <c r="K265" s="4">
        <f>VLOOKUP(C265,[3]sheet1!$D:$I,6,0)</f>
        <v>0</v>
      </c>
      <c r="L265" s="4">
        <f>VLOOKUP(C265,[4]sheet1!$D:$I,6,0)</f>
        <v>0</v>
      </c>
      <c r="M265" s="4">
        <f>VLOOKUP(C265,[5]sheet1!$D:$I,6,0)</f>
        <v>0</v>
      </c>
      <c r="N265" s="4">
        <f>VLOOKUP(C265,[6]sheet1!$D:$I,6,0)</f>
        <v>0</v>
      </c>
      <c r="O265" s="4">
        <f>VLOOKUP(C265,[7]sheet1!$D:$I,6,0)</f>
        <v>0</v>
      </c>
      <c r="P265" s="4">
        <f>VLOOKUP(C265,[8]sheet1!$D:$I,6,0)</f>
        <v>0</v>
      </c>
      <c r="Q265" s="4">
        <f t="shared" si="4"/>
        <v>0</v>
      </c>
      <c r="R265" s="3">
        <v>0</v>
      </c>
      <c r="S265" s="3">
        <v>0</v>
      </c>
      <c r="T265" s="19">
        <v>0</v>
      </c>
      <c r="U265" s="3">
        <v>0</v>
      </c>
      <c r="V265" s="3">
        <v>0</v>
      </c>
      <c r="W265">
        <v>0</v>
      </c>
      <c r="X265" s="3">
        <v>0</v>
      </c>
      <c r="Y265">
        <v>0</v>
      </c>
      <c r="Z265" s="3">
        <v>0</v>
      </c>
      <c r="AA265" t="s">
        <v>49</v>
      </c>
      <c r="AB265" t="s">
        <v>49</v>
      </c>
      <c r="AC265" t="s">
        <v>49</v>
      </c>
      <c r="AD265" t="s">
        <v>49</v>
      </c>
      <c r="AE265">
        <v>0</v>
      </c>
      <c r="AF265" s="3">
        <v>0</v>
      </c>
      <c r="AG265" t="s">
        <v>49</v>
      </c>
      <c r="AH265" t="s">
        <v>49</v>
      </c>
      <c r="AI265" t="s">
        <v>49</v>
      </c>
      <c r="AJ265" t="s">
        <v>49</v>
      </c>
      <c r="AK265" t="s">
        <v>49</v>
      </c>
      <c r="AL265" t="s">
        <v>49</v>
      </c>
      <c r="AM265" t="s">
        <v>49</v>
      </c>
      <c r="AN265" s="3">
        <v>0</v>
      </c>
      <c r="AO265" s="19">
        <v>0</v>
      </c>
      <c r="AP265" s="19">
        <v>0</v>
      </c>
      <c r="AQ265" s="19">
        <v>0</v>
      </c>
      <c r="AR265" s="19">
        <v>0</v>
      </c>
      <c r="AS265" s="19">
        <v>0</v>
      </c>
      <c r="AT265" s="19">
        <v>0</v>
      </c>
      <c r="AU265" s="3">
        <v>0</v>
      </c>
      <c r="AV265" s="3">
        <v>0</v>
      </c>
      <c r="AW265" s="19">
        <v>0</v>
      </c>
      <c r="AX265" s="3">
        <v>0</v>
      </c>
      <c r="AY265" s="3">
        <v>0</v>
      </c>
    </row>
    <row r="266" spans="1:51">
      <c r="A266" s="3">
        <v>4464124</v>
      </c>
      <c r="B266" t="s">
        <v>500</v>
      </c>
      <c r="C266" s="3">
        <v>12121418</v>
      </c>
      <c r="D266" t="s">
        <v>44</v>
      </c>
      <c r="E266" t="s">
        <v>415</v>
      </c>
      <c r="F266" t="s">
        <v>65</v>
      </c>
      <c r="G266" t="s">
        <v>47</v>
      </c>
      <c r="H266" s="16">
        <v>0</v>
      </c>
      <c r="I266" s="4">
        <f>VLOOKUP(C266,[1]sheet1!$D:$I,6,0)</f>
        <v>0</v>
      </c>
      <c r="J266" s="4">
        <f>VLOOKUP(C266,[2]sheet1!$D:$I,6,0)</f>
        <v>0</v>
      </c>
      <c r="K266" s="4">
        <f>VLOOKUP(C266,[3]sheet1!$D:$I,6,0)</f>
        <v>0</v>
      </c>
      <c r="L266" s="4">
        <f>VLOOKUP(C266,[4]sheet1!$D:$I,6,0)</f>
        <v>0</v>
      </c>
      <c r="M266" s="4">
        <f>VLOOKUP(C266,[5]sheet1!$D:$I,6,0)</f>
        <v>0</v>
      </c>
      <c r="N266" s="4">
        <f>VLOOKUP(C266,[6]sheet1!$D:$I,6,0)</f>
        <v>0</v>
      </c>
      <c r="O266" s="4">
        <f>VLOOKUP(C266,[7]sheet1!$D:$I,6,0)</f>
        <v>0</v>
      </c>
      <c r="P266" s="4">
        <f>VLOOKUP(C266,[8]sheet1!$D:$I,6,0)</f>
        <v>0</v>
      </c>
      <c r="Q266" s="4">
        <f t="shared" si="4"/>
        <v>0</v>
      </c>
      <c r="R266" s="3">
        <v>0</v>
      </c>
      <c r="S266" s="3">
        <v>0</v>
      </c>
      <c r="T266" s="19">
        <v>0</v>
      </c>
      <c r="U266" s="3">
        <v>0</v>
      </c>
      <c r="V266" s="3">
        <v>0</v>
      </c>
      <c r="W266">
        <v>0</v>
      </c>
      <c r="X266" s="3">
        <v>0</v>
      </c>
      <c r="Y266">
        <v>0</v>
      </c>
      <c r="Z266" s="3">
        <v>0</v>
      </c>
      <c r="AA266" t="s">
        <v>49</v>
      </c>
      <c r="AB266" t="s">
        <v>49</v>
      </c>
      <c r="AC266" t="s">
        <v>49</v>
      </c>
      <c r="AD266" t="s">
        <v>49</v>
      </c>
      <c r="AE266">
        <v>0</v>
      </c>
      <c r="AF266" s="3">
        <v>0</v>
      </c>
      <c r="AG266" t="s">
        <v>49</v>
      </c>
      <c r="AH266" t="s">
        <v>49</v>
      </c>
      <c r="AI266" t="s">
        <v>49</v>
      </c>
      <c r="AJ266" t="s">
        <v>49</v>
      </c>
      <c r="AK266" t="s">
        <v>49</v>
      </c>
      <c r="AL266" t="s">
        <v>49</v>
      </c>
      <c r="AM266" t="s">
        <v>49</v>
      </c>
      <c r="AN266" s="3">
        <v>0</v>
      </c>
      <c r="AO266" s="19">
        <v>0</v>
      </c>
      <c r="AP266" s="19">
        <v>0</v>
      </c>
      <c r="AQ266" s="19">
        <v>0</v>
      </c>
      <c r="AR266" s="19">
        <v>0</v>
      </c>
      <c r="AS266" s="19">
        <v>0</v>
      </c>
      <c r="AT266" s="19">
        <v>0</v>
      </c>
      <c r="AU266" s="3">
        <v>0</v>
      </c>
      <c r="AV266" s="3">
        <v>0</v>
      </c>
      <c r="AW266" s="19">
        <v>0</v>
      </c>
      <c r="AX266" s="3">
        <v>0</v>
      </c>
      <c r="AY266" s="3">
        <v>0</v>
      </c>
    </row>
    <row r="267" spans="1:51">
      <c r="A267" s="3">
        <v>4464094</v>
      </c>
      <c r="B267" t="s">
        <v>501</v>
      </c>
      <c r="C267" s="3">
        <v>12221402</v>
      </c>
      <c r="D267" t="s">
        <v>44</v>
      </c>
      <c r="E267" t="s">
        <v>200</v>
      </c>
      <c r="F267" t="s">
        <v>65</v>
      </c>
      <c r="G267" t="s">
        <v>47</v>
      </c>
      <c r="H267" s="16">
        <v>0</v>
      </c>
      <c r="I267" s="4">
        <f>VLOOKUP(C267,[1]sheet1!$D:$I,6,0)</f>
        <v>0</v>
      </c>
      <c r="J267" s="4">
        <f>VLOOKUP(C267,[2]sheet1!$D:$I,6,0)</f>
        <v>0</v>
      </c>
      <c r="K267" s="4">
        <f>VLOOKUP(C267,[3]sheet1!$D:$I,6,0)</f>
        <v>0</v>
      </c>
      <c r="L267" s="4">
        <f>VLOOKUP(C267,[4]sheet1!$D:$I,6,0)</f>
        <v>0</v>
      </c>
      <c r="M267" s="4">
        <f>VLOOKUP(C267,[5]sheet1!$D:$I,6,0)</f>
        <v>0</v>
      </c>
      <c r="N267" s="4">
        <f>VLOOKUP(C267,[6]sheet1!$D:$I,6,0)</f>
        <v>0</v>
      </c>
      <c r="O267" s="4">
        <f>VLOOKUP(C267,[7]sheet1!$D:$I,6,0)</f>
        <v>0</v>
      </c>
      <c r="P267" s="4">
        <f>VLOOKUP(C267,[8]sheet1!$D:$I,6,0)</f>
        <v>0</v>
      </c>
      <c r="Q267" s="4">
        <f t="shared" si="4"/>
        <v>0</v>
      </c>
      <c r="R267" s="3">
        <v>0</v>
      </c>
      <c r="S267" s="3">
        <v>2</v>
      </c>
      <c r="T267" s="19">
        <v>0</v>
      </c>
      <c r="U267" s="3">
        <v>0</v>
      </c>
      <c r="V267" s="3">
        <v>0</v>
      </c>
      <c r="W267">
        <v>0</v>
      </c>
      <c r="X267" s="3">
        <v>0</v>
      </c>
      <c r="Y267">
        <v>0</v>
      </c>
      <c r="Z267" s="3">
        <v>0</v>
      </c>
      <c r="AA267" t="s">
        <v>49</v>
      </c>
      <c r="AB267" t="s">
        <v>49</v>
      </c>
      <c r="AC267" t="s">
        <v>49</v>
      </c>
      <c r="AD267" t="s">
        <v>49</v>
      </c>
      <c r="AE267">
        <v>0</v>
      </c>
      <c r="AF267" s="3">
        <v>0</v>
      </c>
      <c r="AG267" t="s">
        <v>49</v>
      </c>
      <c r="AH267" t="s">
        <v>49</v>
      </c>
      <c r="AI267" t="s">
        <v>49</v>
      </c>
      <c r="AJ267" t="s">
        <v>49</v>
      </c>
      <c r="AK267" t="s">
        <v>49</v>
      </c>
      <c r="AL267" t="s">
        <v>49</v>
      </c>
      <c r="AM267" t="s">
        <v>49</v>
      </c>
      <c r="AN267" s="3">
        <v>2</v>
      </c>
      <c r="AO267" s="19">
        <v>0</v>
      </c>
      <c r="AP267" s="19">
        <v>0</v>
      </c>
      <c r="AQ267" s="19">
        <v>0.5</v>
      </c>
      <c r="AR267" s="19">
        <v>0.5</v>
      </c>
      <c r="AS267" s="19">
        <v>0</v>
      </c>
      <c r="AT267" s="19">
        <v>0</v>
      </c>
      <c r="AU267" s="3">
        <v>0</v>
      </c>
      <c r="AV267" s="3">
        <v>0</v>
      </c>
      <c r="AW267" s="19">
        <v>0</v>
      </c>
      <c r="AX267" s="3">
        <v>0</v>
      </c>
      <c r="AY267" s="3">
        <v>0</v>
      </c>
    </row>
    <row r="268" spans="1:51">
      <c r="A268" s="3">
        <v>4462196</v>
      </c>
      <c r="B268" t="s">
        <v>502</v>
      </c>
      <c r="C268" s="3">
        <v>112321408</v>
      </c>
      <c r="D268" t="s">
        <v>44</v>
      </c>
      <c r="E268" t="s">
        <v>200</v>
      </c>
      <c r="F268" t="s">
        <v>46</v>
      </c>
      <c r="G268" t="s">
        <v>47</v>
      </c>
      <c r="H268" s="16">
        <v>0</v>
      </c>
      <c r="I268" s="4">
        <f>VLOOKUP(C268,[1]sheet1!$D:$I,6,0)</f>
        <v>0</v>
      </c>
      <c r="J268" s="4">
        <f>VLOOKUP(C268,[2]sheet1!$D:$I,6,0)</f>
        <v>0</v>
      </c>
      <c r="K268" s="4">
        <f>VLOOKUP(C268,[3]sheet1!$D:$I,6,0)</f>
        <v>0</v>
      </c>
      <c r="L268" s="4">
        <f>VLOOKUP(C268,[4]sheet1!$D:$I,6,0)</f>
        <v>0</v>
      </c>
      <c r="M268" s="4">
        <f>VLOOKUP(C268,[5]sheet1!$D:$I,6,0)</f>
        <v>0</v>
      </c>
      <c r="N268" s="4">
        <f>VLOOKUP(C268,[6]sheet1!$D:$I,6,0)</f>
        <v>0</v>
      </c>
      <c r="O268" s="4">
        <f>VLOOKUP(C268,[7]sheet1!$D:$I,6,0)</f>
        <v>0</v>
      </c>
      <c r="P268" s="4">
        <f>VLOOKUP(C268,[8]sheet1!$D:$I,6,0)</f>
        <v>0</v>
      </c>
      <c r="Q268" s="4">
        <f t="shared" si="4"/>
        <v>0</v>
      </c>
      <c r="R268" s="3">
        <v>0</v>
      </c>
      <c r="S268">
        <v>142</v>
      </c>
      <c r="T268">
        <v>0</v>
      </c>
      <c r="U268" s="3">
        <v>0</v>
      </c>
      <c r="V268" s="3">
        <v>0</v>
      </c>
      <c r="W268">
        <v>0</v>
      </c>
      <c r="X268" s="3">
        <v>0</v>
      </c>
      <c r="Y268">
        <v>0</v>
      </c>
      <c r="Z268" s="3">
        <v>0</v>
      </c>
      <c r="AA268" t="s">
        <v>129</v>
      </c>
      <c r="AB268" s="3">
        <v>199</v>
      </c>
      <c r="AC268">
        <v>162.04</v>
      </c>
      <c r="AD268" t="s">
        <v>49</v>
      </c>
      <c r="AE268">
        <v>0</v>
      </c>
      <c r="AF268" s="3">
        <v>0</v>
      </c>
      <c r="AG268" t="s">
        <v>49</v>
      </c>
      <c r="AH268">
        <v>0</v>
      </c>
      <c r="AI268" t="s">
        <v>49</v>
      </c>
      <c r="AJ268" t="s">
        <v>49</v>
      </c>
      <c r="AK268" t="s">
        <v>49</v>
      </c>
      <c r="AL268" t="s">
        <v>49</v>
      </c>
      <c r="AM268" t="s">
        <v>49</v>
      </c>
      <c r="AN268" s="3">
        <v>18</v>
      </c>
      <c r="AO268" s="19">
        <v>0</v>
      </c>
      <c r="AP268" s="19">
        <v>0</v>
      </c>
      <c r="AQ268" s="19">
        <v>0.6</v>
      </c>
      <c r="AR268" s="19">
        <v>0.1333</v>
      </c>
      <c r="AS268" s="19">
        <v>0</v>
      </c>
      <c r="AT268" s="19">
        <v>0</v>
      </c>
      <c r="AU268" s="3">
        <v>0</v>
      </c>
      <c r="AV268" s="3">
        <v>0</v>
      </c>
      <c r="AW268" s="19">
        <v>0</v>
      </c>
      <c r="AX268" s="3">
        <v>0</v>
      </c>
      <c r="AY268" s="3">
        <v>0</v>
      </c>
    </row>
    <row r="269" spans="1:51">
      <c r="A269" s="3">
        <v>4462192</v>
      </c>
      <c r="B269" t="s">
        <v>503</v>
      </c>
      <c r="C269" s="3">
        <v>124408280</v>
      </c>
      <c r="D269" t="s">
        <v>44</v>
      </c>
      <c r="E269" t="s">
        <v>258</v>
      </c>
      <c r="F269" t="s">
        <v>46</v>
      </c>
      <c r="G269" t="s">
        <v>47</v>
      </c>
      <c r="H269" s="16">
        <v>0</v>
      </c>
      <c r="I269" s="4">
        <f>VLOOKUP(C269,[1]sheet1!$D:$I,6,0)</f>
        <v>0</v>
      </c>
      <c r="J269" s="4">
        <f>VLOOKUP(C269,[2]sheet1!$D:$I,6,0)</f>
        <v>0</v>
      </c>
      <c r="K269" s="4">
        <f>VLOOKUP(C269,[3]sheet1!$D:$I,6,0)</f>
        <v>0</v>
      </c>
      <c r="L269" s="4">
        <f>VLOOKUP(C269,[4]sheet1!$D:$I,6,0)</f>
        <v>0</v>
      </c>
      <c r="M269" s="4">
        <f>VLOOKUP(C269,[5]sheet1!$D:$I,6,0)</f>
        <v>0</v>
      </c>
      <c r="N269" s="4">
        <f>VLOOKUP(C269,[6]sheet1!$D:$I,6,0)</f>
        <v>0</v>
      </c>
      <c r="O269" s="4">
        <f>VLOOKUP(C269,[7]sheet1!$D:$I,6,0)</f>
        <v>0</v>
      </c>
      <c r="P269" s="4">
        <f>VLOOKUP(C269,[8]sheet1!$D:$I,6,0)</f>
        <v>0</v>
      </c>
      <c r="Q269" s="4">
        <f t="shared" si="4"/>
        <v>0</v>
      </c>
      <c r="R269" s="3">
        <v>0</v>
      </c>
      <c r="S269">
        <v>90</v>
      </c>
      <c r="T269">
        <v>0</v>
      </c>
      <c r="U269" s="3">
        <v>0</v>
      </c>
      <c r="V269" s="3">
        <v>0</v>
      </c>
      <c r="W269">
        <v>0</v>
      </c>
      <c r="X269" s="3">
        <v>0</v>
      </c>
      <c r="Y269">
        <v>0</v>
      </c>
      <c r="Z269" s="3">
        <v>0</v>
      </c>
      <c r="AA269" t="s">
        <v>384</v>
      </c>
      <c r="AB269" s="3">
        <v>499</v>
      </c>
      <c r="AC269">
        <v>640.14</v>
      </c>
      <c r="AD269" t="s">
        <v>49</v>
      </c>
      <c r="AE269">
        <v>0</v>
      </c>
      <c r="AF269" s="3">
        <v>0</v>
      </c>
      <c r="AG269" t="s">
        <v>49</v>
      </c>
      <c r="AH269">
        <v>0</v>
      </c>
      <c r="AI269" t="s">
        <v>49</v>
      </c>
      <c r="AJ269">
        <v>422.64</v>
      </c>
      <c r="AK269" t="s">
        <v>49</v>
      </c>
      <c r="AL269">
        <v>0</v>
      </c>
      <c r="AM269" t="s">
        <v>49</v>
      </c>
      <c r="AN269">
        <v>90</v>
      </c>
      <c r="AO269" s="19">
        <v>0</v>
      </c>
      <c r="AP269" s="19">
        <v>0</v>
      </c>
      <c r="AQ269" s="19">
        <v>0.8333</v>
      </c>
      <c r="AR269" s="19">
        <v>0.3333</v>
      </c>
      <c r="AS269" s="19">
        <v>0</v>
      </c>
      <c r="AT269" s="19">
        <v>0</v>
      </c>
      <c r="AU269" s="3">
        <v>0</v>
      </c>
      <c r="AV269" s="3">
        <v>0</v>
      </c>
      <c r="AW269" s="19">
        <v>0</v>
      </c>
      <c r="AX269" s="3">
        <v>0</v>
      </c>
      <c r="AY269" s="3">
        <v>0</v>
      </c>
    </row>
    <row r="270" spans="1:51">
      <c r="A270" s="3">
        <v>4461970</v>
      </c>
      <c r="B270" t="s">
        <v>504</v>
      </c>
      <c r="C270" s="3">
        <v>111021401</v>
      </c>
      <c r="D270" t="s">
        <v>44</v>
      </c>
      <c r="E270" t="s">
        <v>179</v>
      </c>
      <c r="F270" t="s">
        <v>46</v>
      </c>
      <c r="G270" t="s">
        <v>47</v>
      </c>
      <c r="H270" s="16">
        <v>0</v>
      </c>
      <c r="I270" s="4">
        <f>VLOOKUP(C270,[1]sheet1!$D:$I,6,0)</f>
        <v>94</v>
      </c>
      <c r="J270" s="4">
        <f>VLOOKUP(C270,[2]sheet1!$D:$I,6,0)</f>
        <v>0</v>
      </c>
      <c r="K270" s="4">
        <f>VLOOKUP(C270,[3]sheet1!$D:$I,6,0)</f>
        <v>0</v>
      </c>
      <c r="L270" s="4">
        <f>VLOOKUP(C270,[4]sheet1!$D:$I,6,0)</f>
        <v>104</v>
      </c>
      <c r="M270" s="4">
        <f>VLOOKUP(C270,[5]sheet1!$D:$I,6,0)</f>
        <v>0</v>
      </c>
      <c r="N270" s="4">
        <f>VLOOKUP(C270,[6]sheet1!$D:$I,6,0)</f>
        <v>0</v>
      </c>
      <c r="O270" s="4">
        <f>VLOOKUP(C270,[7]sheet1!$D:$I,6,0)</f>
        <v>0</v>
      </c>
      <c r="P270" s="4">
        <f>VLOOKUP(C270,[8]sheet1!$D:$I,6,0)</f>
        <v>0</v>
      </c>
      <c r="Q270" s="4">
        <f t="shared" si="4"/>
        <v>198</v>
      </c>
      <c r="R270" s="3">
        <v>0</v>
      </c>
      <c r="S270">
        <v>301</v>
      </c>
      <c r="T270">
        <v>0</v>
      </c>
      <c r="U270" s="3">
        <v>2</v>
      </c>
      <c r="V270" s="3">
        <v>0</v>
      </c>
      <c r="W270">
        <v>0</v>
      </c>
      <c r="X270" s="3">
        <v>0</v>
      </c>
      <c r="Y270">
        <v>0</v>
      </c>
      <c r="Z270" s="3">
        <v>0</v>
      </c>
      <c r="AA270" t="s">
        <v>181</v>
      </c>
      <c r="AB270" t="s">
        <v>49</v>
      </c>
      <c r="AC270">
        <v>96.32</v>
      </c>
      <c r="AD270" t="s">
        <v>49</v>
      </c>
      <c r="AE270">
        <v>0</v>
      </c>
      <c r="AF270" s="3">
        <v>0</v>
      </c>
      <c r="AG270" t="s">
        <v>49</v>
      </c>
      <c r="AH270">
        <v>0</v>
      </c>
      <c r="AI270" t="s">
        <v>49</v>
      </c>
      <c r="AJ270" t="s">
        <v>49</v>
      </c>
      <c r="AK270" t="s">
        <v>49</v>
      </c>
      <c r="AL270" t="s">
        <v>49</v>
      </c>
      <c r="AM270" t="s">
        <v>49</v>
      </c>
      <c r="AN270">
        <v>323</v>
      </c>
      <c r="AO270" s="19">
        <v>0</v>
      </c>
      <c r="AP270" s="19">
        <v>0</v>
      </c>
      <c r="AQ270" s="19">
        <v>0.6269</v>
      </c>
      <c r="AR270" s="19">
        <v>0.1791</v>
      </c>
      <c r="AS270" s="19">
        <v>0.5</v>
      </c>
      <c r="AT270" s="19">
        <v>0.5</v>
      </c>
      <c r="AU270" s="3">
        <v>0</v>
      </c>
      <c r="AV270" s="3">
        <v>0</v>
      </c>
      <c r="AW270" s="19">
        <v>0</v>
      </c>
      <c r="AX270" s="3">
        <v>0</v>
      </c>
      <c r="AY270" s="3">
        <v>0</v>
      </c>
    </row>
    <row r="271" spans="1:51">
      <c r="A271" s="3">
        <v>4461929</v>
      </c>
      <c r="B271" t="s">
        <v>505</v>
      </c>
      <c r="C271" s="3">
        <v>12940130</v>
      </c>
      <c r="D271" t="s">
        <v>44</v>
      </c>
      <c r="E271" t="s">
        <v>141</v>
      </c>
      <c r="F271" t="s">
        <v>65</v>
      </c>
      <c r="G271" t="s">
        <v>47</v>
      </c>
      <c r="H271" s="16">
        <v>0</v>
      </c>
      <c r="I271" s="4">
        <f>VLOOKUP(C271,[1]sheet1!$D:$I,6,0)</f>
        <v>0</v>
      </c>
      <c r="J271" s="4">
        <f>VLOOKUP(C271,[2]sheet1!$D:$I,6,0)</f>
        <v>0</v>
      </c>
      <c r="K271" s="4">
        <f>VLOOKUP(C271,[3]sheet1!$D:$I,6,0)</f>
        <v>0</v>
      </c>
      <c r="L271" s="4">
        <f>VLOOKUP(C271,[4]sheet1!$D:$I,6,0)</f>
        <v>0</v>
      </c>
      <c r="M271" s="4">
        <f>VLOOKUP(C271,[5]sheet1!$D:$I,6,0)</f>
        <v>0</v>
      </c>
      <c r="N271" s="4">
        <f>VLOOKUP(C271,[6]sheet1!$D:$I,6,0)</f>
        <v>0</v>
      </c>
      <c r="O271" s="4">
        <f>VLOOKUP(C271,[7]sheet1!$D:$I,6,0)</f>
        <v>0</v>
      </c>
      <c r="P271" s="4">
        <f>VLOOKUP(C271,[8]sheet1!$D:$I,6,0)</f>
        <v>0</v>
      </c>
      <c r="Q271" s="4">
        <f t="shared" si="4"/>
        <v>0</v>
      </c>
      <c r="R271" s="3">
        <v>0</v>
      </c>
      <c r="S271" s="3">
        <v>0</v>
      </c>
      <c r="T271" s="19">
        <v>0</v>
      </c>
      <c r="U271" s="3">
        <v>0</v>
      </c>
      <c r="V271" s="3">
        <v>0</v>
      </c>
      <c r="W271">
        <v>0</v>
      </c>
      <c r="X271" s="3">
        <v>0</v>
      </c>
      <c r="Y271">
        <v>0</v>
      </c>
      <c r="Z271" s="3">
        <v>0</v>
      </c>
      <c r="AA271" t="s">
        <v>506</v>
      </c>
      <c r="AB271" t="s">
        <v>49</v>
      </c>
      <c r="AC271">
        <v>448.84</v>
      </c>
      <c r="AD271" t="s">
        <v>49</v>
      </c>
      <c r="AE271">
        <v>0</v>
      </c>
      <c r="AF271" s="3">
        <v>0</v>
      </c>
      <c r="AG271" t="s">
        <v>49</v>
      </c>
      <c r="AH271">
        <v>0</v>
      </c>
      <c r="AI271" t="s">
        <v>49</v>
      </c>
      <c r="AJ271" t="s">
        <v>49</v>
      </c>
      <c r="AK271" t="s">
        <v>49</v>
      </c>
      <c r="AL271" t="s">
        <v>49</v>
      </c>
      <c r="AM271" t="s">
        <v>49</v>
      </c>
      <c r="AN271" s="3">
        <v>0</v>
      </c>
      <c r="AO271" s="19">
        <v>0</v>
      </c>
      <c r="AP271" s="19">
        <v>0</v>
      </c>
      <c r="AQ271" s="19">
        <v>0</v>
      </c>
      <c r="AR271" s="19">
        <v>0</v>
      </c>
      <c r="AS271" s="19">
        <v>0</v>
      </c>
      <c r="AT271" s="19">
        <v>0</v>
      </c>
      <c r="AU271" s="3">
        <v>0</v>
      </c>
      <c r="AV271" s="3">
        <v>0</v>
      </c>
      <c r="AW271" s="19">
        <v>0</v>
      </c>
      <c r="AX271" s="3">
        <v>0</v>
      </c>
      <c r="AY271" s="3">
        <v>0</v>
      </c>
    </row>
    <row r="272" spans="1:51">
      <c r="A272" s="3">
        <v>4461822</v>
      </c>
      <c r="B272" t="s">
        <v>507</v>
      </c>
      <c r="C272" s="3">
        <v>112321426</v>
      </c>
      <c r="D272" t="s">
        <v>44</v>
      </c>
      <c r="E272" t="s">
        <v>508</v>
      </c>
      <c r="F272" t="s">
        <v>65</v>
      </c>
      <c r="G272" t="s">
        <v>47</v>
      </c>
      <c r="H272" s="16">
        <v>0</v>
      </c>
      <c r="I272" s="4">
        <f>VLOOKUP(C272,[1]sheet1!$D:$I,6,0)</f>
        <v>0</v>
      </c>
      <c r="J272" s="4">
        <f>VLOOKUP(C272,[2]sheet1!$D:$I,6,0)</f>
        <v>0</v>
      </c>
      <c r="K272" s="4">
        <f>VLOOKUP(C272,[3]sheet1!$D:$I,6,0)</f>
        <v>297</v>
      </c>
      <c r="L272" s="4">
        <f>VLOOKUP(C272,[4]sheet1!$D:$I,6,0)</f>
        <v>0</v>
      </c>
      <c r="M272" s="4">
        <f>VLOOKUP(C272,[5]sheet1!$D:$I,6,0)</f>
        <v>0</v>
      </c>
      <c r="N272" s="4">
        <f>VLOOKUP(C272,[6]sheet1!$D:$I,6,0)</f>
        <v>0</v>
      </c>
      <c r="O272" s="4">
        <f>VLOOKUP(C272,[7]sheet1!$D:$I,6,0)</f>
        <v>297</v>
      </c>
      <c r="P272" s="4">
        <f>VLOOKUP(C272,[8]sheet1!$D:$I,6,0)</f>
        <v>0</v>
      </c>
      <c r="Q272" s="4">
        <f t="shared" si="4"/>
        <v>594</v>
      </c>
      <c r="R272" s="3">
        <v>0</v>
      </c>
      <c r="S272" s="3">
        <v>27</v>
      </c>
      <c r="T272" s="19">
        <v>0</v>
      </c>
      <c r="U272" s="3">
        <v>2</v>
      </c>
      <c r="V272" s="3">
        <v>0</v>
      </c>
      <c r="W272">
        <v>315</v>
      </c>
      <c r="X272" s="3">
        <v>1</v>
      </c>
      <c r="Y272">
        <v>0</v>
      </c>
      <c r="Z272" s="3">
        <v>0</v>
      </c>
      <c r="AA272" t="s">
        <v>49</v>
      </c>
      <c r="AB272" t="s">
        <v>49</v>
      </c>
      <c r="AC272" t="s">
        <v>49</v>
      </c>
      <c r="AD272" t="s">
        <v>49</v>
      </c>
      <c r="AE272">
        <v>0</v>
      </c>
      <c r="AF272" s="3">
        <v>0</v>
      </c>
      <c r="AG272" t="s">
        <v>49</v>
      </c>
      <c r="AH272" t="s">
        <v>49</v>
      </c>
      <c r="AI272" t="s">
        <v>49</v>
      </c>
      <c r="AJ272" t="s">
        <v>49</v>
      </c>
      <c r="AK272" t="s">
        <v>49</v>
      </c>
      <c r="AL272" t="s">
        <v>49</v>
      </c>
      <c r="AM272" t="s">
        <v>49</v>
      </c>
      <c r="AN272" s="3">
        <v>34</v>
      </c>
      <c r="AO272" s="19">
        <v>0</v>
      </c>
      <c r="AP272" s="19">
        <v>0</v>
      </c>
      <c r="AQ272" s="19">
        <v>0.8889</v>
      </c>
      <c r="AR272" s="19">
        <v>0.1481</v>
      </c>
      <c r="AS272" s="19">
        <v>1</v>
      </c>
      <c r="AT272" s="19">
        <v>0.5</v>
      </c>
      <c r="AU272" s="3">
        <v>0</v>
      </c>
      <c r="AV272" s="3">
        <v>0</v>
      </c>
      <c r="AW272" s="19">
        <v>0</v>
      </c>
      <c r="AX272" s="3">
        <v>0</v>
      </c>
      <c r="AY272" s="3">
        <v>0</v>
      </c>
    </row>
    <row r="273" spans="1:51">
      <c r="A273" s="3">
        <v>4461673</v>
      </c>
      <c r="B273" t="s">
        <v>509</v>
      </c>
      <c r="C273" s="3">
        <v>12321502</v>
      </c>
      <c r="D273" t="s">
        <v>44</v>
      </c>
      <c r="E273" t="s">
        <v>90</v>
      </c>
      <c r="F273" t="s">
        <v>65</v>
      </c>
      <c r="G273" t="s">
        <v>47</v>
      </c>
      <c r="H273" s="16">
        <v>0</v>
      </c>
      <c r="I273" s="4">
        <f>VLOOKUP(C273,[1]sheet1!$D:$I,6,0)</f>
        <v>0</v>
      </c>
      <c r="J273" s="4">
        <f>VLOOKUP(C273,[2]sheet1!$D:$I,6,0)</f>
        <v>0</v>
      </c>
      <c r="K273" s="4">
        <f>VLOOKUP(C273,[3]sheet1!$D:$I,6,0)</f>
        <v>0</v>
      </c>
      <c r="L273" s="4">
        <f>VLOOKUP(C273,[4]sheet1!$D:$I,6,0)</f>
        <v>0</v>
      </c>
      <c r="M273" s="4">
        <f>VLOOKUP(C273,[5]sheet1!$D:$I,6,0)</f>
        <v>0</v>
      </c>
      <c r="N273" s="4">
        <f>VLOOKUP(C273,[6]sheet1!$D:$I,6,0)</f>
        <v>0</v>
      </c>
      <c r="O273" s="4">
        <f>VLOOKUP(C273,[7]sheet1!$D:$I,6,0)</f>
        <v>0</v>
      </c>
      <c r="P273" s="4">
        <f>VLOOKUP(C273,[8]sheet1!$D:$I,6,0)</f>
        <v>0</v>
      </c>
      <c r="Q273" s="4">
        <f t="shared" si="4"/>
        <v>0</v>
      </c>
      <c r="R273" s="3">
        <v>0</v>
      </c>
      <c r="S273" s="3">
        <v>3</v>
      </c>
      <c r="T273" s="19">
        <v>0</v>
      </c>
      <c r="U273" s="3">
        <v>0</v>
      </c>
      <c r="V273" s="3">
        <v>0</v>
      </c>
      <c r="W273">
        <v>0</v>
      </c>
      <c r="X273" s="3">
        <v>0</v>
      </c>
      <c r="Y273">
        <v>0</v>
      </c>
      <c r="Z273" s="3">
        <v>0</v>
      </c>
      <c r="AA273" t="s">
        <v>49</v>
      </c>
      <c r="AB273" t="s">
        <v>49</v>
      </c>
      <c r="AC273" t="s">
        <v>49</v>
      </c>
      <c r="AD273" t="s">
        <v>49</v>
      </c>
      <c r="AE273">
        <v>0</v>
      </c>
      <c r="AF273" s="3">
        <v>0</v>
      </c>
      <c r="AG273" t="s">
        <v>49</v>
      </c>
      <c r="AH273" t="s">
        <v>49</v>
      </c>
      <c r="AI273" t="s">
        <v>49</v>
      </c>
      <c r="AJ273" t="s">
        <v>49</v>
      </c>
      <c r="AK273" t="s">
        <v>49</v>
      </c>
      <c r="AL273" t="s">
        <v>49</v>
      </c>
      <c r="AM273" t="s">
        <v>49</v>
      </c>
      <c r="AN273" s="3">
        <v>3</v>
      </c>
      <c r="AO273" s="19">
        <v>0</v>
      </c>
      <c r="AP273" s="19">
        <v>0</v>
      </c>
      <c r="AQ273" s="19">
        <v>0.3333</v>
      </c>
      <c r="AR273" s="19">
        <v>0</v>
      </c>
      <c r="AS273" s="19">
        <v>0</v>
      </c>
      <c r="AT273" s="19">
        <v>0</v>
      </c>
      <c r="AU273" s="3">
        <v>0</v>
      </c>
      <c r="AV273" s="3">
        <v>0</v>
      </c>
      <c r="AW273" s="19">
        <v>0</v>
      </c>
      <c r="AX273" s="3">
        <v>0</v>
      </c>
      <c r="AY273" s="3">
        <v>0</v>
      </c>
    </row>
    <row r="274" spans="1:51">
      <c r="A274" s="3">
        <v>4461671</v>
      </c>
      <c r="B274" t="s">
        <v>510</v>
      </c>
      <c r="C274" s="3">
        <v>12130710</v>
      </c>
      <c r="D274" t="s">
        <v>44</v>
      </c>
      <c r="E274" t="s">
        <v>290</v>
      </c>
      <c r="F274" t="s">
        <v>65</v>
      </c>
      <c r="G274" t="s">
        <v>47</v>
      </c>
      <c r="H274" s="16">
        <v>0</v>
      </c>
      <c r="I274" s="4">
        <f>VLOOKUP(C274,[1]sheet1!$D:$I,6,0)</f>
        <v>0</v>
      </c>
      <c r="J274" s="4">
        <f>VLOOKUP(C274,[2]sheet1!$D:$I,6,0)</f>
        <v>0</v>
      </c>
      <c r="K274" s="4">
        <f>VLOOKUP(C274,[3]sheet1!$D:$I,6,0)</f>
        <v>0</v>
      </c>
      <c r="L274" s="4">
        <f>VLOOKUP(C274,[4]sheet1!$D:$I,6,0)</f>
        <v>0</v>
      </c>
      <c r="M274" s="4">
        <f>VLOOKUP(C274,[5]sheet1!$D:$I,6,0)</f>
        <v>0</v>
      </c>
      <c r="N274" s="4">
        <f>VLOOKUP(C274,[6]sheet1!$D:$I,6,0)</f>
        <v>0</v>
      </c>
      <c r="O274" s="4">
        <f>VLOOKUP(C274,[7]sheet1!$D:$I,6,0)</f>
        <v>0</v>
      </c>
      <c r="P274" s="4">
        <f>VLOOKUP(C274,[8]sheet1!$D:$I,6,0)</f>
        <v>0</v>
      </c>
      <c r="Q274" s="15">
        <f t="shared" si="4"/>
        <v>0</v>
      </c>
      <c r="R274" s="3">
        <v>0</v>
      </c>
      <c r="S274" s="3">
        <v>0</v>
      </c>
      <c r="T274" s="19">
        <v>0</v>
      </c>
      <c r="U274" s="3">
        <v>0</v>
      </c>
      <c r="V274" s="3">
        <v>0</v>
      </c>
      <c r="W274">
        <v>0</v>
      </c>
      <c r="X274" s="3">
        <v>0</v>
      </c>
      <c r="Y274">
        <v>0</v>
      </c>
      <c r="Z274" s="3">
        <v>0</v>
      </c>
      <c r="AA274" t="s">
        <v>49</v>
      </c>
      <c r="AB274" t="s">
        <v>49</v>
      </c>
      <c r="AC274" t="s">
        <v>49</v>
      </c>
      <c r="AD274" t="s">
        <v>49</v>
      </c>
      <c r="AE274">
        <v>0</v>
      </c>
      <c r="AF274" s="3">
        <v>0</v>
      </c>
      <c r="AG274" t="s">
        <v>49</v>
      </c>
      <c r="AH274" t="s">
        <v>49</v>
      </c>
      <c r="AI274" t="s">
        <v>49</v>
      </c>
      <c r="AJ274" t="s">
        <v>49</v>
      </c>
      <c r="AK274" t="s">
        <v>49</v>
      </c>
      <c r="AL274" t="s">
        <v>49</v>
      </c>
      <c r="AM274" t="s">
        <v>49</v>
      </c>
      <c r="AN274" s="3">
        <v>0</v>
      </c>
      <c r="AO274" s="19">
        <v>0</v>
      </c>
      <c r="AP274" s="19">
        <v>0</v>
      </c>
      <c r="AQ274" s="19">
        <v>0</v>
      </c>
      <c r="AR274" s="19">
        <v>0</v>
      </c>
      <c r="AS274" s="19">
        <v>0</v>
      </c>
      <c r="AT274" s="19">
        <v>0</v>
      </c>
      <c r="AU274" s="3">
        <v>0</v>
      </c>
      <c r="AV274" s="3">
        <v>0</v>
      </c>
      <c r="AW274" s="19">
        <v>0</v>
      </c>
      <c r="AX274" s="3">
        <v>0</v>
      </c>
      <c r="AY274" s="3">
        <v>0</v>
      </c>
    </row>
    <row r="275" spans="1:51">
      <c r="A275" s="3">
        <v>4461591</v>
      </c>
      <c r="B275" t="s">
        <v>511</v>
      </c>
      <c r="C275" s="3">
        <v>11130701</v>
      </c>
      <c r="D275" t="s">
        <v>44</v>
      </c>
      <c r="E275" t="s">
        <v>185</v>
      </c>
      <c r="F275" t="s">
        <v>46</v>
      </c>
      <c r="G275" t="s">
        <v>47</v>
      </c>
      <c r="H275" s="16">
        <v>0</v>
      </c>
      <c r="I275" s="4">
        <f>VLOOKUP(C275,[1]sheet1!$D:$I,6,0)</f>
        <v>0</v>
      </c>
      <c r="J275" s="4">
        <f>VLOOKUP(C275,[2]sheet1!$D:$I,6,0)</f>
        <v>0</v>
      </c>
      <c r="K275" s="4">
        <f>VLOOKUP(C275,[3]sheet1!$D:$I,6,0)</f>
        <v>0</v>
      </c>
      <c r="L275" s="4">
        <f>VLOOKUP(C275,[4]sheet1!$D:$I,6,0)</f>
        <v>0</v>
      </c>
      <c r="M275" s="4">
        <f>VLOOKUP(C275,[5]sheet1!$D:$I,6,0)</f>
        <v>0</v>
      </c>
      <c r="N275" s="4">
        <f>VLOOKUP(C275,[6]sheet1!$D:$I,6,0)</f>
        <v>0</v>
      </c>
      <c r="O275" s="4">
        <f>VLOOKUP(C275,[7]sheet1!$D:$I,6,0)</f>
        <v>0</v>
      </c>
      <c r="P275" s="4">
        <f>VLOOKUP(C275,[8]sheet1!$D:$I,6,0)</f>
        <v>0</v>
      </c>
      <c r="Q275" s="15">
        <f t="shared" si="4"/>
        <v>0</v>
      </c>
      <c r="R275" s="3">
        <v>0</v>
      </c>
      <c r="S275">
        <v>377</v>
      </c>
      <c r="T275">
        <v>0</v>
      </c>
      <c r="U275" s="3">
        <v>5</v>
      </c>
      <c r="V275" s="3">
        <v>0</v>
      </c>
      <c r="W275">
        <v>314</v>
      </c>
      <c r="X275" s="3">
        <v>1</v>
      </c>
      <c r="Y275">
        <v>0</v>
      </c>
      <c r="Z275" s="3">
        <v>0</v>
      </c>
      <c r="AA275" t="s">
        <v>49</v>
      </c>
      <c r="AB275" s="3">
        <v>348</v>
      </c>
      <c r="AC275" t="s">
        <v>49</v>
      </c>
      <c r="AD275" t="s">
        <v>49</v>
      </c>
      <c r="AE275">
        <v>0</v>
      </c>
      <c r="AF275" s="3">
        <v>0</v>
      </c>
      <c r="AG275" t="s">
        <v>49</v>
      </c>
      <c r="AH275" t="s">
        <v>49</v>
      </c>
      <c r="AI275" t="s">
        <v>49</v>
      </c>
      <c r="AJ275">
        <v>292.85</v>
      </c>
      <c r="AK275" t="s">
        <v>49</v>
      </c>
      <c r="AL275">
        <v>0</v>
      </c>
      <c r="AM275" t="s">
        <v>49</v>
      </c>
      <c r="AN275">
        <v>424</v>
      </c>
      <c r="AO275" s="19">
        <v>0</v>
      </c>
      <c r="AP275" s="19">
        <v>0</v>
      </c>
      <c r="AQ275" s="19">
        <v>0.8381</v>
      </c>
      <c r="AR275" s="19">
        <v>0.3333</v>
      </c>
      <c r="AS275" s="19">
        <v>0.8</v>
      </c>
      <c r="AT275" s="19">
        <v>0.4</v>
      </c>
      <c r="AU275" s="3">
        <v>0</v>
      </c>
      <c r="AV275" s="3">
        <v>0</v>
      </c>
      <c r="AW275" s="19">
        <v>0</v>
      </c>
      <c r="AX275" s="3">
        <v>0</v>
      </c>
      <c r="AY275" s="3">
        <v>0</v>
      </c>
    </row>
    <row r="276" spans="1:51">
      <c r="A276" s="3">
        <v>4461555</v>
      </c>
      <c r="B276" t="s">
        <v>512</v>
      </c>
      <c r="C276" s="3">
        <v>11121411</v>
      </c>
      <c r="D276" t="s">
        <v>44</v>
      </c>
      <c r="E276" t="s">
        <v>57</v>
      </c>
      <c r="F276" t="s">
        <v>46</v>
      </c>
      <c r="G276" t="s">
        <v>47</v>
      </c>
      <c r="H276" s="16">
        <v>0</v>
      </c>
      <c r="I276" s="4">
        <f>VLOOKUP(C276,[1]sheet1!$D:$I,6,0)</f>
        <v>526</v>
      </c>
      <c r="J276" s="4">
        <f>VLOOKUP(C276,[2]sheet1!$D:$I,6,0)</f>
        <v>180</v>
      </c>
      <c r="K276" s="4">
        <f>VLOOKUP(C276,[3]sheet1!$D:$I,6,0)</f>
        <v>176</v>
      </c>
      <c r="L276" s="4">
        <f>VLOOKUP(C276,[4]sheet1!$D:$I,6,0)</f>
        <v>171</v>
      </c>
      <c r="M276" s="4">
        <f>VLOOKUP(C276,[5]sheet1!$D:$I,6,0)</f>
        <v>349</v>
      </c>
      <c r="N276" s="4">
        <f>VLOOKUP(C276,[6]sheet1!$D:$I,6,0)</f>
        <v>0</v>
      </c>
      <c r="O276" s="4">
        <f>VLOOKUP(C276,[7]sheet1!$D:$I,6,0)</f>
        <v>173</v>
      </c>
      <c r="P276" s="4">
        <f>VLOOKUP(C276,[8]sheet1!$D:$I,6,0)</f>
        <v>578</v>
      </c>
      <c r="Q276" s="4">
        <f t="shared" si="4"/>
        <v>2153</v>
      </c>
      <c r="R276" s="3">
        <v>0</v>
      </c>
      <c r="S276">
        <v>438</v>
      </c>
      <c r="T276">
        <v>0</v>
      </c>
      <c r="U276" s="3">
        <v>4</v>
      </c>
      <c r="V276" s="3">
        <v>0</v>
      </c>
      <c r="W276">
        <v>0</v>
      </c>
      <c r="X276" s="3">
        <v>0</v>
      </c>
      <c r="Y276">
        <v>0</v>
      </c>
      <c r="Z276" s="3">
        <v>0</v>
      </c>
      <c r="AA276" t="s">
        <v>129</v>
      </c>
      <c r="AB276" s="3">
        <v>178</v>
      </c>
      <c r="AC276">
        <v>164.32</v>
      </c>
      <c r="AD276" t="s">
        <v>49</v>
      </c>
      <c r="AE276">
        <v>0</v>
      </c>
      <c r="AF276" s="3">
        <v>0</v>
      </c>
      <c r="AG276" t="s">
        <v>49</v>
      </c>
      <c r="AH276">
        <v>0</v>
      </c>
      <c r="AI276" t="s">
        <v>49</v>
      </c>
      <c r="AJ276">
        <v>146.05</v>
      </c>
      <c r="AK276" t="s">
        <v>49</v>
      </c>
      <c r="AL276">
        <v>0</v>
      </c>
      <c r="AM276" t="s">
        <v>49</v>
      </c>
      <c r="AN276" s="3">
        <v>191</v>
      </c>
      <c r="AO276" s="19">
        <v>0</v>
      </c>
      <c r="AP276" s="19">
        <v>0</v>
      </c>
      <c r="AQ276" s="19">
        <v>0.6338</v>
      </c>
      <c r="AR276" s="19">
        <v>0.2042</v>
      </c>
      <c r="AS276" s="19">
        <v>1</v>
      </c>
      <c r="AT276" s="19">
        <v>0</v>
      </c>
      <c r="AU276" s="3">
        <v>0</v>
      </c>
      <c r="AV276" s="3">
        <v>0</v>
      </c>
      <c r="AW276" s="19">
        <v>0</v>
      </c>
      <c r="AX276" s="3">
        <v>0</v>
      </c>
      <c r="AY276" s="3">
        <v>0</v>
      </c>
    </row>
    <row r="277" spans="1:51">
      <c r="A277" s="3">
        <v>4461492</v>
      </c>
      <c r="B277" t="s">
        <v>513</v>
      </c>
      <c r="C277" s="3">
        <v>12021510</v>
      </c>
      <c r="D277" t="s">
        <v>44</v>
      </c>
      <c r="E277" t="s">
        <v>299</v>
      </c>
      <c r="F277" t="s">
        <v>65</v>
      </c>
      <c r="G277" t="s">
        <v>47</v>
      </c>
      <c r="H277" s="16">
        <v>0</v>
      </c>
      <c r="I277" s="4">
        <f>VLOOKUP(C277,[1]sheet1!$D:$I,6,0)</f>
        <v>0</v>
      </c>
      <c r="J277" s="4">
        <f>VLOOKUP(C277,[2]sheet1!$D:$I,6,0)</f>
        <v>0</v>
      </c>
      <c r="K277" s="4">
        <f>VLOOKUP(C277,[3]sheet1!$D:$I,6,0)</f>
        <v>0</v>
      </c>
      <c r="L277" s="4">
        <f>VLOOKUP(C277,[4]sheet1!$D:$I,6,0)</f>
        <v>84</v>
      </c>
      <c r="M277" s="4">
        <f>VLOOKUP(C277,[5]sheet1!$D:$I,6,0)</f>
        <v>168</v>
      </c>
      <c r="N277" s="4">
        <f>VLOOKUP(C277,[6]sheet1!$D:$I,6,0)</f>
        <v>87</v>
      </c>
      <c r="O277" s="4">
        <f>VLOOKUP(C277,[7]sheet1!$D:$I,6,0)</f>
        <v>168</v>
      </c>
      <c r="P277" s="4">
        <f>VLOOKUP(C277,[8]sheet1!$D:$I,6,0)</f>
        <v>0</v>
      </c>
      <c r="Q277" s="4">
        <f t="shared" si="4"/>
        <v>507</v>
      </c>
      <c r="R277" s="3">
        <v>0</v>
      </c>
      <c r="S277" s="3">
        <v>7</v>
      </c>
      <c r="T277" s="19">
        <v>0</v>
      </c>
      <c r="U277" s="3">
        <v>0</v>
      </c>
      <c r="V277" s="3">
        <v>0</v>
      </c>
      <c r="W277">
        <v>0</v>
      </c>
      <c r="X277" s="3">
        <v>0</v>
      </c>
      <c r="Y277">
        <v>0</v>
      </c>
      <c r="Z277" s="3">
        <v>0</v>
      </c>
      <c r="AA277" t="s">
        <v>514</v>
      </c>
      <c r="AB277" t="s">
        <v>49</v>
      </c>
      <c r="AC277">
        <v>77.24</v>
      </c>
      <c r="AD277" t="s">
        <v>49</v>
      </c>
      <c r="AE277">
        <v>0</v>
      </c>
      <c r="AF277" s="3">
        <v>0</v>
      </c>
      <c r="AG277" t="s">
        <v>49</v>
      </c>
      <c r="AH277">
        <v>0</v>
      </c>
      <c r="AI277" t="s">
        <v>49</v>
      </c>
      <c r="AJ277" t="s">
        <v>49</v>
      </c>
      <c r="AK277" t="s">
        <v>49</v>
      </c>
      <c r="AL277" t="s">
        <v>49</v>
      </c>
      <c r="AM277" t="s">
        <v>49</v>
      </c>
      <c r="AN277" s="3">
        <v>8</v>
      </c>
      <c r="AO277" s="19">
        <v>0</v>
      </c>
      <c r="AP277" s="19">
        <v>0</v>
      </c>
      <c r="AQ277" s="19">
        <v>0.7143</v>
      </c>
      <c r="AR277" s="19">
        <v>0</v>
      </c>
      <c r="AS277" s="19">
        <v>0</v>
      </c>
      <c r="AT277" s="19">
        <v>0</v>
      </c>
      <c r="AU277" s="3">
        <v>0</v>
      </c>
      <c r="AV277" s="3">
        <v>0</v>
      </c>
      <c r="AW277" s="19">
        <v>0</v>
      </c>
      <c r="AX277" s="3">
        <v>0</v>
      </c>
      <c r="AY277" s="3">
        <v>0</v>
      </c>
    </row>
    <row r="278" spans="1:51">
      <c r="A278" s="3">
        <v>4461383</v>
      </c>
      <c r="B278" t="s">
        <v>515</v>
      </c>
      <c r="C278" s="3">
        <v>11231103</v>
      </c>
      <c r="D278" t="s">
        <v>44</v>
      </c>
      <c r="E278" t="s">
        <v>174</v>
      </c>
      <c r="F278" t="s">
        <v>65</v>
      </c>
      <c r="G278" t="s">
        <v>47</v>
      </c>
      <c r="H278" s="16">
        <v>0</v>
      </c>
      <c r="I278" s="4">
        <f>VLOOKUP(C278,[1]sheet1!$D:$I,6,0)</f>
        <v>0</v>
      </c>
      <c r="J278" s="4">
        <f>VLOOKUP(C278,[2]sheet1!$D:$I,6,0)</f>
        <v>0</v>
      </c>
      <c r="K278" s="4">
        <f>VLOOKUP(C278,[3]sheet1!$D:$I,6,0)</f>
        <v>0</v>
      </c>
      <c r="L278" s="4">
        <f>VLOOKUP(C278,[4]sheet1!$D:$I,6,0)</f>
        <v>0</v>
      </c>
      <c r="M278" s="4">
        <f>VLOOKUP(C278,[5]sheet1!$D:$I,6,0)</f>
        <v>0</v>
      </c>
      <c r="N278" s="4">
        <f>VLOOKUP(C278,[6]sheet1!$D:$I,6,0)</f>
        <v>0</v>
      </c>
      <c r="O278" s="4">
        <f>VLOOKUP(C278,[7]sheet1!$D:$I,6,0)</f>
        <v>0</v>
      </c>
      <c r="P278" s="4">
        <f>VLOOKUP(C278,[8]sheet1!$D:$I,6,0)</f>
        <v>0</v>
      </c>
      <c r="Q278" s="4">
        <f t="shared" si="4"/>
        <v>0</v>
      </c>
      <c r="R278" s="3">
        <v>0</v>
      </c>
      <c r="S278" s="3">
        <v>10</v>
      </c>
      <c r="T278" s="19">
        <v>0</v>
      </c>
      <c r="U278" s="3">
        <v>0</v>
      </c>
      <c r="V278" s="3">
        <v>0</v>
      </c>
      <c r="W278">
        <v>0</v>
      </c>
      <c r="X278" s="3">
        <v>0</v>
      </c>
      <c r="Y278">
        <v>0</v>
      </c>
      <c r="Z278" s="3">
        <v>0</v>
      </c>
      <c r="AA278" t="s">
        <v>49</v>
      </c>
      <c r="AB278" t="s">
        <v>49</v>
      </c>
      <c r="AC278" t="s">
        <v>49</v>
      </c>
      <c r="AD278" t="s">
        <v>49</v>
      </c>
      <c r="AE278">
        <v>0</v>
      </c>
      <c r="AF278" s="3">
        <v>0</v>
      </c>
      <c r="AG278" t="s">
        <v>49</v>
      </c>
      <c r="AH278" t="s">
        <v>49</v>
      </c>
      <c r="AI278" t="s">
        <v>49</v>
      </c>
      <c r="AJ278" t="s">
        <v>49</v>
      </c>
      <c r="AK278" t="s">
        <v>49</v>
      </c>
      <c r="AL278" t="s">
        <v>49</v>
      </c>
      <c r="AM278" t="s">
        <v>49</v>
      </c>
      <c r="AN278" s="3">
        <v>10</v>
      </c>
      <c r="AO278" s="19">
        <v>0</v>
      </c>
      <c r="AP278" s="19">
        <v>0</v>
      </c>
      <c r="AQ278" s="19">
        <v>1</v>
      </c>
      <c r="AR278" s="19">
        <v>0.6</v>
      </c>
      <c r="AS278" s="19">
        <v>0</v>
      </c>
      <c r="AT278" s="19">
        <v>0</v>
      </c>
      <c r="AU278" s="3">
        <v>0</v>
      </c>
      <c r="AV278" s="3">
        <v>0</v>
      </c>
      <c r="AW278" s="19">
        <v>0</v>
      </c>
      <c r="AX278" s="3">
        <v>0</v>
      </c>
      <c r="AY278" s="3">
        <v>0</v>
      </c>
    </row>
    <row r="279" spans="1:51">
      <c r="A279" s="3">
        <v>4461344</v>
      </c>
      <c r="B279" t="s">
        <v>516</v>
      </c>
      <c r="C279" s="3">
        <v>12221536</v>
      </c>
      <c r="D279" t="s">
        <v>44</v>
      </c>
      <c r="E279" t="s">
        <v>159</v>
      </c>
      <c r="F279" t="s">
        <v>65</v>
      </c>
      <c r="G279" t="s">
        <v>47</v>
      </c>
      <c r="H279" s="16">
        <v>0</v>
      </c>
      <c r="I279" s="4">
        <f>VLOOKUP(C279,[1]sheet1!$D:$I,6,0)</f>
        <v>0</v>
      </c>
      <c r="J279" s="4">
        <f>VLOOKUP(C279,[2]sheet1!$D:$I,6,0)</f>
        <v>0</v>
      </c>
      <c r="K279" s="4">
        <f>VLOOKUP(C279,[3]sheet1!$D:$I,6,0)</f>
        <v>84</v>
      </c>
      <c r="L279" s="4">
        <f>VLOOKUP(C279,[4]sheet1!$D:$I,6,0)</f>
        <v>0</v>
      </c>
      <c r="M279" s="4">
        <f>VLOOKUP(C279,[5]sheet1!$D:$I,6,0)</f>
        <v>168</v>
      </c>
      <c r="N279" s="4">
        <f>VLOOKUP(C279,[6]sheet1!$D:$I,6,0)</f>
        <v>0</v>
      </c>
      <c r="O279" s="4">
        <f>VLOOKUP(C279,[7]sheet1!$D:$I,6,0)</f>
        <v>84</v>
      </c>
      <c r="P279" s="4">
        <f>VLOOKUP(C279,[8]sheet1!$D:$I,6,0)</f>
        <v>84</v>
      </c>
      <c r="Q279" s="4">
        <f t="shared" si="4"/>
        <v>420</v>
      </c>
      <c r="R279" s="3">
        <v>0</v>
      </c>
      <c r="S279" s="3">
        <v>27</v>
      </c>
      <c r="T279" s="19">
        <v>0</v>
      </c>
      <c r="U279" s="3">
        <v>1</v>
      </c>
      <c r="V279" s="3">
        <v>0</v>
      </c>
      <c r="W279">
        <v>0</v>
      </c>
      <c r="X279" s="3">
        <v>0</v>
      </c>
      <c r="Y279">
        <v>0</v>
      </c>
      <c r="Z279" s="3">
        <v>0</v>
      </c>
      <c r="AA279" t="s">
        <v>49</v>
      </c>
      <c r="AB279" t="s">
        <v>49</v>
      </c>
      <c r="AC279" t="s">
        <v>49</v>
      </c>
      <c r="AD279" t="s">
        <v>49</v>
      </c>
      <c r="AE279">
        <v>0</v>
      </c>
      <c r="AF279" s="3">
        <v>0</v>
      </c>
      <c r="AG279" t="s">
        <v>49</v>
      </c>
      <c r="AH279" t="s">
        <v>49</v>
      </c>
      <c r="AI279" t="s">
        <v>49</v>
      </c>
      <c r="AJ279" t="s">
        <v>49</v>
      </c>
      <c r="AK279" t="s">
        <v>49</v>
      </c>
      <c r="AL279" t="s">
        <v>49</v>
      </c>
      <c r="AM279" t="s">
        <v>49</v>
      </c>
      <c r="AN279" s="3">
        <v>29</v>
      </c>
      <c r="AO279" s="19">
        <v>0</v>
      </c>
      <c r="AP279" s="19">
        <v>0</v>
      </c>
      <c r="AQ279" s="19">
        <v>0.7407</v>
      </c>
      <c r="AR279" s="19">
        <v>0.2222</v>
      </c>
      <c r="AS279" s="19">
        <v>1</v>
      </c>
      <c r="AT279" s="19">
        <v>1</v>
      </c>
      <c r="AU279" s="3">
        <v>0</v>
      </c>
      <c r="AV279" s="3">
        <v>0</v>
      </c>
      <c r="AW279" s="19">
        <v>0</v>
      </c>
      <c r="AX279" s="3">
        <v>0</v>
      </c>
      <c r="AY279" s="3">
        <v>0</v>
      </c>
    </row>
    <row r="280" spans="1:51">
      <c r="A280" s="3">
        <v>4461341</v>
      </c>
      <c r="B280" t="s">
        <v>517</v>
      </c>
      <c r="C280" s="3">
        <v>12830708</v>
      </c>
      <c r="D280" t="s">
        <v>44</v>
      </c>
      <c r="E280" t="s">
        <v>290</v>
      </c>
      <c r="F280" t="s">
        <v>46</v>
      </c>
      <c r="G280" t="s">
        <v>47</v>
      </c>
      <c r="H280" s="16">
        <v>0</v>
      </c>
      <c r="I280" s="4">
        <f>VLOOKUP(C280,[1]sheet1!$D:$I,6,0)</f>
        <v>0</v>
      </c>
      <c r="J280" s="4">
        <f>VLOOKUP(C280,[2]sheet1!$D:$I,6,0)</f>
        <v>0</v>
      </c>
      <c r="K280" s="4">
        <f>VLOOKUP(C280,[3]sheet1!$D:$I,6,0)</f>
        <v>0</v>
      </c>
      <c r="L280" s="4">
        <f>VLOOKUP(C280,[4]sheet1!$D:$I,6,0)</f>
        <v>0</v>
      </c>
      <c r="M280" s="4">
        <f>VLOOKUP(C280,[5]sheet1!$D:$I,6,0)</f>
        <v>0</v>
      </c>
      <c r="N280" s="4">
        <f>VLOOKUP(C280,[6]sheet1!$D:$I,6,0)</f>
        <v>0</v>
      </c>
      <c r="O280" s="4">
        <f>VLOOKUP(C280,[7]sheet1!$D:$I,6,0)</f>
        <v>0</v>
      </c>
      <c r="P280" s="4">
        <f>VLOOKUP(C280,[8]sheet1!$D:$I,6,0)</f>
        <v>0</v>
      </c>
      <c r="Q280" s="15">
        <f t="shared" si="4"/>
        <v>0</v>
      </c>
      <c r="R280" s="3">
        <v>0</v>
      </c>
      <c r="S280">
        <v>122</v>
      </c>
      <c r="T280">
        <v>0</v>
      </c>
      <c r="U280" s="3">
        <v>0</v>
      </c>
      <c r="V280" s="3">
        <v>0</v>
      </c>
      <c r="W280">
        <v>0</v>
      </c>
      <c r="X280" s="3">
        <v>0</v>
      </c>
      <c r="Y280">
        <v>0</v>
      </c>
      <c r="Z280" s="3">
        <v>0</v>
      </c>
      <c r="AA280" t="s">
        <v>170</v>
      </c>
      <c r="AB280" s="3">
        <v>155</v>
      </c>
      <c r="AC280">
        <v>248.74</v>
      </c>
      <c r="AD280" t="s">
        <v>49</v>
      </c>
      <c r="AE280">
        <v>0</v>
      </c>
      <c r="AF280" s="3">
        <v>0</v>
      </c>
      <c r="AG280" t="s">
        <v>49</v>
      </c>
      <c r="AH280">
        <v>0</v>
      </c>
      <c r="AI280" t="s">
        <v>49</v>
      </c>
      <c r="AJ280">
        <v>123.46</v>
      </c>
      <c r="AK280" t="s">
        <v>49</v>
      </c>
      <c r="AL280">
        <v>0</v>
      </c>
      <c r="AM280" t="s">
        <v>49</v>
      </c>
      <c r="AN280">
        <v>127</v>
      </c>
      <c r="AO280" s="19">
        <v>0</v>
      </c>
      <c r="AP280" s="19">
        <v>0</v>
      </c>
      <c r="AQ280" s="19">
        <v>0.8182</v>
      </c>
      <c r="AR280" s="19">
        <v>0.4545</v>
      </c>
      <c r="AS280" s="19">
        <v>0</v>
      </c>
      <c r="AT280" s="19">
        <v>0</v>
      </c>
      <c r="AU280" s="3">
        <v>0</v>
      </c>
      <c r="AV280" s="3">
        <v>0</v>
      </c>
      <c r="AW280" s="19">
        <v>0</v>
      </c>
      <c r="AX280" s="3">
        <v>0</v>
      </c>
      <c r="AY280" s="3">
        <v>0</v>
      </c>
    </row>
    <row r="281" spans="1:51">
      <c r="A281" s="3">
        <v>4461315</v>
      </c>
      <c r="B281" t="s">
        <v>518</v>
      </c>
      <c r="C281" s="3">
        <v>12321402</v>
      </c>
      <c r="D281" t="s">
        <v>44</v>
      </c>
      <c r="E281" t="s">
        <v>200</v>
      </c>
      <c r="F281" t="s">
        <v>65</v>
      </c>
      <c r="G281" t="s">
        <v>47</v>
      </c>
      <c r="H281" s="16">
        <v>0</v>
      </c>
      <c r="I281" s="4">
        <f>VLOOKUP(C281,[1]sheet1!$D:$I,6,0)</f>
        <v>0</v>
      </c>
      <c r="J281" s="4">
        <f>VLOOKUP(C281,[2]sheet1!$D:$I,6,0)</f>
        <v>0</v>
      </c>
      <c r="K281" s="4">
        <f>VLOOKUP(C281,[3]sheet1!$D:$I,6,0)</f>
        <v>0</v>
      </c>
      <c r="L281" s="4">
        <f>VLOOKUP(C281,[4]sheet1!$D:$I,6,0)</f>
        <v>0</v>
      </c>
      <c r="M281" s="4">
        <f>VLOOKUP(C281,[5]sheet1!$D:$I,6,0)</f>
        <v>0</v>
      </c>
      <c r="N281" s="4">
        <f>VLOOKUP(C281,[6]sheet1!$D:$I,6,0)</f>
        <v>0</v>
      </c>
      <c r="O281" s="4">
        <f>VLOOKUP(C281,[7]sheet1!$D:$I,6,0)</f>
        <v>0</v>
      </c>
      <c r="P281" s="4">
        <f>VLOOKUP(C281,[8]sheet1!$D:$I,6,0)</f>
        <v>0</v>
      </c>
      <c r="Q281" s="4">
        <f t="shared" si="4"/>
        <v>0</v>
      </c>
      <c r="R281" s="3">
        <v>0</v>
      </c>
      <c r="S281" s="3">
        <v>4</v>
      </c>
      <c r="T281" s="19">
        <v>0</v>
      </c>
      <c r="U281" s="3">
        <v>0</v>
      </c>
      <c r="V281" s="3">
        <v>0</v>
      </c>
      <c r="W281">
        <v>0</v>
      </c>
      <c r="X281" s="3">
        <v>0</v>
      </c>
      <c r="Y281">
        <v>0</v>
      </c>
      <c r="Z281" s="3">
        <v>0</v>
      </c>
      <c r="AA281" t="s">
        <v>49</v>
      </c>
      <c r="AB281" t="s">
        <v>49</v>
      </c>
      <c r="AC281" t="s">
        <v>49</v>
      </c>
      <c r="AD281" t="s">
        <v>49</v>
      </c>
      <c r="AE281">
        <v>0</v>
      </c>
      <c r="AF281" s="3">
        <v>0</v>
      </c>
      <c r="AG281" t="s">
        <v>49</v>
      </c>
      <c r="AH281" t="s">
        <v>49</v>
      </c>
      <c r="AI281" t="s">
        <v>49</v>
      </c>
      <c r="AJ281" t="s">
        <v>49</v>
      </c>
      <c r="AK281" t="s">
        <v>49</v>
      </c>
      <c r="AL281" t="s">
        <v>49</v>
      </c>
      <c r="AM281" t="s">
        <v>49</v>
      </c>
      <c r="AN281" s="3">
        <v>4</v>
      </c>
      <c r="AO281" s="19">
        <v>0</v>
      </c>
      <c r="AP281" s="19">
        <v>0</v>
      </c>
      <c r="AQ281" s="19">
        <v>0.75</v>
      </c>
      <c r="AR281" s="19">
        <v>0</v>
      </c>
      <c r="AS281" s="19">
        <v>0</v>
      </c>
      <c r="AT281" s="19">
        <v>0</v>
      </c>
      <c r="AU281" s="3">
        <v>0</v>
      </c>
      <c r="AV281" s="3">
        <v>0</v>
      </c>
      <c r="AW281" s="19">
        <v>0</v>
      </c>
      <c r="AX281" s="3">
        <v>0</v>
      </c>
      <c r="AY281" s="3">
        <v>0</v>
      </c>
    </row>
    <row r="282" spans="1:51">
      <c r="A282" s="3">
        <v>4461306</v>
      </c>
      <c r="B282" t="s">
        <v>519</v>
      </c>
      <c r="C282" s="3">
        <v>12221514</v>
      </c>
      <c r="D282" t="s">
        <v>44</v>
      </c>
      <c r="E282" t="s">
        <v>90</v>
      </c>
      <c r="F282" t="s">
        <v>65</v>
      </c>
      <c r="G282" t="s">
        <v>47</v>
      </c>
      <c r="H282" s="16">
        <v>0</v>
      </c>
      <c r="I282" s="4">
        <f>VLOOKUP(C282,[1]sheet1!$D:$I,6,0)</f>
        <v>228</v>
      </c>
      <c r="J282" s="4">
        <f>VLOOKUP(C282,[2]sheet1!$D:$I,6,0)</f>
        <v>0</v>
      </c>
      <c r="K282" s="4">
        <f>VLOOKUP(C282,[3]sheet1!$D:$I,6,0)</f>
        <v>235</v>
      </c>
      <c r="L282" s="4">
        <f>VLOOKUP(C282,[4]sheet1!$D:$I,6,0)</f>
        <v>114</v>
      </c>
      <c r="M282" s="4">
        <f>VLOOKUP(C282,[5]sheet1!$D:$I,6,0)</f>
        <v>0</v>
      </c>
      <c r="N282" s="4">
        <f>VLOOKUP(C282,[6]sheet1!$D:$I,6,0)</f>
        <v>0</v>
      </c>
      <c r="O282" s="4">
        <f>VLOOKUP(C282,[7]sheet1!$D:$I,6,0)</f>
        <v>0</v>
      </c>
      <c r="P282" s="4">
        <f>VLOOKUP(C282,[8]sheet1!$D:$I,6,0)</f>
        <v>231</v>
      </c>
      <c r="Q282" s="4">
        <f t="shared" si="4"/>
        <v>808</v>
      </c>
      <c r="R282" s="3">
        <v>0</v>
      </c>
      <c r="S282" s="3">
        <v>183</v>
      </c>
      <c r="T282" s="19">
        <v>0</v>
      </c>
      <c r="U282" s="3">
        <v>4</v>
      </c>
      <c r="V282" s="3">
        <v>0</v>
      </c>
      <c r="W282">
        <v>129</v>
      </c>
      <c r="X282" s="3">
        <v>1</v>
      </c>
      <c r="Y282">
        <v>0</v>
      </c>
      <c r="Z282" s="3">
        <v>0</v>
      </c>
      <c r="AA282" t="s">
        <v>49</v>
      </c>
      <c r="AB282" t="s">
        <v>49</v>
      </c>
      <c r="AC282" t="s">
        <v>49</v>
      </c>
      <c r="AD282" t="s">
        <v>49</v>
      </c>
      <c r="AE282">
        <v>0</v>
      </c>
      <c r="AF282" s="3">
        <v>0</v>
      </c>
      <c r="AG282" t="s">
        <v>49</v>
      </c>
      <c r="AH282" t="s">
        <v>49</v>
      </c>
      <c r="AI282" t="s">
        <v>49</v>
      </c>
      <c r="AJ282" t="s">
        <v>49</v>
      </c>
      <c r="AK282" t="s">
        <v>49</v>
      </c>
      <c r="AL282" t="s">
        <v>49</v>
      </c>
      <c r="AM282" t="s">
        <v>49</v>
      </c>
      <c r="AN282" s="3">
        <v>228</v>
      </c>
      <c r="AO282" s="19">
        <v>0</v>
      </c>
      <c r="AP282" s="19">
        <v>0</v>
      </c>
      <c r="AQ282" s="19">
        <v>0.7213</v>
      </c>
      <c r="AR282" s="19">
        <v>0.2514</v>
      </c>
      <c r="AS282" s="19">
        <v>1</v>
      </c>
      <c r="AT282" s="19">
        <v>0.25</v>
      </c>
      <c r="AU282" s="3">
        <v>0</v>
      </c>
      <c r="AV282" s="3">
        <v>0</v>
      </c>
      <c r="AW282" s="19">
        <v>0</v>
      </c>
      <c r="AX282" s="3">
        <v>0</v>
      </c>
      <c r="AY282" s="3">
        <v>0</v>
      </c>
    </row>
    <row r="283" spans="1:51">
      <c r="A283" s="3">
        <v>4461302</v>
      </c>
      <c r="B283" t="s">
        <v>520</v>
      </c>
      <c r="C283" s="3">
        <v>12231104</v>
      </c>
      <c r="D283" t="s">
        <v>44</v>
      </c>
      <c r="E283" t="s">
        <v>198</v>
      </c>
      <c r="F283" t="s">
        <v>65</v>
      </c>
      <c r="G283" t="s">
        <v>47</v>
      </c>
      <c r="H283" s="16">
        <v>0</v>
      </c>
      <c r="I283" s="4">
        <f>VLOOKUP(C283,[1]sheet1!$D:$I,6,0)</f>
        <v>0</v>
      </c>
      <c r="J283" s="4">
        <f>VLOOKUP(C283,[2]sheet1!$D:$I,6,0)</f>
        <v>0</v>
      </c>
      <c r="K283" s="4">
        <f>VLOOKUP(C283,[3]sheet1!$D:$I,6,0)</f>
        <v>0</v>
      </c>
      <c r="L283" s="4">
        <f>VLOOKUP(C283,[4]sheet1!$D:$I,6,0)</f>
        <v>0</v>
      </c>
      <c r="M283" s="4">
        <f>VLOOKUP(C283,[5]sheet1!$D:$I,6,0)</f>
        <v>0</v>
      </c>
      <c r="N283" s="4">
        <f>VLOOKUP(C283,[6]sheet1!$D:$I,6,0)</f>
        <v>0</v>
      </c>
      <c r="O283" s="4">
        <f>VLOOKUP(C283,[7]sheet1!$D:$I,6,0)</f>
        <v>0</v>
      </c>
      <c r="P283" s="4">
        <f>VLOOKUP(C283,[8]sheet1!$D:$I,6,0)</f>
        <v>0</v>
      </c>
      <c r="Q283" s="4">
        <f t="shared" si="4"/>
        <v>0</v>
      </c>
      <c r="R283" s="3">
        <v>0</v>
      </c>
      <c r="S283" s="3">
        <v>1</v>
      </c>
      <c r="T283" s="19">
        <v>0</v>
      </c>
      <c r="U283" s="3">
        <v>0</v>
      </c>
      <c r="V283" s="3">
        <v>0</v>
      </c>
      <c r="W283">
        <v>0</v>
      </c>
      <c r="X283" s="3">
        <v>0</v>
      </c>
      <c r="Y283">
        <v>0</v>
      </c>
      <c r="Z283" s="3">
        <v>0</v>
      </c>
      <c r="AA283" t="s">
        <v>49</v>
      </c>
      <c r="AB283" t="s">
        <v>49</v>
      </c>
      <c r="AC283" t="s">
        <v>49</v>
      </c>
      <c r="AD283" t="s">
        <v>49</v>
      </c>
      <c r="AE283">
        <v>0</v>
      </c>
      <c r="AF283" s="3">
        <v>0</v>
      </c>
      <c r="AG283" t="s">
        <v>49</v>
      </c>
      <c r="AH283" t="s">
        <v>49</v>
      </c>
      <c r="AI283" t="s">
        <v>49</v>
      </c>
      <c r="AJ283" t="s">
        <v>49</v>
      </c>
      <c r="AK283" t="s">
        <v>49</v>
      </c>
      <c r="AL283" t="s">
        <v>49</v>
      </c>
      <c r="AM283" t="s">
        <v>49</v>
      </c>
      <c r="AN283" s="3">
        <v>1</v>
      </c>
      <c r="AO283" s="19">
        <v>0</v>
      </c>
      <c r="AP283" s="19">
        <v>0</v>
      </c>
      <c r="AQ283" s="19">
        <v>0</v>
      </c>
      <c r="AR283" s="19">
        <v>0</v>
      </c>
      <c r="AS283" s="19">
        <v>0</v>
      </c>
      <c r="AT283" s="19">
        <v>0</v>
      </c>
      <c r="AU283" s="3">
        <v>0</v>
      </c>
      <c r="AV283" s="3">
        <v>0</v>
      </c>
      <c r="AW283" s="19">
        <v>0</v>
      </c>
      <c r="AX283" s="3">
        <v>0</v>
      </c>
      <c r="AY283" s="3">
        <v>0</v>
      </c>
    </row>
    <row r="284" spans="1:51">
      <c r="A284" s="3">
        <v>4461273</v>
      </c>
      <c r="B284" t="s">
        <v>521</v>
      </c>
      <c r="C284" s="3">
        <v>115107016</v>
      </c>
      <c r="D284" t="s">
        <v>44</v>
      </c>
      <c r="E284" t="s">
        <v>185</v>
      </c>
      <c r="F284" t="s">
        <v>46</v>
      </c>
      <c r="G284" t="s">
        <v>47</v>
      </c>
      <c r="H284" s="16">
        <v>0</v>
      </c>
      <c r="I284" s="4">
        <f>VLOOKUP(C284,[1]sheet1!$D:$I,6,0)</f>
        <v>0</v>
      </c>
      <c r="J284" s="4">
        <f>VLOOKUP(C284,[2]sheet1!$D:$I,6,0)</f>
        <v>0</v>
      </c>
      <c r="K284" s="4">
        <f>VLOOKUP(C284,[3]sheet1!$D:$I,6,0)</f>
        <v>0</v>
      </c>
      <c r="L284" s="4">
        <f>VLOOKUP(C284,[4]sheet1!$D:$I,6,0)</f>
        <v>0</v>
      </c>
      <c r="M284" s="4">
        <f>VLOOKUP(C284,[5]sheet1!$D:$I,6,0)</f>
        <v>836</v>
      </c>
      <c r="N284" s="4">
        <f>VLOOKUP(C284,[6]sheet1!$D:$I,6,0)</f>
        <v>0</v>
      </c>
      <c r="O284" s="4">
        <f>VLOOKUP(C284,[7]sheet1!$D:$I,6,0)</f>
        <v>0</v>
      </c>
      <c r="P284" s="4">
        <f>VLOOKUP(C284,[8]sheet1!$D:$I,6,0)</f>
        <v>819</v>
      </c>
      <c r="Q284" s="15">
        <f t="shared" si="4"/>
        <v>1655</v>
      </c>
      <c r="R284" s="3">
        <v>0</v>
      </c>
      <c r="S284">
        <v>331</v>
      </c>
      <c r="T284">
        <v>0</v>
      </c>
      <c r="U284" s="3">
        <v>2</v>
      </c>
      <c r="V284" s="3">
        <v>0</v>
      </c>
      <c r="W284">
        <v>0</v>
      </c>
      <c r="X284" s="3">
        <v>0</v>
      </c>
      <c r="Y284">
        <v>0</v>
      </c>
      <c r="Z284" s="3">
        <v>0</v>
      </c>
      <c r="AA284" t="s">
        <v>52</v>
      </c>
      <c r="AB284" s="3">
        <v>254</v>
      </c>
      <c r="AC284">
        <v>241.52</v>
      </c>
      <c r="AD284" t="s">
        <v>49</v>
      </c>
      <c r="AE284">
        <v>0</v>
      </c>
      <c r="AF284" s="3">
        <v>0</v>
      </c>
      <c r="AG284" t="s">
        <v>49</v>
      </c>
      <c r="AH284">
        <v>0</v>
      </c>
      <c r="AI284" t="s">
        <v>49</v>
      </c>
      <c r="AJ284">
        <v>211.07</v>
      </c>
      <c r="AK284" t="s">
        <v>49</v>
      </c>
      <c r="AL284">
        <v>0</v>
      </c>
      <c r="AM284" t="s">
        <v>49</v>
      </c>
      <c r="AN284" s="3">
        <v>103</v>
      </c>
      <c r="AO284" s="19">
        <v>0</v>
      </c>
      <c r="AP284" s="19">
        <v>0</v>
      </c>
      <c r="AQ284" s="19">
        <v>0.7284</v>
      </c>
      <c r="AR284" s="19">
        <v>0.358</v>
      </c>
      <c r="AS284" s="19">
        <v>1</v>
      </c>
      <c r="AT284" s="19">
        <v>1</v>
      </c>
      <c r="AU284" s="3">
        <v>0</v>
      </c>
      <c r="AV284" s="3">
        <v>0</v>
      </c>
      <c r="AW284" s="19">
        <v>0</v>
      </c>
      <c r="AX284" s="3">
        <v>0</v>
      </c>
      <c r="AY284" s="3">
        <v>0</v>
      </c>
    </row>
    <row r="285" spans="1:51">
      <c r="A285" s="3">
        <v>4461237</v>
      </c>
      <c r="B285" t="s">
        <v>522</v>
      </c>
      <c r="C285" s="3">
        <v>11321401</v>
      </c>
      <c r="D285" t="s">
        <v>44</v>
      </c>
      <c r="E285" t="s">
        <v>57</v>
      </c>
      <c r="F285" t="s">
        <v>65</v>
      </c>
      <c r="G285" t="s">
        <v>47</v>
      </c>
      <c r="H285" s="16">
        <v>0</v>
      </c>
      <c r="I285" s="4">
        <f>VLOOKUP(C285,[1]sheet1!$D:$I,6,0)</f>
        <v>0</v>
      </c>
      <c r="J285" s="4">
        <f>VLOOKUP(C285,[2]sheet1!$D:$I,6,0)</f>
        <v>0</v>
      </c>
      <c r="K285" s="4">
        <f>VLOOKUP(C285,[3]sheet1!$D:$I,6,0)</f>
        <v>0</v>
      </c>
      <c r="L285" s="4">
        <f>VLOOKUP(C285,[4]sheet1!$D:$I,6,0)</f>
        <v>0</v>
      </c>
      <c r="M285" s="4">
        <f>VLOOKUP(C285,[5]sheet1!$D:$I,6,0)</f>
        <v>0</v>
      </c>
      <c r="N285" s="4">
        <f>VLOOKUP(C285,[6]sheet1!$D:$I,6,0)</f>
        <v>0</v>
      </c>
      <c r="O285" s="4">
        <f>VLOOKUP(C285,[7]sheet1!$D:$I,6,0)</f>
        <v>0</v>
      </c>
      <c r="P285" s="4">
        <f>VLOOKUP(C285,[8]sheet1!$D:$I,6,0)</f>
        <v>0</v>
      </c>
      <c r="Q285" s="4">
        <f t="shared" si="4"/>
        <v>0</v>
      </c>
      <c r="R285" s="3">
        <v>0</v>
      </c>
      <c r="S285" s="3">
        <v>17</v>
      </c>
      <c r="T285" s="19">
        <v>0</v>
      </c>
      <c r="U285" s="3">
        <v>0</v>
      </c>
      <c r="V285" s="3">
        <v>0</v>
      </c>
      <c r="W285">
        <v>0</v>
      </c>
      <c r="X285" s="3">
        <v>0</v>
      </c>
      <c r="Y285">
        <v>0</v>
      </c>
      <c r="Z285" s="3">
        <v>0</v>
      </c>
      <c r="AA285" t="s">
        <v>49</v>
      </c>
      <c r="AB285" t="s">
        <v>49</v>
      </c>
      <c r="AC285" t="s">
        <v>49</v>
      </c>
      <c r="AD285" t="s">
        <v>49</v>
      </c>
      <c r="AE285">
        <v>0</v>
      </c>
      <c r="AF285" s="3">
        <v>0</v>
      </c>
      <c r="AG285" t="s">
        <v>49</v>
      </c>
      <c r="AH285" t="s">
        <v>49</v>
      </c>
      <c r="AI285" t="s">
        <v>49</v>
      </c>
      <c r="AJ285" t="s">
        <v>49</v>
      </c>
      <c r="AK285" t="s">
        <v>49</v>
      </c>
      <c r="AL285" t="s">
        <v>49</v>
      </c>
      <c r="AM285" t="s">
        <v>49</v>
      </c>
      <c r="AN285" s="3">
        <v>18</v>
      </c>
      <c r="AO285" s="19">
        <v>0</v>
      </c>
      <c r="AP285" s="19">
        <v>0</v>
      </c>
      <c r="AQ285" s="19">
        <v>0.4118</v>
      </c>
      <c r="AR285" s="19">
        <v>0.2353</v>
      </c>
      <c r="AS285" s="19">
        <v>0</v>
      </c>
      <c r="AT285" s="19">
        <v>0</v>
      </c>
      <c r="AU285" s="3">
        <v>0</v>
      </c>
      <c r="AV285" s="3">
        <v>0</v>
      </c>
      <c r="AW285" s="19">
        <v>0</v>
      </c>
      <c r="AX285" s="3">
        <v>0</v>
      </c>
      <c r="AY285" s="3">
        <v>0</v>
      </c>
    </row>
    <row r="286" spans="1:51">
      <c r="A286" s="3">
        <v>4461165</v>
      </c>
      <c r="B286" t="s">
        <v>523</v>
      </c>
      <c r="C286" s="3">
        <v>11830603</v>
      </c>
      <c r="D286" t="s">
        <v>44</v>
      </c>
      <c r="E286" t="s">
        <v>143</v>
      </c>
      <c r="F286" t="s">
        <v>46</v>
      </c>
      <c r="G286" t="s">
        <v>47</v>
      </c>
      <c r="H286" s="16">
        <v>0</v>
      </c>
      <c r="I286" s="4">
        <f>VLOOKUP(C286,[1]sheet1!$D:$I,6,0)</f>
        <v>0</v>
      </c>
      <c r="J286" s="4">
        <f>VLOOKUP(C286,[2]sheet1!$D:$I,6,0)</f>
        <v>0</v>
      </c>
      <c r="K286" s="4">
        <f>VLOOKUP(C286,[3]sheet1!$D:$I,6,0)</f>
        <v>0</v>
      </c>
      <c r="L286" s="4">
        <f>VLOOKUP(C286,[4]sheet1!$D:$I,6,0)</f>
        <v>0</v>
      </c>
      <c r="M286" s="4">
        <f>VLOOKUP(C286,[5]sheet1!$D:$I,6,0)</f>
        <v>0</v>
      </c>
      <c r="N286" s="4">
        <f>VLOOKUP(C286,[6]sheet1!$D:$I,6,0)</f>
        <v>0</v>
      </c>
      <c r="O286" s="4">
        <f>VLOOKUP(C286,[7]sheet1!$D:$I,6,0)</f>
        <v>0</v>
      </c>
      <c r="P286" s="4">
        <f>VLOOKUP(C286,[8]sheet1!$D:$I,6,0)</f>
        <v>0</v>
      </c>
      <c r="Q286" s="15">
        <f t="shared" si="4"/>
        <v>0</v>
      </c>
      <c r="R286" s="3">
        <v>0</v>
      </c>
      <c r="S286">
        <v>133</v>
      </c>
      <c r="T286">
        <v>0</v>
      </c>
      <c r="U286" s="3">
        <v>1</v>
      </c>
      <c r="V286" s="3">
        <v>0</v>
      </c>
      <c r="W286">
        <v>0</v>
      </c>
      <c r="X286" s="3">
        <v>0</v>
      </c>
      <c r="Y286">
        <v>0</v>
      </c>
      <c r="Z286" s="3">
        <v>0</v>
      </c>
      <c r="AA286" t="s">
        <v>343</v>
      </c>
      <c r="AB286" s="3">
        <v>329</v>
      </c>
      <c r="AC286">
        <v>284.72</v>
      </c>
      <c r="AD286" t="s">
        <v>49</v>
      </c>
      <c r="AE286">
        <v>0</v>
      </c>
      <c r="AF286" s="3">
        <v>0</v>
      </c>
      <c r="AG286" t="s">
        <v>49</v>
      </c>
      <c r="AH286">
        <v>0</v>
      </c>
      <c r="AI286" t="s">
        <v>49</v>
      </c>
      <c r="AJ286">
        <v>276.02</v>
      </c>
      <c r="AK286" t="s">
        <v>49</v>
      </c>
      <c r="AL286">
        <v>0</v>
      </c>
      <c r="AM286" t="s">
        <v>49</v>
      </c>
      <c r="AN286">
        <v>138</v>
      </c>
      <c r="AO286" s="19">
        <v>0</v>
      </c>
      <c r="AP286" s="19">
        <v>0</v>
      </c>
      <c r="AQ286" s="19">
        <v>0.9231</v>
      </c>
      <c r="AR286" s="19">
        <v>0.4615</v>
      </c>
      <c r="AS286" s="19">
        <v>1</v>
      </c>
      <c r="AT286" s="19">
        <v>1</v>
      </c>
      <c r="AU286" s="3">
        <v>0</v>
      </c>
      <c r="AV286" s="3">
        <v>0</v>
      </c>
      <c r="AW286" s="19">
        <v>0</v>
      </c>
      <c r="AX286" s="3">
        <v>0</v>
      </c>
      <c r="AY286" s="3">
        <v>0</v>
      </c>
    </row>
    <row r="287" spans="1:51">
      <c r="A287" s="3">
        <v>4460982</v>
      </c>
      <c r="B287" t="s">
        <v>524</v>
      </c>
      <c r="C287" s="3">
        <v>12830604</v>
      </c>
      <c r="D287" t="s">
        <v>44</v>
      </c>
      <c r="E287" t="s">
        <v>138</v>
      </c>
      <c r="F287" t="s">
        <v>46</v>
      </c>
      <c r="G287" t="s">
        <v>47</v>
      </c>
      <c r="H287" s="16">
        <v>0</v>
      </c>
      <c r="I287" s="4">
        <f>VLOOKUP(C287,[1]sheet1!$D:$I,6,0)</f>
        <v>0</v>
      </c>
      <c r="J287" s="4">
        <f>VLOOKUP(C287,[2]sheet1!$D:$I,6,0)</f>
        <v>0</v>
      </c>
      <c r="K287" s="4">
        <f>VLOOKUP(C287,[3]sheet1!$D:$I,6,0)</f>
        <v>0</v>
      </c>
      <c r="L287" s="4">
        <f>VLOOKUP(C287,[4]sheet1!$D:$I,6,0)</f>
        <v>0</v>
      </c>
      <c r="M287" s="4">
        <f>VLOOKUP(C287,[5]sheet1!$D:$I,6,0)</f>
        <v>0</v>
      </c>
      <c r="N287" s="4">
        <f>VLOOKUP(C287,[6]sheet1!$D:$I,6,0)</f>
        <v>0</v>
      </c>
      <c r="O287" s="4">
        <f>VLOOKUP(C287,[7]sheet1!$D:$I,6,0)</f>
        <v>0</v>
      </c>
      <c r="P287" s="4">
        <f>VLOOKUP(C287,[8]sheet1!$D:$I,6,0)</f>
        <v>0</v>
      </c>
      <c r="Q287" s="15">
        <f t="shared" si="4"/>
        <v>0</v>
      </c>
      <c r="R287" s="3">
        <v>0</v>
      </c>
      <c r="S287">
        <v>37</v>
      </c>
      <c r="T287">
        <v>0</v>
      </c>
      <c r="U287" s="3">
        <v>1</v>
      </c>
      <c r="V287" s="3">
        <v>0</v>
      </c>
      <c r="W287">
        <v>0</v>
      </c>
      <c r="X287" s="3">
        <v>0</v>
      </c>
      <c r="Y287">
        <v>0</v>
      </c>
      <c r="Z287" s="3">
        <v>0</v>
      </c>
      <c r="AA287" t="s">
        <v>343</v>
      </c>
      <c r="AB287" s="3">
        <v>339</v>
      </c>
      <c r="AC287">
        <v>282.74</v>
      </c>
      <c r="AD287" t="s">
        <v>49</v>
      </c>
      <c r="AE287">
        <v>0</v>
      </c>
      <c r="AF287" s="3">
        <v>0</v>
      </c>
      <c r="AG287" t="s">
        <v>49</v>
      </c>
      <c r="AH287">
        <v>0</v>
      </c>
      <c r="AI287" t="s">
        <v>49</v>
      </c>
      <c r="AJ287" t="s">
        <v>49</v>
      </c>
      <c r="AK287" t="s">
        <v>49</v>
      </c>
      <c r="AL287" t="s">
        <v>49</v>
      </c>
      <c r="AM287" t="s">
        <v>49</v>
      </c>
      <c r="AN287" s="3">
        <v>1</v>
      </c>
      <c r="AO287" s="19">
        <v>0</v>
      </c>
      <c r="AP287" s="19">
        <v>0</v>
      </c>
      <c r="AQ287" s="19">
        <v>0</v>
      </c>
      <c r="AR287" s="19">
        <v>1</v>
      </c>
      <c r="AS287" s="19">
        <v>0</v>
      </c>
      <c r="AT287" s="19">
        <v>1</v>
      </c>
      <c r="AU287" s="3">
        <v>0</v>
      </c>
      <c r="AV287" s="3">
        <v>0</v>
      </c>
      <c r="AW287" s="19">
        <v>0</v>
      </c>
      <c r="AX287" s="3">
        <v>0</v>
      </c>
      <c r="AY287" s="3">
        <v>0</v>
      </c>
    </row>
    <row r="288" spans="1:51">
      <c r="A288" s="3">
        <v>4460793</v>
      </c>
      <c r="B288" t="s">
        <v>525</v>
      </c>
      <c r="C288" s="3">
        <v>11021509</v>
      </c>
      <c r="D288" t="s">
        <v>44</v>
      </c>
      <c r="E288" t="s">
        <v>54</v>
      </c>
      <c r="F288" t="s">
        <v>65</v>
      </c>
      <c r="G288" t="s">
        <v>47</v>
      </c>
      <c r="H288" s="16">
        <v>0</v>
      </c>
      <c r="I288" s="4">
        <f>VLOOKUP(C288,[1]sheet1!$D:$I,6,0)</f>
        <v>0</v>
      </c>
      <c r="J288" s="4">
        <f>VLOOKUP(C288,[2]sheet1!$D:$I,6,0)</f>
        <v>0</v>
      </c>
      <c r="K288" s="4">
        <f>VLOOKUP(C288,[3]sheet1!$D:$I,6,0)</f>
        <v>0</v>
      </c>
      <c r="L288" s="4">
        <f>VLOOKUP(C288,[4]sheet1!$D:$I,6,0)</f>
        <v>0</v>
      </c>
      <c r="M288" s="4">
        <f>VLOOKUP(C288,[5]sheet1!$D:$I,6,0)</f>
        <v>0</v>
      </c>
      <c r="N288" s="4">
        <f>VLOOKUP(C288,[6]sheet1!$D:$I,6,0)</f>
        <v>0</v>
      </c>
      <c r="O288" s="4">
        <f>VLOOKUP(C288,[7]sheet1!$D:$I,6,0)</f>
        <v>0</v>
      </c>
      <c r="P288" s="4">
        <f>VLOOKUP(C288,[8]sheet1!$D:$I,6,0)</f>
        <v>0</v>
      </c>
      <c r="Q288" s="4">
        <f t="shared" si="4"/>
        <v>0</v>
      </c>
      <c r="R288" s="3">
        <v>0</v>
      </c>
      <c r="S288" s="3">
        <v>11</v>
      </c>
      <c r="T288" s="19">
        <v>0</v>
      </c>
      <c r="U288" s="3">
        <v>0</v>
      </c>
      <c r="V288" s="3">
        <v>0</v>
      </c>
      <c r="W288">
        <v>0</v>
      </c>
      <c r="X288" s="3">
        <v>0</v>
      </c>
      <c r="Y288">
        <v>0</v>
      </c>
      <c r="Z288" s="3">
        <v>0</v>
      </c>
      <c r="AA288" t="s">
        <v>49</v>
      </c>
      <c r="AB288" t="s">
        <v>49</v>
      </c>
      <c r="AC288" t="s">
        <v>49</v>
      </c>
      <c r="AD288" t="s">
        <v>49</v>
      </c>
      <c r="AE288">
        <v>0</v>
      </c>
      <c r="AF288" s="3">
        <v>0</v>
      </c>
      <c r="AG288" t="s">
        <v>49</v>
      </c>
      <c r="AH288" t="s">
        <v>49</v>
      </c>
      <c r="AI288" t="s">
        <v>49</v>
      </c>
      <c r="AJ288" t="s">
        <v>49</v>
      </c>
      <c r="AK288" t="s">
        <v>49</v>
      </c>
      <c r="AL288" t="s">
        <v>49</v>
      </c>
      <c r="AM288" t="s">
        <v>49</v>
      </c>
      <c r="AN288" s="3">
        <v>11</v>
      </c>
      <c r="AO288" s="19">
        <v>0</v>
      </c>
      <c r="AP288" s="19">
        <v>0</v>
      </c>
      <c r="AQ288" s="19">
        <v>0.6364</v>
      </c>
      <c r="AR288" s="19">
        <v>0.0909</v>
      </c>
      <c r="AS288" s="19">
        <v>0</v>
      </c>
      <c r="AT288" s="19">
        <v>0</v>
      </c>
      <c r="AU288" s="3">
        <v>0</v>
      </c>
      <c r="AV288" s="3">
        <v>0</v>
      </c>
      <c r="AW288" s="19">
        <v>0</v>
      </c>
      <c r="AX288" s="3">
        <v>0</v>
      </c>
      <c r="AY288" s="3">
        <v>0</v>
      </c>
    </row>
    <row r="289" spans="1:51">
      <c r="A289" s="3">
        <v>4460791</v>
      </c>
      <c r="B289" t="s">
        <v>526</v>
      </c>
      <c r="C289" s="3">
        <v>12213804</v>
      </c>
      <c r="D289" t="s">
        <v>44</v>
      </c>
      <c r="E289" t="s">
        <v>527</v>
      </c>
      <c r="F289" t="s">
        <v>65</v>
      </c>
      <c r="G289" t="s">
        <v>47</v>
      </c>
      <c r="H289" s="16">
        <v>0</v>
      </c>
      <c r="I289" s="4">
        <f>VLOOKUP(C289,[1]sheet1!$D:$I,6,0)</f>
        <v>0</v>
      </c>
      <c r="J289" s="4">
        <f>VLOOKUP(C289,[2]sheet1!$D:$I,6,0)</f>
        <v>0</v>
      </c>
      <c r="K289" s="4">
        <f>VLOOKUP(C289,[3]sheet1!$D:$I,6,0)</f>
        <v>0</v>
      </c>
      <c r="L289" s="4">
        <f>VLOOKUP(C289,[4]sheet1!$D:$I,6,0)</f>
        <v>0</v>
      </c>
      <c r="M289" s="4">
        <f>VLOOKUP(C289,[5]sheet1!$D:$I,6,0)</f>
        <v>0</v>
      </c>
      <c r="N289" s="4">
        <f>VLOOKUP(C289,[6]sheet1!$D:$I,6,0)</f>
        <v>0</v>
      </c>
      <c r="O289" s="4">
        <f>VLOOKUP(C289,[7]sheet1!$D:$I,6,0)</f>
        <v>0</v>
      </c>
      <c r="P289" s="4">
        <f>VLOOKUP(C289,[8]sheet1!$D:$I,6,0)</f>
        <v>0</v>
      </c>
      <c r="Q289" s="4">
        <f t="shared" si="4"/>
        <v>0</v>
      </c>
      <c r="R289" s="3">
        <v>0</v>
      </c>
      <c r="S289" s="3">
        <v>0</v>
      </c>
      <c r="T289" s="19">
        <v>0</v>
      </c>
      <c r="U289" s="3">
        <v>0</v>
      </c>
      <c r="V289" s="3">
        <v>0</v>
      </c>
      <c r="W289">
        <v>0</v>
      </c>
      <c r="X289" s="3">
        <v>0</v>
      </c>
      <c r="Y289">
        <v>0</v>
      </c>
      <c r="Z289" s="3">
        <v>0</v>
      </c>
      <c r="AA289" t="s">
        <v>49</v>
      </c>
      <c r="AB289" t="s">
        <v>49</v>
      </c>
      <c r="AC289" t="s">
        <v>49</v>
      </c>
      <c r="AD289" t="s">
        <v>49</v>
      </c>
      <c r="AE289">
        <v>0</v>
      </c>
      <c r="AF289" s="3">
        <v>0</v>
      </c>
      <c r="AG289" t="s">
        <v>49</v>
      </c>
      <c r="AH289" t="s">
        <v>49</v>
      </c>
      <c r="AI289" t="s">
        <v>49</v>
      </c>
      <c r="AJ289" t="s">
        <v>49</v>
      </c>
      <c r="AK289" t="s">
        <v>49</v>
      </c>
      <c r="AL289" t="s">
        <v>49</v>
      </c>
      <c r="AM289" t="s">
        <v>49</v>
      </c>
      <c r="AN289" s="3">
        <v>0</v>
      </c>
      <c r="AO289" s="19">
        <v>0</v>
      </c>
      <c r="AP289" s="19">
        <v>0</v>
      </c>
      <c r="AQ289" s="19">
        <v>0</v>
      </c>
      <c r="AR289" s="19">
        <v>0</v>
      </c>
      <c r="AS289" s="19">
        <v>0</v>
      </c>
      <c r="AT289" s="19">
        <v>0</v>
      </c>
      <c r="AU289" s="3">
        <v>0</v>
      </c>
      <c r="AV289" s="3">
        <v>0</v>
      </c>
      <c r="AW289" s="19">
        <v>0</v>
      </c>
      <c r="AX289" s="3">
        <v>0</v>
      </c>
      <c r="AY289" s="3">
        <v>0</v>
      </c>
    </row>
    <row r="290" spans="1:51">
      <c r="A290" s="3">
        <v>4460391</v>
      </c>
      <c r="B290" t="s">
        <v>528</v>
      </c>
      <c r="C290" s="3">
        <v>12230702</v>
      </c>
      <c r="D290" t="s">
        <v>44</v>
      </c>
      <c r="E290" t="s">
        <v>290</v>
      </c>
      <c r="F290" t="s">
        <v>46</v>
      </c>
      <c r="G290" t="s">
        <v>47</v>
      </c>
      <c r="H290" s="16">
        <v>0</v>
      </c>
      <c r="I290" s="4">
        <f>VLOOKUP(C290,[1]sheet1!$D:$I,6,0)</f>
        <v>0</v>
      </c>
      <c r="J290" s="4">
        <f>VLOOKUP(C290,[2]sheet1!$D:$I,6,0)</f>
        <v>0</v>
      </c>
      <c r="K290" s="4">
        <f>VLOOKUP(C290,[3]sheet1!$D:$I,6,0)</f>
        <v>0</v>
      </c>
      <c r="L290" s="4">
        <f>VLOOKUP(C290,[4]sheet1!$D:$I,6,0)</f>
        <v>0</v>
      </c>
      <c r="M290" s="4">
        <f>VLOOKUP(C290,[5]sheet1!$D:$I,6,0)</f>
        <v>0</v>
      </c>
      <c r="N290" s="4">
        <f>VLOOKUP(C290,[6]sheet1!$D:$I,6,0)</f>
        <v>0</v>
      </c>
      <c r="O290" s="4">
        <f>VLOOKUP(C290,[7]sheet1!$D:$I,6,0)</f>
        <v>0</v>
      </c>
      <c r="P290" s="4">
        <f>VLOOKUP(C290,[8]sheet1!$D:$I,6,0)</f>
        <v>0</v>
      </c>
      <c r="Q290" s="15">
        <f t="shared" si="4"/>
        <v>0</v>
      </c>
      <c r="R290" s="3">
        <v>0</v>
      </c>
      <c r="S290">
        <v>64</v>
      </c>
      <c r="T290">
        <v>0</v>
      </c>
      <c r="U290" s="3">
        <v>0</v>
      </c>
      <c r="V290" s="3">
        <v>0</v>
      </c>
      <c r="W290">
        <v>0</v>
      </c>
      <c r="X290" s="3">
        <v>0</v>
      </c>
      <c r="Y290">
        <v>0</v>
      </c>
      <c r="Z290" s="3">
        <v>0</v>
      </c>
      <c r="AA290" t="s">
        <v>529</v>
      </c>
      <c r="AB290" s="3">
        <v>287</v>
      </c>
      <c r="AC290">
        <v>266.14</v>
      </c>
      <c r="AD290" t="s">
        <v>49</v>
      </c>
      <c r="AE290">
        <v>0</v>
      </c>
      <c r="AF290" s="3">
        <v>0</v>
      </c>
      <c r="AG290" t="s">
        <v>49</v>
      </c>
      <c r="AH290">
        <v>0</v>
      </c>
      <c r="AI290" t="s">
        <v>49</v>
      </c>
      <c r="AJ290">
        <v>238.3</v>
      </c>
      <c r="AK290" t="s">
        <v>49</v>
      </c>
      <c r="AL290">
        <v>0</v>
      </c>
      <c r="AM290" t="s">
        <v>49</v>
      </c>
      <c r="AN290">
        <v>74</v>
      </c>
      <c r="AO290" s="19">
        <v>0</v>
      </c>
      <c r="AP290" s="19">
        <v>0</v>
      </c>
      <c r="AQ290" s="19">
        <v>0.6667</v>
      </c>
      <c r="AR290" s="19">
        <v>0.3333</v>
      </c>
      <c r="AS290" s="19">
        <v>0</v>
      </c>
      <c r="AT290" s="19">
        <v>0</v>
      </c>
      <c r="AU290" s="3">
        <v>0</v>
      </c>
      <c r="AV290" s="3">
        <v>0</v>
      </c>
      <c r="AW290" s="19">
        <v>0</v>
      </c>
      <c r="AX290" s="3">
        <v>0</v>
      </c>
      <c r="AY290" s="3">
        <v>0</v>
      </c>
    </row>
    <row r="291" spans="1:51">
      <c r="A291" s="3">
        <v>4460385</v>
      </c>
      <c r="B291" t="s">
        <v>530</v>
      </c>
      <c r="C291" s="3">
        <v>12033806</v>
      </c>
      <c r="D291" t="s">
        <v>44</v>
      </c>
      <c r="E291" t="s">
        <v>527</v>
      </c>
      <c r="F291" t="s">
        <v>65</v>
      </c>
      <c r="G291" t="s">
        <v>47</v>
      </c>
      <c r="H291" s="16">
        <v>0</v>
      </c>
      <c r="I291" s="4">
        <f>VLOOKUP(C291,[1]sheet1!$D:$I,6,0)</f>
        <v>0</v>
      </c>
      <c r="J291" s="4">
        <f>VLOOKUP(C291,[2]sheet1!$D:$I,6,0)</f>
        <v>0</v>
      </c>
      <c r="K291" s="4">
        <f>VLOOKUP(C291,[3]sheet1!$D:$I,6,0)</f>
        <v>0</v>
      </c>
      <c r="L291" s="4">
        <f>VLOOKUP(C291,[4]sheet1!$D:$I,6,0)</f>
        <v>0</v>
      </c>
      <c r="M291" s="4">
        <f>VLOOKUP(C291,[5]sheet1!$D:$I,6,0)</f>
        <v>0</v>
      </c>
      <c r="N291" s="4">
        <f>VLOOKUP(C291,[6]sheet1!$D:$I,6,0)</f>
        <v>0</v>
      </c>
      <c r="O291" s="4">
        <f>VLOOKUP(C291,[7]sheet1!$D:$I,6,0)</f>
        <v>0</v>
      </c>
      <c r="P291" s="4">
        <f>VLOOKUP(C291,[8]sheet1!$D:$I,6,0)</f>
        <v>0</v>
      </c>
      <c r="Q291" s="4">
        <f t="shared" si="4"/>
        <v>0</v>
      </c>
      <c r="R291" s="3">
        <v>0</v>
      </c>
      <c r="S291" s="3">
        <v>5</v>
      </c>
      <c r="T291" s="19">
        <v>0</v>
      </c>
      <c r="U291" s="3">
        <v>0</v>
      </c>
      <c r="V291" s="3">
        <v>0</v>
      </c>
      <c r="W291">
        <v>0</v>
      </c>
      <c r="X291" s="3">
        <v>0</v>
      </c>
      <c r="Y291">
        <v>0</v>
      </c>
      <c r="Z291" s="3">
        <v>0</v>
      </c>
      <c r="AA291" t="s">
        <v>49</v>
      </c>
      <c r="AB291" t="s">
        <v>49</v>
      </c>
      <c r="AC291" t="s">
        <v>49</v>
      </c>
      <c r="AD291" t="s">
        <v>49</v>
      </c>
      <c r="AE291">
        <v>0</v>
      </c>
      <c r="AF291" s="3">
        <v>0</v>
      </c>
      <c r="AG291" t="s">
        <v>49</v>
      </c>
      <c r="AH291" t="s">
        <v>49</v>
      </c>
      <c r="AI291" t="s">
        <v>49</v>
      </c>
      <c r="AJ291" t="s">
        <v>49</v>
      </c>
      <c r="AK291" t="s">
        <v>49</v>
      </c>
      <c r="AL291" t="s">
        <v>49</v>
      </c>
      <c r="AM291" t="s">
        <v>49</v>
      </c>
      <c r="AN291" s="3">
        <v>7</v>
      </c>
      <c r="AO291" s="19">
        <v>0</v>
      </c>
      <c r="AP291" s="19">
        <v>0</v>
      </c>
      <c r="AQ291" s="19">
        <v>0.8</v>
      </c>
      <c r="AR291" s="19">
        <v>0</v>
      </c>
      <c r="AS291" s="19">
        <v>0</v>
      </c>
      <c r="AT291" s="19">
        <v>0</v>
      </c>
      <c r="AU291" s="3">
        <v>0</v>
      </c>
      <c r="AV291" s="3">
        <v>0</v>
      </c>
      <c r="AW291" s="19">
        <v>0</v>
      </c>
      <c r="AX291" s="3">
        <v>0</v>
      </c>
      <c r="AY291" s="3">
        <v>0</v>
      </c>
    </row>
    <row r="292" spans="1:51">
      <c r="A292" s="3">
        <v>4460306</v>
      </c>
      <c r="B292" t="s">
        <v>531</v>
      </c>
      <c r="C292" t="s">
        <v>532</v>
      </c>
      <c r="D292" t="s">
        <v>44</v>
      </c>
      <c r="E292" t="s">
        <v>299</v>
      </c>
      <c r="F292" t="s">
        <v>46</v>
      </c>
      <c r="G292" t="s">
        <v>47</v>
      </c>
      <c r="H292" s="16">
        <v>0</v>
      </c>
      <c r="I292" s="4">
        <f>VLOOKUP(C292,[1]sheet1!$D:$I,6,0)</f>
        <v>0</v>
      </c>
      <c r="J292" s="4">
        <f>VLOOKUP(C292,[2]sheet1!$D:$I,6,0)</f>
        <v>0</v>
      </c>
      <c r="K292" s="4">
        <f>VLOOKUP(C292,[3]sheet1!$D:$I,6,0)</f>
        <v>0</v>
      </c>
      <c r="L292" s="4">
        <f>VLOOKUP(C292,[4]sheet1!$D:$I,6,0)</f>
        <v>145</v>
      </c>
      <c r="M292" s="4">
        <f>VLOOKUP(C292,[5]sheet1!$D:$I,6,0)</f>
        <v>0</v>
      </c>
      <c r="N292" s="4">
        <f>VLOOKUP(C292,[6]sheet1!$D:$I,6,0)</f>
        <v>0</v>
      </c>
      <c r="O292" s="4">
        <f>VLOOKUP(C292,[7]sheet1!$D:$I,6,0)</f>
        <v>152</v>
      </c>
      <c r="P292" s="4">
        <f>VLOOKUP(C292,[8]sheet1!$D:$I,6,0)</f>
        <v>0</v>
      </c>
      <c r="Q292" s="4">
        <f t="shared" si="4"/>
        <v>297</v>
      </c>
      <c r="R292" s="3">
        <v>0</v>
      </c>
      <c r="S292">
        <v>227</v>
      </c>
      <c r="T292">
        <v>0</v>
      </c>
      <c r="U292" s="3">
        <v>2</v>
      </c>
      <c r="V292" s="3">
        <v>0</v>
      </c>
      <c r="W292">
        <v>0</v>
      </c>
      <c r="X292" s="3">
        <v>0</v>
      </c>
      <c r="Y292">
        <v>0</v>
      </c>
      <c r="Z292" s="3">
        <v>0</v>
      </c>
      <c r="AA292" t="s">
        <v>61</v>
      </c>
      <c r="AB292" s="3">
        <v>166</v>
      </c>
      <c r="AC292">
        <v>138.14</v>
      </c>
      <c r="AD292" t="s">
        <v>49</v>
      </c>
      <c r="AE292">
        <v>0</v>
      </c>
      <c r="AF292" s="3">
        <v>0</v>
      </c>
      <c r="AG292" t="s">
        <v>49</v>
      </c>
      <c r="AH292">
        <v>0</v>
      </c>
      <c r="AI292" t="s">
        <v>49</v>
      </c>
      <c r="AJ292">
        <v>135.53</v>
      </c>
      <c r="AK292" t="s">
        <v>49</v>
      </c>
      <c r="AL292">
        <v>0</v>
      </c>
      <c r="AM292" t="s">
        <v>49</v>
      </c>
      <c r="AN292" s="3">
        <v>41</v>
      </c>
      <c r="AO292" s="19">
        <v>0</v>
      </c>
      <c r="AP292" s="19">
        <v>0</v>
      </c>
      <c r="AQ292" s="19">
        <v>0.9211</v>
      </c>
      <c r="AR292" s="19">
        <v>0.3158</v>
      </c>
      <c r="AS292" s="19">
        <v>1</v>
      </c>
      <c r="AT292" s="19">
        <v>1</v>
      </c>
      <c r="AU292" s="3">
        <v>0</v>
      </c>
      <c r="AV292" s="3">
        <v>0</v>
      </c>
      <c r="AW292" s="19">
        <v>0</v>
      </c>
      <c r="AX292" s="3">
        <v>0</v>
      </c>
      <c r="AY292" s="3">
        <v>0</v>
      </c>
    </row>
    <row r="293" spans="1:51">
      <c r="A293" s="3">
        <v>4460198</v>
      </c>
      <c r="B293" t="s">
        <v>533</v>
      </c>
      <c r="C293" s="3">
        <v>112040112</v>
      </c>
      <c r="D293" t="s">
        <v>44</v>
      </c>
      <c r="E293" t="s">
        <v>141</v>
      </c>
      <c r="F293" t="s">
        <v>65</v>
      </c>
      <c r="G293" t="s">
        <v>47</v>
      </c>
      <c r="H293" s="16">
        <v>0</v>
      </c>
      <c r="I293" s="4">
        <f>VLOOKUP(C293,[1]sheet1!$D:$I,6,0)</f>
        <v>0</v>
      </c>
      <c r="J293" s="4">
        <f>VLOOKUP(C293,[2]sheet1!$D:$I,6,0)</f>
        <v>0</v>
      </c>
      <c r="K293" s="4">
        <f>VLOOKUP(C293,[3]sheet1!$D:$I,6,0)</f>
        <v>0</v>
      </c>
      <c r="L293" s="4">
        <f>VLOOKUP(C293,[4]sheet1!$D:$I,6,0)</f>
        <v>0</v>
      </c>
      <c r="M293" s="4">
        <f>VLOOKUP(C293,[5]sheet1!$D:$I,6,0)</f>
        <v>0</v>
      </c>
      <c r="N293" s="4">
        <f>VLOOKUP(C293,[6]sheet1!$D:$I,6,0)</f>
        <v>0</v>
      </c>
      <c r="O293" s="4">
        <f>VLOOKUP(C293,[7]sheet1!$D:$I,6,0)</f>
        <v>0</v>
      </c>
      <c r="P293" s="4">
        <f>VLOOKUP(C293,[8]sheet1!$D:$I,6,0)</f>
        <v>0</v>
      </c>
      <c r="Q293" s="4">
        <f t="shared" si="4"/>
        <v>0</v>
      </c>
      <c r="R293" s="3">
        <v>0</v>
      </c>
      <c r="S293" s="3">
        <v>5</v>
      </c>
      <c r="T293" s="19">
        <v>0</v>
      </c>
      <c r="U293" s="3">
        <v>1</v>
      </c>
      <c r="V293" s="3">
        <v>0</v>
      </c>
      <c r="W293">
        <v>0</v>
      </c>
      <c r="X293" s="3">
        <v>0</v>
      </c>
      <c r="Y293">
        <v>0</v>
      </c>
      <c r="Z293" s="3">
        <v>0</v>
      </c>
      <c r="AA293" t="s">
        <v>49</v>
      </c>
      <c r="AB293" t="s">
        <v>49</v>
      </c>
      <c r="AC293" t="s">
        <v>49</v>
      </c>
      <c r="AD293" t="s">
        <v>49</v>
      </c>
      <c r="AE293">
        <v>0</v>
      </c>
      <c r="AF293" s="3">
        <v>0</v>
      </c>
      <c r="AG293" t="s">
        <v>49</v>
      </c>
      <c r="AH293" t="s">
        <v>49</v>
      </c>
      <c r="AI293" t="s">
        <v>49</v>
      </c>
      <c r="AJ293" t="s">
        <v>49</v>
      </c>
      <c r="AK293" t="s">
        <v>49</v>
      </c>
      <c r="AL293" t="s">
        <v>49</v>
      </c>
      <c r="AM293" t="s">
        <v>49</v>
      </c>
      <c r="AN293" s="3">
        <v>6</v>
      </c>
      <c r="AO293" s="19">
        <v>0</v>
      </c>
      <c r="AP293" s="19">
        <v>0</v>
      </c>
      <c r="AQ293" s="19">
        <v>0.2</v>
      </c>
      <c r="AR293" s="19">
        <v>0</v>
      </c>
      <c r="AS293" s="19">
        <v>0</v>
      </c>
      <c r="AT293" s="19">
        <v>0</v>
      </c>
      <c r="AU293" s="3">
        <v>0</v>
      </c>
      <c r="AV293" s="3">
        <v>0</v>
      </c>
      <c r="AW293" s="19">
        <v>0</v>
      </c>
      <c r="AX293" s="3">
        <v>0</v>
      </c>
      <c r="AY293" s="3">
        <v>0</v>
      </c>
    </row>
    <row r="294" spans="1:51">
      <c r="A294" s="3">
        <v>4460102</v>
      </c>
      <c r="B294" t="s">
        <v>534</v>
      </c>
      <c r="C294" s="3">
        <v>11230701</v>
      </c>
      <c r="D294" t="s">
        <v>44</v>
      </c>
      <c r="E294" t="s">
        <v>185</v>
      </c>
      <c r="F294" t="s">
        <v>46</v>
      </c>
      <c r="G294" t="s">
        <v>47</v>
      </c>
      <c r="H294" s="16">
        <v>0</v>
      </c>
      <c r="I294" s="4">
        <f>VLOOKUP(C294,[1]sheet1!$D:$I,6,0)</f>
        <v>0</v>
      </c>
      <c r="J294" s="4">
        <f>VLOOKUP(C294,[2]sheet1!$D:$I,6,0)</f>
        <v>0</v>
      </c>
      <c r="K294" s="4">
        <f>VLOOKUP(C294,[3]sheet1!$D:$I,6,0)</f>
        <v>0</v>
      </c>
      <c r="L294" s="4">
        <f>VLOOKUP(C294,[4]sheet1!$D:$I,6,0)</f>
        <v>0</v>
      </c>
      <c r="M294" s="4">
        <f>VLOOKUP(C294,[5]sheet1!$D:$I,6,0)</f>
        <v>0</v>
      </c>
      <c r="N294" s="4">
        <f>VLOOKUP(C294,[6]sheet1!$D:$I,6,0)</f>
        <v>0</v>
      </c>
      <c r="O294" s="4">
        <f>VLOOKUP(C294,[7]sheet1!$D:$I,6,0)</f>
        <v>0</v>
      </c>
      <c r="P294" s="4">
        <f>VLOOKUP(C294,[8]sheet1!$D:$I,6,0)</f>
        <v>0</v>
      </c>
      <c r="Q294" s="15">
        <f t="shared" si="4"/>
        <v>0</v>
      </c>
      <c r="R294" s="3">
        <v>0</v>
      </c>
      <c r="S294">
        <v>97</v>
      </c>
      <c r="T294">
        <v>0</v>
      </c>
      <c r="U294" s="3">
        <v>0</v>
      </c>
      <c r="V294" s="3">
        <v>0</v>
      </c>
      <c r="W294">
        <v>0</v>
      </c>
      <c r="X294" s="3">
        <v>0</v>
      </c>
      <c r="Y294">
        <v>0</v>
      </c>
      <c r="Z294" s="3">
        <v>0</v>
      </c>
      <c r="AA294" t="s">
        <v>535</v>
      </c>
      <c r="AB294" s="3">
        <v>238</v>
      </c>
      <c r="AC294">
        <v>277.19</v>
      </c>
      <c r="AD294" t="s">
        <v>49</v>
      </c>
      <c r="AE294">
        <v>0</v>
      </c>
      <c r="AF294" s="3">
        <v>0</v>
      </c>
      <c r="AG294" t="s">
        <v>49</v>
      </c>
      <c r="AH294">
        <v>0</v>
      </c>
      <c r="AI294" t="s">
        <v>49</v>
      </c>
      <c r="AJ294">
        <v>197.15</v>
      </c>
      <c r="AK294" t="s">
        <v>49</v>
      </c>
      <c r="AL294">
        <v>0</v>
      </c>
      <c r="AM294" t="s">
        <v>49</v>
      </c>
      <c r="AN294" s="3">
        <v>8</v>
      </c>
      <c r="AO294" s="19">
        <v>0</v>
      </c>
      <c r="AP294" s="19">
        <v>0</v>
      </c>
      <c r="AQ294" s="19">
        <v>0.8571</v>
      </c>
      <c r="AR294" s="19">
        <v>0.4286</v>
      </c>
      <c r="AS294" s="19">
        <v>0</v>
      </c>
      <c r="AT294" s="19">
        <v>0</v>
      </c>
      <c r="AU294" s="3">
        <v>0</v>
      </c>
      <c r="AV294" s="3">
        <v>0</v>
      </c>
      <c r="AW294" s="19">
        <v>0</v>
      </c>
      <c r="AX294" s="3">
        <v>0</v>
      </c>
      <c r="AY294" s="3">
        <v>0</v>
      </c>
    </row>
    <row r="295" spans="1:51">
      <c r="A295" s="3">
        <v>4459263</v>
      </c>
      <c r="B295" t="s">
        <v>536</v>
      </c>
      <c r="C295" s="3">
        <v>11231443</v>
      </c>
      <c r="D295" t="s">
        <v>44</v>
      </c>
      <c r="E295" t="s">
        <v>57</v>
      </c>
      <c r="F295" t="s">
        <v>65</v>
      </c>
      <c r="G295" t="s">
        <v>47</v>
      </c>
      <c r="H295" s="16">
        <v>0</v>
      </c>
      <c r="I295" s="4">
        <f>VLOOKUP(C295,[1]sheet1!$D:$I,6,0)</f>
        <v>0</v>
      </c>
      <c r="J295" s="4">
        <f>VLOOKUP(C295,[2]sheet1!$D:$I,6,0)</f>
        <v>0</v>
      </c>
      <c r="K295" s="4">
        <f>VLOOKUP(C295,[3]sheet1!$D:$I,6,0)</f>
        <v>0</v>
      </c>
      <c r="L295" s="4">
        <f>VLOOKUP(C295,[4]sheet1!$D:$I,6,0)</f>
        <v>0</v>
      </c>
      <c r="M295" s="4">
        <f>VLOOKUP(C295,[5]sheet1!$D:$I,6,0)</f>
        <v>0</v>
      </c>
      <c r="N295" s="4">
        <f>VLOOKUP(C295,[6]sheet1!$D:$I,6,0)</f>
        <v>0</v>
      </c>
      <c r="O295" s="4">
        <f>VLOOKUP(C295,[7]sheet1!$D:$I,6,0)</f>
        <v>0</v>
      </c>
      <c r="P295" s="4">
        <f>VLOOKUP(C295,[8]sheet1!$D:$I,6,0)</f>
        <v>0</v>
      </c>
      <c r="Q295" s="4">
        <f t="shared" si="4"/>
        <v>0</v>
      </c>
      <c r="R295" s="3">
        <v>0</v>
      </c>
      <c r="S295" s="3">
        <v>1</v>
      </c>
      <c r="T295" s="19">
        <v>0</v>
      </c>
      <c r="U295" s="3">
        <v>0</v>
      </c>
      <c r="V295" s="3">
        <v>0</v>
      </c>
      <c r="W295">
        <v>0</v>
      </c>
      <c r="X295" s="3">
        <v>0</v>
      </c>
      <c r="Y295">
        <v>0</v>
      </c>
      <c r="Z295" s="3">
        <v>0</v>
      </c>
      <c r="AA295" t="s">
        <v>49</v>
      </c>
      <c r="AB295" t="s">
        <v>49</v>
      </c>
      <c r="AC295" t="s">
        <v>49</v>
      </c>
      <c r="AD295" t="s">
        <v>49</v>
      </c>
      <c r="AE295">
        <v>0</v>
      </c>
      <c r="AF295" s="3">
        <v>0</v>
      </c>
      <c r="AG295" t="s">
        <v>49</v>
      </c>
      <c r="AH295" t="s">
        <v>49</v>
      </c>
      <c r="AI295" t="s">
        <v>49</v>
      </c>
      <c r="AJ295" t="s">
        <v>49</v>
      </c>
      <c r="AK295" t="s">
        <v>49</v>
      </c>
      <c r="AL295" t="s">
        <v>49</v>
      </c>
      <c r="AM295" t="s">
        <v>49</v>
      </c>
      <c r="AN295" s="3">
        <v>1</v>
      </c>
      <c r="AO295" s="19">
        <v>0</v>
      </c>
      <c r="AP295" s="19">
        <v>0</v>
      </c>
      <c r="AQ295" s="19">
        <v>1</v>
      </c>
      <c r="AR295" s="19">
        <v>0</v>
      </c>
      <c r="AS295" s="19">
        <v>0</v>
      </c>
      <c r="AT295" s="19">
        <v>0</v>
      </c>
      <c r="AU295" s="3">
        <v>0</v>
      </c>
      <c r="AV295" s="3">
        <v>0</v>
      </c>
      <c r="AW295" s="19">
        <v>0</v>
      </c>
      <c r="AX295" s="3">
        <v>0</v>
      </c>
      <c r="AY295" s="3">
        <v>0</v>
      </c>
    </row>
    <row r="296" spans="1:51">
      <c r="A296" s="3">
        <v>4459234</v>
      </c>
      <c r="B296" t="s">
        <v>537</v>
      </c>
      <c r="C296" s="3">
        <v>12215104</v>
      </c>
      <c r="D296" t="s">
        <v>44</v>
      </c>
      <c r="E296" t="s">
        <v>418</v>
      </c>
      <c r="F296" t="s">
        <v>65</v>
      </c>
      <c r="G296" t="s">
        <v>47</v>
      </c>
      <c r="H296" s="16">
        <v>0</v>
      </c>
      <c r="I296" s="4">
        <f>VLOOKUP(C296,[1]sheet1!$D:$I,6,0)</f>
        <v>0</v>
      </c>
      <c r="J296" s="4">
        <f>VLOOKUP(C296,[2]sheet1!$D:$I,6,0)</f>
        <v>0</v>
      </c>
      <c r="K296" s="4">
        <f>VLOOKUP(C296,[3]sheet1!$D:$I,6,0)</f>
        <v>0</v>
      </c>
      <c r="L296" s="4">
        <f>VLOOKUP(C296,[4]sheet1!$D:$I,6,0)</f>
        <v>0</v>
      </c>
      <c r="M296" s="4">
        <f>VLOOKUP(C296,[5]sheet1!$D:$I,6,0)</f>
        <v>0</v>
      </c>
      <c r="N296" s="4">
        <f>VLOOKUP(C296,[6]sheet1!$D:$I,6,0)</f>
        <v>0</v>
      </c>
      <c r="O296" s="4">
        <f>VLOOKUP(C296,[7]sheet1!$D:$I,6,0)</f>
        <v>0</v>
      </c>
      <c r="P296" s="4">
        <f>VLOOKUP(C296,[8]sheet1!$D:$I,6,0)</f>
        <v>0</v>
      </c>
      <c r="Q296" s="4">
        <f t="shared" si="4"/>
        <v>0</v>
      </c>
      <c r="R296" s="3">
        <v>0</v>
      </c>
      <c r="S296" s="3">
        <v>3</v>
      </c>
      <c r="T296" s="19">
        <v>0</v>
      </c>
      <c r="U296" s="3">
        <v>0</v>
      </c>
      <c r="V296" s="3">
        <v>0</v>
      </c>
      <c r="W296">
        <v>0</v>
      </c>
      <c r="X296" s="3">
        <v>0</v>
      </c>
      <c r="Y296">
        <v>0</v>
      </c>
      <c r="Z296" s="3">
        <v>0</v>
      </c>
      <c r="AA296" t="s">
        <v>49</v>
      </c>
      <c r="AB296" t="s">
        <v>49</v>
      </c>
      <c r="AC296" t="s">
        <v>49</v>
      </c>
      <c r="AD296" t="s">
        <v>49</v>
      </c>
      <c r="AE296">
        <v>0</v>
      </c>
      <c r="AF296" s="3">
        <v>0</v>
      </c>
      <c r="AG296" t="s">
        <v>49</v>
      </c>
      <c r="AH296" t="s">
        <v>49</v>
      </c>
      <c r="AI296" t="s">
        <v>49</v>
      </c>
      <c r="AJ296" t="s">
        <v>49</v>
      </c>
      <c r="AK296" t="s">
        <v>49</v>
      </c>
      <c r="AL296" t="s">
        <v>49</v>
      </c>
      <c r="AM296" t="s">
        <v>49</v>
      </c>
      <c r="AN296" s="3">
        <v>4</v>
      </c>
      <c r="AO296" s="19">
        <v>0</v>
      </c>
      <c r="AP296" s="19">
        <v>0</v>
      </c>
      <c r="AQ296" s="19">
        <v>0.6667</v>
      </c>
      <c r="AR296" s="19">
        <v>0.6667</v>
      </c>
      <c r="AS296" s="19">
        <v>0</v>
      </c>
      <c r="AT296" s="19">
        <v>0</v>
      </c>
      <c r="AU296" s="3">
        <v>0</v>
      </c>
      <c r="AV296" s="3">
        <v>0</v>
      </c>
      <c r="AW296" s="19">
        <v>0</v>
      </c>
      <c r="AX296" s="3">
        <v>0</v>
      </c>
      <c r="AY296" s="3">
        <v>0</v>
      </c>
    </row>
    <row r="297" spans="1:51">
      <c r="A297" s="3">
        <v>4459185</v>
      </c>
      <c r="B297" t="s">
        <v>538</v>
      </c>
      <c r="C297" s="3">
        <v>112213710</v>
      </c>
      <c r="D297" t="s">
        <v>44</v>
      </c>
      <c r="E297" t="s">
        <v>432</v>
      </c>
      <c r="F297" t="s">
        <v>65</v>
      </c>
      <c r="G297" t="s">
        <v>47</v>
      </c>
      <c r="H297" s="16">
        <v>0</v>
      </c>
      <c r="I297" s="4">
        <f>VLOOKUP(C297,[1]sheet1!$D:$I,6,0)</f>
        <v>0</v>
      </c>
      <c r="J297" s="4">
        <f>VLOOKUP(C297,[2]sheet1!$D:$I,6,0)</f>
        <v>0</v>
      </c>
      <c r="K297" s="4">
        <f>VLOOKUP(C297,[3]sheet1!$D:$I,6,0)</f>
        <v>0</v>
      </c>
      <c r="L297" s="4">
        <f>VLOOKUP(C297,[4]sheet1!$D:$I,6,0)</f>
        <v>0</v>
      </c>
      <c r="M297" s="4">
        <f>VLOOKUP(C297,[5]sheet1!$D:$I,6,0)</f>
        <v>0</v>
      </c>
      <c r="N297" s="4">
        <f>VLOOKUP(C297,[6]sheet1!$D:$I,6,0)</f>
        <v>0</v>
      </c>
      <c r="O297" s="4">
        <f>VLOOKUP(C297,[7]sheet1!$D:$I,6,0)</f>
        <v>0</v>
      </c>
      <c r="P297" s="4">
        <f>VLOOKUP(C297,[8]sheet1!$D:$I,6,0)</f>
        <v>0</v>
      </c>
      <c r="Q297" s="4">
        <f t="shared" si="4"/>
        <v>0</v>
      </c>
      <c r="R297" s="3">
        <v>0</v>
      </c>
      <c r="S297" s="3">
        <v>0</v>
      </c>
      <c r="T297" s="19">
        <v>0</v>
      </c>
      <c r="U297" s="3">
        <v>0</v>
      </c>
      <c r="V297" s="3">
        <v>0</v>
      </c>
      <c r="W297">
        <v>0</v>
      </c>
      <c r="X297" s="3">
        <v>0</v>
      </c>
      <c r="Y297">
        <v>0</v>
      </c>
      <c r="Z297" s="3">
        <v>0</v>
      </c>
      <c r="AA297" t="s">
        <v>49</v>
      </c>
      <c r="AB297" t="s">
        <v>49</v>
      </c>
      <c r="AC297" t="s">
        <v>49</v>
      </c>
      <c r="AD297" t="s">
        <v>49</v>
      </c>
      <c r="AE297">
        <v>0</v>
      </c>
      <c r="AF297" s="3">
        <v>0</v>
      </c>
      <c r="AG297" t="s">
        <v>49</v>
      </c>
      <c r="AH297" t="s">
        <v>49</v>
      </c>
      <c r="AI297" t="s">
        <v>49</v>
      </c>
      <c r="AJ297" t="s">
        <v>49</v>
      </c>
      <c r="AK297" t="s">
        <v>49</v>
      </c>
      <c r="AL297" t="s">
        <v>49</v>
      </c>
      <c r="AM297" t="s">
        <v>49</v>
      </c>
      <c r="AN297" s="3">
        <v>0</v>
      </c>
      <c r="AO297" s="19">
        <v>0</v>
      </c>
      <c r="AP297" s="19">
        <v>0</v>
      </c>
      <c r="AQ297" s="19">
        <v>0</v>
      </c>
      <c r="AR297" s="19">
        <v>0</v>
      </c>
      <c r="AS297" s="19">
        <v>0</v>
      </c>
      <c r="AT297" s="19">
        <v>0</v>
      </c>
      <c r="AU297" s="3">
        <v>0</v>
      </c>
      <c r="AV297" s="3">
        <v>0</v>
      </c>
      <c r="AW297" s="19">
        <v>0</v>
      </c>
      <c r="AX297" s="3">
        <v>0</v>
      </c>
      <c r="AY297" s="3">
        <v>0</v>
      </c>
    </row>
    <row r="298" spans="1:51">
      <c r="A298" s="3">
        <v>4459036</v>
      </c>
      <c r="B298" t="s">
        <v>539</v>
      </c>
      <c r="C298" s="3">
        <v>111240115</v>
      </c>
      <c r="D298" t="s">
        <v>44</v>
      </c>
      <c r="E298" t="s">
        <v>104</v>
      </c>
      <c r="F298" t="s">
        <v>65</v>
      </c>
      <c r="G298" t="s">
        <v>47</v>
      </c>
      <c r="H298" s="16">
        <v>0</v>
      </c>
      <c r="I298" s="4">
        <f>VLOOKUP(C298,[1]sheet1!$D:$I,6,0)</f>
        <v>0</v>
      </c>
      <c r="J298" s="4">
        <f>VLOOKUP(C298,[2]sheet1!$D:$I,6,0)</f>
        <v>0</v>
      </c>
      <c r="K298" s="4">
        <f>VLOOKUP(C298,[3]sheet1!$D:$I,6,0)</f>
        <v>0</v>
      </c>
      <c r="L298" s="4">
        <f>VLOOKUP(C298,[4]sheet1!$D:$I,6,0)</f>
        <v>0</v>
      </c>
      <c r="M298" s="4">
        <f>VLOOKUP(C298,[5]sheet1!$D:$I,6,0)</f>
        <v>0</v>
      </c>
      <c r="N298" s="4">
        <f>VLOOKUP(C298,[6]sheet1!$D:$I,6,0)</f>
        <v>0</v>
      </c>
      <c r="O298" s="4">
        <f>VLOOKUP(C298,[7]sheet1!$D:$I,6,0)</f>
        <v>0</v>
      </c>
      <c r="P298" s="4">
        <f>VLOOKUP(C298,[8]sheet1!$D:$I,6,0)</f>
        <v>0</v>
      </c>
      <c r="Q298" s="4">
        <f t="shared" si="4"/>
        <v>0</v>
      </c>
      <c r="R298" s="3">
        <v>0</v>
      </c>
      <c r="S298" s="3">
        <v>5</v>
      </c>
      <c r="T298" s="19">
        <v>0</v>
      </c>
      <c r="U298" s="3">
        <v>0</v>
      </c>
      <c r="V298" s="3">
        <v>0</v>
      </c>
      <c r="W298">
        <v>0</v>
      </c>
      <c r="X298" s="3">
        <v>0</v>
      </c>
      <c r="Y298">
        <v>0</v>
      </c>
      <c r="Z298" s="3">
        <v>0</v>
      </c>
      <c r="AA298" t="s">
        <v>540</v>
      </c>
      <c r="AB298" t="s">
        <v>49</v>
      </c>
      <c r="AC298">
        <v>1108.34</v>
      </c>
      <c r="AD298" t="s">
        <v>49</v>
      </c>
      <c r="AE298">
        <v>0</v>
      </c>
      <c r="AF298" s="3">
        <v>0</v>
      </c>
      <c r="AG298" t="s">
        <v>49</v>
      </c>
      <c r="AH298">
        <v>0</v>
      </c>
      <c r="AI298" t="s">
        <v>49</v>
      </c>
      <c r="AJ298" t="s">
        <v>49</v>
      </c>
      <c r="AK298" t="s">
        <v>49</v>
      </c>
      <c r="AL298" t="s">
        <v>49</v>
      </c>
      <c r="AM298" t="s">
        <v>49</v>
      </c>
      <c r="AN298" s="3">
        <v>5</v>
      </c>
      <c r="AO298" s="19">
        <v>0</v>
      </c>
      <c r="AP298" s="19">
        <v>0</v>
      </c>
      <c r="AQ298" s="19">
        <v>1</v>
      </c>
      <c r="AR298" s="19">
        <v>0.2</v>
      </c>
      <c r="AS298" s="19">
        <v>0</v>
      </c>
      <c r="AT298" s="19">
        <v>0</v>
      </c>
      <c r="AU298" s="3">
        <v>0</v>
      </c>
      <c r="AV298" s="3">
        <v>0</v>
      </c>
      <c r="AW298" s="19">
        <v>0</v>
      </c>
      <c r="AX298" s="3">
        <v>0</v>
      </c>
      <c r="AY298" s="3">
        <v>0</v>
      </c>
    </row>
    <row r="299" spans="1:51">
      <c r="A299" s="3">
        <v>4458995</v>
      </c>
      <c r="B299" t="s">
        <v>541</v>
      </c>
      <c r="C299" s="3">
        <v>12321204</v>
      </c>
      <c r="D299" t="s">
        <v>44</v>
      </c>
      <c r="E299" t="s">
        <v>109</v>
      </c>
      <c r="F299" t="s">
        <v>65</v>
      </c>
      <c r="G299" t="s">
        <v>47</v>
      </c>
      <c r="H299" s="16">
        <v>0</v>
      </c>
      <c r="I299" s="4">
        <f>VLOOKUP(C299,[1]sheet1!$D:$I,6,0)</f>
        <v>0</v>
      </c>
      <c r="J299" s="4">
        <f>VLOOKUP(C299,[2]sheet1!$D:$I,6,0)</f>
        <v>0</v>
      </c>
      <c r="K299" s="4">
        <f>VLOOKUP(C299,[3]sheet1!$D:$I,6,0)</f>
        <v>0</v>
      </c>
      <c r="L299" s="4">
        <f>VLOOKUP(C299,[4]sheet1!$D:$I,6,0)</f>
        <v>0</v>
      </c>
      <c r="M299" s="4">
        <f>VLOOKUP(C299,[5]sheet1!$D:$I,6,0)</f>
        <v>0</v>
      </c>
      <c r="N299" s="4">
        <f>VLOOKUP(C299,[6]sheet1!$D:$I,6,0)</f>
        <v>0</v>
      </c>
      <c r="O299" s="4">
        <f>VLOOKUP(C299,[7]sheet1!$D:$I,6,0)</f>
        <v>0</v>
      </c>
      <c r="P299" s="4">
        <f>VLOOKUP(C299,[8]sheet1!$D:$I,6,0)</f>
        <v>0</v>
      </c>
      <c r="Q299" s="4">
        <f t="shared" si="4"/>
        <v>0</v>
      </c>
      <c r="R299" s="3">
        <v>0</v>
      </c>
      <c r="S299" s="3">
        <v>2</v>
      </c>
      <c r="T299" s="19">
        <v>0</v>
      </c>
      <c r="U299" s="3">
        <v>0</v>
      </c>
      <c r="V299" s="3">
        <v>0</v>
      </c>
      <c r="W299">
        <v>0</v>
      </c>
      <c r="X299" s="3">
        <v>0</v>
      </c>
      <c r="Y299">
        <v>0</v>
      </c>
      <c r="Z299" s="3">
        <v>0</v>
      </c>
      <c r="AA299" t="s">
        <v>49</v>
      </c>
      <c r="AB299" t="s">
        <v>49</v>
      </c>
      <c r="AC299" t="s">
        <v>49</v>
      </c>
      <c r="AD299" t="s">
        <v>49</v>
      </c>
      <c r="AE299">
        <v>0</v>
      </c>
      <c r="AF299" s="3">
        <v>0</v>
      </c>
      <c r="AG299" t="s">
        <v>49</v>
      </c>
      <c r="AH299" t="s">
        <v>49</v>
      </c>
      <c r="AI299" t="s">
        <v>49</v>
      </c>
      <c r="AJ299" t="s">
        <v>49</v>
      </c>
      <c r="AK299" t="s">
        <v>49</v>
      </c>
      <c r="AL299" t="s">
        <v>49</v>
      </c>
      <c r="AM299" t="s">
        <v>49</v>
      </c>
      <c r="AN299" s="3">
        <v>2</v>
      </c>
      <c r="AO299" s="19">
        <v>0</v>
      </c>
      <c r="AP299" s="19">
        <v>0</v>
      </c>
      <c r="AQ299" s="19">
        <v>0.5</v>
      </c>
      <c r="AR299" s="19">
        <v>0</v>
      </c>
      <c r="AS299" s="19">
        <v>0</v>
      </c>
      <c r="AT299" s="19">
        <v>0</v>
      </c>
      <c r="AU299" s="3">
        <v>0</v>
      </c>
      <c r="AV299" s="3">
        <v>0</v>
      </c>
      <c r="AW299" s="19">
        <v>0</v>
      </c>
      <c r="AX299" s="3">
        <v>0</v>
      </c>
      <c r="AY299" s="3">
        <v>0</v>
      </c>
    </row>
    <row r="300" spans="1:51">
      <c r="A300" s="3">
        <v>4458961</v>
      </c>
      <c r="B300" t="s">
        <v>542</v>
      </c>
      <c r="C300" s="3">
        <v>11240203</v>
      </c>
      <c r="D300" t="s">
        <v>44</v>
      </c>
      <c r="E300" t="s">
        <v>146</v>
      </c>
      <c r="F300" t="s">
        <v>46</v>
      </c>
      <c r="G300" t="s">
        <v>47</v>
      </c>
      <c r="H300" s="16">
        <v>0</v>
      </c>
      <c r="I300" s="4">
        <f>VLOOKUP(C300,[1]sheet1!$D:$I,6,0)</f>
        <v>0</v>
      </c>
      <c r="J300" s="4">
        <f>VLOOKUP(C300,[2]sheet1!$D:$I,6,0)</f>
        <v>0</v>
      </c>
      <c r="K300" s="4">
        <f>VLOOKUP(C300,[3]sheet1!$D:$I,6,0)</f>
        <v>0</v>
      </c>
      <c r="L300" s="4">
        <f>VLOOKUP(C300,[4]sheet1!$D:$I,6,0)</f>
        <v>0</v>
      </c>
      <c r="M300" s="4">
        <f>VLOOKUP(C300,[5]sheet1!$D:$I,6,0)</f>
        <v>0</v>
      </c>
      <c r="N300" s="4">
        <f>VLOOKUP(C300,[6]sheet1!$D:$I,6,0)</f>
        <v>0</v>
      </c>
      <c r="O300" s="4">
        <f>VLOOKUP(C300,[7]sheet1!$D:$I,6,0)</f>
        <v>0</v>
      </c>
      <c r="P300" s="4">
        <f>VLOOKUP(C300,[8]sheet1!$D:$I,6,0)</f>
        <v>0</v>
      </c>
      <c r="Q300" s="4">
        <f t="shared" si="4"/>
        <v>0</v>
      </c>
      <c r="R300" s="3">
        <v>0</v>
      </c>
      <c r="S300">
        <v>97</v>
      </c>
      <c r="T300">
        <v>0</v>
      </c>
      <c r="U300" s="3">
        <v>0</v>
      </c>
      <c r="V300" s="3">
        <v>0</v>
      </c>
      <c r="W300">
        <v>0</v>
      </c>
      <c r="X300" s="3">
        <v>0</v>
      </c>
      <c r="Y300">
        <v>0</v>
      </c>
      <c r="Z300" s="3">
        <v>0</v>
      </c>
      <c r="AA300" t="s">
        <v>411</v>
      </c>
      <c r="AB300" s="3">
        <v>327</v>
      </c>
      <c r="AC300">
        <v>330.82</v>
      </c>
      <c r="AD300" t="s">
        <v>49</v>
      </c>
      <c r="AE300">
        <v>0</v>
      </c>
      <c r="AF300" s="3">
        <v>0</v>
      </c>
      <c r="AG300" t="s">
        <v>49</v>
      </c>
      <c r="AH300">
        <v>0</v>
      </c>
      <c r="AI300" t="s">
        <v>49</v>
      </c>
      <c r="AJ300">
        <v>276.88</v>
      </c>
      <c r="AK300" t="s">
        <v>49</v>
      </c>
      <c r="AL300">
        <v>0</v>
      </c>
      <c r="AM300" t="s">
        <v>49</v>
      </c>
      <c r="AN300" s="3">
        <v>7</v>
      </c>
      <c r="AO300" s="19">
        <v>0</v>
      </c>
      <c r="AP300" s="19">
        <v>0</v>
      </c>
      <c r="AQ300" s="19">
        <v>0.7143</v>
      </c>
      <c r="AR300" s="19">
        <v>0.5714</v>
      </c>
      <c r="AS300" s="19">
        <v>0</v>
      </c>
      <c r="AT300" s="19">
        <v>0</v>
      </c>
      <c r="AU300" s="3">
        <v>0</v>
      </c>
      <c r="AV300" s="3">
        <v>0</v>
      </c>
      <c r="AW300" s="19">
        <v>0</v>
      </c>
      <c r="AX300" s="3">
        <v>0</v>
      </c>
      <c r="AY300" s="3">
        <v>0</v>
      </c>
    </row>
    <row r="301" spans="1:51">
      <c r="A301" s="3">
        <v>4458683</v>
      </c>
      <c r="B301" t="s">
        <v>543</v>
      </c>
      <c r="C301" s="3">
        <v>11040107</v>
      </c>
      <c r="D301" t="s">
        <v>44</v>
      </c>
      <c r="E301" t="s">
        <v>104</v>
      </c>
      <c r="F301" t="s">
        <v>46</v>
      </c>
      <c r="G301" t="s">
        <v>47</v>
      </c>
      <c r="H301" s="16">
        <v>0</v>
      </c>
      <c r="I301" s="4">
        <f>VLOOKUP(C301,[1]sheet1!$D:$I,6,0)</f>
        <v>0</v>
      </c>
      <c r="J301" s="4">
        <f>VLOOKUP(C301,[2]sheet1!$D:$I,6,0)</f>
        <v>0</v>
      </c>
      <c r="K301" s="4">
        <f>VLOOKUP(C301,[3]sheet1!$D:$I,6,0)</f>
        <v>0</v>
      </c>
      <c r="L301" s="4">
        <f>VLOOKUP(C301,[4]sheet1!$D:$I,6,0)</f>
        <v>0</v>
      </c>
      <c r="M301" s="4">
        <f>VLOOKUP(C301,[5]sheet1!$D:$I,6,0)</f>
        <v>0</v>
      </c>
      <c r="N301" s="4">
        <f>VLOOKUP(C301,[6]sheet1!$D:$I,6,0)</f>
        <v>0</v>
      </c>
      <c r="O301" s="4">
        <f>VLOOKUP(C301,[7]sheet1!$D:$I,6,0)</f>
        <v>0</v>
      </c>
      <c r="P301" s="4">
        <f>VLOOKUP(C301,[8]sheet1!$D:$I,6,0)</f>
        <v>0</v>
      </c>
      <c r="Q301" s="4">
        <f t="shared" si="4"/>
        <v>0</v>
      </c>
      <c r="R301" s="3">
        <v>0</v>
      </c>
      <c r="S301">
        <v>90</v>
      </c>
      <c r="T301">
        <v>0</v>
      </c>
      <c r="U301" s="3">
        <v>0</v>
      </c>
      <c r="V301" s="3">
        <v>0</v>
      </c>
      <c r="W301">
        <v>0</v>
      </c>
      <c r="X301" s="3">
        <v>0</v>
      </c>
      <c r="Y301">
        <v>0</v>
      </c>
      <c r="Z301" s="3">
        <v>0</v>
      </c>
      <c r="AA301" t="s">
        <v>420</v>
      </c>
      <c r="AB301" s="3">
        <v>462</v>
      </c>
      <c r="AC301">
        <v>494.12</v>
      </c>
      <c r="AD301" t="s">
        <v>49</v>
      </c>
      <c r="AE301">
        <v>0</v>
      </c>
      <c r="AF301" s="3">
        <v>0</v>
      </c>
      <c r="AG301" t="s">
        <v>49</v>
      </c>
      <c r="AH301">
        <v>0</v>
      </c>
      <c r="AI301" t="s">
        <v>49</v>
      </c>
      <c r="AJ301">
        <v>392.33</v>
      </c>
      <c r="AK301" t="s">
        <v>49</v>
      </c>
      <c r="AL301">
        <v>0</v>
      </c>
      <c r="AM301" t="s">
        <v>49</v>
      </c>
      <c r="AN301">
        <v>90</v>
      </c>
      <c r="AO301" s="19">
        <v>0</v>
      </c>
      <c r="AP301" s="19">
        <v>0</v>
      </c>
      <c r="AQ301" s="19">
        <v>1</v>
      </c>
      <c r="AR301" s="19">
        <v>0.3333</v>
      </c>
      <c r="AS301" s="19">
        <v>0</v>
      </c>
      <c r="AT301" s="19">
        <v>0</v>
      </c>
      <c r="AU301" s="3">
        <v>0</v>
      </c>
      <c r="AV301" s="3">
        <v>0</v>
      </c>
      <c r="AW301" s="19">
        <v>0</v>
      </c>
      <c r="AX301" s="3">
        <v>0</v>
      </c>
      <c r="AY301" s="3">
        <v>0</v>
      </c>
    </row>
    <row r="302" spans="1:51">
      <c r="A302" s="3">
        <v>4458666</v>
      </c>
      <c r="B302" t="s">
        <v>544</v>
      </c>
      <c r="C302" s="3">
        <v>12221522</v>
      </c>
      <c r="D302" t="s">
        <v>44</v>
      </c>
      <c r="E302" t="s">
        <v>299</v>
      </c>
      <c r="F302" t="s">
        <v>65</v>
      </c>
      <c r="G302" t="s">
        <v>47</v>
      </c>
      <c r="H302" s="16">
        <v>0</v>
      </c>
      <c r="I302" s="4">
        <f>VLOOKUP(C302,[1]sheet1!$D:$I,6,0)</f>
        <v>0</v>
      </c>
      <c r="J302" s="4">
        <f>VLOOKUP(C302,[2]sheet1!$D:$I,6,0)</f>
        <v>0</v>
      </c>
      <c r="K302" s="4">
        <f>VLOOKUP(C302,[3]sheet1!$D:$I,6,0)</f>
        <v>0</v>
      </c>
      <c r="L302" s="4">
        <f>VLOOKUP(C302,[4]sheet1!$D:$I,6,0)</f>
        <v>0</v>
      </c>
      <c r="M302" s="4">
        <f>VLOOKUP(C302,[5]sheet1!$D:$I,6,0)</f>
        <v>0</v>
      </c>
      <c r="N302" s="4">
        <f>VLOOKUP(C302,[6]sheet1!$D:$I,6,0)</f>
        <v>0</v>
      </c>
      <c r="O302" s="4">
        <f>VLOOKUP(C302,[7]sheet1!$D:$I,6,0)</f>
        <v>0</v>
      </c>
      <c r="P302" s="4">
        <f>VLOOKUP(C302,[8]sheet1!$D:$I,6,0)</f>
        <v>0</v>
      </c>
      <c r="Q302" s="4">
        <f t="shared" si="4"/>
        <v>0</v>
      </c>
      <c r="R302" s="3">
        <v>0</v>
      </c>
      <c r="S302" s="3">
        <v>1</v>
      </c>
      <c r="T302" s="19">
        <v>0</v>
      </c>
      <c r="U302" s="3">
        <v>0</v>
      </c>
      <c r="V302" s="3">
        <v>0</v>
      </c>
      <c r="W302">
        <v>0</v>
      </c>
      <c r="X302" s="3">
        <v>0</v>
      </c>
      <c r="Y302">
        <v>0</v>
      </c>
      <c r="Z302" s="3">
        <v>0</v>
      </c>
      <c r="AA302" t="s">
        <v>49</v>
      </c>
      <c r="AB302" t="s">
        <v>49</v>
      </c>
      <c r="AC302" t="s">
        <v>49</v>
      </c>
      <c r="AD302" t="s">
        <v>49</v>
      </c>
      <c r="AE302">
        <v>0</v>
      </c>
      <c r="AF302" s="3">
        <v>0</v>
      </c>
      <c r="AG302" t="s">
        <v>49</v>
      </c>
      <c r="AH302" t="s">
        <v>49</v>
      </c>
      <c r="AI302" t="s">
        <v>49</v>
      </c>
      <c r="AJ302" t="s">
        <v>49</v>
      </c>
      <c r="AK302" t="s">
        <v>49</v>
      </c>
      <c r="AL302" t="s">
        <v>49</v>
      </c>
      <c r="AM302" t="s">
        <v>49</v>
      </c>
      <c r="AN302" s="3">
        <v>1</v>
      </c>
      <c r="AO302" s="19">
        <v>0</v>
      </c>
      <c r="AP302" s="19">
        <v>0</v>
      </c>
      <c r="AQ302" s="19">
        <v>1</v>
      </c>
      <c r="AR302" s="19">
        <v>0</v>
      </c>
      <c r="AS302" s="19">
        <v>0</v>
      </c>
      <c r="AT302" s="19">
        <v>0</v>
      </c>
      <c r="AU302" s="3">
        <v>0</v>
      </c>
      <c r="AV302" s="3">
        <v>0</v>
      </c>
      <c r="AW302" s="19">
        <v>0</v>
      </c>
      <c r="AX302" s="3">
        <v>0</v>
      </c>
      <c r="AY302" s="3">
        <v>0</v>
      </c>
    </row>
    <row r="303" spans="1:51">
      <c r="A303" s="3">
        <v>4458050</v>
      </c>
      <c r="B303" t="s">
        <v>545</v>
      </c>
      <c r="C303" s="3">
        <v>12230618</v>
      </c>
      <c r="D303" t="s">
        <v>44</v>
      </c>
      <c r="E303" t="s">
        <v>138</v>
      </c>
      <c r="F303" t="s">
        <v>65</v>
      </c>
      <c r="G303" t="s">
        <v>47</v>
      </c>
      <c r="H303" s="16">
        <v>0</v>
      </c>
      <c r="I303" s="4">
        <f>VLOOKUP(C303,[1]sheet1!$D:$I,6,0)</f>
        <v>0</v>
      </c>
      <c r="J303" s="4">
        <f>VLOOKUP(C303,[2]sheet1!$D:$I,6,0)</f>
        <v>0</v>
      </c>
      <c r="K303" s="4">
        <f>VLOOKUP(C303,[3]sheet1!$D:$I,6,0)</f>
        <v>0</v>
      </c>
      <c r="L303" s="4">
        <f>VLOOKUP(C303,[4]sheet1!$D:$I,6,0)</f>
        <v>0</v>
      </c>
      <c r="M303" s="4">
        <f>VLOOKUP(C303,[5]sheet1!$D:$I,6,0)</f>
        <v>0</v>
      </c>
      <c r="N303" s="4">
        <f>VLOOKUP(C303,[6]sheet1!$D:$I,6,0)</f>
        <v>0</v>
      </c>
      <c r="O303" s="4">
        <f>VLOOKUP(C303,[7]sheet1!$D:$I,6,0)</f>
        <v>0</v>
      </c>
      <c r="P303" s="4">
        <f>VLOOKUP(C303,[8]sheet1!$D:$I,6,0)</f>
        <v>0</v>
      </c>
      <c r="Q303" s="15">
        <f t="shared" si="4"/>
        <v>0</v>
      </c>
      <c r="R303" s="3">
        <v>0</v>
      </c>
      <c r="S303" s="3">
        <v>1</v>
      </c>
      <c r="T303" s="19">
        <v>0</v>
      </c>
      <c r="U303" s="3">
        <v>0</v>
      </c>
      <c r="V303" s="3">
        <v>0</v>
      </c>
      <c r="W303">
        <v>0</v>
      </c>
      <c r="X303" s="3">
        <v>0</v>
      </c>
      <c r="Y303">
        <v>0</v>
      </c>
      <c r="Z303" s="3">
        <v>0</v>
      </c>
      <c r="AA303" t="s">
        <v>49</v>
      </c>
      <c r="AB303" t="s">
        <v>49</v>
      </c>
      <c r="AC303" t="s">
        <v>49</v>
      </c>
      <c r="AD303" t="s">
        <v>49</v>
      </c>
      <c r="AE303">
        <v>0</v>
      </c>
      <c r="AF303" s="3">
        <v>0</v>
      </c>
      <c r="AG303" t="s">
        <v>49</v>
      </c>
      <c r="AH303" t="s">
        <v>49</v>
      </c>
      <c r="AI303" t="s">
        <v>49</v>
      </c>
      <c r="AJ303" t="s">
        <v>49</v>
      </c>
      <c r="AK303" t="s">
        <v>49</v>
      </c>
      <c r="AL303" t="s">
        <v>49</v>
      </c>
      <c r="AM303" t="s">
        <v>49</v>
      </c>
      <c r="AN303" s="3">
        <v>1</v>
      </c>
      <c r="AO303" s="19">
        <v>0</v>
      </c>
      <c r="AP303" s="19">
        <v>0</v>
      </c>
      <c r="AQ303" s="19">
        <v>1</v>
      </c>
      <c r="AR303" s="19">
        <v>0</v>
      </c>
      <c r="AS303" s="19">
        <v>0</v>
      </c>
      <c r="AT303" s="19">
        <v>0</v>
      </c>
      <c r="AU303" s="3">
        <v>0</v>
      </c>
      <c r="AV303" s="3">
        <v>0</v>
      </c>
      <c r="AW303" s="19">
        <v>0</v>
      </c>
      <c r="AX303" s="3">
        <v>0</v>
      </c>
      <c r="AY303" s="3">
        <v>0</v>
      </c>
    </row>
    <row r="304" spans="1:51">
      <c r="A304" s="3">
        <v>4457894</v>
      </c>
      <c r="B304" t="s">
        <v>546</v>
      </c>
      <c r="C304" s="3">
        <v>12130608</v>
      </c>
      <c r="D304" t="s">
        <v>44</v>
      </c>
      <c r="E304" t="s">
        <v>138</v>
      </c>
      <c r="F304" t="s">
        <v>46</v>
      </c>
      <c r="G304" t="s">
        <v>47</v>
      </c>
      <c r="H304" s="16">
        <v>0</v>
      </c>
      <c r="I304" s="4">
        <f>VLOOKUP(C304,[1]sheet1!$D:$I,6,0)</f>
        <v>0</v>
      </c>
      <c r="J304" s="4">
        <f>VLOOKUP(C304,[2]sheet1!$D:$I,6,0)</f>
        <v>0</v>
      </c>
      <c r="K304" s="4">
        <f>VLOOKUP(C304,[3]sheet1!$D:$I,6,0)</f>
        <v>0</v>
      </c>
      <c r="L304" s="4">
        <f>VLOOKUP(C304,[4]sheet1!$D:$I,6,0)</f>
        <v>0</v>
      </c>
      <c r="M304" s="4">
        <f>VLOOKUP(C304,[5]sheet1!$D:$I,6,0)</f>
        <v>0</v>
      </c>
      <c r="N304" s="4">
        <f>VLOOKUP(C304,[6]sheet1!$D:$I,6,0)</f>
        <v>0</v>
      </c>
      <c r="O304" s="4">
        <f>VLOOKUP(C304,[7]sheet1!$D:$I,6,0)</f>
        <v>0</v>
      </c>
      <c r="P304" s="4">
        <f>VLOOKUP(C304,[8]sheet1!$D:$I,6,0)</f>
        <v>0</v>
      </c>
      <c r="Q304" s="15">
        <f t="shared" si="4"/>
        <v>0</v>
      </c>
      <c r="R304" s="3">
        <v>0</v>
      </c>
      <c r="S304">
        <v>52</v>
      </c>
      <c r="T304">
        <v>0</v>
      </c>
      <c r="U304" s="3">
        <v>0</v>
      </c>
      <c r="V304" s="3">
        <v>0</v>
      </c>
      <c r="W304">
        <v>0</v>
      </c>
      <c r="X304" s="3">
        <v>0</v>
      </c>
      <c r="Y304">
        <v>0</v>
      </c>
      <c r="Z304" s="3">
        <v>0</v>
      </c>
      <c r="AA304" t="s">
        <v>411</v>
      </c>
      <c r="AB304" s="3">
        <v>299</v>
      </c>
      <c r="AC304">
        <v>326.24</v>
      </c>
      <c r="AD304" t="s">
        <v>49</v>
      </c>
      <c r="AE304">
        <v>0</v>
      </c>
      <c r="AF304" s="3">
        <v>0</v>
      </c>
      <c r="AG304" t="s">
        <v>49</v>
      </c>
      <c r="AH304">
        <v>0</v>
      </c>
      <c r="AI304" t="s">
        <v>49</v>
      </c>
      <c r="AJ304">
        <v>247.94</v>
      </c>
      <c r="AK304" t="s">
        <v>49</v>
      </c>
      <c r="AL304">
        <v>0</v>
      </c>
      <c r="AM304" t="s">
        <v>49</v>
      </c>
      <c r="AN304" s="3">
        <v>2</v>
      </c>
      <c r="AO304" s="19">
        <v>0</v>
      </c>
      <c r="AP304" s="19">
        <v>0</v>
      </c>
      <c r="AQ304" s="19">
        <v>1</v>
      </c>
      <c r="AR304" s="19">
        <v>0</v>
      </c>
      <c r="AS304" s="19">
        <v>0</v>
      </c>
      <c r="AT304" s="19">
        <v>0</v>
      </c>
      <c r="AU304" s="3">
        <v>0</v>
      </c>
      <c r="AV304" s="3">
        <v>0</v>
      </c>
      <c r="AW304" s="19">
        <v>0</v>
      </c>
      <c r="AX304" s="3">
        <v>0</v>
      </c>
      <c r="AY304" s="3">
        <v>0</v>
      </c>
    </row>
    <row r="305" spans="1:51">
      <c r="A305" s="3">
        <v>4457855</v>
      </c>
      <c r="B305" t="s">
        <v>547</v>
      </c>
      <c r="C305" s="3">
        <v>12313706</v>
      </c>
      <c r="D305" t="s">
        <v>44</v>
      </c>
      <c r="E305" t="s">
        <v>404</v>
      </c>
      <c r="F305" t="s">
        <v>65</v>
      </c>
      <c r="G305" t="s">
        <v>47</v>
      </c>
      <c r="H305" s="16">
        <v>0</v>
      </c>
      <c r="I305" s="4">
        <f>VLOOKUP(C305,[1]sheet1!$D:$I,6,0)</f>
        <v>0</v>
      </c>
      <c r="J305" s="4">
        <f>VLOOKUP(C305,[2]sheet1!$D:$I,6,0)</f>
        <v>0</v>
      </c>
      <c r="K305" s="4">
        <f>VLOOKUP(C305,[3]sheet1!$D:$I,6,0)</f>
        <v>0</v>
      </c>
      <c r="L305" s="4">
        <f>VLOOKUP(C305,[4]sheet1!$D:$I,6,0)</f>
        <v>0</v>
      </c>
      <c r="M305" s="4">
        <f>VLOOKUP(C305,[5]sheet1!$D:$I,6,0)</f>
        <v>0</v>
      </c>
      <c r="N305" s="4">
        <f>VLOOKUP(C305,[6]sheet1!$D:$I,6,0)</f>
        <v>0</v>
      </c>
      <c r="O305" s="4">
        <f>VLOOKUP(C305,[7]sheet1!$D:$I,6,0)</f>
        <v>0</v>
      </c>
      <c r="P305" s="4">
        <f>VLOOKUP(C305,[8]sheet1!$D:$I,6,0)</f>
        <v>0</v>
      </c>
      <c r="Q305" s="4">
        <f t="shared" si="4"/>
        <v>0</v>
      </c>
      <c r="R305" s="3">
        <v>0</v>
      </c>
      <c r="S305" s="3">
        <v>0</v>
      </c>
      <c r="T305" s="19">
        <v>0</v>
      </c>
      <c r="U305" s="3">
        <v>0</v>
      </c>
      <c r="V305" s="3">
        <v>0</v>
      </c>
      <c r="W305">
        <v>0</v>
      </c>
      <c r="X305" s="3">
        <v>0</v>
      </c>
      <c r="Y305">
        <v>0</v>
      </c>
      <c r="Z305" s="3">
        <v>0</v>
      </c>
      <c r="AA305" t="s">
        <v>49</v>
      </c>
      <c r="AB305" t="s">
        <v>49</v>
      </c>
      <c r="AC305" t="s">
        <v>49</v>
      </c>
      <c r="AD305" t="s">
        <v>49</v>
      </c>
      <c r="AE305">
        <v>0</v>
      </c>
      <c r="AF305" s="3">
        <v>0</v>
      </c>
      <c r="AG305" t="s">
        <v>49</v>
      </c>
      <c r="AH305" t="s">
        <v>49</v>
      </c>
      <c r="AI305" t="s">
        <v>49</v>
      </c>
      <c r="AJ305" t="s">
        <v>49</v>
      </c>
      <c r="AK305" t="s">
        <v>49</v>
      </c>
      <c r="AL305" t="s">
        <v>49</v>
      </c>
      <c r="AM305" t="s">
        <v>49</v>
      </c>
      <c r="AN305" s="3">
        <v>0</v>
      </c>
      <c r="AO305" s="19">
        <v>0</v>
      </c>
      <c r="AP305" s="19">
        <v>0</v>
      </c>
      <c r="AQ305" s="19">
        <v>0</v>
      </c>
      <c r="AR305" s="19">
        <v>0</v>
      </c>
      <c r="AS305" s="19">
        <v>0</v>
      </c>
      <c r="AT305" s="19">
        <v>0</v>
      </c>
      <c r="AU305" s="3">
        <v>0</v>
      </c>
      <c r="AV305" s="3">
        <v>0</v>
      </c>
      <c r="AW305" s="19">
        <v>0</v>
      </c>
      <c r="AX305" s="3">
        <v>0</v>
      </c>
      <c r="AY305" s="3">
        <v>0</v>
      </c>
    </row>
    <row r="306" spans="1:51">
      <c r="A306" s="3">
        <v>4457164</v>
      </c>
      <c r="B306" t="s">
        <v>548</v>
      </c>
      <c r="C306" s="3">
        <v>11213803</v>
      </c>
      <c r="D306" t="s">
        <v>44</v>
      </c>
      <c r="E306" t="s">
        <v>188</v>
      </c>
      <c r="F306" t="s">
        <v>65</v>
      </c>
      <c r="G306" t="s">
        <v>47</v>
      </c>
      <c r="H306" s="16">
        <v>0</v>
      </c>
      <c r="I306" s="4">
        <f>VLOOKUP(C306,[1]sheet1!$D:$I,6,0)</f>
        <v>0</v>
      </c>
      <c r="J306" s="4">
        <f>VLOOKUP(C306,[2]sheet1!$D:$I,6,0)</f>
        <v>0</v>
      </c>
      <c r="K306" s="4">
        <f>VLOOKUP(C306,[3]sheet1!$D:$I,6,0)</f>
        <v>0</v>
      </c>
      <c r="L306" s="4">
        <f>VLOOKUP(C306,[4]sheet1!$D:$I,6,0)</f>
        <v>0</v>
      </c>
      <c r="M306" s="4">
        <f>VLOOKUP(C306,[5]sheet1!$D:$I,6,0)</f>
        <v>0</v>
      </c>
      <c r="N306" s="4">
        <f>VLOOKUP(C306,[6]sheet1!$D:$I,6,0)</f>
        <v>0</v>
      </c>
      <c r="O306" s="4">
        <f>VLOOKUP(C306,[7]sheet1!$D:$I,6,0)</f>
        <v>0</v>
      </c>
      <c r="P306" s="4">
        <f>VLOOKUP(C306,[8]sheet1!$D:$I,6,0)</f>
        <v>0</v>
      </c>
      <c r="Q306" s="4">
        <f t="shared" si="4"/>
        <v>0</v>
      </c>
      <c r="R306" s="3">
        <v>0</v>
      </c>
      <c r="S306" s="3">
        <v>0</v>
      </c>
      <c r="T306" s="19">
        <v>0</v>
      </c>
      <c r="U306" s="3">
        <v>0</v>
      </c>
      <c r="V306" s="3">
        <v>0</v>
      </c>
      <c r="W306">
        <v>0</v>
      </c>
      <c r="X306" s="3">
        <v>0</v>
      </c>
      <c r="Y306">
        <v>0</v>
      </c>
      <c r="Z306" s="3">
        <v>0</v>
      </c>
      <c r="AA306" t="s">
        <v>49</v>
      </c>
      <c r="AB306" t="s">
        <v>49</v>
      </c>
      <c r="AC306" t="s">
        <v>49</v>
      </c>
      <c r="AD306" t="s">
        <v>49</v>
      </c>
      <c r="AE306">
        <v>0</v>
      </c>
      <c r="AF306" s="3">
        <v>0</v>
      </c>
      <c r="AG306" t="s">
        <v>49</v>
      </c>
      <c r="AH306" t="s">
        <v>49</v>
      </c>
      <c r="AI306" t="s">
        <v>49</v>
      </c>
      <c r="AJ306" t="s">
        <v>49</v>
      </c>
      <c r="AK306" t="s">
        <v>49</v>
      </c>
      <c r="AL306" t="s">
        <v>49</v>
      </c>
      <c r="AM306" t="s">
        <v>49</v>
      </c>
      <c r="AN306" s="3">
        <v>0</v>
      </c>
      <c r="AO306" s="19">
        <v>0</v>
      </c>
      <c r="AP306" s="19">
        <v>0</v>
      </c>
      <c r="AQ306" s="19">
        <v>0</v>
      </c>
      <c r="AR306" s="19">
        <v>0</v>
      </c>
      <c r="AS306" s="19">
        <v>0</v>
      </c>
      <c r="AT306" s="19">
        <v>0</v>
      </c>
      <c r="AU306" s="3">
        <v>0</v>
      </c>
      <c r="AV306" s="3">
        <v>0</v>
      </c>
      <c r="AW306" s="19">
        <v>0</v>
      </c>
      <c r="AX306" s="3">
        <v>0</v>
      </c>
      <c r="AY306" s="3">
        <v>0</v>
      </c>
    </row>
    <row r="307" spans="1:51">
      <c r="A307" s="3">
        <v>4457133</v>
      </c>
      <c r="B307" t="s">
        <v>549</v>
      </c>
      <c r="C307" s="3">
        <v>12221504</v>
      </c>
      <c r="D307" t="s">
        <v>44</v>
      </c>
      <c r="E307" t="s">
        <v>461</v>
      </c>
      <c r="F307" t="s">
        <v>65</v>
      </c>
      <c r="G307" t="s">
        <v>47</v>
      </c>
      <c r="H307" s="16">
        <v>0</v>
      </c>
      <c r="I307" s="4">
        <f>VLOOKUP(C307,[1]sheet1!$D:$I,6,0)</f>
        <v>0</v>
      </c>
      <c r="J307" s="4">
        <f>VLOOKUP(C307,[2]sheet1!$D:$I,6,0)</f>
        <v>0</v>
      </c>
      <c r="K307" s="4">
        <f>VLOOKUP(C307,[3]sheet1!$D:$I,6,0)</f>
        <v>0</v>
      </c>
      <c r="L307" s="4">
        <f>VLOOKUP(C307,[4]sheet1!$D:$I,6,0)</f>
        <v>0</v>
      </c>
      <c r="M307" s="4">
        <f>VLOOKUP(C307,[5]sheet1!$D:$I,6,0)</f>
        <v>0</v>
      </c>
      <c r="N307" s="4">
        <f>VLOOKUP(C307,[6]sheet1!$D:$I,6,0)</f>
        <v>0</v>
      </c>
      <c r="O307" s="4">
        <f>VLOOKUP(C307,[7]sheet1!$D:$I,6,0)</f>
        <v>0</v>
      </c>
      <c r="P307" s="4">
        <f>VLOOKUP(C307,[8]sheet1!$D:$I,6,0)</f>
        <v>0</v>
      </c>
      <c r="Q307" s="4">
        <f t="shared" si="4"/>
        <v>0</v>
      </c>
      <c r="R307" s="3">
        <v>0</v>
      </c>
      <c r="S307" s="3">
        <v>0</v>
      </c>
      <c r="T307" s="19">
        <v>0</v>
      </c>
      <c r="U307" s="3">
        <v>0</v>
      </c>
      <c r="V307" s="3">
        <v>0</v>
      </c>
      <c r="W307">
        <v>0</v>
      </c>
      <c r="X307" s="3">
        <v>0</v>
      </c>
      <c r="Y307">
        <v>0</v>
      </c>
      <c r="Z307" s="3">
        <v>0</v>
      </c>
      <c r="AA307" t="s">
        <v>49</v>
      </c>
      <c r="AB307" t="s">
        <v>49</v>
      </c>
      <c r="AC307" t="s">
        <v>49</v>
      </c>
      <c r="AD307" t="s">
        <v>49</v>
      </c>
      <c r="AE307">
        <v>0</v>
      </c>
      <c r="AF307" s="3">
        <v>0</v>
      </c>
      <c r="AG307" t="s">
        <v>49</v>
      </c>
      <c r="AH307" t="s">
        <v>49</v>
      </c>
      <c r="AI307" t="s">
        <v>49</v>
      </c>
      <c r="AJ307" t="s">
        <v>49</v>
      </c>
      <c r="AK307" t="s">
        <v>49</v>
      </c>
      <c r="AL307" t="s">
        <v>49</v>
      </c>
      <c r="AM307" t="s">
        <v>49</v>
      </c>
      <c r="AN307" s="3">
        <v>0</v>
      </c>
      <c r="AO307" s="19">
        <v>0</v>
      </c>
      <c r="AP307" s="19">
        <v>0</v>
      </c>
      <c r="AQ307" s="19">
        <v>0</v>
      </c>
      <c r="AR307" s="19">
        <v>0</v>
      </c>
      <c r="AS307" s="19">
        <v>0</v>
      </c>
      <c r="AT307" s="19">
        <v>0</v>
      </c>
      <c r="AU307" s="3">
        <v>0</v>
      </c>
      <c r="AV307" s="3">
        <v>0</v>
      </c>
      <c r="AW307" s="19">
        <v>0</v>
      </c>
      <c r="AX307" s="3">
        <v>0</v>
      </c>
      <c r="AY307" s="3">
        <v>0</v>
      </c>
    </row>
    <row r="308" spans="1:51">
      <c r="A308" s="3">
        <v>4456943</v>
      </c>
      <c r="B308" t="s">
        <v>550</v>
      </c>
      <c r="C308" s="3">
        <v>12031016</v>
      </c>
      <c r="D308" t="s">
        <v>44</v>
      </c>
      <c r="E308" t="s">
        <v>206</v>
      </c>
      <c r="F308" t="s">
        <v>65</v>
      </c>
      <c r="G308" t="s">
        <v>47</v>
      </c>
      <c r="H308" s="16">
        <v>0</v>
      </c>
      <c r="I308" s="4">
        <f>VLOOKUP(C308,[1]sheet1!$D:$I,6,0)</f>
        <v>0</v>
      </c>
      <c r="J308" s="4">
        <f>VLOOKUP(C308,[2]sheet1!$D:$I,6,0)</f>
        <v>0</v>
      </c>
      <c r="K308" s="4">
        <f>VLOOKUP(C308,[3]sheet1!$D:$I,6,0)</f>
        <v>0</v>
      </c>
      <c r="L308" s="4">
        <f>VLOOKUP(C308,[4]sheet1!$D:$I,6,0)</f>
        <v>0</v>
      </c>
      <c r="M308" s="4">
        <f>VLOOKUP(C308,[5]sheet1!$D:$I,6,0)</f>
        <v>0</v>
      </c>
      <c r="N308" s="4">
        <f>VLOOKUP(C308,[6]sheet1!$D:$I,6,0)</f>
        <v>0</v>
      </c>
      <c r="O308" s="4">
        <f>VLOOKUP(C308,[7]sheet1!$D:$I,6,0)</f>
        <v>0</v>
      </c>
      <c r="P308" s="4">
        <f>VLOOKUP(C308,[8]sheet1!$D:$I,6,0)</f>
        <v>0</v>
      </c>
      <c r="Q308" s="4">
        <f t="shared" si="4"/>
        <v>0</v>
      </c>
      <c r="R308" s="3">
        <v>0</v>
      </c>
      <c r="S308" s="3">
        <v>3</v>
      </c>
      <c r="T308" s="19">
        <v>0</v>
      </c>
      <c r="U308" s="3">
        <v>0</v>
      </c>
      <c r="V308" s="3">
        <v>0</v>
      </c>
      <c r="W308">
        <v>0</v>
      </c>
      <c r="X308" s="3">
        <v>0</v>
      </c>
      <c r="Y308">
        <v>0</v>
      </c>
      <c r="Z308" s="3">
        <v>0</v>
      </c>
      <c r="AA308" t="s">
        <v>49</v>
      </c>
      <c r="AB308" t="s">
        <v>49</v>
      </c>
      <c r="AC308" t="s">
        <v>49</v>
      </c>
      <c r="AD308" t="s">
        <v>49</v>
      </c>
      <c r="AE308">
        <v>0</v>
      </c>
      <c r="AF308" s="3">
        <v>0</v>
      </c>
      <c r="AG308" t="s">
        <v>49</v>
      </c>
      <c r="AH308" t="s">
        <v>49</v>
      </c>
      <c r="AI308" t="s">
        <v>49</v>
      </c>
      <c r="AJ308" t="s">
        <v>49</v>
      </c>
      <c r="AK308" t="s">
        <v>49</v>
      </c>
      <c r="AL308" t="s">
        <v>49</v>
      </c>
      <c r="AM308" t="s">
        <v>49</v>
      </c>
      <c r="AN308" s="3">
        <v>3</v>
      </c>
      <c r="AO308" s="19">
        <v>0</v>
      </c>
      <c r="AP308" s="19">
        <v>0</v>
      </c>
      <c r="AQ308" s="19">
        <v>1</v>
      </c>
      <c r="AR308" s="19">
        <v>0.3333</v>
      </c>
      <c r="AS308" s="19">
        <v>0</v>
      </c>
      <c r="AT308" s="19">
        <v>0</v>
      </c>
      <c r="AU308" s="3">
        <v>0</v>
      </c>
      <c r="AV308" s="3">
        <v>0</v>
      </c>
      <c r="AW308" s="19">
        <v>0</v>
      </c>
      <c r="AX308" s="3">
        <v>0</v>
      </c>
      <c r="AY308" s="3">
        <v>0</v>
      </c>
    </row>
    <row r="309" spans="1:51">
      <c r="A309" s="3">
        <v>4456171</v>
      </c>
      <c r="B309" t="s">
        <v>551</v>
      </c>
      <c r="C309" s="3">
        <v>12131022</v>
      </c>
      <c r="D309" t="s">
        <v>44</v>
      </c>
      <c r="E309" t="s">
        <v>206</v>
      </c>
      <c r="F309" t="s">
        <v>65</v>
      </c>
      <c r="G309" t="s">
        <v>47</v>
      </c>
      <c r="H309" s="16">
        <v>0</v>
      </c>
      <c r="I309" s="4">
        <f>VLOOKUP(C309,[1]sheet1!$D:$I,6,0)</f>
        <v>0</v>
      </c>
      <c r="J309" s="4">
        <f>VLOOKUP(C309,[2]sheet1!$D:$I,6,0)</f>
        <v>0</v>
      </c>
      <c r="K309" s="4">
        <f>VLOOKUP(C309,[3]sheet1!$D:$I,6,0)</f>
        <v>0</v>
      </c>
      <c r="L309" s="4">
        <f>VLOOKUP(C309,[4]sheet1!$D:$I,6,0)</f>
        <v>0</v>
      </c>
      <c r="M309" s="4">
        <f>VLOOKUP(C309,[5]sheet1!$D:$I,6,0)</f>
        <v>0</v>
      </c>
      <c r="N309" s="4">
        <f>VLOOKUP(C309,[6]sheet1!$D:$I,6,0)</f>
        <v>0</v>
      </c>
      <c r="O309" s="4">
        <f>VLOOKUP(C309,[7]sheet1!$D:$I,6,0)</f>
        <v>0</v>
      </c>
      <c r="P309" s="4">
        <f>VLOOKUP(C309,[8]sheet1!$D:$I,6,0)</f>
        <v>0</v>
      </c>
      <c r="Q309" s="4">
        <f t="shared" si="4"/>
        <v>0</v>
      </c>
      <c r="R309" s="3">
        <v>0</v>
      </c>
      <c r="S309" s="3">
        <v>4</v>
      </c>
      <c r="T309" s="19">
        <v>0</v>
      </c>
      <c r="U309" s="3">
        <v>1</v>
      </c>
      <c r="V309" s="3">
        <v>0</v>
      </c>
      <c r="W309">
        <v>0</v>
      </c>
      <c r="X309" s="3">
        <v>0</v>
      </c>
      <c r="Y309">
        <v>0</v>
      </c>
      <c r="Z309" s="3">
        <v>0</v>
      </c>
      <c r="AA309" t="s">
        <v>552</v>
      </c>
      <c r="AB309" t="s">
        <v>49</v>
      </c>
      <c r="AC309">
        <v>118.54</v>
      </c>
      <c r="AD309" t="s">
        <v>49</v>
      </c>
      <c r="AE309">
        <v>0</v>
      </c>
      <c r="AF309" s="3">
        <v>0</v>
      </c>
      <c r="AG309" t="s">
        <v>49</v>
      </c>
      <c r="AH309">
        <v>0</v>
      </c>
      <c r="AI309" t="s">
        <v>49</v>
      </c>
      <c r="AJ309" t="s">
        <v>49</v>
      </c>
      <c r="AK309" t="s">
        <v>49</v>
      </c>
      <c r="AL309" t="s">
        <v>49</v>
      </c>
      <c r="AM309" t="s">
        <v>49</v>
      </c>
      <c r="AN309" s="3">
        <v>6</v>
      </c>
      <c r="AO309" s="19">
        <v>0</v>
      </c>
      <c r="AP309" s="19">
        <v>0</v>
      </c>
      <c r="AQ309" s="19">
        <v>0.75</v>
      </c>
      <c r="AR309" s="19">
        <v>0</v>
      </c>
      <c r="AS309" s="19">
        <v>1</v>
      </c>
      <c r="AT309" s="19">
        <v>0</v>
      </c>
      <c r="AU309" s="3">
        <v>0</v>
      </c>
      <c r="AV309" s="3">
        <v>0</v>
      </c>
      <c r="AW309" s="19">
        <v>0</v>
      </c>
      <c r="AX309" s="3">
        <v>0</v>
      </c>
      <c r="AY309" s="3">
        <v>0</v>
      </c>
    </row>
    <row r="310" spans="1:51">
      <c r="A310" s="3">
        <v>4456022</v>
      </c>
      <c r="B310" t="s">
        <v>553</v>
      </c>
      <c r="C310" s="3">
        <v>112140110</v>
      </c>
      <c r="D310" t="s">
        <v>44</v>
      </c>
      <c r="E310" t="s">
        <v>141</v>
      </c>
      <c r="F310" t="s">
        <v>65</v>
      </c>
      <c r="G310" t="s">
        <v>47</v>
      </c>
      <c r="H310" s="16">
        <v>0</v>
      </c>
      <c r="I310" s="4">
        <f>VLOOKUP(C310,[1]sheet1!$D:$I,6,0)</f>
        <v>0</v>
      </c>
      <c r="J310" s="4">
        <f>VLOOKUP(C310,[2]sheet1!$D:$I,6,0)</f>
        <v>0</v>
      </c>
      <c r="K310" s="4">
        <f>VLOOKUP(C310,[3]sheet1!$D:$I,6,0)</f>
        <v>0</v>
      </c>
      <c r="L310" s="4">
        <f>VLOOKUP(C310,[4]sheet1!$D:$I,6,0)</f>
        <v>0</v>
      </c>
      <c r="M310" s="4">
        <f>VLOOKUP(C310,[5]sheet1!$D:$I,6,0)</f>
        <v>0</v>
      </c>
      <c r="N310" s="4">
        <f>VLOOKUP(C310,[6]sheet1!$D:$I,6,0)</f>
        <v>0</v>
      </c>
      <c r="O310" s="4">
        <f>VLOOKUP(C310,[7]sheet1!$D:$I,6,0)</f>
        <v>0</v>
      </c>
      <c r="P310" s="4">
        <f>VLOOKUP(C310,[8]sheet1!$D:$I,6,0)</f>
        <v>0</v>
      </c>
      <c r="Q310" s="4">
        <f t="shared" si="4"/>
        <v>0</v>
      </c>
      <c r="R310" s="3">
        <v>0</v>
      </c>
      <c r="S310" s="3">
        <v>2</v>
      </c>
      <c r="T310" s="19">
        <v>0</v>
      </c>
      <c r="U310" s="3">
        <v>0</v>
      </c>
      <c r="V310" s="3">
        <v>0</v>
      </c>
      <c r="W310">
        <v>0</v>
      </c>
      <c r="X310" s="3">
        <v>0</v>
      </c>
      <c r="Y310">
        <v>0</v>
      </c>
      <c r="Z310" s="3">
        <v>0</v>
      </c>
      <c r="AA310" t="s">
        <v>49</v>
      </c>
      <c r="AB310" t="s">
        <v>49</v>
      </c>
      <c r="AC310" t="s">
        <v>49</v>
      </c>
      <c r="AD310" t="s">
        <v>49</v>
      </c>
      <c r="AE310">
        <v>0</v>
      </c>
      <c r="AF310" s="3">
        <v>0</v>
      </c>
      <c r="AG310" t="s">
        <v>49</v>
      </c>
      <c r="AH310" t="s">
        <v>49</v>
      </c>
      <c r="AI310" t="s">
        <v>49</v>
      </c>
      <c r="AJ310" t="s">
        <v>49</v>
      </c>
      <c r="AK310" t="s">
        <v>49</v>
      </c>
      <c r="AL310" t="s">
        <v>49</v>
      </c>
      <c r="AM310" t="s">
        <v>49</v>
      </c>
      <c r="AN310" s="3">
        <v>4</v>
      </c>
      <c r="AO310" s="19">
        <v>0</v>
      </c>
      <c r="AP310" s="19">
        <v>0</v>
      </c>
      <c r="AQ310" s="19">
        <v>1</v>
      </c>
      <c r="AR310" s="19">
        <v>0</v>
      </c>
      <c r="AS310" s="19">
        <v>0</v>
      </c>
      <c r="AT310" s="19">
        <v>0</v>
      </c>
      <c r="AU310" s="3">
        <v>0</v>
      </c>
      <c r="AV310" s="3">
        <v>0</v>
      </c>
      <c r="AW310" s="19">
        <v>0</v>
      </c>
      <c r="AX310" s="3">
        <v>0</v>
      </c>
      <c r="AY310" s="3">
        <v>0</v>
      </c>
    </row>
    <row r="311" spans="1:51">
      <c r="A311" s="3">
        <v>4442838</v>
      </c>
      <c r="B311" t="s">
        <v>554</v>
      </c>
      <c r="C311" s="3">
        <v>12121218</v>
      </c>
      <c r="D311" t="s">
        <v>44</v>
      </c>
      <c r="E311" t="s">
        <v>109</v>
      </c>
      <c r="F311" t="s">
        <v>65</v>
      </c>
      <c r="G311" t="s">
        <v>47</v>
      </c>
      <c r="H311" s="16">
        <v>0</v>
      </c>
      <c r="I311" s="4">
        <f>VLOOKUP(C311,[1]sheet1!$D:$I,6,0)</f>
        <v>0</v>
      </c>
      <c r="J311" s="4">
        <f>VLOOKUP(C311,[2]sheet1!$D:$I,6,0)</f>
        <v>0</v>
      </c>
      <c r="K311" s="4">
        <f>VLOOKUP(C311,[3]sheet1!$D:$I,6,0)</f>
        <v>0</v>
      </c>
      <c r="L311" s="4">
        <f>VLOOKUP(C311,[4]sheet1!$D:$I,6,0)</f>
        <v>0</v>
      </c>
      <c r="M311" s="4">
        <f>VLOOKUP(C311,[5]sheet1!$D:$I,6,0)</f>
        <v>0</v>
      </c>
      <c r="N311" s="4">
        <f>VLOOKUP(C311,[6]sheet1!$D:$I,6,0)</f>
        <v>0</v>
      </c>
      <c r="O311" s="4">
        <f>VLOOKUP(C311,[7]sheet1!$D:$I,6,0)</f>
        <v>0</v>
      </c>
      <c r="P311" s="4">
        <f>VLOOKUP(C311,[8]sheet1!$D:$I,6,0)</f>
        <v>0</v>
      </c>
      <c r="Q311" s="4">
        <f t="shared" si="4"/>
        <v>0</v>
      </c>
      <c r="R311" s="3">
        <v>0</v>
      </c>
      <c r="S311" s="3">
        <v>2</v>
      </c>
      <c r="T311" s="19">
        <v>0</v>
      </c>
      <c r="U311" s="3">
        <v>0</v>
      </c>
      <c r="V311" s="3">
        <v>0</v>
      </c>
      <c r="W311">
        <v>0</v>
      </c>
      <c r="X311" s="3">
        <v>0</v>
      </c>
      <c r="Y311">
        <v>0</v>
      </c>
      <c r="Z311" s="3">
        <v>0</v>
      </c>
      <c r="AA311" t="s">
        <v>49</v>
      </c>
      <c r="AB311" t="s">
        <v>49</v>
      </c>
      <c r="AC311" t="s">
        <v>49</v>
      </c>
      <c r="AD311" t="s">
        <v>49</v>
      </c>
      <c r="AE311">
        <v>0</v>
      </c>
      <c r="AF311" s="3">
        <v>0</v>
      </c>
      <c r="AG311" t="s">
        <v>49</v>
      </c>
      <c r="AH311" t="s">
        <v>49</v>
      </c>
      <c r="AI311" t="s">
        <v>49</v>
      </c>
      <c r="AJ311" t="s">
        <v>49</v>
      </c>
      <c r="AK311" t="s">
        <v>49</v>
      </c>
      <c r="AL311" t="s">
        <v>49</v>
      </c>
      <c r="AM311" t="s">
        <v>49</v>
      </c>
      <c r="AN311" s="3">
        <v>2</v>
      </c>
      <c r="AO311" s="19">
        <v>0</v>
      </c>
      <c r="AP311" s="19">
        <v>0</v>
      </c>
      <c r="AQ311" s="19">
        <v>1</v>
      </c>
      <c r="AR311" s="19">
        <v>0</v>
      </c>
      <c r="AS311" s="19">
        <v>0</v>
      </c>
      <c r="AT311" s="19">
        <v>0</v>
      </c>
      <c r="AU311" s="3">
        <v>0</v>
      </c>
      <c r="AV311" s="3">
        <v>0</v>
      </c>
      <c r="AW311" s="19">
        <v>0</v>
      </c>
      <c r="AX311" s="3">
        <v>0</v>
      </c>
      <c r="AY311" s="3">
        <v>0</v>
      </c>
    </row>
    <row r="312" spans="1:51">
      <c r="A312" s="3">
        <v>4217838</v>
      </c>
      <c r="B312" t="s">
        <v>555</v>
      </c>
      <c r="C312" s="3">
        <v>12321224</v>
      </c>
      <c r="D312" t="s">
        <v>44</v>
      </c>
      <c r="E312" t="s">
        <v>51</v>
      </c>
      <c r="F312" t="s">
        <v>65</v>
      </c>
      <c r="G312" t="s">
        <v>47</v>
      </c>
      <c r="H312" s="16">
        <v>0</v>
      </c>
      <c r="I312" s="4">
        <f>VLOOKUP(C312,[1]sheet1!$D:$I,6,0)</f>
        <v>431</v>
      </c>
      <c r="J312" s="4">
        <f>VLOOKUP(C312,[2]sheet1!$D:$I,6,0)</f>
        <v>394</v>
      </c>
      <c r="K312" s="4">
        <f>VLOOKUP(C312,[3]sheet1!$D:$I,6,0)</f>
        <v>419</v>
      </c>
      <c r="L312" s="4">
        <f>VLOOKUP(C312,[4]sheet1!$D:$I,6,0)</f>
        <v>419</v>
      </c>
      <c r="M312" s="4">
        <f>VLOOKUP(C312,[5]sheet1!$D:$I,6,0)</f>
        <v>800</v>
      </c>
      <c r="N312" s="4">
        <f>VLOOKUP(C312,[6]sheet1!$D:$I,6,0)</f>
        <v>0</v>
      </c>
      <c r="O312" s="4">
        <f>VLOOKUP(C312,[7]sheet1!$D:$I,6,0)</f>
        <v>0</v>
      </c>
      <c r="P312" s="4">
        <f>VLOOKUP(C312,[8]sheet1!$D:$I,6,0)</f>
        <v>1525</v>
      </c>
      <c r="Q312" s="4">
        <f t="shared" si="4"/>
        <v>3988</v>
      </c>
      <c r="R312" s="3">
        <v>0</v>
      </c>
      <c r="S312" s="3">
        <v>180</v>
      </c>
      <c r="T312" s="19">
        <v>0</v>
      </c>
      <c r="U312" s="3">
        <v>7</v>
      </c>
      <c r="V312" s="3">
        <v>0</v>
      </c>
      <c r="W312">
        <v>0</v>
      </c>
      <c r="X312" s="3">
        <v>0</v>
      </c>
      <c r="Y312">
        <v>0</v>
      </c>
      <c r="Z312" s="3">
        <v>0</v>
      </c>
      <c r="AA312" t="s">
        <v>49</v>
      </c>
      <c r="AB312" t="s">
        <v>49</v>
      </c>
      <c r="AC312" t="s">
        <v>49</v>
      </c>
      <c r="AD312" t="s">
        <v>49</v>
      </c>
      <c r="AE312">
        <v>0</v>
      </c>
      <c r="AF312" s="3">
        <v>0</v>
      </c>
      <c r="AG312" t="s">
        <v>49</v>
      </c>
      <c r="AH312" t="s">
        <v>49</v>
      </c>
      <c r="AI312" t="s">
        <v>49</v>
      </c>
      <c r="AJ312" t="s">
        <v>49</v>
      </c>
      <c r="AK312" t="s">
        <v>49</v>
      </c>
      <c r="AL312" t="s">
        <v>49</v>
      </c>
      <c r="AM312" t="s">
        <v>49</v>
      </c>
      <c r="AN312" s="3">
        <v>225</v>
      </c>
      <c r="AO312" s="19">
        <v>0</v>
      </c>
      <c r="AP312" s="19">
        <v>0</v>
      </c>
      <c r="AQ312" s="19">
        <v>0.9056</v>
      </c>
      <c r="AR312" s="19">
        <v>0.2278</v>
      </c>
      <c r="AS312" s="19">
        <v>0.8571</v>
      </c>
      <c r="AT312" s="19">
        <v>0.2857</v>
      </c>
      <c r="AU312" s="3">
        <v>0</v>
      </c>
      <c r="AV312" s="3">
        <v>0</v>
      </c>
      <c r="AW312" s="19">
        <v>0</v>
      </c>
      <c r="AX312" s="3">
        <v>0</v>
      </c>
      <c r="AY312" s="3">
        <v>0</v>
      </c>
    </row>
    <row r="313" spans="1:51">
      <c r="A313" s="3">
        <v>4215567</v>
      </c>
      <c r="B313" t="s">
        <v>556</v>
      </c>
      <c r="C313" s="3">
        <v>16804501</v>
      </c>
      <c r="D313" t="s">
        <v>44</v>
      </c>
      <c r="E313" t="s">
        <v>557</v>
      </c>
      <c r="F313" t="s">
        <v>46</v>
      </c>
      <c r="G313" t="s">
        <v>356</v>
      </c>
      <c r="H313" s="16">
        <v>0</v>
      </c>
      <c r="I313" s="4">
        <f>VLOOKUP(C313,[1]sheet1!$D:$I,6,0)</f>
        <v>0</v>
      </c>
      <c r="J313" s="4">
        <f>VLOOKUP(C313,[2]sheet1!$D:$I,6,0)</f>
        <v>0</v>
      </c>
      <c r="K313" s="4">
        <f>VLOOKUP(C313,[3]sheet1!$D:$I,6,0)</f>
        <v>0</v>
      </c>
      <c r="L313" s="4">
        <f>VLOOKUP(C313,[4]sheet1!$D:$I,6,0)</f>
        <v>0</v>
      </c>
      <c r="M313" s="4">
        <f>VLOOKUP(C313,[5]sheet1!$D:$I,6,0)</f>
        <v>0</v>
      </c>
      <c r="N313" s="4">
        <f>VLOOKUP(C313,[6]sheet1!$D:$I,6,0)</f>
        <v>0</v>
      </c>
      <c r="O313" s="4">
        <f>VLOOKUP(C313,[7]sheet1!$D:$I,6,0)</f>
        <v>0</v>
      </c>
      <c r="P313" s="4">
        <f>VLOOKUP(C313,[8]sheet1!$D:$I,6,0)</f>
        <v>0</v>
      </c>
      <c r="Q313" s="4">
        <f t="shared" si="4"/>
        <v>0</v>
      </c>
      <c r="R313" s="3">
        <v>0</v>
      </c>
      <c r="S313">
        <v>37</v>
      </c>
      <c r="T313">
        <v>0</v>
      </c>
      <c r="U313" s="3">
        <v>0</v>
      </c>
      <c r="V313" s="3">
        <v>0</v>
      </c>
      <c r="W313">
        <v>0</v>
      </c>
      <c r="X313" s="3">
        <v>0</v>
      </c>
      <c r="Y313">
        <v>0</v>
      </c>
      <c r="Z313" s="3">
        <v>0</v>
      </c>
      <c r="AA313" t="s">
        <v>49</v>
      </c>
      <c r="AB313" t="s">
        <v>49</v>
      </c>
      <c r="AC313" t="s">
        <v>49</v>
      </c>
      <c r="AD313" t="s">
        <v>49</v>
      </c>
      <c r="AE313">
        <v>0</v>
      </c>
      <c r="AF313" s="3">
        <v>0</v>
      </c>
      <c r="AG313" t="s">
        <v>49</v>
      </c>
      <c r="AH313" t="s">
        <v>49</v>
      </c>
      <c r="AI313" t="s">
        <v>49</v>
      </c>
      <c r="AJ313" t="s">
        <v>49</v>
      </c>
      <c r="AK313" t="s">
        <v>49</v>
      </c>
      <c r="AL313" t="s">
        <v>49</v>
      </c>
      <c r="AM313" t="s">
        <v>49</v>
      </c>
      <c r="AN313">
        <v>52</v>
      </c>
      <c r="AO313" s="19">
        <v>0</v>
      </c>
      <c r="AP313" s="19">
        <v>0</v>
      </c>
      <c r="AQ313" s="19">
        <v>0</v>
      </c>
      <c r="AR313" s="19">
        <v>0</v>
      </c>
      <c r="AS313" s="19">
        <v>0</v>
      </c>
      <c r="AT313" s="19">
        <v>0</v>
      </c>
      <c r="AU313" s="3">
        <v>0</v>
      </c>
      <c r="AV313" s="3">
        <v>0</v>
      </c>
      <c r="AW313" s="19">
        <v>0</v>
      </c>
      <c r="AX313" s="3">
        <v>0</v>
      </c>
      <c r="AY313" s="3">
        <v>0</v>
      </c>
    </row>
    <row r="314" spans="1:51">
      <c r="A314" s="3">
        <v>4205021</v>
      </c>
      <c r="B314" t="s">
        <v>558</v>
      </c>
      <c r="C314" s="3">
        <v>11221203</v>
      </c>
      <c r="D314" t="s">
        <v>44</v>
      </c>
      <c r="E314" t="s">
        <v>51</v>
      </c>
      <c r="F314" t="s">
        <v>65</v>
      </c>
      <c r="G314" t="s">
        <v>47</v>
      </c>
      <c r="H314" s="16">
        <v>0</v>
      </c>
      <c r="I314" s="4">
        <f>VLOOKUP(C314,[1]sheet1!$D:$I,6,0)</f>
        <v>0</v>
      </c>
      <c r="J314" s="4">
        <f>VLOOKUP(C314,[2]sheet1!$D:$I,6,0)</f>
        <v>0</v>
      </c>
      <c r="K314" s="4">
        <f>VLOOKUP(C314,[3]sheet1!$D:$I,6,0)</f>
        <v>0</v>
      </c>
      <c r="L314" s="4">
        <f>VLOOKUP(C314,[4]sheet1!$D:$I,6,0)</f>
        <v>0</v>
      </c>
      <c r="M314" s="4">
        <f>VLOOKUP(C314,[5]sheet1!$D:$I,6,0)</f>
        <v>0</v>
      </c>
      <c r="N314" s="4">
        <f>VLOOKUP(C314,[6]sheet1!$D:$I,6,0)</f>
        <v>0</v>
      </c>
      <c r="O314" s="4">
        <f>VLOOKUP(C314,[7]sheet1!$D:$I,6,0)</f>
        <v>0</v>
      </c>
      <c r="P314" s="4">
        <f>VLOOKUP(C314,[8]sheet1!$D:$I,6,0)</f>
        <v>0</v>
      </c>
      <c r="Q314" s="4">
        <f t="shared" si="4"/>
        <v>0</v>
      </c>
      <c r="R314" s="3">
        <v>0</v>
      </c>
      <c r="S314" s="3">
        <v>9</v>
      </c>
      <c r="T314" s="19">
        <v>0</v>
      </c>
      <c r="U314" s="3">
        <v>2</v>
      </c>
      <c r="V314" s="3">
        <v>0</v>
      </c>
      <c r="W314">
        <v>0</v>
      </c>
      <c r="X314" s="3">
        <v>0</v>
      </c>
      <c r="Y314">
        <v>0</v>
      </c>
      <c r="Z314" s="3">
        <v>0</v>
      </c>
      <c r="AA314" t="s">
        <v>49</v>
      </c>
      <c r="AB314" t="s">
        <v>49</v>
      </c>
      <c r="AC314" t="s">
        <v>49</v>
      </c>
      <c r="AD314" t="s">
        <v>49</v>
      </c>
      <c r="AE314">
        <v>0</v>
      </c>
      <c r="AF314" s="3">
        <v>0</v>
      </c>
      <c r="AG314" t="s">
        <v>49</v>
      </c>
      <c r="AH314" t="s">
        <v>49</v>
      </c>
      <c r="AI314" t="s">
        <v>49</v>
      </c>
      <c r="AJ314" t="s">
        <v>49</v>
      </c>
      <c r="AK314" t="s">
        <v>49</v>
      </c>
      <c r="AL314" t="s">
        <v>49</v>
      </c>
      <c r="AM314" t="s">
        <v>49</v>
      </c>
      <c r="AN314" s="3">
        <v>16</v>
      </c>
      <c r="AO314" s="19">
        <v>0</v>
      </c>
      <c r="AP314" s="19">
        <v>0</v>
      </c>
      <c r="AQ314" s="19">
        <v>0.7778</v>
      </c>
      <c r="AR314" s="19">
        <v>0.2222</v>
      </c>
      <c r="AS314" s="19">
        <v>1</v>
      </c>
      <c r="AT314" s="19">
        <v>0</v>
      </c>
      <c r="AU314" s="3">
        <v>0</v>
      </c>
      <c r="AV314" s="3">
        <v>0</v>
      </c>
      <c r="AW314" s="19">
        <v>0</v>
      </c>
      <c r="AX314" s="3">
        <v>0</v>
      </c>
      <c r="AY314" s="3">
        <v>0</v>
      </c>
    </row>
    <row r="315" spans="1:51">
      <c r="A315" s="3">
        <v>4136931</v>
      </c>
      <c r="B315" t="s">
        <v>559</v>
      </c>
      <c r="C315" s="3">
        <v>12221202</v>
      </c>
      <c r="D315" t="s">
        <v>44</v>
      </c>
      <c r="E315" t="s">
        <v>109</v>
      </c>
      <c r="F315" t="s">
        <v>46</v>
      </c>
      <c r="G315" t="s">
        <v>47</v>
      </c>
      <c r="H315" s="16">
        <v>0</v>
      </c>
      <c r="I315" s="4">
        <f>VLOOKUP(C315,[1]sheet1!$D:$I,6,0)</f>
        <v>0</v>
      </c>
      <c r="J315" s="4">
        <f>VLOOKUP(C315,[2]sheet1!$D:$I,6,0)</f>
        <v>0</v>
      </c>
      <c r="K315" s="4">
        <f>VLOOKUP(C315,[3]sheet1!$D:$I,6,0)</f>
        <v>0</v>
      </c>
      <c r="L315" s="4">
        <f>VLOOKUP(C315,[4]sheet1!$D:$I,6,0)</f>
        <v>0</v>
      </c>
      <c r="M315" s="4">
        <f>VLOOKUP(C315,[5]sheet1!$D:$I,6,0)</f>
        <v>0</v>
      </c>
      <c r="N315" s="4">
        <f>VLOOKUP(C315,[6]sheet1!$D:$I,6,0)</f>
        <v>0</v>
      </c>
      <c r="O315" s="4">
        <f>VLOOKUP(C315,[7]sheet1!$D:$I,6,0)</f>
        <v>0</v>
      </c>
      <c r="P315" s="4">
        <f>VLOOKUP(C315,[8]sheet1!$D:$I,6,0)</f>
        <v>0</v>
      </c>
      <c r="Q315" s="4">
        <f t="shared" si="4"/>
        <v>0</v>
      </c>
      <c r="R315" s="3">
        <v>0</v>
      </c>
      <c r="S315">
        <v>82</v>
      </c>
      <c r="T315">
        <v>0</v>
      </c>
      <c r="U315" s="3">
        <v>0</v>
      </c>
      <c r="V315" s="3">
        <v>0</v>
      </c>
      <c r="W315">
        <v>0</v>
      </c>
      <c r="X315" s="3">
        <v>0</v>
      </c>
      <c r="Y315">
        <v>0</v>
      </c>
      <c r="Z315" s="3">
        <v>0</v>
      </c>
      <c r="AA315" t="s">
        <v>55</v>
      </c>
      <c r="AB315" s="3">
        <v>76</v>
      </c>
      <c r="AC315">
        <v>112.94</v>
      </c>
      <c r="AD315" t="s">
        <v>49</v>
      </c>
      <c r="AE315">
        <v>0</v>
      </c>
      <c r="AF315" s="3">
        <v>0</v>
      </c>
      <c r="AG315" t="s">
        <v>49</v>
      </c>
      <c r="AH315">
        <v>0</v>
      </c>
      <c r="AI315" t="s">
        <v>49</v>
      </c>
      <c r="AJ315">
        <v>58.01</v>
      </c>
      <c r="AK315" t="s">
        <v>49</v>
      </c>
      <c r="AL315">
        <v>0</v>
      </c>
      <c r="AM315" t="s">
        <v>49</v>
      </c>
      <c r="AN315" s="3">
        <v>9</v>
      </c>
      <c r="AO315" s="19">
        <v>0</v>
      </c>
      <c r="AP315" s="19">
        <v>0</v>
      </c>
      <c r="AQ315" s="19">
        <v>0.6</v>
      </c>
      <c r="AR315" s="19">
        <v>0.6</v>
      </c>
      <c r="AS315" s="19">
        <v>0</v>
      </c>
      <c r="AT315" s="19">
        <v>0</v>
      </c>
      <c r="AU315" s="3">
        <v>0</v>
      </c>
      <c r="AV315" s="3">
        <v>0</v>
      </c>
      <c r="AW315" s="19">
        <v>0</v>
      </c>
      <c r="AX315" s="3">
        <v>0</v>
      </c>
      <c r="AY315" s="3">
        <v>0</v>
      </c>
    </row>
    <row r="316" spans="1:51">
      <c r="A316" s="3">
        <v>4125876</v>
      </c>
      <c r="B316" t="s">
        <v>560</v>
      </c>
      <c r="C316" s="3">
        <v>12215102</v>
      </c>
      <c r="D316" t="s">
        <v>44</v>
      </c>
      <c r="E316" t="s">
        <v>418</v>
      </c>
      <c r="F316" t="s">
        <v>65</v>
      </c>
      <c r="G316" t="s">
        <v>47</v>
      </c>
      <c r="H316" s="16">
        <v>0</v>
      </c>
      <c r="I316" s="4">
        <f>VLOOKUP(C316,[1]sheet1!$D:$I,6,0)</f>
        <v>0</v>
      </c>
      <c r="J316" s="4">
        <f>VLOOKUP(C316,[2]sheet1!$D:$I,6,0)</f>
        <v>0</v>
      </c>
      <c r="K316" s="4">
        <f>VLOOKUP(C316,[3]sheet1!$D:$I,6,0)</f>
        <v>0</v>
      </c>
      <c r="L316" s="4">
        <f>VLOOKUP(C316,[4]sheet1!$D:$I,6,0)</f>
        <v>0</v>
      </c>
      <c r="M316" s="4">
        <f>VLOOKUP(C316,[5]sheet1!$D:$I,6,0)</f>
        <v>0</v>
      </c>
      <c r="N316" s="4">
        <f>VLOOKUP(C316,[6]sheet1!$D:$I,6,0)</f>
        <v>0</v>
      </c>
      <c r="O316" s="4">
        <f>VLOOKUP(C316,[7]sheet1!$D:$I,6,0)</f>
        <v>0</v>
      </c>
      <c r="P316" s="4">
        <f>VLOOKUP(C316,[8]sheet1!$D:$I,6,0)</f>
        <v>0</v>
      </c>
      <c r="Q316" s="4">
        <f t="shared" si="4"/>
        <v>0</v>
      </c>
      <c r="R316" s="3">
        <v>0</v>
      </c>
      <c r="S316" s="3">
        <v>3</v>
      </c>
      <c r="T316" s="19">
        <v>0</v>
      </c>
      <c r="U316" s="3">
        <v>0</v>
      </c>
      <c r="V316" s="3">
        <v>0</v>
      </c>
      <c r="W316">
        <v>0</v>
      </c>
      <c r="X316" s="3">
        <v>0</v>
      </c>
      <c r="Y316">
        <v>0</v>
      </c>
      <c r="Z316" s="3">
        <v>0</v>
      </c>
      <c r="AA316" t="s">
        <v>49</v>
      </c>
      <c r="AB316" t="s">
        <v>49</v>
      </c>
      <c r="AC316" t="s">
        <v>49</v>
      </c>
      <c r="AD316" t="s">
        <v>49</v>
      </c>
      <c r="AE316">
        <v>0</v>
      </c>
      <c r="AF316" s="3">
        <v>0</v>
      </c>
      <c r="AG316" t="s">
        <v>49</v>
      </c>
      <c r="AH316" t="s">
        <v>49</v>
      </c>
      <c r="AI316" t="s">
        <v>49</v>
      </c>
      <c r="AJ316" t="s">
        <v>49</v>
      </c>
      <c r="AK316" t="s">
        <v>49</v>
      </c>
      <c r="AL316" t="s">
        <v>49</v>
      </c>
      <c r="AM316" t="s">
        <v>49</v>
      </c>
      <c r="AN316" s="3">
        <v>3</v>
      </c>
      <c r="AO316" s="19">
        <v>0</v>
      </c>
      <c r="AP316" s="19">
        <v>0</v>
      </c>
      <c r="AQ316" s="19">
        <v>1</v>
      </c>
      <c r="AR316" s="19">
        <v>0.6667</v>
      </c>
      <c r="AS316" s="19">
        <v>0</v>
      </c>
      <c r="AT316" s="19">
        <v>0</v>
      </c>
      <c r="AU316" s="3">
        <v>0</v>
      </c>
      <c r="AV316" s="3">
        <v>0</v>
      </c>
      <c r="AW316" s="19">
        <v>0</v>
      </c>
      <c r="AX316" s="3">
        <v>0</v>
      </c>
      <c r="AY316" s="3">
        <v>0</v>
      </c>
    </row>
    <row r="317" spans="1:51">
      <c r="A317" s="3">
        <v>4083632</v>
      </c>
      <c r="B317" t="s">
        <v>561</v>
      </c>
      <c r="C317" s="3">
        <v>12121412</v>
      </c>
      <c r="D317" t="s">
        <v>44</v>
      </c>
      <c r="E317" t="s">
        <v>200</v>
      </c>
      <c r="F317" t="s">
        <v>46</v>
      </c>
      <c r="G317" t="s">
        <v>47</v>
      </c>
      <c r="H317" s="16">
        <v>0</v>
      </c>
      <c r="I317" s="4">
        <f>VLOOKUP(C317,[1]sheet1!$D:$I,6,0)</f>
        <v>0</v>
      </c>
      <c r="J317" s="4">
        <f>VLOOKUP(C317,[2]sheet1!$D:$I,6,0)</f>
        <v>0</v>
      </c>
      <c r="K317" s="4">
        <f>VLOOKUP(C317,[3]sheet1!$D:$I,6,0)</f>
        <v>0</v>
      </c>
      <c r="L317" s="4">
        <f>VLOOKUP(C317,[4]sheet1!$D:$I,6,0)</f>
        <v>0</v>
      </c>
      <c r="M317" s="4">
        <f>VLOOKUP(C317,[5]sheet1!$D:$I,6,0)</f>
        <v>0</v>
      </c>
      <c r="N317" s="4">
        <f>VLOOKUP(C317,[6]sheet1!$D:$I,6,0)</f>
        <v>0</v>
      </c>
      <c r="O317" s="4">
        <f>VLOOKUP(C317,[7]sheet1!$D:$I,6,0)</f>
        <v>0</v>
      </c>
      <c r="P317" s="4">
        <f>VLOOKUP(C317,[8]sheet1!$D:$I,6,0)</f>
        <v>0</v>
      </c>
      <c r="Q317" s="4">
        <f t="shared" si="4"/>
        <v>0</v>
      </c>
      <c r="R317" s="3">
        <v>0</v>
      </c>
      <c r="S317">
        <v>198</v>
      </c>
      <c r="T317">
        <v>0</v>
      </c>
      <c r="U317" s="3">
        <v>1</v>
      </c>
      <c r="V317" s="3">
        <v>0</v>
      </c>
      <c r="W317">
        <v>0</v>
      </c>
      <c r="X317" s="3">
        <v>0</v>
      </c>
      <c r="Y317">
        <v>0</v>
      </c>
      <c r="Z317" s="3">
        <v>0</v>
      </c>
      <c r="AA317" t="s">
        <v>129</v>
      </c>
      <c r="AB317" s="3">
        <v>177</v>
      </c>
      <c r="AC317">
        <v>162.04</v>
      </c>
      <c r="AD317" t="s">
        <v>49</v>
      </c>
      <c r="AE317">
        <v>0</v>
      </c>
      <c r="AF317" s="3">
        <v>0</v>
      </c>
      <c r="AG317" t="s">
        <v>49</v>
      </c>
      <c r="AH317">
        <v>0</v>
      </c>
      <c r="AI317" t="s">
        <v>49</v>
      </c>
      <c r="AJ317">
        <v>142.9</v>
      </c>
      <c r="AK317" t="s">
        <v>49</v>
      </c>
      <c r="AL317">
        <v>0</v>
      </c>
      <c r="AM317" t="s">
        <v>49</v>
      </c>
      <c r="AN317" s="3">
        <v>36</v>
      </c>
      <c r="AO317" s="19">
        <v>0</v>
      </c>
      <c r="AP317" s="19">
        <v>0</v>
      </c>
      <c r="AQ317" s="19">
        <v>0.6552</v>
      </c>
      <c r="AR317" s="19">
        <v>0.1034</v>
      </c>
      <c r="AS317" s="19">
        <v>1</v>
      </c>
      <c r="AT317" s="19">
        <v>0</v>
      </c>
      <c r="AU317" s="3">
        <v>0</v>
      </c>
      <c r="AV317" s="3">
        <v>0</v>
      </c>
      <c r="AW317" s="19">
        <v>0</v>
      </c>
      <c r="AX317" s="3">
        <v>0</v>
      </c>
      <c r="AY317" s="3">
        <v>0</v>
      </c>
    </row>
    <row r="318" spans="1:51">
      <c r="A318" s="3">
        <v>4083589</v>
      </c>
      <c r="B318" t="s">
        <v>562</v>
      </c>
      <c r="C318" s="3">
        <v>12231006</v>
      </c>
      <c r="D318" t="s">
        <v>44</v>
      </c>
      <c r="E318" t="s">
        <v>206</v>
      </c>
      <c r="F318" t="s">
        <v>65</v>
      </c>
      <c r="G318" t="s">
        <v>47</v>
      </c>
      <c r="H318" s="16">
        <v>0</v>
      </c>
      <c r="I318" s="4">
        <f>VLOOKUP(C318,[1]sheet1!$D:$I,6,0)</f>
        <v>0</v>
      </c>
      <c r="J318" s="4">
        <f>VLOOKUP(C318,[2]sheet1!$D:$I,6,0)</f>
        <v>0</v>
      </c>
      <c r="K318" s="4">
        <f>VLOOKUP(C318,[3]sheet1!$D:$I,6,0)</f>
        <v>0</v>
      </c>
      <c r="L318" s="4">
        <f>VLOOKUP(C318,[4]sheet1!$D:$I,6,0)</f>
        <v>0</v>
      </c>
      <c r="M318" s="4">
        <f>VLOOKUP(C318,[5]sheet1!$D:$I,6,0)</f>
        <v>0</v>
      </c>
      <c r="N318" s="4">
        <f>VLOOKUP(C318,[6]sheet1!$D:$I,6,0)</f>
        <v>0</v>
      </c>
      <c r="O318" s="4">
        <f>VLOOKUP(C318,[7]sheet1!$D:$I,6,0)</f>
        <v>0</v>
      </c>
      <c r="P318" s="4">
        <f>VLOOKUP(C318,[8]sheet1!$D:$I,6,0)</f>
        <v>0</v>
      </c>
      <c r="Q318" s="4">
        <f t="shared" si="4"/>
        <v>0</v>
      </c>
      <c r="R318" s="3">
        <v>0</v>
      </c>
      <c r="S318" s="3">
        <v>0</v>
      </c>
      <c r="T318" s="19">
        <v>0</v>
      </c>
      <c r="U318" s="3">
        <v>0</v>
      </c>
      <c r="V318" s="3">
        <v>0</v>
      </c>
      <c r="W318">
        <v>0</v>
      </c>
      <c r="X318" s="3">
        <v>0</v>
      </c>
      <c r="Y318">
        <v>0</v>
      </c>
      <c r="Z318" s="3">
        <v>0</v>
      </c>
      <c r="AA318" t="s">
        <v>49</v>
      </c>
      <c r="AB318" t="s">
        <v>49</v>
      </c>
      <c r="AC318" t="s">
        <v>49</v>
      </c>
      <c r="AD318" t="s">
        <v>49</v>
      </c>
      <c r="AE318">
        <v>0</v>
      </c>
      <c r="AF318" s="3">
        <v>0</v>
      </c>
      <c r="AG318" t="s">
        <v>49</v>
      </c>
      <c r="AH318" t="s">
        <v>49</v>
      </c>
      <c r="AI318" t="s">
        <v>49</v>
      </c>
      <c r="AJ318" t="s">
        <v>49</v>
      </c>
      <c r="AK318" t="s">
        <v>49</v>
      </c>
      <c r="AL318" t="s">
        <v>49</v>
      </c>
      <c r="AM318" t="s">
        <v>49</v>
      </c>
      <c r="AN318" s="3">
        <v>0</v>
      </c>
      <c r="AO318" s="19">
        <v>0</v>
      </c>
      <c r="AP318" s="19">
        <v>0</v>
      </c>
      <c r="AQ318" s="19">
        <v>0</v>
      </c>
      <c r="AR318" s="19">
        <v>0</v>
      </c>
      <c r="AS318" s="19">
        <v>0</v>
      </c>
      <c r="AT318" s="19">
        <v>0</v>
      </c>
      <c r="AU318" s="3">
        <v>0</v>
      </c>
      <c r="AV318" s="3">
        <v>0</v>
      </c>
      <c r="AW318" s="19">
        <v>0</v>
      </c>
      <c r="AX318" s="3">
        <v>0</v>
      </c>
      <c r="AY318" s="3">
        <v>0</v>
      </c>
    </row>
    <row r="319" spans="1:51">
      <c r="A319" s="3">
        <v>4083584</v>
      </c>
      <c r="B319" t="s">
        <v>563</v>
      </c>
      <c r="C319" s="3">
        <v>12231004</v>
      </c>
      <c r="D319" t="s">
        <v>44</v>
      </c>
      <c r="E319" t="s">
        <v>206</v>
      </c>
      <c r="F319" t="s">
        <v>65</v>
      </c>
      <c r="G319" t="s">
        <v>47</v>
      </c>
      <c r="H319" s="16">
        <v>0</v>
      </c>
      <c r="I319" s="4">
        <f>VLOOKUP(C319,[1]sheet1!$D:$I,6,0)</f>
        <v>0</v>
      </c>
      <c r="J319" s="4">
        <f>VLOOKUP(C319,[2]sheet1!$D:$I,6,0)</f>
        <v>0</v>
      </c>
      <c r="K319" s="4">
        <f>VLOOKUP(C319,[3]sheet1!$D:$I,6,0)</f>
        <v>0</v>
      </c>
      <c r="L319" s="4">
        <f>VLOOKUP(C319,[4]sheet1!$D:$I,6,0)</f>
        <v>0</v>
      </c>
      <c r="M319" s="4">
        <f>VLOOKUP(C319,[5]sheet1!$D:$I,6,0)</f>
        <v>0</v>
      </c>
      <c r="N319" s="4">
        <f>VLOOKUP(C319,[6]sheet1!$D:$I,6,0)</f>
        <v>0</v>
      </c>
      <c r="O319" s="4">
        <f>VLOOKUP(C319,[7]sheet1!$D:$I,6,0)</f>
        <v>0</v>
      </c>
      <c r="P319" s="4">
        <f>VLOOKUP(C319,[8]sheet1!$D:$I,6,0)</f>
        <v>0</v>
      </c>
      <c r="Q319" s="4">
        <f t="shared" si="4"/>
        <v>0</v>
      </c>
      <c r="R319" s="3">
        <v>0</v>
      </c>
      <c r="S319" s="3">
        <v>1</v>
      </c>
      <c r="T319" s="19">
        <v>0</v>
      </c>
      <c r="U319" s="3">
        <v>0</v>
      </c>
      <c r="V319" s="3">
        <v>0</v>
      </c>
      <c r="W319">
        <v>0</v>
      </c>
      <c r="X319" s="3">
        <v>0</v>
      </c>
      <c r="Y319">
        <v>0</v>
      </c>
      <c r="Z319" s="3">
        <v>0</v>
      </c>
      <c r="AA319" t="s">
        <v>49</v>
      </c>
      <c r="AB319" t="s">
        <v>49</v>
      </c>
      <c r="AC319" t="s">
        <v>49</v>
      </c>
      <c r="AD319" t="s">
        <v>49</v>
      </c>
      <c r="AE319">
        <v>0</v>
      </c>
      <c r="AF319" s="3">
        <v>0</v>
      </c>
      <c r="AG319" t="s">
        <v>49</v>
      </c>
      <c r="AH319" t="s">
        <v>49</v>
      </c>
      <c r="AI319" t="s">
        <v>49</v>
      </c>
      <c r="AJ319" t="s">
        <v>49</v>
      </c>
      <c r="AK319" t="s">
        <v>49</v>
      </c>
      <c r="AL319" t="s">
        <v>49</v>
      </c>
      <c r="AM319" t="s">
        <v>49</v>
      </c>
      <c r="AN319" s="3">
        <v>1</v>
      </c>
      <c r="AO319" s="19">
        <v>0</v>
      </c>
      <c r="AP319" s="19">
        <v>0</v>
      </c>
      <c r="AQ319" s="19">
        <v>1</v>
      </c>
      <c r="AR319" s="19">
        <v>0</v>
      </c>
      <c r="AS319" s="19">
        <v>0</v>
      </c>
      <c r="AT319" s="19">
        <v>0</v>
      </c>
      <c r="AU319" s="3">
        <v>0</v>
      </c>
      <c r="AV319" s="3">
        <v>0</v>
      </c>
      <c r="AW319" s="19">
        <v>0</v>
      </c>
      <c r="AX319" s="3">
        <v>0</v>
      </c>
      <c r="AY319" s="3">
        <v>0</v>
      </c>
    </row>
    <row r="320" spans="1:51">
      <c r="A320" s="3">
        <v>4073933</v>
      </c>
      <c r="B320" t="s">
        <v>564</v>
      </c>
      <c r="C320" s="3">
        <v>12130702</v>
      </c>
      <c r="D320" t="s">
        <v>44</v>
      </c>
      <c r="E320" t="s">
        <v>290</v>
      </c>
      <c r="F320" t="s">
        <v>46</v>
      </c>
      <c r="G320" t="s">
        <v>47</v>
      </c>
      <c r="H320" s="16">
        <v>0</v>
      </c>
      <c r="I320" s="4">
        <f>VLOOKUP(C320,[1]sheet1!$D:$I,6,0)</f>
        <v>0</v>
      </c>
      <c r="J320" s="4">
        <f>VLOOKUP(C320,[2]sheet1!$D:$I,6,0)</f>
        <v>0</v>
      </c>
      <c r="K320" s="4">
        <f>VLOOKUP(C320,[3]sheet1!$D:$I,6,0)</f>
        <v>0</v>
      </c>
      <c r="L320" s="4">
        <f>VLOOKUP(C320,[4]sheet1!$D:$I,6,0)</f>
        <v>330</v>
      </c>
      <c r="M320" s="4">
        <f>VLOOKUP(C320,[5]sheet1!$D:$I,6,0)</f>
        <v>0</v>
      </c>
      <c r="N320" s="4">
        <f>VLOOKUP(C320,[6]sheet1!$D:$I,6,0)</f>
        <v>0</v>
      </c>
      <c r="O320" s="4">
        <f>VLOOKUP(C320,[7]sheet1!$D:$I,6,0)</f>
        <v>0</v>
      </c>
      <c r="P320" s="4">
        <f>VLOOKUP(C320,[8]sheet1!$D:$I,6,0)</f>
        <v>0</v>
      </c>
      <c r="Q320" s="15">
        <f t="shared" si="4"/>
        <v>330</v>
      </c>
      <c r="R320" s="3">
        <v>0</v>
      </c>
      <c r="S320">
        <v>110</v>
      </c>
      <c r="T320">
        <v>0</v>
      </c>
      <c r="U320" s="3">
        <v>0</v>
      </c>
      <c r="V320" s="3">
        <v>0</v>
      </c>
      <c r="W320">
        <v>0</v>
      </c>
      <c r="X320" s="3">
        <v>0</v>
      </c>
      <c r="Y320">
        <v>0</v>
      </c>
      <c r="Z320" s="3">
        <v>0</v>
      </c>
      <c r="AA320" t="s">
        <v>49</v>
      </c>
      <c r="AB320" s="3">
        <v>233</v>
      </c>
      <c r="AC320" t="s">
        <v>49</v>
      </c>
      <c r="AD320" t="s">
        <v>49</v>
      </c>
      <c r="AE320">
        <v>0</v>
      </c>
      <c r="AF320" s="3">
        <v>0</v>
      </c>
      <c r="AG320" t="s">
        <v>49</v>
      </c>
      <c r="AH320" t="s">
        <v>49</v>
      </c>
      <c r="AI320" t="s">
        <v>49</v>
      </c>
      <c r="AJ320">
        <v>191.32</v>
      </c>
      <c r="AK320" t="s">
        <v>49</v>
      </c>
      <c r="AL320">
        <v>0</v>
      </c>
      <c r="AM320" t="s">
        <v>49</v>
      </c>
      <c r="AN320">
        <v>110</v>
      </c>
      <c r="AO320" s="19">
        <v>0</v>
      </c>
      <c r="AP320" s="19">
        <v>0</v>
      </c>
      <c r="AQ320" s="19">
        <v>0.7778</v>
      </c>
      <c r="AR320" s="19">
        <v>0.4444</v>
      </c>
      <c r="AS320" s="19">
        <v>0</v>
      </c>
      <c r="AT320" s="19">
        <v>0</v>
      </c>
      <c r="AU320" s="3">
        <v>0</v>
      </c>
      <c r="AV320" s="3">
        <v>0</v>
      </c>
      <c r="AW320" s="19">
        <v>0</v>
      </c>
      <c r="AX320" s="3">
        <v>0</v>
      </c>
      <c r="AY320" s="3">
        <v>0</v>
      </c>
    </row>
    <row r="321" spans="1:51">
      <c r="A321" s="3">
        <v>4019219</v>
      </c>
      <c r="B321" t="s">
        <v>565</v>
      </c>
      <c r="C321" s="3">
        <v>12131006</v>
      </c>
      <c r="D321" t="s">
        <v>44</v>
      </c>
      <c r="E321" t="s">
        <v>206</v>
      </c>
      <c r="F321" t="s">
        <v>65</v>
      </c>
      <c r="G321" t="s">
        <v>356</v>
      </c>
      <c r="H321" s="16">
        <v>0</v>
      </c>
      <c r="I321" s="4">
        <f>VLOOKUP(C321,[1]sheet1!$D:$I,6,0)</f>
        <v>0</v>
      </c>
      <c r="J321" s="4">
        <f>VLOOKUP(C321,[2]sheet1!$D:$I,6,0)</f>
        <v>0</v>
      </c>
      <c r="K321" s="4">
        <f>VLOOKUP(C321,[3]sheet1!$D:$I,6,0)</f>
        <v>0</v>
      </c>
      <c r="L321" s="4">
        <f>VLOOKUP(C321,[4]sheet1!$D:$I,6,0)</f>
        <v>0</v>
      </c>
      <c r="M321" s="4">
        <f>VLOOKUP(C321,[5]sheet1!$D:$I,6,0)</f>
        <v>0</v>
      </c>
      <c r="N321" s="4">
        <f>VLOOKUP(C321,[6]sheet1!$D:$I,6,0)</f>
        <v>0</v>
      </c>
      <c r="O321" s="4">
        <f>VLOOKUP(C321,[7]sheet1!$D:$I,6,0)</f>
        <v>0</v>
      </c>
      <c r="P321" s="4">
        <f>VLOOKUP(C321,[8]sheet1!$D:$I,6,0)</f>
        <v>0</v>
      </c>
      <c r="Q321" s="4">
        <f t="shared" si="4"/>
        <v>0</v>
      </c>
      <c r="R321" s="3">
        <v>0</v>
      </c>
      <c r="S321" s="3">
        <v>0</v>
      </c>
      <c r="T321" s="19">
        <v>0</v>
      </c>
      <c r="U321" s="3">
        <v>0</v>
      </c>
      <c r="V321" s="3">
        <v>0</v>
      </c>
      <c r="W321">
        <v>0</v>
      </c>
      <c r="X321" s="3">
        <v>0</v>
      </c>
      <c r="Y321">
        <v>0</v>
      </c>
      <c r="Z321" s="3">
        <v>0</v>
      </c>
      <c r="AA321" t="s">
        <v>49</v>
      </c>
      <c r="AB321" t="s">
        <v>49</v>
      </c>
      <c r="AC321" t="s">
        <v>49</v>
      </c>
      <c r="AD321" t="s">
        <v>49</v>
      </c>
      <c r="AE321">
        <v>0</v>
      </c>
      <c r="AF321" s="3">
        <v>0</v>
      </c>
      <c r="AG321" t="s">
        <v>49</v>
      </c>
      <c r="AH321" t="s">
        <v>49</v>
      </c>
      <c r="AI321" t="s">
        <v>49</v>
      </c>
      <c r="AJ321" t="s">
        <v>49</v>
      </c>
      <c r="AK321" t="s">
        <v>49</v>
      </c>
      <c r="AL321" t="s">
        <v>49</v>
      </c>
      <c r="AM321" t="s">
        <v>49</v>
      </c>
      <c r="AN321" s="3">
        <v>0</v>
      </c>
      <c r="AO321" s="19">
        <v>0</v>
      </c>
      <c r="AP321" s="19">
        <v>0</v>
      </c>
      <c r="AQ321" s="19">
        <v>0</v>
      </c>
      <c r="AR321" s="19">
        <v>0</v>
      </c>
      <c r="AS321" s="19">
        <v>0</v>
      </c>
      <c r="AT321" s="19">
        <v>0</v>
      </c>
      <c r="AU321" s="3">
        <v>0</v>
      </c>
      <c r="AV321" s="3">
        <v>0</v>
      </c>
      <c r="AW321" s="19">
        <v>0</v>
      </c>
      <c r="AX321" s="3">
        <v>0</v>
      </c>
      <c r="AY321" s="3">
        <v>0</v>
      </c>
    </row>
    <row r="322" spans="1:51">
      <c r="A322" s="3">
        <v>3968747</v>
      </c>
      <c r="B322" t="s">
        <v>566</v>
      </c>
      <c r="C322" s="3">
        <v>12230706</v>
      </c>
      <c r="D322" t="s">
        <v>44</v>
      </c>
      <c r="E322" t="s">
        <v>290</v>
      </c>
      <c r="F322" t="s">
        <v>46</v>
      </c>
      <c r="G322" t="s">
        <v>47</v>
      </c>
      <c r="H322" s="16">
        <v>0</v>
      </c>
      <c r="I322" s="4">
        <f>VLOOKUP(C322,[1]sheet1!$D:$I,6,0)</f>
        <v>0</v>
      </c>
      <c r="J322" s="4">
        <f>VLOOKUP(C322,[2]sheet1!$D:$I,6,0)</f>
        <v>0</v>
      </c>
      <c r="K322" s="4">
        <f>VLOOKUP(C322,[3]sheet1!$D:$I,6,0)</f>
        <v>0</v>
      </c>
      <c r="L322" s="4">
        <f>VLOOKUP(C322,[4]sheet1!$D:$I,6,0)</f>
        <v>0</v>
      </c>
      <c r="M322" s="4">
        <f>VLOOKUP(C322,[5]sheet1!$D:$I,6,0)</f>
        <v>0</v>
      </c>
      <c r="N322" s="4">
        <f>VLOOKUP(C322,[6]sheet1!$D:$I,6,0)</f>
        <v>0</v>
      </c>
      <c r="O322" s="4">
        <f>VLOOKUP(C322,[7]sheet1!$D:$I,6,0)</f>
        <v>0</v>
      </c>
      <c r="P322" s="4">
        <f>VLOOKUP(C322,[8]sheet1!$D:$I,6,0)</f>
        <v>0</v>
      </c>
      <c r="Q322" s="15">
        <f t="shared" si="4"/>
        <v>0</v>
      </c>
      <c r="R322" s="3">
        <v>0</v>
      </c>
      <c r="S322">
        <v>0</v>
      </c>
      <c r="T322">
        <v>0</v>
      </c>
      <c r="U322" s="3">
        <v>0</v>
      </c>
      <c r="V322" s="3">
        <v>0</v>
      </c>
      <c r="W322">
        <v>0</v>
      </c>
      <c r="X322" s="3">
        <v>0</v>
      </c>
      <c r="Y322">
        <v>0</v>
      </c>
      <c r="Z322" s="3">
        <v>0</v>
      </c>
      <c r="AA322" t="s">
        <v>49</v>
      </c>
      <c r="AB322" t="s">
        <v>49</v>
      </c>
      <c r="AC322" t="s">
        <v>49</v>
      </c>
      <c r="AD322" t="s">
        <v>49</v>
      </c>
      <c r="AE322">
        <v>0</v>
      </c>
      <c r="AF322" s="3">
        <v>0</v>
      </c>
      <c r="AG322" t="s">
        <v>49</v>
      </c>
      <c r="AH322" t="s">
        <v>49</v>
      </c>
      <c r="AI322" t="s">
        <v>49</v>
      </c>
      <c r="AJ322" t="s">
        <v>49</v>
      </c>
      <c r="AK322" t="s">
        <v>49</v>
      </c>
      <c r="AL322" t="s">
        <v>49</v>
      </c>
      <c r="AM322" t="s">
        <v>49</v>
      </c>
      <c r="AN322">
        <v>0</v>
      </c>
      <c r="AO322" s="19">
        <v>0</v>
      </c>
      <c r="AP322" s="19">
        <v>0</v>
      </c>
      <c r="AQ322" s="19">
        <v>0</v>
      </c>
      <c r="AR322" s="19">
        <v>0</v>
      </c>
      <c r="AS322" s="19">
        <v>0</v>
      </c>
      <c r="AT322" s="19">
        <v>0</v>
      </c>
      <c r="AU322" s="3">
        <v>0</v>
      </c>
      <c r="AV322" s="3">
        <v>0</v>
      </c>
      <c r="AW322" s="19">
        <v>0</v>
      </c>
      <c r="AX322" s="3">
        <v>0</v>
      </c>
      <c r="AY322" s="3">
        <v>0</v>
      </c>
    </row>
    <row r="323" spans="1:51">
      <c r="A323" s="3">
        <v>3952028</v>
      </c>
      <c r="B323" t="s">
        <v>567</v>
      </c>
      <c r="C323" s="3">
        <v>11240121</v>
      </c>
      <c r="D323" t="s">
        <v>44</v>
      </c>
      <c r="E323" t="s">
        <v>104</v>
      </c>
      <c r="F323" t="s">
        <v>65</v>
      </c>
      <c r="G323" t="s">
        <v>47</v>
      </c>
      <c r="H323" s="16">
        <v>0</v>
      </c>
      <c r="I323" s="4">
        <f>VLOOKUP(C323,[1]sheet1!$D:$I,6,0)</f>
        <v>0</v>
      </c>
      <c r="J323" s="4">
        <f>VLOOKUP(C323,[2]sheet1!$D:$I,6,0)</f>
        <v>0</v>
      </c>
      <c r="K323" s="4">
        <f>VLOOKUP(C323,[3]sheet1!$D:$I,6,0)</f>
        <v>0</v>
      </c>
      <c r="L323" s="4">
        <f>VLOOKUP(C323,[4]sheet1!$D:$I,6,0)</f>
        <v>0</v>
      </c>
      <c r="M323" s="4">
        <f>VLOOKUP(C323,[5]sheet1!$D:$I,6,0)</f>
        <v>0</v>
      </c>
      <c r="N323" s="4">
        <f>VLOOKUP(C323,[6]sheet1!$D:$I,6,0)</f>
        <v>0</v>
      </c>
      <c r="O323" s="4">
        <f>VLOOKUP(C323,[7]sheet1!$D:$I,6,0)</f>
        <v>0</v>
      </c>
      <c r="P323" s="4">
        <f>VLOOKUP(C323,[8]sheet1!$D:$I,6,0)</f>
        <v>0</v>
      </c>
      <c r="Q323" s="4">
        <f t="shared" ref="Q323:Q386" si="5">SUM(H323:P323)</f>
        <v>0</v>
      </c>
      <c r="R323" s="3">
        <v>0</v>
      </c>
      <c r="S323" s="3">
        <v>1</v>
      </c>
      <c r="T323" s="19">
        <v>0</v>
      </c>
      <c r="U323" s="3">
        <v>0</v>
      </c>
      <c r="V323" s="3">
        <v>0</v>
      </c>
      <c r="W323">
        <v>0</v>
      </c>
      <c r="X323" s="3">
        <v>0</v>
      </c>
      <c r="Y323">
        <v>0</v>
      </c>
      <c r="Z323" s="3">
        <v>0</v>
      </c>
      <c r="AA323" t="s">
        <v>223</v>
      </c>
      <c r="AB323" t="s">
        <v>49</v>
      </c>
      <c r="AC323">
        <v>511.52</v>
      </c>
      <c r="AD323" t="s">
        <v>49</v>
      </c>
      <c r="AE323">
        <v>0</v>
      </c>
      <c r="AF323" s="3">
        <v>0</v>
      </c>
      <c r="AG323" t="s">
        <v>49</v>
      </c>
      <c r="AH323">
        <v>0</v>
      </c>
      <c r="AI323" t="s">
        <v>49</v>
      </c>
      <c r="AJ323" t="s">
        <v>49</v>
      </c>
      <c r="AK323" t="s">
        <v>49</v>
      </c>
      <c r="AL323" t="s">
        <v>49</v>
      </c>
      <c r="AM323" t="s">
        <v>49</v>
      </c>
      <c r="AN323" s="3">
        <v>2</v>
      </c>
      <c r="AO323" s="19">
        <v>0</v>
      </c>
      <c r="AP323" s="19">
        <v>0</v>
      </c>
      <c r="AQ323" s="19">
        <v>0</v>
      </c>
      <c r="AR323" s="19">
        <v>0</v>
      </c>
      <c r="AS323" s="19">
        <v>0</v>
      </c>
      <c r="AT323" s="19">
        <v>0</v>
      </c>
      <c r="AU323" s="3">
        <v>0</v>
      </c>
      <c r="AV323" s="3">
        <v>0</v>
      </c>
      <c r="AW323" s="19">
        <v>0</v>
      </c>
      <c r="AX323" s="3">
        <v>0</v>
      </c>
      <c r="AY323" s="3">
        <v>0</v>
      </c>
    </row>
    <row r="324" spans="1:51">
      <c r="A324" s="3">
        <v>3936359</v>
      </c>
      <c r="B324" t="s">
        <v>568</v>
      </c>
      <c r="C324" s="3">
        <v>12231016</v>
      </c>
      <c r="D324" t="s">
        <v>44</v>
      </c>
      <c r="E324" t="s">
        <v>206</v>
      </c>
      <c r="F324" t="s">
        <v>65</v>
      </c>
      <c r="G324" t="s">
        <v>47</v>
      </c>
      <c r="H324" s="16">
        <v>0</v>
      </c>
      <c r="I324" s="4">
        <f>VLOOKUP(C324,[1]sheet1!$D:$I,6,0)</f>
        <v>0</v>
      </c>
      <c r="J324" s="4">
        <f>VLOOKUP(C324,[2]sheet1!$D:$I,6,0)</f>
        <v>0</v>
      </c>
      <c r="K324" s="4">
        <f>VLOOKUP(C324,[3]sheet1!$D:$I,6,0)</f>
        <v>0</v>
      </c>
      <c r="L324" s="4">
        <f>VLOOKUP(C324,[4]sheet1!$D:$I,6,0)</f>
        <v>0</v>
      </c>
      <c r="M324" s="4">
        <f>VLOOKUP(C324,[5]sheet1!$D:$I,6,0)</f>
        <v>0</v>
      </c>
      <c r="N324" s="4">
        <f>VLOOKUP(C324,[6]sheet1!$D:$I,6,0)</f>
        <v>0</v>
      </c>
      <c r="O324" s="4">
        <f>VLOOKUP(C324,[7]sheet1!$D:$I,6,0)</f>
        <v>0</v>
      </c>
      <c r="P324" s="4">
        <f>VLOOKUP(C324,[8]sheet1!$D:$I,6,0)</f>
        <v>0</v>
      </c>
      <c r="Q324" s="4">
        <f t="shared" si="5"/>
        <v>0</v>
      </c>
      <c r="R324" s="3">
        <v>0</v>
      </c>
      <c r="S324" s="3">
        <v>2</v>
      </c>
      <c r="T324" s="19">
        <v>0</v>
      </c>
      <c r="U324" s="3">
        <v>0</v>
      </c>
      <c r="V324" s="3">
        <v>0</v>
      </c>
      <c r="W324">
        <v>0</v>
      </c>
      <c r="X324" s="3">
        <v>0</v>
      </c>
      <c r="Y324">
        <v>0</v>
      </c>
      <c r="Z324" s="3">
        <v>0</v>
      </c>
      <c r="AA324" t="s">
        <v>49</v>
      </c>
      <c r="AB324" t="s">
        <v>49</v>
      </c>
      <c r="AC324" t="s">
        <v>49</v>
      </c>
      <c r="AD324" t="s">
        <v>49</v>
      </c>
      <c r="AE324">
        <v>0</v>
      </c>
      <c r="AF324" s="3">
        <v>0</v>
      </c>
      <c r="AG324" t="s">
        <v>49</v>
      </c>
      <c r="AH324" t="s">
        <v>49</v>
      </c>
      <c r="AI324" t="s">
        <v>49</v>
      </c>
      <c r="AJ324" t="s">
        <v>49</v>
      </c>
      <c r="AK324" t="s">
        <v>49</v>
      </c>
      <c r="AL324" t="s">
        <v>49</v>
      </c>
      <c r="AM324" t="s">
        <v>49</v>
      </c>
      <c r="AN324" s="3">
        <v>2</v>
      </c>
      <c r="AO324" s="19">
        <v>0</v>
      </c>
      <c r="AP324" s="19">
        <v>0</v>
      </c>
      <c r="AQ324" s="19">
        <v>1</v>
      </c>
      <c r="AR324" s="19">
        <v>0.5</v>
      </c>
      <c r="AS324" s="19">
        <v>0</v>
      </c>
      <c r="AT324" s="19">
        <v>0</v>
      </c>
      <c r="AU324" s="3">
        <v>0</v>
      </c>
      <c r="AV324" s="3">
        <v>0</v>
      </c>
      <c r="AW324" s="19">
        <v>0</v>
      </c>
      <c r="AX324" s="3">
        <v>0</v>
      </c>
      <c r="AY324" s="3">
        <v>0</v>
      </c>
    </row>
    <row r="325" spans="1:51">
      <c r="A325" s="3">
        <v>3716787</v>
      </c>
      <c r="B325" t="s">
        <v>569</v>
      </c>
      <c r="C325" s="3">
        <v>12231032</v>
      </c>
      <c r="D325" t="s">
        <v>44</v>
      </c>
      <c r="E325" t="s">
        <v>206</v>
      </c>
      <c r="F325" t="s">
        <v>65</v>
      </c>
      <c r="G325" t="s">
        <v>47</v>
      </c>
      <c r="H325" s="16">
        <v>0</v>
      </c>
      <c r="I325" s="4">
        <f>VLOOKUP(C325,[1]sheet1!$D:$I,6,0)</f>
        <v>0</v>
      </c>
      <c r="J325" s="4">
        <f>VLOOKUP(C325,[2]sheet1!$D:$I,6,0)</f>
        <v>0</v>
      </c>
      <c r="K325" s="4">
        <f>VLOOKUP(C325,[3]sheet1!$D:$I,6,0)</f>
        <v>0</v>
      </c>
      <c r="L325" s="4">
        <f>VLOOKUP(C325,[4]sheet1!$D:$I,6,0)</f>
        <v>0</v>
      </c>
      <c r="M325" s="4">
        <f>VLOOKUP(C325,[5]sheet1!$D:$I,6,0)</f>
        <v>0</v>
      </c>
      <c r="N325" s="4">
        <f>VLOOKUP(C325,[6]sheet1!$D:$I,6,0)</f>
        <v>0</v>
      </c>
      <c r="O325" s="4">
        <f>VLOOKUP(C325,[7]sheet1!$D:$I,6,0)</f>
        <v>0</v>
      </c>
      <c r="P325" s="4">
        <f>VLOOKUP(C325,[8]sheet1!$D:$I,6,0)</f>
        <v>0</v>
      </c>
      <c r="Q325" s="4">
        <f t="shared" si="5"/>
        <v>0</v>
      </c>
      <c r="R325" s="3">
        <v>0</v>
      </c>
      <c r="S325" s="3">
        <v>2</v>
      </c>
      <c r="T325" s="19">
        <v>0</v>
      </c>
      <c r="U325" s="3">
        <v>0</v>
      </c>
      <c r="V325" s="3">
        <v>0</v>
      </c>
      <c r="W325">
        <v>0</v>
      </c>
      <c r="X325" s="3">
        <v>0</v>
      </c>
      <c r="Y325">
        <v>0</v>
      </c>
      <c r="Z325" s="3">
        <v>0</v>
      </c>
      <c r="AA325" t="s">
        <v>61</v>
      </c>
      <c r="AB325" t="s">
        <v>49</v>
      </c>
      <c r="AC325">
        <v>135.94</v>
      </c>
      <c r="AD325" t="s">
        <v>49</v>
      </c>
      <c r="AE325">
        <v>0</v>
      </c>
      <c r="AF325" s="3">
        <v>0</v>
      </c>
      <c r="AG325" t="s">
        <v>49</v>
      </c>
      <c r="AH325">
        <v>0</v>
      </c>
      <c r="AI325" t="s">
        <v>49</v>
      </c>
      <c r="AJ325" t="s">
        <v>49</v>
      </c>
      <c r="AK325" t="s">
        <v>49</v>
      </c>
      <c r="AL325" t="s">
        <v>49</v>
      </c>
      <c r="AM325" t="s">
        <v>49</v>
      </c>
      <c r="AN325" s="3">
        <v>2</v>
      </c>
      <c r="AO325" s="19">
        <v>0</v>
      </c>
      <c r="AP325" s="19">
        <v>0</v>
      </c>
      <c r="AQ325" s="19">
        <v>1</v>
      </c>
      <c r="AR325" s="19">
        <v>0</v>
      </c>
      <c r="AS325" s="19">
        <v>0</v>
      </c>
      <c r="AT325" s="19">
        <v>0</v>
      </c>
      <c r="AU325" s="3">
        <v>0</v>
      </c>
      <c r="AV325" s="3">
        <v>0</v>
      </c>
      <c r="AW325" s="19">
        <v>0</v>
      </c>
      <c r="AX325" s="3">
        <v>0</v>
      </c>
      <c r="AY325" s="3">
        <v>0</v>
      </c>
    </row>
    <row r="326" spans="1:51">
      <c r="A326" s="3">
        <v>3698139</v>
      </c>
      <c r="B326" t="s">
        <v>570</v>
      </c>
      <c r="C326" s="3">
        <v>12231802</v>
      </c>
      <c r="D326" t="s">
        <v>44</v>
      </c>
      <c r="E326" t="s">
        <v>114</v>
      </c>
      <c r="F326" t="s">
        <v>65</v>
      </c>
      <c r="G326" t="s">
        <v>47</v>
      </c>
      <c r="H326" s="16">
        <v>0</v>
      </c>
      <c r="I326" s="4">
        <f>VLOOKUP(C326,[1]sheet1!$D:$I,6,0)</f>
        <v>0</v>
      </c>
      <c r="J326" s="4">
        <f>VLOOKUP(C326,[2]sheet1!$D:$I,6,0)</f>
        <v>0</v>
      </c>
      <c r="K326" s="4">
        <f>VLOOKUP(C326,[3]sheet1!$D:$I,6,0)</f>
        <v>0</v>
      </c>
      <c r="L326" s="4">
        <f>VLOOKUP(C326,[4]sheet1!$D:$I,6,0)</f>
        <v>0</v>
      </c>
      <c r="M326" s="4">
        <f>VLOOKUP(C326,[5]sheet1!$D:$I,6,0)</f>
        <v>0</v>
      </c>
      <c r="N326" s="4">
        <f>VLOOKUP(C326,[6]sheet1!$D:$I,6,0)</f>
        <v>0</v>
      </c>
      <c r="O326" s="4">
        <f>VLOOKUP(C326,[7]sheet1!$D:$I,6,0)</f>
        <v>0</v>
      </c>
      <c r="P326" s="4">
        <f>VLOOKUP(C326,[8]sheet1!$D:$I,6,0)</f>
        <v>0</v>
      </c>
      <c r="Q326" s="4">
        <f t="shared" si="5"/>
        <v>0</v>
      </c>
      <c r="R326" s="3">
        <v>0</v>
      </c>
      <c r="S326" s="3">
        <v>2</v>
      </c>
      <c r="T326" s="19">
        <v>0</v>
      </c>
      <c r="U326" s="3">
        <v>0</v>
      </c>
      <c r="V326" s="3">
        <v>0</v>
      </c>
      <c r="W326">
        <v>0</v>
      </c>
      <c r="X326" s="3">
        <v>0</v>
      </c>
      <c r="Y326">
        <v>0</v>
      </c>
      <c r="Z326" s="3">
        <v>0</v>
      </c>
      <c r="AA326" t="s">
        <v>70</v>
      </c>
      <c r="AB326" t="s">
        <v>49</v>
      </c>
      <c r="AC326">
        <v>209.74</v>
      </c>
      <c r="AD326" t="s">
        <v>49</v>
      </c>
      <c r="AE326">
        <v>0</v>
      </c>
      <c r="AF326" s="3">
        <v>0</v>
      </c>
      <c r="AG326" t="s">
        <v>49</v>
      </c>
      <c r="AH326">
        <v>0</v>
      </c>
      <c r="AI326" t="s">
        <v>49</v>
      </c>
      <c r="AJ326" t="s">
        <v>49</v>
      </c>
      <c r="AK326" t="s">
        <v>49</v>
      </c>
      <c r="AL326" t="s">
        <v>49</v>
      </c>
      <c r="AM326" t="s">
        <v>49</v>
      </c>
      <c r="AN326" s="3">
        <v>2</v>
      </c>
      <c r="AO326" s="19">
        <v>0</v>
      </c>
      <c r="AP326" s="19">
        <v>0</v>
      </c>
      <c r="AQ326" s="19">
        <v>0.5</v>
      </c>
      <c r="AR326" s="19">
        <v>1</v>
      </c>
      <c r="AS326" s="19">
        <v>0</v>
      </c>
      <c r="AT326" s="19">
        <v>0</v>
      </c>
      <c r="AU326" s="3">
        <v>0</v>
      </c>
      <c r="AV326" s="3">
        <v>0</v>
      </c>
      <c r="AW326" s="19">
        <v>0</v>
      </c>
      <c r="AX326" s="3">
        <v>0</v>
      </c>
      <c r="AY326" s="3">
        <v>0</v>
      </c>
    </row>
    <row r="327" spans="1:51">
      <c r="A327" s="3">
        <v>3670541</v>
      </c>
      <c r="B327" t="s">
        <v>571</v>
      </c>
      <c r="C327" s="3">
        <v>12240834</v>
      </c>
      <c r="D327" t="s">
        <v>44</v>
      </c>
      <c r="E327" t="s">
        <v>258</v>
      </c>
      <c r="F327" t="s">
        <v>46</v>
      </c>
      <c r="G327" t="s">
        <v>47</v>
      </c>
      <c r="H327" s="16">
        <v>0</v>
      </c>
      <c r="I327" s="4">
        <f>VLOOKUP(C327,[1]sheet1!$D:$I,6,0)</f>
        <v>0</v>
      </c>
      <c r="J327" s="4">
        <f>VLOOKUP(C327,[2]sheet1!$D:$I,6,0)</f>
        <v>0</v>
      </c>
      <c r="K327" s="4">
        <f>VLOOKUP(C327,[3]sheet1!$D:$I,6,0)</f>
        <v>0</v>
      </c>
      <c r="L327" s="4">
        <f>VLOOKUP(C327,[4]sheet1!$D:$I,6,0)</f>
        <v>0</v>
      </c>
      <c r="M327" s="4">
        <f>VLOOKUP(C327,[5]sheet1!$D:$I,6,0)</f>
        <v>0</v>
      </c>
      <c r="N327" s="4">
        <f>VLOOKUP(C327,[6]sheet1!$D:$I,6,0)</f>
        <v>0</v>
      </c>
      <c r="O327" s="4">
        <f>VLOOKUP(C327,[7]sheet1!$D:$I,6,0)</f>
        <v>0</v>
      </c>
      <c r="P327" s="4">
        <f>VLOOKUP(C327,[8]sheet1!$D:$I,6,0)</f>
        <v>0</v>
      </c>
      <c r="Q327" s="4">
        <f t="shared" si="5"/>
        <v>0</v>
      </c>
      <c r="R327" s="3">
        <v>0</v>
      </c>
      <c r="S327">
        <v>52</v>
      </c>
      <c r="T327">
        <v>0</v>
      </c>
      <c r="U327" s="3">
        <v>0</v>
      </c>
      <c r="V327" s="3">
        <v>0</v>
      </c>
      <c r="W327">
        <v>0</v>
      </c>
      <c r="X327" s="3">
        <v>0</v>
      </c>
      <c r="Y327">
        <v>0</v>
      </c>
      <c r="Z327" s="3">
        <v>0</v>
      </c>
      <c r="AA327" t="s">
        <v>225</v>
      </c>
      <c r="AB327" s="3">
        <v>809</v>
      </c>
      <c r="AC327">
        <v>849.81</v>
      </c>
      <c r="AD327" t="s">
        <v>49</v>
      </c>
      <c r="AE327">
        <v>0</v>
      </c>
      <c r="AF327" s="3">
        <v>0</v>
      </c>
      <c r="AG327" t="s">
        <v>49</v>
      </c>
      <c r="AH327">
        <v>0</v>
      </c>
      <c r="AI327" t="s">
        <v>49</v>
      </c>
      <c r="AJ327">
        <v>692.34</v>
      </c>
      <c r="AK327" t="s">
        <v>49</v>
      </c>
      <c r="AL327">
        <v>0</v>
      </c>
      <c r="AM327" t="s">
        <v>49</v>
      </c>
      <c r="AN327">
        <v>64</v>
      </c>
      <c r="AO327" s="19">
        <v>0</v>
      </c>
      <c r="AP327" s="19">
        <v>0</v>
      </c>
      <c r="AQ327" s="19">
        <v>1</v>
      </c>
      <c r="AR327" s="19">
        <v>0</v>
      </c>
      <c r="AS327" s="19">
        <v>0</v>
      </c>
      <c r="AT327" s="19">
        <v>0</v>
      </c>
      <c r="AU327" s="3">
        <v>0</v>
      </c>
      <c r="AV327" s="3">
        <v>0</v>
      </c>
      <c r="AW327" s="19">
        <v>0</v>
      </c>
      <c r="AX327" s="3">
        <v>0</v>
      </c>
      <c r="AY327" s="3">
        <v>0</v>
      </c>
    </row>
    <row r="328" spans="1:51">
      <c r="A328" s="3">
        <v>3662675</v>
      </c>
      <c r="B328" t="s">
        <v>572</v>
      </c>
      <c r="C328" s="3">
        <v>12230602</v>
      </c>
      <c r="D328" t="s">
        <v>44</v>
      </c>
      <c r="E328" t="s">
        <v>138</v>
      </c>
      <c r="F328" t="s">
        <v>46</v>
      </c>
      <c r="G328" t="s">
        <v>47</v>
      </c>
      <c r="H328" s="16">
        <v>0</v>
      </c>
      <c r="I328" s="4">
        <f>VLOOKUP(C328,[1]sheet1!$D:$I,6,0)</f>
        <v>339</v>
      </c>
      <c r="J328" s="4">
        <f>VLOOKUP(C328,[2]sheet1!$D:$I,6,0)</f>
        <v>0</v>
      </c>
      <c r="K328" s="4">
        <f>VLOOKUP(C328,[3]sheet1!$D:$I,6,0)</f>
        <v>336</v>
      </c>
      <c r="L328" s="4">
        <f>VLOOKUP(C328,[4]sheet1!$D:$I,6,0)</f>
        <v>1014</v>
      </c>
      <c r="M328" s="4">
        <f>VLOOKUP(C328,[5]sheet1!$D:$I,6,0)</f>
        <v>339</v>
      </c>
      <c r="N328" s="4">
        <f>VLOOKUP(C328,[6]sheet1!$D:$I,6,0)</f>
        <v>0</v>
      </c>
      <c r="O328" s="4">
        <f>VLOOKUP(C328,[7]sheet1!$D:$I,6,0)</f>
        <v>339</v>
      </c>
      <c r="P328" s="4">
        <f>VLOOKUP(C328,[8]sheet1!$D:$I,6,0)</f>
        <v>0</v>
      </c>
      <c r="Q328" s="15">
        <f t="shared" si="5"/>
        <v>2367</v>
      </c>
      <c r="R328" s="3">
        <v>0</v>
      </c>
      <c r="S328">
        <v>416</v>
      </c>
      <c r="T328">
        <v>0</v>
      </c>
      <c r="U328" s="3">
        <v>9</v>
      </c>
      <c r="V328" s="3">
        <v>0</v>
      </c>
      <c r="W328">
        <v>357</v>
      </c>
      <c r="X328" s="3">
        <v>1</v>
      </c>
      <c r="Y328">
        <v>0</v>
      </c>
      <c r="Z328" s="3">
        <v>0</v>
      </c>
      <c r="AA328" t="s">
        <v>139</v>
      </c>
      <c r="AB328" s="3">
        <v>314</v>
      </c>
      <c r="AC328">
        <v>308.84</v>
      </c>
      <c r="AD328" t="s">
        <v>49</v>
      </c>
      <c r="AE328">
        <v>0</v>
      </c>
      <c r="AF328" s="3">
        <v>0</v>
      </c>
      <c r="AG328" t="s">
        <v>49</v>
      </c>
      <c r="AH328">
        <v>0</v>
      </c>
      <c r="AI328" t="s">
        <v>49</v>
      </c>
      <c r="AJ328">
        <v>260.99</v>
      </c>
      <c r="AK328" t="s">
        <v>49</v>
      </c>
      <c r="AL328">
        <v>0</v>
      </c>
      <c r="AM328" t="s">
        <v>49</v>
      </c>
      <c r="AN328" s="3">
        <v>166</v>
      </c>
      <c r="AO328" s="19">
        <v>0</v>
      </c>
      <c r="AP328" s="19">
        <v>0</v>
      </c>
      <c r="AQ328" s="19">
        <v>0.8672</v>
      </c>
      <c r="AR328" s="19">
        <v>0.6328</v>
      </c>
      <c r="AS328" s="19">
        <v>1</v>
      </c>
      <c r="AT328" s="19">
        <v>0.5556</v>
      </c>
      <c r="AU328" s="3">
        <v>0</v>
      </c>
      <c r="AV328" s="3">
        <v>0</v>
      </c>
      <c r="AW328" s="19">
        <v>0</v>
      </c>
      <c r="AX328" s="3">
        <v>0</v>
      </c>
      <c r="AY328" s="3">
        <v>0</v>
      </c>
    </row>
    <row r="329" spans="1:51">
      <c r="A329" s="3">
        <v>3662672</v>
      </c>
      <c r="B329" t="s">
        <v>573</v>
      </c>
      <c r="C329" s="3">
        <v>11140809</v>
      </c>
      <c r="D329" t="s">
        <v>44</v>
      </c>
      <c r="E329" t="s">
        <v>365</v>
      </c>
      <c r="F329" t="s">
        <v>46</v>
      </c>
      <c r="G329" t="s">
        <v>47</v>
      </c>
      <c r="H329" s="16">
        <v>0</v>
      </c>
      <c r="I329" s="4">
        <f>VLOOKUP(C329,[1]sheet1!$D:$I,6,0)</f>
        <v>0</v>
      </c>
      <c r="J329" s="4">
        <f>VLOOKUP(C329,[2]sheet1!$D:$I,6,0)</f>
        <v>0</v>
      </c>
      <c r="K329" s="4">
        <f>VLOOKUP(C329,[3]sheet1!$D:$I,6,0)</f>
        <v>0</v>
      </c>
      <c r="L329" s="4">
        <f>VLOOKUP(C329,[4]sheet1!$D:$I,6,0)</f>
        <v>0</v>
      </c>
      <c r="M329" s="4">
        <f>VLOOKUP(C329,[5]sheet1!$D:$I,6,0)</f>
        <v>0</v>
      </c>
      <c r="N329" s="4">
        <f>VLOOKUP(C329,[6]sheet1!$D:$I,6,0)</f>
        <v>0</v>
      </c>
      <c r="O329" s="4">
        <f>VLOOKUP(C329,[7]sheet1!$D:$I,6,0)</f>
        <v>0</v>
      </c>
      <c r="P329" s="4">
        <f>VLOOKUP(C329,[8]sheet1!$D:$I,6,0)</f>
        <v>0</v>
      </c>
      <c r="Q329" s="4">
        <f t="shared" si="5"/>
        <v>0</v>
      </c>
      <c r="R329" s="3">
        <v>0</v>
      </c>
      <c r="S329">
        <v>37</v>
      </c>
      <c r="T329">
        <v>0</v>
      </c>
      <c r="U329" s="3">
        <v>0</v>
      </c>
      <c r="V329" s="3">
        <v>0</v>
      </c>
      <c r="W329">
        <v>0</v>
      </c>
      <c r="X329" s="3">
        <v>0</v>
      </c>
      <c r="Y329">
        <v>0</v>
      </c>
      <c r="Z329" s="3">
        <v>0</v>
      </c>
      <c r="AA329" t="s">
        <v>389</v>
      </c>
      <c r="AB329" s="3">
        <v>1448</v>
      </c>
      <c r="AC329">
        <v>1729.89</v>
      </c>
      <c r="AD329" t="s">
        <v>49</v>
      </c>
      <c r="AE329">
        <v>0</v>
      </c>
      <c r="AF329" s="3">
        <v>0</v>
      </c>
      <c r="AG329" t="s">
        <v>49</v>
      </c>
      <c r="AH329">
        <v>0</v>
      </c>
      <c r="AI329" t="s">
        <v>49</v>
      </c>
      <c r="AJ329">
        <v>1249.65</v>
      </c>
      <c r="AK329" t="s">
        <v>49</v>
      </c>
      <c r="AL329">
        <v>0</v>
      </c>
      <c r="AM329" t="s">
        <v>49</v>
      </c>
      <c r="AN329">
        <v>37</v>
      </c>
      <c r="AO329" s="19">
        <v>0</v>
      </c>
      <c r="AP329" s="19">
        <v>0</v>
      </c>
      <c r="AQ329" s="19">
        <v>1</v>
      </c>
      <c r="AR329" s="19">
        <v>0</v>
      </c>
      <c r="AS329" s="19">
        <v>0</v>
      </c>
      <c r="AT329" s="19">
        <v>0</v>
      </c>
      <c r="AU329" s="3">
        <v>0</v>
      </c>
      <c r="AV329" s="3">
        <v>0</v>
      </c>
      <c r="AW329" s="19">
        <v>0</v>
      </c>
      <c r="AX329" s="3">
        <v>0</v>
      </c>
      <c r="AY329" s="3">
        <v>0</v>
      </c>
    </row>
    <row r="330" spans="1:51">
      <c r="A330" s="3">
        <v>3662665</v>
      </c>
      <c r="B330" t="s">
        <v>574</v>
      </c>
      <c r="C330" s="3">
        <v>12140810</v>
      </c>
      <c r="D330" t="s">
        <v>44</v>
      </c>
      <c r="E330" t="s">
        <v>258</v>
      </c>
      <c r="F330" t="s">
        <v>46</v>
      </c>
      <c r="G330" t="s">
        <v>47</v>
      </c>
      <c r="H330" s="16">
        <v>0</v>
      </c>
      <c r="I330" s="4">
        <f>VLOOKUP(C330,[1]sheet1!$D:$I,6,0)</f>
        <v>0</v>
      </c>
      <c r="J330" s="4">
        <f>VLOOKUP(C330,[2]sheet1!$D:$I,6,0)</f>
        <v>0</v>
      </c>
      <c r="K330" s="4">
        <f>VLOOKUP(C330,[3]sheet1!$D:$I,6,0)</f>
        <v>0</v>
      </c>
      <c r="L330" s="4">
        <f>VLOOKUP(C330,[4]sheet1!$D:$I,6,0)</f>
        <v>0</v>
      </c>
      <c r="M330" s="4">
        <f>VLOOKUP(C330,[5]sheet1!$D:$I,6,0)</f>
        <v>0</v>
      </c>
      <c r="N330" s="4">
        <f>VLOOKUP(C330,[6]sheet1!$D:$I,6,0)</f>
        <v>0</v>
      </c>
      <c r="O330" s="4">
        <f>VLOOKUP(C330,[7]sheet1!$D:$I,6,0)</f>
        <v>0</v>
      </c>
      <c r="P330" s="4">
        <f>VLOOKUP(C330,[8]sheet1!$D:$I,6,0)</f>
        <v>0</v>
      </c>
      <c r="Q330" s="4">
        <f t="shared" si="5"/>
        <v>0</v>
      </c>
      <c r="R330" s="3">
        <v>0</v>
      </c>
      <c r="S330">
        <v>0</v>
      </c>
      <c r="T330">
        <v>0</v>
      </c>
      <c r="U330" s="3">
        <v>0</v>
      </c>
      <c r="V330" s="3">
        <v>0</v>
      </c>
      <c r="W330">
        <v>0</v>
      </c>
      <c r="X330" s="3">
        <v>0</v>
      </c>
      <c r="Y330">
        <v>0</v>
      </c>
      <c r="Z330" s="3">
        <v>0</v>
      </c>
      <c r="AA330" t="s">
        <v>575</v>
      </c>
      <c r="AB330" s="3">
        <v>1599</v>
      </c>
      <c r="AC330">
        <v>1640.64</v>
      </c>
      <c r="AD330" t="s">
        <v>49</v>
      </c>
      <c r="AE330">
        <v>0</v>
      </c>
      <c r="AF330" s="3">
        <v>0</v>
      </c>
      <c r="AG330" t="s">
        <v>49</v>
      </c>
      <c r="AH330">
        <v>0</v>
      </c>
      <c r="AI330" t="s">
        <v>49</v>
      </c>
      <c r="AJ330">
        <v>1379.64</v>
      </c>
      <c r="AK330" t="s">
        <v>49</v>
      </c>
      <c r="AL330">
        <v>0</v>
      </c>
      <c r="AM330" t="s">
        <v>49</v>
      </c>
      <c r="AN330">
        <v>0</v>
      </c>
      <c r="AO330" s="19">
        <v>0</v>
      </c>
      <c r="AP330" s="19">
        <v>0</v>
      </c>
      <c r="AQ330" s="19">
        <v>0</v>
      </c>
      <c r="AR330" s="19">
        <v>0</v>
      </c>
      <c r="AS330" s="19">
        <v>0</v>
      </c>
      <c r="AT330" s="19">
        <v>0</v>
      </c>
      <c r="AU330" s="3">
        <v>0</v>
      </c>
      <c r="AV330" s="3">
        <v>0</v>
      </c>
      <c r="AW330" s="19">
        <v>0</v>
      </c>
      <c r="AX330" s="3">
        <v>0</v>
      </c>
      <c r="AY330" s="3">
        <v>0</v>
      </c>
    </row>
    <row r="331" spans="1:51">
      <c r="A331" s="3">
        <v>3662663</v>
      </c>
      <c r="B331" t="s">
        <v>576</v>
      </c>
      <c r="C331" s="3">
        <v>12740808</v>
      </c>
      <c r="D331" t="s">
        <v>44</v>
      </c>
      <c r="E331" t="s">
        <v>365</v>
      </c>
      <c r="F331" t="s">
        <v>65</v>
      </c>
      <c r="G331" t="s">
        <v>47</v>
      </c>
      <c r="H331" s="16">
        <v>0</v>
      </c>
      <c r="I331" s="4">
        <f>VLOOKUP(C331,[1]sheet1!$D:$I,6,0)</f>
        <v>0</v>
      </c>
      <c r="J331" s="4">
        <f>VLOOKUP(C331,[2]sheet1!$D:$I,6,0)</f>
        <v>0</v>
      </c>
      <c r="K331" s="4">
        <f>VLOOKUP(C331,[3]sheet1!$D:$I,6,0)</f>
        <v>0</v>
      </c>
      <c r="L331" s="4">
        <f>VLOOKUP(C331,[4]sheet1!$D:$I,6,0)</f>
        <v>0</v>
      </c>
      <c r="M331" s="4">
        <f>VLOOKUP(C331,[5]sheet1!$D:$I,6,0)</f>
        <v>0</v>
      </c>
      <c r="N331" s="4">
        <f>VLOOKUP(C331,[6]sheet1!$D:$I,6,0)</f>
        <v>0</v>
      </c>
      <c r="O331" s="4">
        <f>VLOOKUP(C331,[7]sheet1!$D:$I,6,0)</f>
        <v>0</v>
      </c>
      <c r="P331" s="4">
        <f>VLOOKUP(C331,[8]sheet1!$D:$I,6,0)</f>
        <v>0</v>
      </c>
      <c r="Q331" s="4">
        <f t="shared" si="5"/>
        <v>0</v>
      </c>
      <c r="R331" s="3">
        <v>0</v>
      </c>
      <c r="S331" s="3">
        <v>0</v>
      </c>
      <c r="T331" s="19">
        <v>0</v>
      </c>
      <c r="U331" s="3">
        <v>0</v>
      </c>
      <c r="V331" s="3">
        <v>0</v>
      </c>
      <c r="W331">
        <v>0</v>
      </c>
      <c r="X331" s="3">
        <v>0</v>
      </c>
      <c r="Y331">
        <v>0</v>
      </c>
      <c r="Z331" s="3">
        <v>0</v>
      </c>
      <c r="AA331" t="s">
        <v>577</v>
      </c>
      <c r="AB331" t="s">
        <v>49</v>
      </c>
      <c r="AC331">
        <v>728.52</v>
      </c>
      <c r="AD331" t="s">
        <v>49</v>
      </c>
      <c r="AE331">
        <v>0</v>
      </c>
      <c r="AF331" s="3">
        <v>0</v>
      </c>
      <c r="AG331" t="s">
        <v>49</v>
      </c>
      <c r="AH331">
        <v>0</v>
      </c>
      <c r="AI331" t="s">
        <v>49</v>
      </c>
      <c r="AJ331" t="s">
        <v>49</v>
      </c>
      <c r="AK331" t="s">
        <v>49</v>
      </c>
      <c r="AL331" t="s">
        <v>49</v>
      </c>
      <c r="AM331" t="s">
        <v>49</v>
      </c>
      <c r="AN331" s="3">
        <v>0</v>
      </c>
      <c r="AO331" s="19">
        <v>0</v>
      </c>
      <c r="AP331" s="19">
        <v>0</v>
      </c>
      <c r="AQ331" s="19">
        <v>0</v>
      </c>
      <c r="AR331" s="19">
        <v>0</v>
      </c>
      <c r="AS331" s="19">
        <v>0</v>
      </c>
      <c r="AT331" s="19">
        <v>0</v>
      </c>
      <c r="AU331" s="3">
        <v>0</v>
      </c>
      <c r="AV331" s="3">
        <v>0</v>
      </c>
      <c r="AW331" s="19">
        <v>0</v>
      </c>
      <c r="AX331" s="3">
        <v>0</v>
      </c>
      <c r="AY331" s="3">
        <v>0</v>
      </c>
    </row>
    <row r="332" spans="1:51">
      <c r="A332" s="3">
        <v>3662662</v>
      </c>
      <c r="B332" t="s">
        <v>578</v>
      </c>
      <c r="C332" s="3">
        <v>11140813</v>
      </c>
      <c r="D332" t="s">
        <v>44</v>
      </c>
      <c r="E332" t="s">
        <v>365</v>
      </c>
      <c r="F332" t="s">
        <v>46</v>
      </c>
      <c r="G332" t="s">
        <v>47</v>
      </c>
      <c r="H332" s="16">
        <v>0</v>
      </c>
      <c r="I332" s="4">
        <f>VLOOKUP(C332,[1]sheet1!$D:$I,6,0)</f>
        <v>0</v>
      </c>
      <c r="J332" s="4">
        <f>VLOOKUP(C332,[2]sheet1!$D:$I,6,0)</f>
        <v>0</v>
      </c>
      <c r="K332" s="4">
        <f>VLOOKUP(C332,[3]sheet1!$D:$I,6,0)</f>
        <v>0</v>
      </c>
      <c r="L332" s="4">
        <f>VLOOKUP(C332,[4]sheet1!$D:$I,6,0)</f>
        <v>0</v>
      </c>
      <c r="M332" s="4">
        <f>VLOOKUP(C332,[5]sheet1!$D:$I,6,0)</f>
        <v>0</v>
      </c>
      <c r="N332" s="4">
        <f>VLOOKUP(C332,[6]sheet1!$D:$I,6,0)</f>
        <v>0</v>
      </c>
      <c r="O332" s="4">
        <f>VLOOKUP(C332,[7]sheet1!$D:$I,6,0)</f>
        <v>0</v>
      </c>
      <c r="P332" s="4">
        <f>VLOOKUP(C332,[8]sheet1!$D:$I,6,0)</f>
        <v>0</v>
      </c>
      <c r="Q332" s="4">
        <f t="shared" si="5"/>
        <v>0</v>
      </c>
      <c r="R332" s="3">
        <v>0</v>
      </c>
      <c r="S332">
        <v>0</v>
      </c>
      <c r="T332">
        <v>0</v>
      </c>
      <c r="U332" s="3">
        <v>0</v>
      </c>
      <c r="V332" s="3">
        <v>0</v>
      </c>
      <c r="W332">
        <v>0</v>
      </c>
      <c r="X332" s="3">
        <v>0</v>
      </c>
      <c r="Y332">
        <v>0</v>
      </c>
      <c r="Z332" s="3">
        <v>0</v>
      </c>
      <c r="AA332" t="s">
        <v>579</v>
      </c>
      <c r="AB332" s="3">
        <v>1798</v>
      </c>
      <c r="AC332">
        <v>1555.02</v>
      </c>
      <c r="AD332" t="s">
        <v>49</v>
      </c>
      <c r="AE332">
        <v>0</v>
      </c>
      <c r="AF332" s="3">
        <v>0</v>
      </c>
      <c r="AG332" t="s">
        <v>49</v>
      </c>
      <c r="AH332">
        <v>0</v>
      </c>
      <c r="AI332" t="s">
        <v>49</v>
      </c>
      <c r="AJ332">
        <v>1554.15</v>
      </c>
      <c r="AK332" t="s">
        <v>49</v>
      </c>
      <c r="AL332">
        <v>0</v>
      </c>
      <c r="AM332" t="s">
        <v>49</v>
      </c>
      <c r="AN332">
        <v>0</v>
      </c>
      <c r="AO332" s="19">
        <v>0</v>
      </c>
      <c r="AP332" s="19">
        <v>0</v>
      </c>
      <c r="AQ332" s="19">
        <v>0</v>
      </c>
      <c r="AR332" s="19">
        <v>0</v>
      </c>
      <c r="AS332" s="19">
        <v>0</v>
      </c>
      <c r="AT332" s="19">
        <v>0</v>
      </c>
      <c r="AU332" s="3">
        <v>0</v>
      </c>
      <c r="AV332" s="3">
        <v>0</v>
      </c>
      <c r="AW332" s="19">
        <v>0</v>
      </c>
      <c r="AX332" s="3">
        <v>0</v>
      </c>
      <c r="AY332" s="3">
        <v>0</v>
      </c>
    </row>
    <row r="333" spans="1:51">
      <c r="A333" s="3">
        <v>3660384</v>
      </c>
      <c r="B333" t="s">
        <v>580</v>
      </c>
      <c r="C333" s="3">
        <v>11240301</v>
      </c>
      <c r="D333" t="s">
        <v>44</v>
      </c>
      <c r="E333" t="s">
        <v>330</v>
      </c>
      <c r="F333" t="s">
        <v>46</v>
      </c>
      <c r="G333" t="s">
        <v>47</v>
      </c>
      <c r="H333" s="16">
        <v>0</v>
      </c>
      <c r="I333" s="4">
        <f>VLOOKUP(C333,[1]sheet1!$D:$I,6,0)</f>
        <v>0</v>
      </c>
      <c r="J333" s="4">
        <f>VLOOKUP(C333,[2]sheet1!$D:$I,6,0)</f>
        <v>0</v>
      </c>
      <c r="K333" s="4">
        <f>VLOOKUP(C333,[3]sheet1!$D:$I,6,0)</f>
        <v>0</v>
      </c>
      <c r="L333" s="4">
        <f>VLOOKUP(C333,[4]sheet1!$D:$I,6,0)</f>
        <v>0</v>
      </c>
      <c r="M333" s="4">
        <f>VLOOKUP(C333,[5]sheet1!$D:$I,6,0)</f>
        <v>0</v>
      </c>
      <c r="N333" s="4">
        <f>VLOOKUP(C333,[6]sheet1!$D:$I,6,0)</f>
        <v>0</v>
      </c>
      <c r="O333" s="4">
        <f>VLOOKUP(C333,[7]sheet1!$D:$I,6,0)</f>
        <v>0</v>
      </c>
      <c r="P333" s="4">
        <f>VLOOKUP(C333,[8]sheet1!$D:$I,6,0)</f>
        <v>0</v>
      </c>
      <c r="Q333" s="4">
        <f t="shared" si="5"/>
        <v>0</v>
      </c>
      <c r="R333" s="3">
        <v>0</v>
      </c>
      <c r="S333">
        <v>74</v>
      </c>
      <c r="T333">
        <v>0</v>
      </c>
      <c r="U333" s="3">
        <v>0</v>
      </c>
      <c r="V333" s="3">
        <v>0</v>
      </c>
      <c r="W333">
        <v>0</v>
      </c>
      <c r="X333" s="3">
        <v>0</v>
      </c>
      <c r="Y333">
        <v>0</v>
      </c>
      <c r="Z333" s="3">
        <v>0</v>
      </c>
      <c r="AA333" t="s">
        <v>244</v>
      </c>
      <c r="AB333" s="3">
        <v>659</v>
      </c>
      <c r="AC333">
        <v>563.52</v>
      </c>
      <c r="AD333" t="s">
        <v>49</v>
      </c>
      <c r="AE333">
        <v>0</v>
      </c>
      <c r="AF333" s="3">
        <v>0</v>
      </c>
      <c r="AG333" t="s">
        <v>49</v>
      </c>
      <c r="AH333">
        <v>0</v>
      </c>
      <c r="AI333" t="s">
        <v>49</v>
      </c>
      <c r="AJ333" t="s">
        <v>49</v>
      </c>
      <c r="AK333" t="s">
        <v>49</v>
      </c>
      <c r="AL333" t="s">
        <v>49</v>
      </c>
      <c r="AM333" t="s">
        <v>49</v>
      </c>
      <c r="AN333">
        <v>97</v>
      </c>
      <c r="AO333" s="19">
        <v>0</v>
      </c>
      <c r="AP333" s="19">
        <v>0</v>
      </c>
      <c r="AQ333" s="19">
        <v>0.75</v>
      </c>
      <c r="AR333" s="19">
        <v>0.5</v>
      </c>
      <c r="AS333" s="19">
        <v>0</v>
      </c>
      <c r="AT333" s="19">
        <v>0</v>
      </c>
      <c r="AU333" s="3">
        <v>0</v>
      </c>
      <c r="AV333" s="3">
        <v>0</v>
      </c>
      <c r="AW333" s="19">
        <v>0</v>
      </c>
      <c r="AX333" s="3">
        <v>0</v>
      </c>
      <c r="AY333" s="3">
        <v>0</v>
      </c>
    </row>
    <row r="334" spans="1:51">
      <c r="A334" s="3">
        <v>3645247</v>
      </c>
      <c r="B334" t="s">
        <v>581</v>
      </c>
      <c r="C334" s="3">
        <v>12140814</v>
      </c>
      <c r="D334" t="s">
        <v>44</v>
      </c>
      <c r="E334" t="s">
        <v>258</v>
      </c>
      <c r="F334" t="s">
        <v>46</v>
      </c>
      <c r="G334" t="s">
        <v>47</v>
      </c>
      <c r="H334" s="16">
        <v>0</v>
      </c>
      <c r="I334" s="4">
        <f>VLOOKUP(C334,[1]sheet1!$D:$I,6,0)</f>
        <v>0</v>
      </c>
      <c r="J334" s="4">
        <f>VLOOKUP(C334,[2]sheet1!$D:$I,6,0)</f>
        <v>0</v>
      </c>
      <c r="K334" s="4">
        <f>VLOOKUP(C334,[3]sheet1!$D:$I,6,0)</f>
        <v>0</v>
      </c>
      <c r="L334" s="4">
        <f>VLOOKUP(C334,[4]sheet1!$D:$I,6,0)</f>
        <v>0</v>
      </c>
      <c r="M334" s="4">
        <f>VLOOKUP(C334,[5]sheet1!$D:$I,6,0)</f>
        <v>0</v>
      </c>
      <c r="N334" s="4">
        <f>VLOOKUP(C334,[6]sheet1!$D:$I,6,0)</f>
        <v>0</v>
      </c>
      <c r="O334" s="4">
        <f>VLOOKUP(C334,[7]sheet1!$D:$I,6,0)</f>
        <v>0</v>
      </c>
      <c r="P334" s="4">
        <f>VLOOKUP(C334,[8]sheet1!$D:$I,6,0)</f>
        <v>0</v>
      </c>
      <c r="Q334" s="4">
        <f t="shared" si="5"/>
        <v>0</v>
      </c>
      <c r="R334" s="3">
        <v>0</v>
      </c>
      <c r="S334">
        <v>82</v>
      </c>
      <c r="T334">
        <v>0</v>
      </c>
      <c r="U334" s="3">
        <v>1</v>
      </c>
      <c r="V334" s="3">
        <v>0</v>
      </c>
      <c r="W334">
        <v>0</v>
      </c>
      <c r="X334" s="3">
        <v>0</v>
      </c>
      <c r="Y334">
        <v>0</v>
      </c>
      <c r="Z334" s="3">
        <v>0</v>
      </c>
      <c r="AA334" t="s">
        <v>579</v>
      </c>
      <c r="AB334" s="3">
        <v>1499</v>
      </c>
      <c r="AC334">
        <v>1553.64</v>
      </c>
      <c r="AD334" t="s">
        <v>49</v>
      </c>
      <c r="AE334">
        <v>0</v>
      </c>
      <c r="AF334" s="3">
        <v>0</v>
      </c>
      <c r="AG334" t="s">
        <v>49</v>
      </c>
      <c r="AH334">
        <v>0</v>
      </c>
      <c r="AI334" t="s">
        <v>49</v>
      </c>
      <c r="AJ334">
        <v>1292.64</v>
      </c>
      <c r="AK334" t="s">
        <v>49</v>
      </c>
      <c r="AL334">
        <v>0</v>
      </c>
      <c r="AM334" t="s">
        <v>49</v>
      </c>
      <c r="AN334">
        <v>104</v>
      </c>
      <c r="AO334" s="19">
        <v>0</v>
      </c>
      <c r="AP334" s="19">
        <v>0</v>
      </c>
      <c r="AQ334" s="19">
        <v>1</v>
      </c>
      <c r="AR334" s="19">
        <v>0.4</v>
      </c>
      <c r="AS334" s="19">
        <v>1</v>
      </c>
      <c r="AT334" s="19">
        <v>1</v>
      </c>
      <c r="AU334" s="3">
        <v>0</v>
      </c>
      <c r="AV334" s="3">
        <v>0</v>
      </c>
      <c r="AW334" s="19">
        <v>0</v>
      </c>
      <c r="AX334" s="3">
        <v>0</v>
      </c>
      <c r="AY334" s="3">
        <v>0</v>
      </c>
    </row>
    <row r="335" spans="1:51">
      <c r="A335" s="3">
        <v>3605280</v>
      </c>
      <c r="B335" t="s">
        <v>582</v>
      </c>
      <c r="C335" s="3">
        <v>12140804</v>
      </c>
      <c r="D335" t="s">
        <v>44</v>
      </c>
      <c r="E335" t="s">
        <v>258</v>
      </c>
      <c r="F335" t="s">
        <v>65</v>
      </c>
      <c r="G335" t="s">
        <v>47</v>
      </c>
      <c r="H335" s="16">
        <v>0</v>
      </c>
      <c r="I335" s="4">
        <f>VLOOKUP(C335,[1]sheet1!$D:$I,6,0)</f>
        <v>0</v>
      </c>
      <c r="J335" s="4">
        <f>VLOOKUP(C335,[2]sheet1!$D:$I,6,0)</f>
        <v>0</v>
      </c>
      <c r="K335" s="4">
        <f>VLOOKUP(C335,[3]sheet1!$D:$I,6,0)</f>
        <v>0</v>
      </c>
      <c r="L335" s="4">
        <f>VLOOKUP(C335,[4]sheet1!$D:$I,6,0)</f>
        <v>0</v>
      </c>
      <c r="M335" s="4">
        <f>VLOOKUP(C335,[5]sheet1!$D:$I,6,0)</f>
        <v>0</v>
      </c>
      <c r="N335" s="4">
        <f>VLOOKUP(C335,[6]sheet1!$D:$I,6,0)</f>
        <v>0</v>
      </c>
      <c r="O335" s="4">
        <f>VLOOKUP(C335,[7]sheet1!$D:$I,6,0)</f>
        <v>0</v>
      </c>
      <c r="P335" s="4">
        <f>VLOOKUP(C335,[8]sheet1!$D:$I,6,0)</f>
        <v>0</v>
      </c>
      <c r="Q335" s="4">
        <f t="shared" si="5"/>
        <v>0</v>
      </c>
      <c r="R335" s="3">
        <v>0</v>
      </c>
      <c r="S335" s="3">
        <v>4</v>
      </c>
      <c r="T335" s="19">
        <v>0</v>
      </c>
      <c r="U335" s="3">
        <v>0</v>
      </c>
      <c r="V335" s="3">
        <v>0</v>
      </c>
      <c r="W335">
        <v>0</v>
      </c>
      <c r="X335" s="3">
        <v>0</v>
      </c>
      <c r="Y335">
        <v>0</v>
      </c>
      <c r="Z335" s="3">
        <v>0</v>
      </c>
      <c r="AA335" t="s">
        <v>49</v>
      </c>
      <c r="AB335" t="s">
        <v>49</v>
      </c>
      <c r="AC335" t="s">
        <v>49</v>
      </c>
      <c r="AD335" t="s">
        <v>49</v>
      </c>
      <c r="AE335">
        <v>0</v>
      </c>
      <c r="AF335" s="3">
        <v>0</v>
      </c>
      <c r="AG335" t="s">
        <v>49</v>
      </c>
      <c r="AH335" t="s">
        <v>49</v>
      </c>
      <c r="AI335" t="s">
        <v>49</v>
      </c>
      <c r="AJ335" t="s">
        <v>49</v>
      </c>
      <c r="AK335" t="s">
        <v>49</v>
      </c>
      <c r="AL335" t="s">
        <v>49</v>
      </c>
      <c r="AM335" t="s">
        <v>49</v>
      </c>
      <c r="AN335" s="3">
        <v>5</v>
      </c>
      <c r="AO335" s="19">
        <v>0</v>
      </c>
      <c r="AP335" s="19">
        <v>0</v>
      </c>
      <c r="AQ335" s="19">
        <v>0.75</v>
      </c>
      <c r="AR335" s="19">
        <v>0</v>
      </c>
      <c r="AS335" s="19">
        <v>0</v>
      </c>
      <c r="AT335" s="19">
        <v>0</v>
      </c>
      <c r="AU335" s="3">
        <v>0</v>
      </c>
      <c r="AV335" s="3">
        <v>0</v>
      </c>
      <c r="AW335" s="19">
        <v>0</v>
      </c>
      <c r="AX335" s="3">
        <v>0</v>
      </c>
      <c r="AY335" s="3">
        <v>0</v>
      </c>
    </row>
    <row r="336" spans="1:51">
      <c r="A336" s="3">
        <v>3595581</v>
      </c>
      <c r="B336" t="s">
        <v>583</v>
      </c>
      <c r="C336" s="3">
        <v>12131802</v>
      </c>
      <c r="D336" t="s">
        <v>44</v>
      </c>
      <c r="E336" t="s">
        <v>114</v>
      </c>
      <c r="F336" t="s">
        <v>65</v>
      </c>
      <c r="G336" t="s">
        <v>47</v>
      </c>
      <c r="H336" s="16">
        <v>0</v>
      </c>
      <c r="I336" s="4">
        <f>VLOOKUP(C336,[1]sheet1!$D:$I,6,0)</f>
        <v>0</v>
      </c>
      <c r="J336" s="4">
        <f>VLOOKUP(C336,[2]sheet1!$D:$I,6,0)</f>
        <v>0</v>
      </c>
      <c r="K336" s="4">
        <f>VLOOKUP(C336,[3]sheet1!$D:$I,6,0)</f>
        <v>0</v>
      </c>
      <c r="L336" s="4">
        <f>VLOOKUP(C336,[4]sheet1!$D:$I,6,0)</f>
        <v>0</v>
      </c>
      <c r="M336" s="4">
        <f>VLOOKUP(C336,[5]sheet1!$D:$I,6,0)</f>
        <v>0</v>
      </c>
      <c r="N336" s="4">
        <f>VLOOKUP(C336,[6]sheet1!$D:$I,6,0)</f>
        <v>0</v>
      </c>
      <c r="O336" s="4">
        <f>VLOOKUP(C336,[7]sheet1!$D:$I,6,0)</f>
        <v>0</v>
      </c>
      <c r="P336" s="4">
        <f>VLOOKUP(C336,[8]sheet1!$D:$I,6,0)</f>
        <v>0</v>
      </c>
      <c r="Q336" s="4">
        <f t="shared" si="5"/>
        <v>0</v>
      </c>
      <c r="R336" s="3">
        <v>0</v>
      </c>
      <c r="S336" s="3">
        <v>1</v>
      </c>
      <c r="T336" s="19">
        <v>0</v>
      </c>
      <c r="U336" s="3">
        <v>0</v>
      </c>
      <c r="V336" s="3">
        <v>0</v>
      </c>
      <c r="W336">
        <v>0</v>
      </c>
      <c r="X336" s="3">
        <v>0</v>
      </c>
      <c r="Y336">
        <v>0</v>
      </c>
      <c r="Z336" s="3">
        <v>0</v>
      </c>
      <c r="AA336" t="s">
        <v>49</v>
      </c>
      <c r="AB336" t="s">
        <v>49</v>
      </c>
      <c r="AC336" t="s">
        <v>49</v>
      </c>
      <c r="AD336" t="s">
        <v>49</v>
      </c>
      <c r="AE336">
        <v>0</v>
      </c>
      <c r="AF336" s="3">
        <v>0</v>
      </c>
      <c r="AG336" t="s">
        <v>49</v>
      </c>
      <c r="AH336" t="s">
        <v>49</v>
      </c>
      <c r="AI336" t="s">
        <v>49</v>
      </c>
      <c r="AJ336" t="s">
        <v>49</v>
      </c>
      <c r="AK336" t="s">
        <v>49</v>
      </c>
      <c r="AL336" t="s">
        <v>49</v>
      </c>
      <c r="AM336" t="s">
        <v>49</v>
      </c>
      <c r="AN336" s="3">
        <v>1</v>
      </c>
      <c r="AO336" s="19">
        <v>0</v>
      </c>
      <c r="AP336" s="19">
        <v>0</v>
      </c>
      <c r="AQ336" s="19">
        <v>1</v>
      </c>
      <c r="AR336" s="19">
        <v>0</v>
      </c>
      <c r="AS336" s="19">
        <v>0</v>
      </c>
      <c r="AT336" s="19">
        <v>0</v>
      </c>
      <c r="AU336" s="3">
        <v>0</v>
      </c>
      <c r="AV336" s="3">
        <v>0</v>
      </c>
      <c r="AW336" s="19">
        <v>0</v>
      </c>
      <c r="AX336" s="3">
        <v>0</v>
      </c>
      <c r="AY336" s="3">
        <v>0</v>
      </c>
    </row>
    <row r="337" spans="1:51">
      <c r="A337" s="3">
        <v>3588055</v>
      </c>
      <c r="B337" t="s">
        <v>584</v>
      </c>
      <c r="C337" s="3">
        <v>11240823</v>
      </c>
      <c r="D337" t="s">
        <v>44</v>
      </c>
      <c r="E337" t="s">
        <v>365</v>
      </c>
      <c r="F337" t="s">
        <v>46</v>
      </c>
      <c r="G337" t="s">
        <v>47</v>
      </c>
      <c r="H337" s="16">
        <v>0</v>
      </c>
      <c r="I337" s="4">
        <f>VLOOKUP(C337,[1]sheet1!$D:$I,6,0)</f>
        <v>0</v>
      </c>
      <c r="J337" s="4">
        <f>VLOOKUP(C337,[2]sheet1!$D:$I,6,0)</f>
        <v>0</v>
      </c>
      <c r="K337" s="4">
        <f>VLOOKUP(C337,[3]sheet1!$D:$I,6,0)</f>
        <v>0</v>
      </c>
      <c r="L337" s="4">
        <f>VLOOKUP(C337,[4]sheet1!$D:$I,6,0)</f>
        <v>0</v>
      </c>
      <c r="M337" s="4">
        <f>VLOOKUP(C337,[5]sheet1!$D:$I,6,0)</f>
        <v>0</v>
      </c>
      <c r="N337" s="4">
        <f>VLOOKUP(C337,[6]sheet1!$D:$I,6,0)</f>
        <v>0</v>
      </c>
      <c r="O337" s="4">
        <f>VLOOKUP(C337,[7]sheet1!$D:$I,6,0)</f>
        <v>0</v>
      </c>
      <c r="P337" s="4">
        <f>VLOOKUP(C337,[8]sheet1!$D:$I,6,0)</f>
        <v>1627</v>
      </c>
      <c r="Q337" s="4">
        <f t="shared" si="5"/>
        <v>1627</v>
      </c>
      <c r="R337" s="3">
        <v>0</v>
      </c>
      <c r="S337">
        <v>169</v>
      </c>
      <c r="T337">
        <v>0</v>
      </c>
      <c r="U337" s="3">
        <v>0</v>
      </c>
      <c r="V337" s="3">
        <v>0</v>
      </c>
      <c r="W337">
        <v>0</v>
      </c>
      <c r="X337" s="3">
        <v>0</v>
      </c>
      <c r="Y337">
        <v>0</v>
      </c>
      <c r="Z337" s="3">
        <v>0</v>
      </c>
      <c r="AA337" t="s">
        <v>49</v>
      </c>
      <c r="AB337" s="3">
        <v>1487</v>
      </c>
      <c r="AC337" t="s">
        <v>49</v>
      </c>
      <c r="AD337" t="s">
        <v>49</v>
      </c>
      <c r="AE337">
        <v>0</v>
      </c>
      <c r="AF337" s="3">
        <v>0</v>
      </c>
      <c r="AG337" t="s">
        <v>49</v>
      </c>
      <c r="AH337" t="s">
        <v>49</v>
      </c>
      <c r="AI337" t="s">
        <v>49</v>
      </c>
      <c r="AJ337">
        <v>1283.58</v>
      </c>
      <c r="AK337" t="s">
        <v>49</v>
      </c>
      <c r="AL337">
        <v>0</v>
      </c>
      <c r="AM337" t="s">
        <v>49</v>
      </c>
      <c r="AN337">
        <v>180</v>
      </c>
      <c r="AO337" s="19">
        <v>0</v>
      </c>
      <c r="AP337" s="19">
        <v>0</v>
      </c>
      <c r="AQ337" s="19">
        <v>0.9048</v>
      </c>
      <c r="AR337" s="19">
        <v>0.2857</v>
      </c>
      <c r="AS337" s="19">
        <v>0</v>
      </c>
      <c r="AT337" s="19">
        <v>0</v>
      </c>
      <c r="AU337" s="3">
        <v>0</v>
      </c>
      <c r="AV337" s="3">
        <v>0</v>
      </c>
      <c r="AW337" s="19">
        <v>0</v>
      </c>
      <c r="AX337" s="3">
        <v>0</v>
      </c>
      <c r="AY337" s="3">
        <v>0</v>
      </c>
    </row>
    <row r="338" spans="1:51">
      <c r="A338" s="3">
        <v>3568487</v>
      </c>
      <c r="B338" t="s">
        <v>585</v>
      </c>
      <c r="C338" s="3">
        <v>11140101</v>
      </c>
      <c r="D338" t="s">
        <v>44</v>
      </c>
      <c r="E338" t="s">
        <v>104</v>
      </c>
      <c r="F338" t="s">
        <v>46</v>
      </c>
      <c r="G338" t="s">
        <v>47</v>
      </c>
      <c r="H338" s="16">
        <v>0</v>
      </c>
      <c r="I338" s="4">
        <f>VLOOKUP(C338,[1]sheet1!$D:$I,6,0)</f>
        <v>0</v>
      </c>
      <c r="J338" s="4">
        <f>VLOOKUP(C338,[2]sheet1!$D:$I,6,0)</f>
        <v>0</v>
      </c>
      <c r="K338" s="4">
        <f>VLOOKUP(C338,[3]sheet1!$D:$I,6,0)</f>
        <v>0</v>
      </c>
      <c r="L338" s="4">
        <f>VLOOKUP(C338,[4]sheet1!$D:$I,6,0)</f>
        <v>0</v>
      </c>
      <c r="M338" s="4">
        <f>VLOOKUP(C338,[5]sheet1!$D:$I,6,0)</f>
        <v>0</v>
      </c>
      <c r="N338" s="4">
        <f>VLOOKUP(C338,[6]sheet1!$D:$I,6,0)</f>
        <v>0</v>
      </c>
      <c r="O338" s="4">
        <f>VLOOKUP(C338,[7]sheet1!$D:$I,6,0)</f>
        <v>0</v>
      </c>
      <c r="P338" s="4">
        <f>VLOOKUP(C338,[8]sheet1!$D:$I,6,0)</f>
        <v>0</v>
      </c>
      <c r="Q338" s="4">
        <f t="shared" si="5"/>
        <v>0</v>
      </c>
      <c r="R338" s="3">
        <v>0</v>
      </c>
      <c r="S338">
        <v>37</v>
      </c>
      <c r="T338">
        <v>0</v>
      </c>
      <c r="U338" s="3">
        <v>0</v>
      </c>
      <c r="V338" s="3">
        <v>0</v>
      </c>
      <c r="W338">
        <v>0</v>
      </c>
      <c r="X338" s="3">
        <v>0</v>
      </c>
      <c r="Y338">
        <v>0</v>
      </c>
      <c r="Z338" s="3">
        <v>0</v>
      </c>
      <c r="AA338" t="s">
        <v>586</v>
      </c>
      <c r="AB338" s="3">
        <v>459</v>
      </c>
      <c r="AC338">
        <v>459.32</v>
      </c>
      <c r="AD338" t="s">
        <v>49</v>
      </c>
      <c r="AE338">
        <v>0</v>
      </c>
      <c r="AF338" s="3">
        <v>0</v>
      </c>
      <c r="AG338" t="s">
        <v>49</v>
      </c>
      <c r="AH338">
        <v>0</v>
      </c>
      <c r="AI338" t="s">
        <v>49</v>
      </c>
      <c r="AJ338">
        <v>389.72</v>
      </c>
      <c r="AK338" t="s">
        <v>49</v>
      </c>
      <c r="AL338">
        <v>0</v>
      </c>
      <c r="AM338" t="s">
        <v>49</v>
      </c>
      <c r="AN338">
        <v>37</v>
      </c>
      <c r="AO338" s="19">
        <v>0</v>
      </c>
      <c r="AP338" s="19">
        <v>0</v>
      </c>
      <c r="AQ338" s="19">
        <v>1</v>
      </c>
      <c r="AR338" s="19">
        <v>0</v>
      </c>
      <c r="AS338" s="19">
        <v>0</v>
      </c>
      <c r="AT338" s="19">
        <v>0</v>
      </c>
      <c r="AU338" s="3">
        <v>0</v>
      </c>
      <c r="AV338" s="3">
        <v>0</v>
      </c>
      <c r="AW338" s="19">
        <v>0</v>
      </c>
      <c r="AX338" s="3">
        <v>0</v>
      </c>
      <c r="AY338" s="3">
        <v>0</v>
      </c>
    </row>
    <row r="339" spans="1:51">
      <c r="A339" s="3">
        <v>3568484</v>
      </c>
      <c r="B339" t="s">
        <v>587</v>
      </c>
      <c r="C339" s="3">
        <v>12140102</v>
      </c>
      <c r="D339" t="s">
        <v>44</v>
      </c>
      <c r="E339" t="s">
        <v>141</v>
      </c>
      <c r="F339" t="s">
        <v>46</v>
      </c>
      <c r="G339" t="s">
        <v>47</v>
      </c>
      <c r="H339" s="16">
        <v>0</v>
      </c>
      <c r="I339" s="4">
        <f>VLOOKUP(C339,[1]sheet1!$D:$I,6,0)</f>
        <v>0</v>
      </c>
      <c r="J339" s="4">
        <f>VLOOKUP(C339,[2]sheet1!$D:$I,6,0)</f>
        <v>0</v>
      </c>
      <c r="K339" s="4">
        <f>VLOOKUP(C339,[3]sheet1!$D:$I,6,0)</f>
        <v>0</v>
      </c>
      <c r="L339" s="4">
        <f>VLOOKUP(C339,[4]sheet1!$D:$I,6,0)</f>
        <v>0</v>
      </c>
      <c r="M339" s="4">
        <f>VLOOKUP(C339,[5]sheet1!$D:$I,6,0)</f>
        <v>0</v>
      </c>
      <c r="N339" s="4">
        <f>VLOOKUP(C339,[6]sheet1!$D:$I,6,0)</f>
        <v>0</v>
      </c>
      <c r="O339" s="4">
        <f>VLOOKUP(C339,[7]sheet1!$D:$I,6,0)</f>
        <v>0</v>
      </c>
      <c r="P339" s="4">
        <f>VLOOKUP(C339,[8]sheet1!$D:$I,6,0)</f>
        <v>0</v>
      </c>
      <c r="Q339" s="4">
        <f t="shared" si="5"/>
        <v>0</v>
      </c>
      <c r="R339" s="3">
        <v>0</v>
      </c>
      <c r="S339">
        <v>122</v>
      </c>
      <c r="T339">
        <v>0</v>
      </c>
      <c r="U339" s="3">
        <v>0</v>
      </c>
      <c r="V339" s="3">
        <v>0</v>
      </c>
      <c r="W339">
        <v>0</v>
      </c>
      <c r="X339" s="3">
        <v>0</v>
      </c>
      <c r="Y339">
        <v>0</v>
      </c>
      <c r="Z339" s="3">
        <v>0</v>
      </c>
      <c r="AA339" t="s">
        <v>196</v>
      </c>
      <c r="AB339" s="3">
        <v>559</v>
      </c>
      <c r="AC339">
        <v>474.94</v>
      </c>
      <c r="AD339" t="s">
        <v>49</v>
      </c>
      <c r="AE339">
        <v>0</v>
      </c>
      <c r="AF339" s="3">
        <v>0</v>
      </c>
      <c r="AG339" t="s">
        <v>49</v>
      </c>
      <c r="AH339">
        <v>0</v>
      </c>
      <c r="AI339" t="s">
        <v>49</v>
      </c>
      <c r="AJ339" t="s">
        <v>49</v>
      </c>
      <c r="AK339" t="s">
        <v>49</v>
      </c>
      <c r="AL339" t="s">
        <v>49</v>
      </c>
      <c r="AM339" t="s">
        <v>49</v>
      </c>
      <c r="AN339">
        <v>133</v>
      </c>
      <c r="AO339" s="19">
        <v>0</v>
      </c>
      <c r="AP339" s="19">
        <v>0</v>
      </c>
      <c r="AQ339" s="19">
        <v>0.9091</v>
      </c>
      <c r="AR339" s="19">
        <v>0.4545</v>
      </c>
      <c r="AS339" s="19">
        <v>0</v>
      </c>
      <c r="AT339" s="19">
        <v>0</v>
      </c>
      <c r="AU339" s="3">
        <v>0</v>
      </c>
      <c r="AV339" s="3">
        <v>0</v>
      </c>
      <c r="AW339" s="19">
        <v>0</v>
      </c>
      <c r="AX339" s="3">
        <v>0</v>
      </c>
      <c r="AY339" s="3">
        <v>0</v>
      </c>
    </row>
    <row r="340" spans="1:51">
      <c r="A340" s="3">
        <v>3556778</v>
      </c>
      <c r="B340" t="s">
        <v>588</v>
      </c>
      <c r="C340" s="3">
        <v>11140121</v>
      </c>
      <c r="D340" t="s">
        <v>44</v>
      </c>
      <c r="E340" t="s">
        <v>104</v>
      </c>
      <c r="F340" t="s">
        <v>65</v>
      </c>
      <c r="G340" t="s">
        <v>47</v>
      </c>
      <c r="H340" s="16">
        <v>0</v>
      </c>
      <c r="I340" s="4">
        <f>VLOOKUP(C340,[1]sheet1!$D:$I,6,0)</f>
        <v>0</v>
      </c>
      <c r="J340" s="4">
        <f>VLOOKUP(C340,[2]sheet1!$D:$I,6,0)</f>
        <v>0</v>
      </c>
      <c r="K340" s="4">
        <f>VLOOKUP(C340,[3]sheet1!$D:$I,6,0)</f>
        <v>0</v>
      </c>
      <c r="L340" s="4">
        <f>VLOOKUP(C340,[4]sheet1!$D:$I,6,0)</f>
        <v>0</v>
      </c>
      <c r="M340" s="4">
        <f>VLOOKUP(C340,[5]sheet1!$D:$I,6,0)</f>
        <v>0</v>
      </c>
      <c r="N340" s="4">
        <f>VLOOKUP(C340,[6]sheet1!$D:$I,6,0)</f>
        <v>0</v>
      </c>
      <c r="O340" s="4">
        <f>VLOOKUP(C340,[7]sheet1!$D:$I,6,0)</f>
        <v>0</v>
      </c>
      <c r="P340" s="4">
        <f>VLOOKUP(C340,[8]sheet1!$D:$I,6,0)</f>
        <v>0</v>
      </c>
      <c r="Q340" s="4">
        <f t="shared" si="5"/>
        <v>0</v>
      </c>
      <c r="R340" s="3">
        <v>0</v>
      </c>
      <c r="S340" s="3">
        <v>4</v>
      </c>
      <c r="T340" s="19">
        <v>0</v>
      </c>
      <c r="U340" s="3">
        <v>0</v>
      </c>
      <c r="V340" s="3">
        <v>0</v>
      </c>
      <c r="W340">
        <v>0</v>
      </c>
      <c r="X340" s="3">
        <v>0</v>
      </c>
      <c r="Y340">
        <v>0</v>
      </c>
      <c r="Z340" s="3">
        <v>0</v>
      </c>
      <c r="AA340" t="s">
        <v>49</v>
      </c>
      <c r="AB340" t="s">
        <v>49</v>
      </c>
      <c r="AC340" t="s">
        <v>49</v>
      </c>
      <c r="AD340" t="s">
        <v>49</v>
      </c>
      <c r="AE340">
        <v>0</v>
      </c>
      <c r="AF340" s="3">
        <v>0</v>
      </c>
      <c r="AG340" t="s">
        <v>49</v>
      </c>
      <c r="AH340" t="s">
        <v>49</v>
      </c>
      <c r="AI340" t="s">
        <v>49</v>
      </c>
      <c r="AJ340" t="s">
        <v>49</v>
      </c>
      <c r="AK340" t="s">
        <v>49</v>
      </c>
      <c r="AL340" t="s">
        <v>49</v>
      </c>
      <c r="AM340" t="s">
        <v>49</v>
      </c>
      <c r="AN340" s="3">
        <v>4</v>
      </c>
      <c r="AO340" s="19">
        <v>0</v>
      </c>
      <c r="AP340" s="19">
        <v>0</v>
      </c>
      <c r="AQ340" s="19">
        <v>0.75</v>
      </c>
      <c r="AR340" s="19">
        <v>0.25</v>
      </c>
      <c r="AS340" s="19">
        <v>0</v>
      </c>
      <c r="AT340" s="19">
        <v>0</v>
      </c>
      <c r="AU340" s="3">
        <v>0</v>
      </c>
      <c r="AV340" s="3">
        <v>0</v>
      </c>
      <c r="AW340" s="19">
        <v>0</v>
      </c>
      <c r="AX340" s="3">
        <v>0</v>
      </c>
      <c r="AY340" s="3">
        <v>0</v>
      </c>
    </row>
    <row r="341" spans="1:51">
      <c r="A341" s="3">
        <v>3525424</v>
      </c>
      <c r="B341" t="s">
        <v>589</v>
      </c>
      <c r="C341" s="3">
        <v>11240828</v>
      </c>
      <c r="D341" t="s">
        <v>44</v>
      </c>
      <c r="E341" t="s">
        <v>258</v>
      </c>
      <c r="F341" t="s">
        <v>65</v>
      </c>
      <c r="G341" t="s">
        <v>47</v>
      </c>
      <c r="H341" s="16">
        <v>0</v>
      </c>
      <c r="I341" s="4">
        <f>VLOOKUP(C341,[1]sheet1!$D:$I,6,0)</f>
        <v>0</v>
      </c>
      <c r="J341" s="4">
        <f>VLOOKUP(C341,[2]sheet1!$D:$I,6,0)</f>
        <v>0</v>
      </c>
      <c r="K341" s="4">
        <f>VLOOKUP(C341,[3]sheet1!$D:$I,6,0)</f>
        <v>0</v>
      </c>
      <c r="L341" s="4">
        <f>VLOOKUP(C341,[4]sheet1!$D:$I,6,0)</f>
        <v>0</v>
      </c>
      <c r="M341" s="4">
        <f>VLOOKUP(C341,[5]sheet1!$D:$I,6,0)</f>
        <v>0</v>
      </c>
      <c r="N341" s="4">
        <f>VLOOKUP(C341,[6]sheet1!$D:$I,6,0)</f>
        <v>0</v>
      </c>
      <c r="O341" s="4">
        <f>VLOOKUP(C341,[7]sheet1!$D:$I,6,0)</f>
        <v>0</v>
      </c>
      <c r="P341" s="4">
        <f>VLOOKUP(C341,[8]sheet1!$D:$I,6,0)</f>
        <v>0</v>
      </c>
      <c r="Q341" s="4">
        <f t="shared" si="5"/>
        <v>0</v>
      </c>
      <c r="R341" s="3">
        <v>0</v>
      </c>
      <c r="S341" s="3">
        <v>0</v>
      </c>
      <c r="T341" s="19">
        <v>0</v>
      </c>
      <c r="U341" s="3">
        <v>0</v>
      </c>
      <c r="V341" s="3">
        <v>0</v>
      </c>
      <c r="W341">
        <v>0</v>
      </c>
      <c r="X341" s="3">
        <v>0</v>
      </c>
      <c r="Y341">
        <v>0</v>
      </c>
      <c r="Z341" s="3">
        <v>0</v>
      </c>
      <c r="AA341" t="s">
        <v>590</v>
      </c>
      <c r="AB341" t="s">
        <v>49</v>
      </c>
      <c r="AC341">
        <v>466.14</v>
      </c>
      <c r="AD341" t="s">
        <v>49</v>
      </c>
      <c r="AE341">
        <v>0</v>
      </c>
      <c r="AF341" s="3">
        <v>0</v>
      </c>
      <c r="AG341" t="s">
        <v>49</v>
      </c>
      <c r="AH341">
        <v>0</v>
      </c>
      <c r="AI341" t="s">
        <v>49</v>
      </c>
      <c r="AJ341" t="s">
        <v>49</v>
      </c>
      <c r="AK341" t="s">
        <v>49</v>
      </c>
      <c r="AL341" t="s">
        <v>49</v>
      </c>
      <c r="AM341" t="s">
        <v>49</v>
      </c>
      <c r="AN341" s="3">
        <v>0</v>
      </c>
      <c r="AO341" s="19">
        <v>0</v>
      </c>
      <c r="AP341" s="19">
        <v>0</v>
      </c>
      <c r="AQ341" s="19">
        <v>0</v>
      </c>
      <c r="AR341" s="19">
        <v>0</v>
      </c>
      <c r="AS341" s="19">
        <v>0</v>
      </c>
      <c r="AT341" s="19">
        <v>0</v>
      </c>
      <c r="AU341" s="3">
        <v>0</v>
      </c>
      <c r="AV341" s="3">
        <v>0</v>
      </c>
      <c r="AW341" s="19">
        <v>0</v>
      </c>
      <c r="AX341" s="3">
        <v>0</v>
      </c>
      <c r="AY341" s="3">
        <v>0</v>
      </c>
    </row>
    <row r="342" spans="1:51">
      <c r="A342" s="3">
        <v>3519921</v>
      </c>
      <c r="B342" t="s">
        <v>591</v>
      </c>
      <c r="C342" s="3">
        <v>114408279</v>
      </c>
      <c r="D342" t="s">
        <v>44</v>
      </c>
      <c r="E342" t="s">
        <v>365</v>
      </c>
      <c r="F342" t="s">
        <v>46</v>
      </c>
      <c r="G342" t="s">
        <v>47</v>
      </c>
      <c r="H342" s="16">
        <v>0</v>
      </c>
      <c r="I342" s="4">
        <f>VLOOKUP(C342,[1]sheet1!$D:$I,6,0)</f>
        <v>0</v>
      </c>
      <c r="J342" s="4">
        <f>VLOOKUP(C342,[2]sheet1!$D:$I,6,0)</f>
        <v>0</v>
      </c>
      <c r="K342" s="4">
        <f>VLOOKUP(C342,[3]sheet1!$D:$I,6,0)</f>
        <v>0</v>
      </c>
      <c r="L342" s="4">
        <f>VLOOKUP(C342,[4]sheet1!$D:$I,6,0)</f>
        <v>0</v>
      </c>
      <c r="M342" s="4">
        <f>VLOOKUP(C342,[5]sheet1!$D:$I,6,0)</f>
        <v>0</v>
      </c>
      <c r="N342" s="4">
        <f>VLOOKUP(C342,[6]sheet1!$D:$I,6,0)</f>
        <v>0</v>
      </c>
      <c r="O342" s="4">
        <f>VLOOKUP(C342,[7]sheet1!$D:$I,6,0)</f>
        <v>0</v>
      </c>
      <c r="P342" s="4">
        <f>VLOOKUP(C342,[8]sheet1!$D:$I,6,0)</f>
        <v>0</v>
      </c>
      <c r="Q342" s="4">
        <f t="shared" si="5"/>
        <v>0</v>
      </c>
      <c r="R342" s="3">
        <v>0</v>
      </c>
      <c r="S342">
        <v>97</v>
      </c>
      <c r="T342">
        <v>0</v>
      </c>
      <c r="U342" s="3">
        <v>0</v>
      </c>
      <c r="V342" s="3">
        <v>0</v>
      </c>
      <c r="W342">
        <v>0</v>
      </c>
      <c r="X342" s="3">
        <v>0</v>
      </c>
      <c r="Y342">
        <v>0</v>
      </c>
      <c r="Z342" s="3">
        <v>0</v>
      </c>
      <c r="AA342" t="s">
        <v>384</v>
      </c>
      <c r="AB342" s="3">
        <v>469</v>
      </c>
      <c r="AC342">
        <v>641.52</v>
      </c>
      <c r="AD342" t="s">
        <v>49</v>
      </c>
      <c r="AE342">
        <v>0</v>
      </c>
      <c r="AF342" s="3">
        <v>0</v>
      </c>
      <c r="AG342" t="s">
        <v>49</v>
      </c>
      <c r="AH342">
        <v>0</v>
      </c>
      <c r="AI342" t="s">
        <v>49</v>
      </c>
      <c r="AJ342">
        <v>397.92</v>
      </c>
      <c r="AK342" t="s">
        <v>49</v>
      </c>
      <c r="AL342">
        <v>0</v>
      </c>
      <c r="AM342" t="s">
        <v>49</v>
      </c>
      <c r="AN342">
        <v>97</v>
      </c>
      <c r="AO342" s="19">
        <v>0</v>
      </c>
      <c r="AP342" s="19">
        <v>0</v>
      </c>
      <c r="AQ342" s="19">
        <v>0.7143</v>
      </c>
      <c r="AR342" s="19">
        <v>0.2857</v>
      </c>
      <c r="AS342" s="19">
        <v>0</v>
      </c>
      <c r="AT342" s="19">
        <v>0</v>
      </c>
      <c r="AU342" s="3">
        <v>0</v>
      </c>
      <c r="AV342" s="3">
        <v>0</v>
      </c>
      <c r="AW342" s="19">
        <v>0</v>
      </c>
      <c r="AX342" s="3">
        <v>0</v>
      </c>
      <c r="AY342" s="3">
        <v>0</v>
      </c>
    </row>
    <row r="343" spans="1:51">
      <c r="A343" s="3">
        <v>3510799</v>
      </c>
      <c r="B343" t="s">
        <v>592</v>
      </c>
      <c r="C343" s="3">
        <v>12240822</v>
      </c>
      <c r="D343" t="s">
        <v>44</v>
      </c>
      <c r="E343" t="s">
        <v>258</v>
      </c>
      <c r="F343" t="s">
        <v>46</v>
      </c>
      <c r="G343" t="s">
        <v>47</v>
      </c>
      <c r="H343" s="16">
        <v>0</v>
      </c>
      <c r="I343" s="4">
        <f>VLOOKUP(C343,[1]sheet1!$D:$I,6,0)</f>
        <v>0</v>
      </c>
      <c r="J343" s="4">
        <f>VLOOKUP(C343,[2]sheet1!$D:$I,6,0)</f>
        <v>0</v>
      </c>
      <c r="K343" s="4">
        <f>VLOOKUP(C343,[3]sheet1!$D:$I,6,0)</f>
        <v>0</v>
      </c>
      <c r="L343" s="4">
        <f>VLOOKUP(C343,[4]sheet1!$D:$I,6,0)</f>
        <v>0</v>
      </c>
      <c r="M343" s="4">
        <f>VLOOKUP(C343,[5]sheet1!$D:$I,6,0)</f>
        <v>0</v>
      </c>
      <c r="N343" s="4">
        <f>VLOOKUP(C343,[6]sheet1!$D:$I,6,0)</f>
        <v>0</v>
      </c>
      <c r="O343" s="4">
        <f>VLOOKUP(C343,[7]sheet1!$D:$I,6,0)</f>
        <v>0</v>
      </c>
      <c r="P343" s="4">
        <f>VLOOKUP(C343,[8]sheet1!$D:$I,6,0)</f>
        <v>0</v>
      </c>
      <c r="Q343" s="4">
        <f t="shared" si="5"/>
        <v>0</v>
      </c>
      <c r="R343" s="3">
        <v>0</v>
      </c>
      <c r="S343">
        <v>97</v>
      </c>
      <c r="T343">
        <v>0</v>
      </c>
      <c r="U343" s="3">
        <v>0</v>
      </c>
      <c r="V343" s="3">
        <v>0</v>
      </c>
      <c r="W343">
        <v>0</v>
      </c>
      <c r="X343" s="3">
        <v>0</v>
      </c>
      <c r="Y343">
        <v>0</v>
      </c>
      <c r="Z343" s="3">
        <v>0</v>
      </c>
      <c r="AA343" t="s">
        <v>49</v>
      </c>
      <c r="AB343" s="3">
        <v>739</v>
      </c>
      <c r="AC343" t="s">
        <v>49</v>
      </c>
      <c r="AD343" t="s">
        <v>49</v>
      </c>
      <c r="AE343">
        <v>0</v>
      </c>
      <c r="AF343" s="3">
        <v>0</v>
      </c>
      <c r="AG343" t="s">
        <v>49</v>
      </c>
      <c r="AH343" t="s">
        <v>49</v>
      </c>
      <c r="AI343" t="s">
        <v>49</v>
      </c>
      <c r="AJ343">
        <v>631.44</v>
      </c>
      <c r="AK343" t="s">
        <v>49</v>
      </c>
      <c r="AL343">
        <v>0</v>
      </c>
      <c r="AM343" t="s">
        <v>49</v>
      </c>
      <c r="AN343">
        <v>97</v>
      </c>
      <c r="AO343" s="19">
        <v>0</v>
      </c>
      <c r="AP343" s="19">
        <v>0</v>
      </c>
      <c r="AQ343" s="19">
        <v>0.8571</v>
      </c>
      <c r="AR343" s="19">
        <v>0.2857</v>
      </c>
      <c r="AS343" s="19">
        <v>0</v>
      </c>
      <c r="AT343" s="19">
        <v>0</v>
      </c>
      <c r="AU343" s="3">
        <v>0</v>
      </c>
      <c r="AV343" s="3">
        <v>0</v>
      </c>
      <c r="AW343" s="19">
        <v>0</v>
      </c>
      <c r="AX343" s="3">
        <v>0</v>
      </c>
      <c r="AY343" s="3">
        <v>0</v>
      </c>
    </row>
    <row r="344" spans="1:51">
      <c r="A344" s="3">
        <v>3505924</v>
      </c>
      <c r="B344" t="s">
        <v>593</v>
      </c>
      <c r="C344" s="3">
        <v>12231022</v>
      </c>
      <c r="D344" t="s">
        <v>44</v>
      </c>
      <c r="E344" t="s">
        <v>117</v>
      </c>
      <c r="F344" t="s">
        <v>65</v>
      </c>
      <c r="G344" t="s">
        <v>47</v>
      </c>
      <c r="H344" s="16">
        <v>0</v>
      </c>
      <c r="I344" s="4">
        <f>VLOOKUP(C344,[1]sheet1!$D:$I,6,0)</f>
        <v>0</v>
      </c>
      <c r="J344" s="4">
        <f>VLOOKUP(C344,[2]sheet1!$D:$I,6,0)</f>
        <v>0</v>
      </c>
      <c r="K344" s="4">
        <f>VLOOKUP(C344,[3]sheet1!$D:$I,6,0)</f>
        <v>0</v>
      </c>
      <c r="L344" s="4">
        <f>VLOOKUP(C344,[4]sheet1!$D:$I,6,0)</f>
        <v>0</v>
      </c>
      <c r="M344" s="4">
        <f>VLOOKUP(C344,[5]sheet1!$D:$I,6,0)</f>
        <v>0</v>
      </c>
      <c r="N344" s="4">
        <f>VLOOKUP(C344,[6]sheet1!$D:$I,6,0)</f>
        <v>0</v>
      </c>
      <c r="O344" s="4">
        <f>VLOOKUP(C344,[7]sheet1!$D:$I,6,0)</f>
        <v>0</v>
      </c>
      <c r="P344" s="4">
        <f>VLOOKUP(C344,[8]sheet1!$D:$I,6,0)</f>
        <v>0</v>
      </c>
      <c r="Q344" s="4">
        <f t="shared" si="5"/>
        <v>0</v>
      </c>
      <c r="R344" s="3">
        <v>0</v>
      </c>
      <c r="S344" s="3">
        <v>0</v>
      </c>
      <c r="T344" s="19">
        <v>0</v>
      </c>
      <c r="U344" s="3">
        <v>0</v>
      </c>
      <c r="V344" s="3">
        <v>0</v>
      </c>
      <c r="W344">
        <v>0</v>
      </c>
      <c r="X344" s="3">
        <v>0</v>
      </c>
      <c r="Y344">
        <v>0</v>
      </c>
      <c r="Z344" s="3">
        <v>0</v>
      </c>
      <c r="AA344" t="s">
        <v>49</v>
      </c>
      <c r="AB344" t="s">
        <v>49</v>
      </c>
      <c r="AC344" t="s">
        <v>49</v>
      </c>
      <c r="AD344" t="s">
        <v>49</v>
      </c>
      <c r="AE344">
        <v>0</v>
      </c>
      <c r="AF344" s="3">
        <v>0</v>
      </c>
      <c r="AG344" t="s">
        <v>49</v>
      </c>
      <c r="AH344" t="s">
        <v>49</v>
      </c>
      <c r="AI344" t="s">
        <v>49</v>
      </c>
      <c r="AJ344" t="s">
        <v>49</v>
      </c>
      <c r="AK344" t="s">
        <v>49</v>
      </c>
      <c r="AL344" t="s">
        <v>49</v>
      </c>
      <c r="AM344" t="s">
        <v>49</v>
      </c>
      <c r="AN344" s="3">
        <v>0</v>
      </c>
      <c r="AO344" s="19">
        <v>0</v>
      </c>
      <c r="AP344" s="19">
        <v>0</v>
      </c>
      <c r="AQ344" s="19">
        <v>0</v>
      </c>
      <c r="AR344" s="19">
        <v>0</v>
      </c>
      <c r="AS344" s="19">
        <v>0</v>
      </c>
      <c r="AT344" s="19">
        <v>0</v>
      </c>
      <c r="AU344" s="3">
        <v>0</v>
      </c>
      <c r="AV344" s="3">
        <v>0</v>
      </c>
      <c r="AW344" s="19">
        <v>0</v>
      </c>
      <c r="AX344" s="3">
        <v>0</v>
      </c>
      <c r="AY344" s="3">
        <v>0</v>
      </c>
    </row>
    <row r="345" spans="1:51">
      <c r="A345" s="3">
        <v>3505922</v>
      </c>
      <c r="B345" t="s">
        <v>594</v>
      </c>
      <c r="C345" s="3">
        <v>12231024</v>
      </c>
      <c r="D345" t="s">
        <v>44</v>
      </c>
      <c r="E345" t="s">
        <v>117</v>
      </c>
      <c r="F345" t="s">
        <v>65</v>
      </c>
      <c r="G345" t="s">
        <v>47</v>
      </c>
      <c r="H345" s="16">
        <v>0</v>
      </c>
      <c r="I345" s="4">
        <f>VLOOKUP(C345,[1]sheet1!$D:$I,6,0)</f>
        <v>0</v>
      </c>
      <c r="J345" s="4">
        <f>VLOOKUP(C345,[2]sheet1!$D:$I,6,0)</f>
        <v>0</v>
      </c>
      <c r="K345" s="4">
        <f>VLOOKUP(C345,[3]sheet1!$D:$I,6,0)</f>
        <v>0</v>
      </c>
      <c r="L345" s="4">
        <f>VLOOKUP(C345,[4]sheet1!$D:$I,6,0)</f>
        <v>0</v>
      </c>
      <c r="M345" s="4">
        <f>VLOOKUP(C345,[5]sheet1!$D:$I,6,0)</f>
        <v>0</v>
      </c>
      <c r="N345" s="4">
        <f>VLOOKUP(C345,[6]sheet1!$D:$I,6,0)</f>
        <v>0</v>
      </c>
      <c r="O345" s="4">
        <f>VLOOKUP(C345,[7]sheet1!$D:$I,6,0)</f>
        <v>0</v>
      </c>
      <c r="P345" s="4">
        <f>VLOOKUP(C345,[8]sheet1!$D:$I,6,0)</f>
        <v>379</v>
      </c>
      <c r="Q345" s="4">
        <f t="shared" si="5"/>
        <v>379</v>
      </c>
      <c r="R345" s="3">
        <v>0</v>
      </c>
      <c r="S345" s="3">
        <v>0</v>
      </c>
      <c r="T345" s="19">
        <v>0</v>
      </c>
      <c r="U345" s="3">
        <v>0</v>
      </c>
      <c r="V345" s="3">
        <v>0</v>
      </c>
      <c r="W345">
        <v>0</v>
      </c>
      <c r="X345" s="3">
        <v>0</v>
      </c>
      <c r="Y345">
        <v>0</v>
      </c>
      <c r="Z345" s="3">
        <v>0</v>
      </c>
      <c r="AA345" t="s">
        <v>49</v>
      </c>
      <c r="AB345" t="s">
        <v>49</v>
      </c>
      <c r="AC345" t="s">
        <v>49</v>
      </c>
      <c r="AD345" t="s">
        <v>49</v>
      </c>
      <c r="AE345">
        <v>0</v>
      </c>
      <c r="AF345" s="3">
        <v>0</v>
      </c>
      <c r="AG345" t="s">
        <v>49</v>
      </c>
      <c r="AH345" t="s">
        <v>49</v>
      </c>
      <c r="AI345" t="s">
        <v>49</v>
      </c>
      <c r="AJ345" t="s">
        <v>49</v>
      </c>
      <c r="AK345" t="s">
        <v>49</v>
      </c>
      <c r="AL345" t="s">
        <v>49</v>
      </c>
      <c r="AM345" t="s">
        <v>49</v>
      </c>
      <c r="AN345" s="3">
        <v>0</v>
      </c>
      <c r="AO345" s="19">
        <v>0</v>
      </c>
      <c r="AP345" s="19">
        <v>0</v>
      </c>
      <c r="AQ345" s="19">
        <v>0</v>
      </c>
      <c r="AR345" s="19">
        <v>0</v>
      </c>
      <c r="AS345" s="19">
        <v>0</v>
      </c>
      <c r="AT345" s="19">
        <v>0</v>
      </c>
      <c r="AU345" s="3">
        <v>0</v>
      </c>
      <c r="AV345" s="3">
        <v>0</v>
      </c>
      <c r="AW345" s="19">
        <v>0</v>
      </c>
      <c r="AX345" s="3">
        <v>0</v>
      </c>
      <c r="AY345" s="3">
        <v>0</v>
      </c>
    </row>
    <row r="346" spans="1:51">
      <c r="A346" s="3">
        <v>3505916</v>
      </c>
      <c r="B346" t="s">
        <v>595</v>
      </c>
      <c r="C346" s="3">
        <v>11240821</v>
      </c>
      <c r="D346" t="s">
        <v>44</v>
      </c>
      <c r="E346" t="s">
        <v>365</v>
      </c>
      <c r="F346" t="s">
        <v>46</v>
      </c>
      <c r="G346" t="s">
        <v>47</v>
      </c>
      <c r="H346" s="16">
        <v>0</v>
      </c>
      <c r="I346" s="4">
        <f>VLOOKUP(C346,[1]sheet1!$D:$I,6,0)</f>
        <v>0</v>
      </c>
      <c r="J346" s="4">
        <f>VLOOKUP(C346,[2]sheet1!$D:$I,6,0)</f>
        <v>0</v>
      </c>
      <c r="K346" s="4">
        <f>VLOOKUP(C346,[3]sheet1!$D:$I,6,0)</f>
        <v>0</v>
      </c>
      <c r="L346" s="4">
        <f>VLOOKUP(C346,[4]sheet1!$D:$I,6,0)</f>
        <v>0</v>
      </c>
      <c r="M346" s="4">
        <f>VLOOKUP(C346,[5]sheet1!$D:$I,6,0)</f>
        <v>0</v>
      </c>
      <c r="N346" s="4">
        <f>VLOOKUP(C346,[6]sheet1!$D:$I,6,0)</f>
        <v>0</v>
      </c>
      <c r="O346" s="4">
        <f>VLOOKUP(C346,[7]sheet1!$D:$I,6,0)</f>
        <v>0</v>
      </c>
      <c r="P346" s="4">
        <f>VLOOKUP(C346,[8]sheet1!$D:$I,6,0)</f>
        <v>0</v>
      </c>
      <c r="Q346" s="4">
        <f t="shared" si="5"/>
        <v>0</v>
      </c>
      <c r="R346" s="3">
        <v>0</v>
      </c>
      <c r="S346">
        <v>127</v>
      </c>
      <c r="T346">
        <v>0</v>
      </c>
      <c r="U346" s="3">
        <v>0</v>
      </c>
      <c r="V346" s="3">
        <v>0</v>
      </c>
      <c r="W346">
        <v>0</v>
      </c>
      <c r="X346" s="3">
        <v>0</v>
      </c>
      <c r="Y346">
        <v>0</v>
      </c>
      <c r="Z346" s="3">
        <v>0</v>
      </c>
      <c r="AA346" t="s">
        <v>49</v>
      </c>
      <c r="AB346" s="3">
        <v>799</v>
      </c>
      <c r="AC346" t="s">
        <v>49</v>
      </c>
      <c r="AD346" t="s">
        <v>49</v>
      </c>
      <c r="AE346">
        <v>0</v>
      </c>
      <c r="AF346" s="3">
        <v>0</v>
      </c>
      <c r="AG346" t="s">
        <v>49</v>
      </c>
      <c r="AH346" t="s">
        <v>49</v>
      </c>
      <c r="AI346" t="s">
        <v>49</v>
      </c>
      <c r="AJ346">
        <v>685.02</v>
      </c>
      <c r="AK346" t="s">
        <v>49</v>
      </c>
      <c r="AL346">
        <v>0</v>
      </c>
      <c r="AM346" t="s">
        <v>49</v>
      </c>
      <c r="AN346">
        <v>127</v>
      </c>
      <c r="AO346" s="19">
        <v>0</v>
      </c>
      <c r="AP346" s="19">
        <v>0</v>
      </c>
      <c r="AQ346" s="19">
        <v>0.8333</v>
      </c>
      <c r="AR346" s="19">
        <v>0.6667</v>
      </c>
      <c r="AS346" s="19">
        <v>0</v>
      </c>
      <c r="AT346" s="19">
        <v>0</v>
      </c>
      <c r="AU346" s="3">
        <v>0</v>
      </c>
      <c r="AV346" s="3">
        <v>0</v>
      </c>
      <c r="AW346" s="19">
        <v>0</v>
      </c>
      <c r="AX346" s="3">
        <v>0</v>
      </c>
      <c r="AY346" s="3">
        <v>0</v>
      </c>
    </row>
    <row r="347" spans="1:51">
      <c r="A347" s="3">
        <v>3464614</v>
      </c>
      <c r="B347" t="s">
        <v>596</v>
      </c>
      <c r="C347" s="3">
        <v>12240112</v>
      </c>
      <c r="D347" t="s">
        <v>44</v>
      </c>
      <c r="E347" t="s">
        <v>141</v>
      </c>
      <c r="F347" t="s">
        <v>46</v>
      </c>
      <c r="G347" t="s">
        <v>47</v>
      </c>
      <c r="H347" s="16">
        <v>0</v>
      </c>
      <c r="I347" s="4">
        <f>VLOOKUP(C347,[1]sheet1!$D:$I,6,0)</f>
        <v>539</v>
      </c>
      <c r="J347" s="4">
        <f>VLOOKUP(C347,[2]sheet1!$D:$I,6,0)</f>
        <v>0</v>
      </c>
      <c r="K347" s="4">
        <f>VLOOKUP(C347,[3]sheet1!$D:$I,6,0)</f>
        <v>0</v>
      </c>
      <c r="L347" s="4">
        <f>VLOOKUP(C347,[4]sheet1!$D:$I,6,0)</f>
        <v>0</v>
      </c>
      <c r="M347" s="4">
        <f>VLOOKUP(C347,[5]sheet1!$D:$I,6,0)</f>
        <v>0</v>
      </c>
      <c r="N347" s="4">
        <f>VLOOKUP(C347,[6]sheet1!$D:$I,6,0)</f>
        <v>0</v>
      </c>
      <c r="O347" s="4">
        <f>VLOOKUP(C347,[7]sheet1!$D:$I,6,0)</f>
        <v>0</v>
      </c>
      <c r="P347" s="4">
        <f>VLOOKUP(C347,[8]sheet1!$D:$I,6,0)</f>
        <v>519</v>
      </c>
      <c r="Q347" s="4">
        <f t="shared" si="5"/>
        <v>1058</v>
      </c>
      <c r="R347" s="3">
        <v>0</v>
      </c>
      <c r="S347">
        <v>373</v>
      </c>
      <c r="T347">
        <v>0</v>
      </c>
      <c r="U347" s="3">
        <v>6</v>
      </c>
      <c r="V347" s="3">
        <v>0</v>
      </c>
      <c r="W347">
        <v>0</v>
      </c>
      <c r="X347" s="3">
        <v>0</v>
      </c>
      <c r="Y347">
        <v>0</v>
      </c>
      <c r="Z347" s="3">
        <v>0</v>
      </c>
      <c r="AA347" t="s">
        <v>308</v>
      </c>
      <c r="AB347" s="3">
        <v>334</v>
      </c>
      <c r="AC347">
        <v>396.64</v>
      </c>
      <c r="AD347" t="s">
        <v>49</v>
      </c>
      <c r="AE347">
        <v>0</v>
      </c>
      <c r="AF347" s="3">
        <v>0</v>
      </c>
      <c r="AG347" t="s">
        <v>49</v>
      </c>
      <c r="AH347">
        <v>0</v>
      </c>
      <c r="AI347" t="s">
        <v>49</v>
      </c>
      <c r="AJ347">
        <v>279.19</v>
      </c>
      <c r="AK347" t="s">
        <v>49</v>
      </c>
      <c r="AL347">
        <v>0</v>
      </c>
      <c r="AM347" t="s">
        <v>49</v>
      </c>
      <c r="AN347" s="3">
        <v>137</v>
      </c>
      <c r="AO347" s="19">
        <v>0</v>
      </c>
      <c r="AP347" s="19">
        <v>0</v>
      </c>
      <c r="AQ347" s="19">
        <v>0.7961</v>
      </c>
      <c r="AR347" s="19">
        <v>0.5146</v>
      </c>
      <c r="AS347" s="19">
        <v>0.8333</v>
      </c>
      <c r="AT347" s="19">
        <v>0</v>
      </c>
      <c r="AU347" s="3">
        <v>0</v>
      </c>
      <c r="AV347" s="3">
        <v>0</v>
      </c>
      <c r="AW347" s="19">
        <v>0</v>
      </c>
      <c r="AX347" s="3">
        <v>0</v>
      </c>
      <c r="AY347" s="3">
        <v>0</v>
      </c>
    </row>
    <row r="348" spans="1:51">
      <c r="A348" s="3">
        <v>3464607</v>
      </c>
      <c r="B348" t="s">
        <v>597</v>
      </c>
      <c r="C348" s="3">
        <v>11240129</v>
      </c>
      <c r="D348" t="s">
        <v>44</v>
      </c>
      <c r="E348" t="s">
        <v>104</v>
      </c>
      <c r="F348" t="s">
        <v>46</v>
      </c>
      <c r="G348" t="s">
        <v>47</v>
      </c>
      <c r="H348" s="16">
        <v>0</v>
      </c>
      <c r="I348" s="4">
        <f>VLOOKUP(C348,[1]sheet1!$D:$I,6,0)</f>
        <v>0</v>
      </c>
      <c r="J348" s="4">
        <f>VLOOKUP(C348,[2]sheet1!$D:$I,6,0)</f>
        <v>0</v>
      </c>
      <c r="K348" s="4">
        <f>VLOOKUP(C348,[3]sheet1!$D:$I,6,0)</f>
        <v>0</v>
      </c>
      <c r="L348" s="4">
        <f>VLOOKUP(C348,[4]sheet1!$D:$I,6,0)</f>
        <v>0</v>
      </c>
      <c r="M348" s="4">
        <f>VLOOKUP(C348,[5]sheet1!$D:$I,6,0)</f>
        <v>0</v>
      </c>
      <c r="N348" s="4">
        <f>VLOOKUP(C348,[6]sheet1!$D:$I,6,0)</f>
        <v>0</v>
      </c>
      <c r="O348" s="4">
        <f>VLOOKUP(C348,[7]sheet1!$D:$I,6,0)</f>
        <v>0</v>
      </c>
      <c r="P348" s="4">
        <f>VLOOKUP(C348,[8]sheet1!$D:$I,6,0)</f>
        <v>0</v>
      </c>
      <c r="Q348" s="4">
        <f t="shared" si="5"/>
        <v>0</v>
      </c>
      <c r="R348" s="3">
        <v>0</v>
      </c>
      <c r="S348">
        <v>544</v>
      </c>
      <c r="T348">
        <v>0</v>
      </c>
      <c r="U348" s="3">
        <v>13</v>
      </c>
      <c r="V348" s="3">
        <v>0</v>
      </c>
      <c r="W348">
        <v>0</v>
      </c>
      <c r="X348" s="3">
        <v>0</v>
      </c>
      <c r="Y348">
        <v>0</v>
      </c>
      <c r="Z348" s="3">
        <v>0</v>
      </c>
      <c r="AA348" t="s">
        <v>308</v>
      </c>
      <c r="AB348" s="3">
        <v>398</v>
      </c>
      <c r="AC348">
        <v>398.42</v>
      </c>
      <c r="AD348" t="s">
        <v>49</v>
      </c>
      <c r="AE348">
        <v>0</v>
      </c>
      <c r="AF348" s="3">
        <v>0</v>
      </c>
      <c r="AG348" t="s">
        <v>49</v>
      </c>
      <c r="AH348">
        <v>0</v>
      </c>
      <c r="AI348" t="s">
        <v>49</v>
      </c>
      <c r="AJ348">
        <v>336.65</v>
      </c>
      <c r="AK348" t="s">
        <v>49</v>
      </c>
      <c r="AL348">
        <v>0</v>
      </c>
      <c r="AM348" t="s">
        <v>49</v>
      </c>
      <c r="AN348" s="3">
        <v>298</v>
      </c>
      <c r="AO348" s="19">
        <v>0</v>
      </c>
      <c r="AP348" s="19">
        <v>0</v>
      </c>
      <c r="AQ348" s="19">
        <v>0.9041</v>
      </c>
      <c r="AR348" s="19">
        <v>0.5114</v>
      </c>
      <c r="AS348" s="19">
        <v>1</v>
      </c>
      <c r="AT348" s="19">
        <v>0.3846</v>
      </c>
      <c r="AU348" s="3">
        <v>0</v>
      </c>
      <c r="AV348" s="3">
        <v>0</v>
      </c>
      <c r="AW348" s="19">
        <v>0</v>
      </c>
      <c r="AX348" s="3">
        <v>0</v>
      </c>
      <c r="AY348" s="3">
        <v>0</v>
      </c>
    </row>
    <row r="349" spans="1:51">
      <c r="A349" s="3">
        <v>3425033</v>
      </c>
      <c r="B349" t="s">
        <v>598</v>
      </c>
      <c r="C349" s="3">
        <v>11040139</v>
      </c>
      <c r="D349" t="s">
        <v>44</v>
      </c>
      <c r="E349" t="s">
        <v>104</v>
      </c>
      <c r="F349" t="s">
        <v>65</v>
      </c>
      <c r="G349" t="s">
        <v>47</v>
      </c>
      <c r="H349" s="16">
        <v>0</v>
      </c>
      <c r="I349" s="4">
        <f>VLOOKUP(C349,[1]sheet1!$D:$I,6,0)</f>
        <v>0</v>
      </c>
      <c r="J349" s="4">
        <f>VLOOKUP(C349,[2]sheet1!$D:$I,6,0)</f>
        <v>0</v>
      </c>
      <c r="K349" s="4">
        <f>VLOOKUP(C349,[3]sheet1!$D:$I,6,0)</f>
        <v>0</v>
      </c>
      <c r="L349" s="4">
        <f>VLOOKUP(C349,[4]sheet1!$D:$I,6,0)</f>
        <v>0</v>
      </c>
      <c r="M349" s="4">
        <f>VLOOKUP(C349,[5]sheet1!$D:$I,6,0)</f>
        <v>0</v>
      </c>
      <c r="N349" s="4">
        <f>VLOOKUP(C349,[6]sheet1!$D:$I,6,0)</f>
        <v>0</v>
      </c>
      <c r="O349" s="4">
        <f>VLOOKUP(C349,[7]sheet1!$D:$I,6,0)</f>
        <v>0</v>
      </c>
      <c r="P349" s="4">
        <f>VLOOKUP(C349,[8]sheet1!$D:$I,6,0)</f>
        <v>0</v>
      </c>
      <c r="Q349" s="4">
        <f t="shared" si="5"/>
        <v>0</v>
      </c>
      <c r="R349" s="3">
        <v>0</v>
      </c>
      <c r="S349" s="3">
        <v>1</v>
      </c>
      <c r="T349" s="19">
        <v>0</v>
      </c>
      <c r="U349" s="3">
        <v>0</v>
      </c>
      <c r="V349" s="3">
        <v>0</v>
      </c>
      <c r="W349">
        <v>0</v>
      </c>
      <c r="X349" s="3">
        <v>0</v>
      </c>
      <c r="Y349">
        <v>0</v>
      </c>
      <c r="Z349" s="3">
        <v>0</v>
      </c>
      <c r="AA349" t="s">
        <v>121</v>
      </c>
      <c r="AB349" t="s">
        <v>49</v>
      </c>
      <c r="AC349">
        <v>415.82</v>
      </c>
      <c r="AD349" t="s">
        <v>49</v>
      </c>
      <c r="AE349">
        <v>0</v>
      </c>
      <c r="AF349" s="3">
        <v>0</v>
      </c>
      <c r="AG349" t="s">
        <v>49</v>
      </c>
      <c r="AH349">
        <v>0</v>
      </c>
      <c r="AI349" t="s">
        <v>49</v>
      </c>
      <c r="AJ349" t="s">
        <v>49</v>
      </c>
      <c r="AK349" t="s">
        <v>49</v>
      </c>
      <c r="AL349" t="s">
        <v>49</v>
      </c>
      <c r="AM349" t="s">
        <v>49</v>
      </c>
      <c r="AN349" s="3">
        <v>1</v>
      </c>
      <c r="AO349" s="19">
        <v>0</v>
      </c>
      <c r="AP349" s="19">
        <v>0</v>
      </c>
      <c r="AQ349" s="19">
        <v>1</v>
      </c>
      <c r="AR349" s="19">
        <v>1</v>
      </c>
      <c r="AS349" s="19">
        <v>0</v>
      </c>
      <c r="AT349" s="19">
        <v>0</v>
      </c>
      <c r="AU349" s="3">
        <v>0</v>
      </c>
      <c r="AV349" s="3">
        <v>0</v>
      </c>
      <c r="AW349" s="19">
        <v>0</v>
      </c>
      <c r="AX349" s="3">
        <v>0</v>
      </c>
      <c r="AY349" s="3">
        <v>0</v>
      </c>
    </row>
    <row r="350" spans="1:51">
      <c r="A350" s="3">
        <v>3351353</v>
      </c>
      <c r="B350" t="s">
        <v>599</v>
      </c>
      <c r="C350" s="3">
        <v>11231031</v>
      </c>
      <c r="D350" t="s">
        <v>44</v>
      </c>
      <c r="E350" t="s">
        <v>117</v>
      </c>
      <c r="F350" t="s">
        <v>65</v>
      </c>
      <c r="G350" t="s">
        <v>47</v>
      </c>
      <c r="H350" s="16">
        <v>0</v>
      </c>
      <c r="I350" s="4">
        <f>VLOOKUP(C350,[1]sheet1!$D:$I,6,0)</f>
        <v>0</v>
      </c>
      <c r="J350" s="4">
        <f>VLOOKUP(C350,[2]sheet1!$D:$I,6,0)</f>
        <v>0</v>
      </c>
      <c r="K350" s="4">
        <f>VLOOKUP(C350,[3]sheet1!$D:$I,6,0)</f>
        <v>0</v>
      </c>
      <c r="L350" s="4">
        <f>VLOOKUP(C350,[4]sheet1!$D:$I,6,0)</f>
        <v>0</v>
      </c>
      <c r="M350" s="4">
        <f>VLOOKUP(C350,[5]sheet1!$D:$I,6,0)</f>
        <v>0</v>
      </c>
      <c r="N350" s="4">
        <f>VLOOKUP(C350,[6]sheet1!$D:$I,6,0)</f>
        <v>0</v>
      </c>
      <c r="O350" s="4">
        <f>VLOOKUP(C350,[7]sheet1!$D:$I,6,0)</f>
        <v>0</v>
      </c>
      <c r="P350" s="4">
        <f>VLOOKUP(C350,[8]sheet1!$D:$I,6,0)</f>
        <v>0</v>
      </c>
      <c r="Q350" s="4">
        <f t="shared" si="5"/>
        <v>0</v>
      </c>
      <c r="R350" s="3">
        <v>0</v>
      </c>
      <c r="S350" s="3">
        <v>8</v>
      </c>
      <c r="T350" s="19">
        <v>0</v>
      </c>
      <c r="U350" s="3">
        <v>0</v>
      </c>
      <c r="V350" s="3">
        <v>0</v>
      </c>
      <c r="W350">
        <v>0</v>
      </c>
      <c r="X350" s="3">
        <v>0</v>
      </c>
      <c r="Y350">
        <v>0</v>
      </c>
      <c r="Z350" s="3">
        <v>0</v>
      </c>
      <c r="AA350" t="s">
        <v>49</v>
      </c>
      <c r="AB350" t="s">
        <v>49</v>
      </c>
      <c r="AC350" t="s">
        <v>49</v>
      </c>
      <c r="AD350" t="s">
        <v>49</v>
      </c>
      <c r="AE350">
        <v>0</v>
      </c>
      <c r="AF350" s="3">
        <v>0</v>
      </c>
      <c r="AG350" t="s">
        <v>49</v>
      </c>
      <c r="AH350" t="s">
        <v>49</v>
      </c>
      <c r="AI350" t="s">
        <v>49</v>
      </c>
      <c r="AJ350" t="s">
        <v>49</v>
      </c>
      <c r="AK350" t="s">
        <v>49</v>
      </c>
      <c r="AL350" t="s">
        <v>49</v>
      </c>
      <c r="AM350" t="s">
        <v>49</v>
      </c>
      <c r="AN350" s="3">
        <v>8</v>
      </c>
      <c r="AO350" s="19">
        <v>0</v>
      </c>
      <c r="AP350" s="19">
        <v>0</v>
      </c>
      <c r="AQ350" s="19">
        <v>0.875</v>
      </c>
      <c r="AR350" s="19">
        <v>0.125</v>
      </c>
      <c r="AS350" s="19">
        <v>0</v>
      </c>
      <c r="AT350" s="19">
        <v>0</v>
      </c>
      <c r="AU350" s="3">
        <v>0</v>
      </c>
      <c r="AV350" s="3">
        <v>0</v>
      </c>
      <c r="AW350" s="19">
        <v>0</v>
      </c>
      <c r="AX350" s="3">
        <v>0</v>
      </c>
      <c r="AY350" s="3">
        <v>0</v>
      </c>
    </row>
    <row r="351" spans="1:51">
      <c r="A351" s="3">
        <v>3268818</v>
      </c>
      <c r="B351" t="s">
        <v>600</v>
      </c>
      <c r="C351" s="3">
        <v>112240824</v>
      </c>
      <c r="D351" t="s">
        <v>44</v>
      </c>
      <c r="E351" t="s">
        <v>601</v>
      </c>
      <c r="F351" t="s">
        <v>65</v>
      </c>
      <c r="G351" t="s">
        <v>47</v>
      </c>
      <c r="H351" s="16">
        <v>0</v>
      </c>
      <c r="I351" s="4">
        <f>VLOOKUP(C351,[1]sheet1!$D:$I,6,0)</f>
        <v>0</v>
      </c>
      <c r="J351" s="4">
        <f>VLOOKUP(C351,[2]sheet1!$D:$I,6,0)</f>
        <v>0</v>
      </c>
      <c r="K351" s="4">
        <f>VLOOKUP(C351,[3]sheet1!$D:$I,6,0)</f>
        <v>0</v>
      </c>
      <c r="L351" s="4">
        <f>VLOOKUP(C351,[4]sheet1!$D:$I,6,0)</f>
        <v>0</v>
      </c>
      <c r="M351" s="4">
        <f>VLOOKUP(C351,[5]sheet1!$D:$I,6,0)</f>
        <v>0</v>
      </c>
      <c r="N351" s="4">
        <f>VLOOKUP(C351,[6]sheet1!$D:$I,6,0)</f>
        <v>0</v>
      </c>
      <c r="O351" s="4">
        <f>VLOOKUP(C351,[7]sheet1!$D:$I,6,0)</f>
        <v>0</v>
      </c>
      <c r="P351" s="4">
        <f>VLOOKUP(C351,[8]sheet1!$D:$I,6,0)</f>
        <v>0</v>
      </c>
      <c r="Q351" s="4">
        <f t="shared" si="5"/>
        <v>0</v>
      </c>
      <c r="R351" s="3">
        <v>0</v>
      </c>
      <c r="S351" s="3">
        <v>5</v>
      </c>
      <c r="T351" s="19">
        <v>0</v>
      </c>
      <c r="U351" s="3">
        <v>0</v>
      </c>
      <c r="V351" s="3">
        <v>0</v>
      </c>
      <c r="W351">
        <v>0</v>
      </c>
      <c r="X351" s="3">
        <v>0</v>
      </c>
      <c r="Y351">
        <v>0</v>
      </c>
      <c r="Z351" s="3">
        <v>0</v>
      </c>
      <c r="AA351" t="s">
        <v>49</v>
      </c>
      <c r="AB351" t="s">
        <v>49</v>
      </c>
      <c r="AC351" t="s">
        <v>49</v>
      </c>
      <c r="AD351" t="s">
        <v>49</v>
      </c>
      <c r="AE351">
        <v>0</v>
      </c>
      <c r="AF351" s="3">
        <v>0</v>
      </c>
      <c r="AG351" t="s">
        <v>49</v>
      </c>
      <c r="AH351" t="s">
        <v>49</v>
      </c>
      <c r="AI351" t="s">
        <v>49</v>
      </c>
      <c r="AJ351" t="s">
        <v>49</v>
      </c>
      <c r="AK351" t="s">
        <v>49</v>
      </c>
      <c r="AL351" t="s">
        <v>49</v>
      </c>
      <c r="AM351" t="s">
        <v>49</v>
      </c>
      <c r="AN351" s="3">
        <v>5</v>
      </c>
      <c r="AO351" s="19">
        <v>0</v>
      </c>
      <c r="AP351" s="19">
        <v>0</v>
      </c>
      <c r="AQ351" s="19">
        <v>0.8</v>
      </c>
      <c r="AR351" s="19">
        <v>1</v>
      </c>
      <c r="AS351" s="19">
        <v>0</v>
      </c>
      <c r="AT351" s="19">
        <v>0</v>
      </c>
      <c r="AU351" s="3">
        <v>0</v>
      </c>
      <c r="AV351" s="3">
        <v>0</v>
      </c>
      <c r="AW351" s="19">
        <v>0</v>
      </c>
      <c r="AX351" s="3">
        <v>0</v>
      </c>
      <c r="AY351" s="3">
        <v>0</v>
      </c>
    </row>
    <row r="352" spans="1:51">
      <c r="A352" s="3">
        <v>3268431</v>
      </c>
      <c r="B352" t="s">
        <v>602</v>
      </c>
      <c r="C352" s="3">
        <v>112240128</v>
      </c>
      <c r="D352" t="s">
        <v>44</v>
      </c>
      <c r="E352" t="s">
        <v>104</v>
      </c>
      <c r="F352" t="s">
        <v>46</v>
      </c>
      <c r="G352" t="s">
        <v>47</v>
      </c>
      <c r="H352" s="16">
        <v>0</v>
      </c>
      <c r="I352" s="4">
        <f>VLOOKUP(C352,[1]sheet1!$D:$I,6,0)</f>
        <v>977</v>
      </c>
      <c r="J352" s="4">
        <f>VLOOKUP(C352,[2]sheet1!$D:$I,6,0)</f>
        <v>0</v>
      </c>
      <c r="K352" s="4">
        <f>VLOOKUP(C352,[3]sheet1!$D:$I,6,0)</f>
        <v>977</v>
      </c>
      <c r="L352" s="4">
        <f>VLOOKUP(C352,[4]sheet1!$D:$I,6,0)</f>
        <v>0</v>
      </c>
      <c r="M352" s="4">
        <f>VLOOKUP(C352,[5]sheet1!$D:$I,6,0)</f>
        <v>0</v>
      </c>
      <c r="N352" s="4">
        <f>VLOOKUP(C352,[6]sheet1!$D:$I,6,0)</f>
        <v>0</v>
      </c>
      <c r="O352" s="4">
        <f>VLOOKUP(C352,[7]sheet1!$D:$I,6,0)</f>
        <v>0</v>
      </c>
      <c r="P352" s="4">
        <f>VLOOKUP(C352,[8]sheet1!$D:$I,6,0)</f>
        <v>2694</v>
      </c>
      <c r="Q352" s="4">
        <f t="shared" si="5"/>
        <v>4648</v>
      </c>
      <c r="R352" s="3">
        <v>0</v>
      </c>
      <c r="S352">
        <v>495</v>
      </c>
      <c r="T352">
        <v>0</v>
      </c>
      <c r="U352" s="3">
        <v>9</v>
      </c>
      <c r="V352" s="3">
        <v>0</v>
      </c>
      <c r="W352">
        <v>0</v>
      </c>
      <c r="X352" s="3">
        <v>0</v>
      </c>
      <c r="Y352">
        <v>0</v>
      </c>
      <c r="Z352" s="3">
        <v>0</v>
      </c>
      <c r="AA352" t="s">
        <v>603</v>
      </c>
      <c r="AB352" s="3">
        <v>581</v>
      </c>
      <c r="AC352">
        <v>772.52</v>
      </c>
      <c r="AD352" t="s">
        <v>49</v>
      </c>
      <c r="AE352">
        <v>0</v>
      </c>
      <c r="AF352" s="3">
        <v>0</v>
      </c>
      <c r="AG352" t="s">
        <v>49</v>
      </c>
      <c r="AH352">
        <v>0</v>
      </c>
      <c r="AI352" t="s">
        <v>49</v>
      </c>
      <c r="AJ352">
        <v>495.86</v>
      </c>
      <c r="AK352" t="s">
        <v>49</v>
      </c>
      <c r="AL352">
        <v>0</v>
      </c>
      <c r="AM352" t="s">
        <v>49</v>
      </c>
      <c r="AN352" s="3">
        <v>236</v>
      </c>
      <c r="AO352" s="19">
        <v>0</v>
      </c>
      <c r="AP352" s="19">
        <v>0</v>
      </c>
      <c r="AQ352" s="19">
        <v>0.8287</v>
      </c>
      <c r="AR352" s="19">
        <v>0.4365</v>
      </c>
      <c r="AS352" s="19">
        <v>0.8889</v>
      </c>
      <c r="AT352" s="19">
        <v>0.5556</v>
      </c>
      <c r="AU352" s="3">
        <v>0</v>
      </c>
      <c r="AV352" s="3">
        <v>0</v>
      </c>
      <c r="AW352" s="19">
        <v>0</v>
      </c>
      <c r="AX352" s="3">
        <v>0</v>
      </c>
      <c r="AY352" s="3">
        <v>0</v>
      </c>
    </row>
    <row r="353" spans="1:51">
      <c r="A353" s="3">
        <v>3267680</v>
      </c>
      <c r="B353" t="s">
        <v>604</v>
      </c>
      <c r="C353" s="3">
        <v>111230705</v>
      </c>
      <c r="D353" t="s">
        <v>44</v>
      </c>
      <c r="E353" t="s">
        <v>146</v>
      </c>
      <c r="F353" t="s">
        <v>46</v>
      </c>
      <c r="G353" t="s">
        <v>47</v>
      </c>
      <c r="H353" s="16">
        <v>0</v>
      </c>
      <c r="I353" s="4">
        <f>VLOOKUP(C353,[1]sheet1!$D:$I,6,0)</f>
        <v>0</v>
      </c>
      <c r="J353" s="4">
        <f>VLOOKUP(C353,[2]sheet1!$D:$I,6,0)</f>
        <v>0</v>
      </c>
      <c r="K353" s="4">
        <f>VLOOKUP(C353,[3]sheet1!$D:$I,6,0)</f>
        <v>0</v>
      </c>
      <c r="L353" s="4">
        <f>VLOOKUP(C353,[4]sheet1!$D:$I,6,0)</f>
        <v>0</v>
      </c>
      <c r="M353" s="4">
        <f>VLOOKUP(C353,[5]sheet1!$D:$I,6,0)</f>
        <v>0</v>
      </c>
      <c r="N353" s="4">
        <f>VLOOKUP(C353,[6]sheet1!$D:$I,6,0)</f>
        <v>0</v>
      </c>
      <c r="O353" s="4">
        <f>VLOOKUP(C353,[7]sheet1!$D:$I,6,0)</f>
        <v>0</v>
      </c>
      <c r="P353" s="4">
        <f>VLOOKUP(C353,[8]sheet1!$D:$I,6,0)</f>
        <v>0</v>
      </c>
      <c r="Q353" s="4">
        <f t="shared" si="5"/>
        <v>0</v>
      </c>
      <c r="R353" s="3">
        <v>0</v>
      </c>
      <c r="S353">
        <v>37</v>
      </c>
      <c r="T353">
        <v>0</v>
      </c>
      <c r="U353" s="3">
        <v>0</v>
      </c>
      <c r="V353" s="3">
        <v>0</v>
      </c>
      <c r="W353">
        <v>0</v>
      </c>
      <c r="X353" s="3">
        <v>0</v>
      </c>
      <c r="Y353">
        <v>0</v>
      </c>
      <c r="Z353" s="3">
        <v>0</v>
      </c>
      <c r="AA353" t="s">
        <v>49</v>
      </c>
      <c r="AB353" s="3">
        <v>299</v>
      </c>
      <c r="AC353" t="s">
        <v>49</v>
      </c>
      <c r="AD353" t="s">
        <v>49</v>
      </c>
      <c r="AE353">
        <v>0</v>
      </c>
      <c r="AF353" s="3">
        <v>0</v>
      </c>
      <c r="AG353" t="s">
        <v>49</v>
      </c>
      <c r="AH353" t="s">
        <v>49</v>
      </c>
      <c r="AI353" t="s">
        <v>49</v>
      </c>
      <c r="AJ353">
        <v>252.52</v>
      </c>
      <c r="AK353" t="s">
        <v>49</v>
      </c>
      <c r="AL353">
        <v>0</v>
      </c>
      <c r="AM353" t="s">
        <v>49</v>
      </c>
      <c r="AN353">
        <v>37</v>
      </c>
      <c r="AO353" s="19">
        <v>0</v>
      </c>
      <c r="AP353" s="19">
        <v>0</v>
      </c>
      <c r="AQ353" s="19">
        <v>0</v>
      </c>
      <c r="AR353" s="19">
        <v>1</v>
      </c>
      <c r="AS353" s="19">
        <v>0</v>
      </c>
      <c r="AT353" s="19">
        <v>0</v>
      </c>
      <c r="AU353" s="3">
        <v>0</v>
      </c>
      <c r="AV353" s="3">
        <v>0</v>
      </c>
      <c r="AW353" s="19">
        <v>0</v>
      </c>
      <c r="AX353" s="3">
        <v>0</v>
      </c>
      <c r="AY353" s="3">
        <v>0</v>
      </c>
    </row>
    <row r="354" spans="1:51">
      <c r="A354" s="3">
        <v>3178778</v>
      </c>
      <c r="B354" t="s">
        <v>605</v>
      </c>
      <c r="C354" s="3">
        <v>11040105</v>
      </c>
      <c r="D354" t="s">
        <v>44</v>
      </c>
      <c r="E354" t="s">
        <v>104</v>
      </c>
      <c r="F354" t="s">
        <v>46</v>
      </c>
      <c r="G354" t="s">
        <v>47</v>
      </c>
      <c r="H354" s="16">
        <v>0</v>
      </c>
      <c r="I354" s="4">
        <f>VLOOKUP(C354,[1]sheet1!$D:$I,6,0)</f>
        <v>0</v>
      </c>
      <c r="J354" s="4">
        <f>VLOOKUP(C354,[2]sheet1!$D:$I,6,0)</f>
        <v>535</v>
      </c>
      <c r="K354" s="4">
        <f>VLOOKUP(C354,[3]sheet1!$D:$I,6,0)</f>
        <v>0</v>
      </c>
      <c r="L354" s="4">
        <f>VLOOKUP(C354,[4]sheet1!$D:$I,6,0)</f>
        <v>0</v>
      </c>
      <c r="M354" s="4">
        <f>VLOOKUP(C354,[5]sheet1!$D:$I,6,0)</f>
        <v>0</v>
      </c>
      <c r="N354" s="4">
        <f>VLOOKUP(C354,[6]sheet1!$D:$I,6,0)</f>
        <v>1151</v>
      </c>
      <c r="O354" s="4">
        <f>VLOOKUP(C354,[7]sheet1!$D:$I,6,0)</f>
        <v>523</v>
      </c>
      <c r="P354" s="4">
        <f>VLOOKUP(C354,[8]sheet1!$D:$I,6,0)</f>
        <v>0</v>
      </c>
      <c r="Q354" s="4">
        <f t="shared" si="5"/>
        <v>2209</v>
      </c>
      <c r="R354" s="3">
        <v>0</v>
      </c>
      <c r="S354">
        <v>370</v>
      </c>
      <c r="T354">
        <v>0</v>
      </c>
      <c r="U354" s="3">
        <v>3</v>
      </c>
      <c r="V354" s="3">
        <v>0</v>
      </c>
      <c r="W354">
        <v>0</v>
      </c>
      <c r="X354" s="3">
        <v>0</v>
      </c>
      <c r="Y354">
        <v>0</v>
      </c>
      <c r="Z354" s="3">
        <v>0</v>
      </c>
      <c r="AA354" t="s">
        <v>165</v>
      </c>
      <c r="AB354" s="3">
        <v>469</v>
      </c>
      <c r="AC354">
        <v>485.42</v>
      </c>
      <c r="AD354" t="s">
        <v>49</v>
      </c>
      <c r="AE354">
        <v>0</v>
      </c>
      <c r="AF354" s="3">
        <v>0</v>
      </c>
      <c r="AG354" t="s">
        <v>49</v>
      </c>
      <c r="AH354">
        <v>0</v>
      </c>
      <c r="AI354" t="s">
        <v>49</v>
      </c>
      <c r="AJ354">
        <v>398.42</v>
      </c>
      <c r="AK354" t="s">
        <v>49</v>
      </c>
      <c r="AL354">
        <v>0</v>
      </c>
      <c r="AM354" t="s">
        <v>49</v>
      </c>
      <c r="AN354" s="3">
        <v>133</v>
      </c>
      <c r="AO354" s="19">
        <v>0</v>
      </c>
      <c r="AP354" s="19">
        <v>0</v>
      </c>
      <c r="AQ354" s="19">
        <v>0.901</v>
      </c>
      <c r="AR354" s="19">
        <v>0.4059</v>
      </c>
      <c r="AS354" s="19">
        <v>1</v>
      </c>
      <c r="AT354" s="19">
        <v>0.6667</v>
      </c>
      <c r="AU354" s="3">
        <v>0</v>
      </c>
      <c r="AV354" s="3">
        <v>0</v>
      </c>
      <c r="AW354" s="19">
        <v>0</v>
      </c>
      <c r="AX354" s="3">
        <v>0</v>
      </c>
      <c r="AY354" s="3">
        <v>0</v>
      </c>
    </row>
    <row r="355" spans="1:51">
      <c r="A355" s="3">
        <v>3124808</v>
      </c>
      <c r="B355" t="s">
        <v>606</v>
      </c>
      <c r="C355" s="3">
        <v>12040134</v>
      </c>
      <c r="D355" t="s">
        <v>44</v>
      </c>
      <c r="E355" t="s">
        <v>141</v>
      </c>
      <c r="F355" t="s">
        <v>65</v>
      </c>
      <c r="G355" t="s">
        <v>47</v>
      </c>
      <c r="H355" s="16">
        <v>0</v>
      </c>
      <c r="I355" s="4">
        <f>VLOOKUP(C355,[1]sheet1!$D:$I,6,0)</f>
        <v>0</v>
      </c>
      <c r="J355" s="4">
        <f>VLOOKUP(C355,[2]sheet1!$D:$I,6,0)</f>
        <v>0</v>
      </c>
      <c r="K355" s="4">
        <f>VLOOKUP(C355,[3]sheet1!$D:$I,6,0)</f>
        <v>0</v>
      </c>
      <c r="L355" s="4">
        <f>VLOOKUP(C355,[4]sheet1!$D:$I,6,0)</f>
        <v>0</v>
      </c>
      <c r="M355" s="4">
        <f>VLOOKUP(C355,[5]sheet1!$D:$I,6,0)</f>
        <v>0</v>
      </c>
      <c r="N355" s="4">
        <f>VLOOKUP(C355,[6]sheet1!$D:$I,6,0)</f>
        <v>0</v>
      </c>
      <c r="O355" s="4">
        <f>VLOOKUP(C355,[7]sheet1!$D:$I,6,0)</f>
        <v>0</v>
      </c>
      <c r="P355" s="4">
        <f>VLOOKUP(C355,[8]sheet1!$D:$I,6,0)</f>
        <v>0</v>
      </c>
      <c r="Q355" s="4">
        <f t="shared" si="5"/>
        <v>0</v>
      </c>
      <c r="R355" s="3">
        <v>0</v>
      </c>
      <c r="S355" s="3">
        <v>2</v>
      </c>
      <c r="T355" s="19">
        <v>0</v>
      </c>
      <c r="U355" s="3">
        <v>0</v>
      </c>
      <c r="V355" s="3">
        <v>0</v>
      </c>
      <c r="W355">
        <v>0</v>
      </c>
      <c r="X355" s="3">
        <v>0</v>
      </c>
      <c r="Y355">
        <v>0</v>
      </c>
      <c r="Z355" s="3">
        <v>0</v>
      </c>
      <c r="AA355" t="s">
        <v>49</v>
      </c>
      <c r="AB355" t="s">
        <v>49</v>
      </c>
      <c r="AC355" t="s">
        <v>49</v>
      </c>
      <c r="AD355" t="s">
        <v>49</v>
      </c>
      <c r="AE355">
        <v>0</v>
      </c>
      <c r="AF355" s="3">
        <v>0</v>
      </c>
      <c r="AG355" t="s">
        <v>49</v>
      </c>
      <c r="AH355" t="s">
        <v>49</v>
      </c>
      <c r="AI355" t="s">
        <v>49</v>
      </c>
      <c r="AJ355" t="s">
        <v>49</v>
      </c>
      <c r="AK355" t="s">
        <v>49</v>
      </c>
      <c r="AL355" t="s">
        <v>49</v>
      </c>
      <c r="AM355" t="s">
        <v>49</v>
      </c>
      <c r="AN355" s="3">
        <v>2</v>
      </c>
      <c r="AO355" s="19">
        <v>0</v>
      </c>
      <c r="AP355" s="19">
        <v>0</v>
      </c>
      <c r="AQ355" s="19">
        <v>0.5</v>
      </c>
      <c r="AR355" s="19">
        <v>0</v>
      </c>
      <c r="AS355" s="19">
        <v>0</v>
      </c>
      <c r="AT355" s="19">
        <v>0</v>
      </c>
      <c r="AU355" s="3">
        <v>0</v>
      </c>
      <c r="AV355" s="3">
        <v>0</v>
      </c>
      <c r="AW355" s="19">
        <v>0</v>
      </c>
      <c r="AX355" s="3">
        <v>0</v>
      </c>
      <c r="AY355" s="3">
        <v>0</v>
      </c>
    </row>
    <row r="356" spans="1:51">
      <c r="A356" s="3">
        <v>3113835</v>
      </c>
      <c r="B356" t="s">
        <v>607</v>
      </c>
      <c r="C356" s="3">
        <v>11133703</v>
      </c>
      <c r="D356" t="s">
        <v>44</v>
      </c>
      <c r="E356" t="s">
        <v>432</v>
      </c>
      <c r="F356" t="s">
        <v>65</v>
      </c>
      <c r="G356" t="s">
        <v>47</v>
      </c>
      <c r="H356" s="16">
        <v>0</v>
      </c>
      <c r="I356" s="4">
        <f>VLOOKUP(C356,[1]sheet1!$D:$I,6,0)</f>
        <v>0</v>
      </c>
      <c r="J356" s="4">
        <f>VLOOKUP(C356,[2]sheet1!$D:$I,6,0)</f>
        <v>0</v>
      </c>
      <c r="K356" s="4">
        <f>VLOOKUP(C356,[3]sheet1!$D:$I,6,0)</f>
        <v>0</v>
      </c>
      <c r="L356" s="4">
        <f>VLOOKUP(C356,[4]sheet1!$D:$I,6,0)</f>
        <v>0</v>
      </c>
      <c r="M356" s="4">
        <f>VLOOKUP(C356,[5]sheet1!$D:$I,6,0)</f>
        <v>0</v>
      </c>
      <c r="N356" s="4">
        <f>VLOOKUP(C356,[6]sheet1!$D:$I,6,0)</f>
        <v>0</v>
      </c>
      <c r="O356" s="4">
        <f>VLOOKUP(C356,[7]sheet1!$D:$I,6,0)</f>
        <v>0</v>
      </c>
      <c r="P356" s="4">
        <f>VLOOKUP(C356,[8]sheet1!$D:$I,6,0)</f>
        <v>0</v>
      </c>
      <c r="Q356" s="4">
        <f t="shared" si="5"/>
        <v>0</v>
      </c>
      <c r="R356" s="3">
        <v>0</v>
      </c>
      <c r="S356" s="3">
        <v>0</v>
      </c>
      <c r="T356" s="19">
        <v>0</v>
      </c>
      <c r="U356" s="3">
        <v>0</v>
      </c>
      <c r="V356" s="3">
        <v>0</v>
      </c>
      <c r="W356">
        <v>0</v>
      </c>
      <c r="X356" s="3">
        <v>0</v>
      </c>
      <c r="Y356">
        <v>0</v>
      </c>
      <c r="Z356" s="3">
        <v>0</v>
      </c>
      <c r="AA356" t="s">
        <v>49</v>
      </c>
      <c r="AB356" t="s">
        <v>49</v>
      </c>
      <c r="AC356" t="s">
        <v>49</v>
      </c>
      <c r="AD356" t="s">
        <v>49</v>
      </c>
      <c r="AE356">
        <v>0</v>
      </c>
      <c r="AF356" s="3">
        <v>0</v>
      </c>
      <c r="AG356" t="s">
        <v>49</v>
      </c>
      <c r="AH356" t="s">
        <v>49</v>
      </c>
      <c r="AI356" t="s">
        <v>49</v>
      </c>
      <c r="AJ356" t="s">
        <v>49</v>
      </c>
      <c r="AK356" t="s">
        <v>49</v>
      </c>
      <c r="AL356" t="s">
        <v>49</v>
      </c>
      <c r="AM356" t="s">
        <v>49</v>
      </c>
      <c r="AN356" s="3">
        <v>0</v>
      </c>
      <c r="AO356" s="19">
        <v>0</v>
      </c>
      <c r="AP356" s="19">
        <v>0</v>
      </c>
      <c r="AQ356" s="19">
        <v>0</v>
      </c>
      <c r="AR356" s="19">
        <v>0</v>
      </c>
      <c r="AS356" s="19">
        <v>0</v>
      </c>
      <c r="AT356" s="19">
        <v>0</v>
      </c>
      <c r="AU356" s="3">
        <v>0</v>
      </c>
      <c r="AV356" s="3">
        <v>0</v>
      </c>
      <c r="AW356" s="19">
        <v>0</v>
      </c>
      <c r="AX356" s="3">
        <v>0</v>
      </c>
      <c r="AY356" s="3">
        <v>0</v>
      </c>
    </row>
    <row r="357" spans="1:51">
      <c r="A357" s="3">
        <v>3109368</v>
      </c>
      <c r="B357" t="s">
        <v>608</v>
      </c>
      <c r="C357" s="3">
        <v>12221528</v>
      </c>
      <c r="D357" t="s">
        <v>44</v>
      </c>
      <c r="E357" t="s">
        <v>461</v>
      </c>
      <c r="F357" t="s">
        <v>65</v>
      </c>
      <c r="G357" t="s">
        <v>47</v>
      </c>
      <c r="H357" s="16">
        <v>0</v>
      </c>
      <c r="I357" s="4">
        <f>VLOOKUP(C357,[1]sheet1!$D:$I,6,0)</f>
        <v>0</v>
      </c>
      <c r="J357" s="4">
        <f>VLOOKUP(C357,[2]sheet1!$D:$I,6,0)</f>
        <v>0</v>
      </c>
      <c r="K357" s="4">
        <f>VLOOKUP(C357,[3]sheet1!$D:$I,6,0)</f>
        <v>0</v>
      </c>
      <c r="L357" s="4">
        <f>VLOOKUP(C357,[4]sheet1!$D:$I,6,0)</f>
        <v>0</v>
      </c>
      <c r="M357" s="4">
        <f>VLOOKUP(C357,[5]sheet1!$D:$I,6,0)</f>
        <v>0</v>
      </c>
      <c r="N357" s="4">
        <f>VLOOKUP(C357,[6]sheet1!$D:$I,6,0)</f>
        <v>0</v>
      </c>
      <c r="O357" s="4">
        <f>VLOOKUP(C357,[7]sheet1!$D:$I,6,0)</f>
        <v>0</v>
      </c>
      <c r="P357" s="4">
        <f>VLOOKUP(C357,[8]sheet1!$D:$I,6,0)</f>
        <v>0</v>
      </c>
      <c r="Q357" s="4">
        <f t="shared" si="5"/>
        <v>0</v>
      </c>
      <c r="R357" s="3">
        <v>0</v>
      </c>
      <c r="S357" s="3">
        <v>1</v>
      </c>
      <c r="T357" s="19">
        <v>0</v>
      </c>
      <c r="U357" s="3">
        <v>0</v>
      </c>
      <c r="V357" s="3">
        <v>0</v>
      </c>
      <c r="W357">
        <v>0</v>
      </c>
      <c r="X357" s="3">
        <v>0</v>
      </c>
      <c r="Y357">
        <v>0</v>
      </c>
      <c r="Z357" s="3">
        <v>0</v>
      </c>
      <c r="AA357" t="s">
        <v>49</v>
      </c>
      <c r="AB357" t="s">
        <v>49</v>
      </c>
      <c r="AC357" t="s">
        <v>49</v>
      </c>
      <c r="AD357" t="s">
        <v>49</v>
      </c>
      <c r="AE357">
        <v>0</v>
      </c>
      <c r="AF357" s="3">
        <v>0</v>
      </c>
      <c r="AG357" t="s">
        <v>49</v>
      </c>
      <c r="AH357" t="s">
        <v>49</v>
      </c>
      <c r="AI357" t="s">
        <v>49</v>
      </c>
      <c r="AJ357" t="s">
        <v>49</v>
      </c>
      <c r="AK357" t="s">
        <v>49</v>
      </c>
      <c r="AL357" t="s">
        <v>49</v>
      </c>
      <c r="AM357" t="s">
        <v>49</v>
      </c>
      <c r="AN357" s="3">
        <v>1</v>
      </c>
      <c r="AO357" s="19">
        <v>0</v>
      </c>
      <c r="AP357" s="19">
        <v>0</v>
      </c>
      <c r="AQ357" s="19">
        <v>1</v>
      </c>
      <c r="AR357" s="19">
        <v>0</v>
      </c>
      <c r="AS357" s="19">
        <v>0</v>
      </c>
      <c r="AT357" s="19">
        <v>0</v>
      </c>
      <c r="AU357" s="3">
        <v>0</v>
      </c>
      <c r="AV357" s="3">
        <v>0</v>
      </c>
      <c r="AW357" s="19">
        <v>0</v>
      </c>
      <c r="AX357" s="3">
        <v>0</v>
      </c>
      <c r="AY357" s="3">
        <v>0</v>
      </c>
    </row>
    <row r="358" spans="1:51">
      <c r="A358" s="3">
        <v>3103286</v>
      </c>
      <c r="B358" t="s">
        <v>609</v>
      </c>
      <c r="C358" s="3">
        <v>12140112</v>
      </c>
      <c r="D358" t="s">
        <v>44</v>
      </c>
      <c r="E358" t="s">
        <v>141</v>
      </c>
      <c r="F358" t="s">
        <v>46</v>
      </c>
      <c r="G358" t="s">
        <v>47</v>
      </c>
      <c r="H358" s="16">
        <v>0</v>
      </c>
      <c r="I358" s="4">
        <f>VLOOKUP(C358,[1]sheet1!$D:$I,6,0)</f>
        <v>0</v>
      </c>
      <c r="J358" s="4">
        <f>VLOOKUP(C358,[2]sheet1!$D:$I,6,0)</f>
        <v>0</v>
      </c>
      <c r="K358" s="4">
        <f>VLOOKUP(C358,[3]sheet1!$D:$I,6,0)</f>
        <v>0</v>
      </c>
      <c r="L358" s="4">
        <f>VLOOKUP(C358,[4]sheet1!$D:$I,6,0)</f>
        <v>0</v>
      </c>
      <c r="M358" s="4">
        <f>VLOOKUP(C358,[5]sheet1!$D:$I,6,0)</f>
        <v>0</v>
      </c>
      <c r="N358" s="4">
        <f>VLOOKUP(C358,[6]sheet1!$D:$I,6,0)</f>
        <v>0</v>
      </c>
      <c r="O358" s="4">
        <f>VLOOKUP(C358,[7]sheet1!$D:$I,6,0)</f>
        <v>0</v>
      </c>
      <c r="P358" s="4">
        <f>VLOOKUP(C358,[8]sheet1!$D:$I,6,0)</f>
        <v>0</v>
      </c>
      <c r="Q358" s="4">
        <f t="shared" si="5"/>
        <v>0</v>
      </c>
      <c r="R358" s="3">
        <v>0</v>
      </c>
      <c r="S358">
        <v>37</v>
      </c>
      <c r="T358">
        <v>0</v>
      </c>
      <c r="U358" s="3">
        <v>0</v>
      </c>
      <c r="V358" s="3">
        <v>0</v>
      </c>
      <c r="W358">
        <v>0</v>
      </c>
      <c r="X358" s="3">
        <v>0</v>
      </c>
      <c r="Y358">
        <v>0</v>
      </c>
      <c r="Z358" s="3">
        <v>0</v>
      </c>
      <c r="AA358" t="s">
        <v>49</v>
      </c>
      <c r="AB358" s="3">
        <v>542</v>
      </c>
      <c r="AC358" t="s">
        <v>49</v>
      </c>
      <c r="AD358" t="s">
        <v>49</v>
      </c>
      <c r="AE358">
        <v>0</v>
      </c>
      <c r="AF358" s="3">
        <v>0</v>
      </c>
      <c r="AG358" t="s">
        <v>49</v>
      </c>
      <c r="AH358" t="s">
        <v>49</v>
      </c>
      <c r="AI358" t="s">
        <v>49</v>
      </c>
      <c r="AJ358">
        <v>460.15</v>
      </c>
      <c r="AK358" t="s">
        <v>49</v>
      </c>
      <c r="AL358">
        <v>0</v>
      </c>
      <c r="AM358" t="s">
        <v>49</v>
      </c>
      <c r="AN358">
        <v>37</v>
      </c>
      <c r="AO358" s="19">
        <v>0</v>
      </c>
      <c r="AP358" s="19">
        <v>0</v>
      </c>
      <c r="AQ358" s="19">
        <v>1</v>
      </c>
      <c r="AR358" s="19">
        <v>0</v>
      </c>
      <c r="AS358" s="19">
        <v>0</v>
      </c>
      <c r="AT358" s="19">
        <v>0</v>
      </c>
      <c r="AU358" s="3">
        <v>0</v>
      </c>
      <c r="AV358" s="3">
        <v>0</v>
      </c>
      <c r="AW358" s="19">
        <v>0</v>
      </c>
      <c r="AX358" s="3">
        <v>0</v>
      </c>
      <c r="AY358" s="3">
        <v>0</v>
      </c>
    </row>
    <row r="359" spans="1:51">
      <c r="A359" s="3">
        <v>3095172</v>
      </c>
      <c r="B359" t="s">
        <v>610</v>
      </c>
      <c r="C359" s="3">
        <v>11130709</v>
      </c>
      <c r="D359" t="s">
        <v>44</v>
      </c>
      <c r="E359" t="s">
        <v>185</v>
      </c>
      <c r="F359" t="s">
        <v>65</v>
      </c>
      <c r="G359" t="s">
        <v>47</v>
      </c>
      <c r="H359" s="16">
        <v>0</v>
      </c>
      <c r="I359" s="4">
        <f>VLOOKUP(C359,[1]sheet1!$D:$I,6,0)</f>
        <v>0</v>
      </c>
      <c r="J359" s="4">
        <f>VLOOKUP(C359,[2]sheet1!$D:$I,6,0)</f>
        <v>0</v>
      </c>
      <c r="K359" s="4">
        <f>VLOOKUP(C359,[3]sheet1!$D:$I,6,0)</f>
        <v>0</v>
      </c>
      <c r="L359" s="4">
        <f>VLOOKUP(C359,[4]sheet1!$D:$I,6,0)</f>
        <v>0</v>
      </c>
      <c r="M359" s="4">
        <f>VLOOKUP(C359,[5]sheet1!$D:$I,6,0)</f>
        <v>0</v>
      </c>
      <c r="N359" s="4">
        <f>VLOOKUP(C359,[6]sheet1!$D:$I,6,0)</f>
        <v>0</v>
      </c>
      <c r="O359" s="4">
        <f>VLOOKUP(C359,[7]sheet1!$D:$I,6,0)</f>
        <v>0</v>
      </c>
      <c r="P359" s="4">
        <f>VLOOKUP(C359,[8]sheet1!$D:$I,6,0)</f>
        <v>0</v>
      </c>
      <c r="Q359" s="15">
        <f t="shared" si="5"/>
        <v>0</v>
      </c>
      <c r="R359" s="3">
        <v>0</v>
      </c>
      <c r="S359" s="3">
        <v>2</v>
      </c>
      <c r="T359" s="19">
        <v>0</v>
      </c>
      <c r="U359" s="3">
        <v>0</v>
      </c>
      <c r="V359" s="3">
        <v>0</v>
      </c>
      <c r="W359">
        <v>0</v>
      </c>
      <c r="X359" s="3">
        <v>0</v>
      </c>
      <c r="Y359">
        <v>0</v>
      </c>
      <c r="Z359" s="3">
        <v>0</v>
      </c>
      <c r="AA359" t="s">
        <v>49</v>
      </c>
      <c r="AB359" t="s">
        <v>49</v>
      </c>
      <c r="AC359" t="s">
        <v>49</v>
      </c>
      <c r="AD359" t="s">
        <v>49</v>
      </c>
      <c r="AE359">
        <v>0</v>
      </c>
      <c r="AF359" s="3">
        <v>0</v>
      </c>
      <c r="AG359" t="s">
        <v>49</v>
      </c>
      <c r="AH359" t="s">
        <v>49</v>
      </c>
      <c r="AI359" t="s">
        <v>49</v>
      </c>
      <c r="AJ359" t="s">
        <v>49</v>
      </c>
      <c r="AK359" t="s">
        <v>49</v>
      </c>
      <c r="AL359" t="s">
        <v>49</v>
      </c>
      <c r="AM359" t="s">
        <v>49</v>
      </c>
      <c r="AN359" s="3">
        <v>2</v>
      </c>
      <c r="AO359" s="19">
        <v>0</v>
      </c>
      <c r="AP359" s="19">
        <v>0</v>
      </c>
      <c r="AQ359" s="19">
        <v>1</v>
      </c>
      <c r="AR359" s="19">
        <v>0.5</v>
      </c>
      <c r="AS359" s="19">
        <v>0</v>
      </c>
      <c r="AT359" s="19">
        <v>0</v>
      </c>
      <c r="AU359" s="3">
        <v>0</v>
      </c>
      <c r="AV359" s="3">
        <v>0</v>
      </c>
      <c r="AW359" s="19">
        <v>0</v>
      </c>
      <c r="AX359" s="3">
        <v>0</v>
      </c>
      <c r="AY359" s="3">
        <v>0</v>
      </c>
    </row>
    <row r="360" spans="1:51">
      <c r="A360" s="3">
        <v>3019015</v>
      </c>
      <c r="B360" t="s">
        <v>611</v>
      </c>
      <c r="C360" s="3">
        <v>11121269</v>
      </c>
      <c r="D360" t="s">
        <v>44</v>
      </c>
      <c r="E360" t="s">
        <v>51</v>
      </c>
      <c r="F360" t="s">
        <v>65</v>
      </c>
      <c r="G360" t="s">
        <v>47</v>
      </c>
      <c r="H360" s="16">
        <v>0</v>
      </c>
      <c r="I360" s="4">
        <f>VLOOKUP(C360,[1]sheet1!$D:$I,6,0)</f>
        <v>201</v>
      </c>
      <c r="J360" s="4">
        <f>VLOOKUP(C360,[2]sheet1!$D:$I,6,0)</f>
        <v>0</v>
      </c>
      <c r="K360" s="4">
        <f>VLOOKUP(C360,[3]sheet1!$D:$I,6,0)</f>
        <v>0</v>
      </c>
      <c r="L360" s="4">
        <f>VLOOKUP(C360,[4]sheet1!$D:$I,6,0)</f>
        <v>0</v>
      </c>
      <c r="M360" s="4">
        <f>VLOOKUP(C360,[5]sheet1!$D:$I,6,0)</f>
        <v>201</v>
      </c>
      <c r="N360" s="4">
        <f>VLOOKUP(C360,[6]sheet1!$D:$I,6,0)</f>
        <v>0</v>
      </c>
      <c r="O360" s="4">
        <f>VLOOKUP(C360,[7]sheet1!$D:$I,6,0)</f>
        <v>0</v>
      </c>
      <c r="P360" s="4">
        <f>VLOOKUP(C360,[8]sheet1!$D:$I,6,0)</f>
        <v>0</v>
      </c>
      <c r="Q360" s="4">
        <f t="shared" si="5"/>
        <v>402</v>
      </c>
      <c r="R360" s="3">
        <v>0</v>
      </c>
      <c r="S360" s="3">
        <v>14</v>
      </c>
      <c r="T360" s="19">
        <v>0</v>
      </c>
      <c r="U360" s="3">
        <v>0</v>
      </c>
      <c r="V360" s="3">
        <v>0</v>
      </c>
      <c r="W360">
        <v>0</v>
      </c>
      <c r="X360" s="3">
        <v>0</v>
      </c>
      <c r="Y360">
        <v>0</v>
      </c>
      <c r="Z360" s="3">
        <v>0</v>
      </c>
      <c r="AA360" t="s">
        <v>49</v>
      </c>
      <c r="AB360" t="s">
        <v>49</v>
      </c>
      <c r="AC360" t="s">
        <v>49</v>
      </c>
      <c r="AD360" t="s">
        <v>49</v>
      </c>
      <c r="AE360">
        <v>0</v>
      </c>
      <c r="AF360" s="3">
        <v>0</v>
      </c>
      <c r="AG360" t="s">
        <v>49</v>
      </c>
      <c r="AH360" t="s">
        <v>49</v>
      </c>
      <c r="AI360" t="s">
        <v>49</v>
      </c>
      <c r="AJ360" t="s">
        <v>49</v>
      </c>
      <c r="AK360" t="s">
        <v>49</v>
      </c>
      <c r="AL360" t="s">
        <v>49</v>
      </c>
      <c r="AM360" t="s">
        <v>49</v>
      </c>
      <c r="AN360" s="3">
        <v>18</v>
      </c>
      <c r="AO360" s="19">
        <v>0</v>
      </c>
      <c r="AP360" s="19">
        <v>0</v>
      </c>
      <c r="AQ360" s="19">
        <v>0.8571</v>
      </c>
      <c r="AR360" s="19">
        <v>0.3571</v>
      </c>
      <c r="AS360" s="19">
        <v>0</v>
      </c>
      <c r="AT360" s="19">
        <v>0</v>
      </c>
      <c r="AU360" s="3">
        <v>0</v>
      </c>
      <c r="AV360" s="3">
        <v>0</v>
      </c>
      <c r="AW360" s="19">
        <v>0</v>
      </c>
      <c r="AX360" s="3">
        <v>0</v>
      </c>
      <c r="AY360" s="3">
        <v>0</v>
      </c>
    </row>
    <row r="361" spans="1:51">
      <c r="A361" s="3">
        <v>2939996</v>
      </c>
      <c r="B361" t="s">
        <v>612</v>
      </c>
      <c r="C361" s="3">
        <v>11221219</v>
      </c>
      <c r="D361" t="s">
        <v>44</v>
      </c>
      <c r="E361" t="s">
        <v>51</v>
      </c>
      <c r="F361" t="s">
        <v>46</v>
      </c>
      <c r="G361" t="s">
        <v>47</v>
      </c>
      <c r="H361" s="16">
        <v>0</v>
      </c>
      <c r="I361" s="4">
        <f>VLOOKUP(C361,[1]sheet1!$D:$I,6,0)</f>
        <v>0</v>
      </c>
      <c r="J361" s="4">
        <f>VLOOKUP(C361,[2]sheet1!$D:$I,6,0)</f>
        <v>0</v>
      </c>
      <c r="K361" s="4">
        <f>VLOOKUP(C361,[3]sheet1!$D:$I,6,0)</f>
        <v>0</v>
      </c>
      <c r="L361" s="4">
        <f>VLOOKUP(C361,[4]sheet1!$D:$I,6,0)</f>
        <v>0</v>
      </c>
      <c r="M361" s="4">
        <f>VLOOKUP(C361,[5]sheet1!$D:$I,6,0)</f>
        <v>0</v>
      </c>
      <c r="N361" s="4">
        <f>VLOOKUP(C361,[6]sheet1!$D:$I,6,0)</f>
        <v>0</v>
      </c>
      <c r="O361" s="4">
        <f>VLOOKUP(C361,[7]sheet1!$D:$I,6,0)</f>
        <v>0</v>
      </c>
      <c r="P361" s="4">
        <f>VLOOKUP(C361,[8]sheet1!$D:$I,6,0)</f>
        <v>0</v>
      </c>
      <c r="Q361" s="4">
        <f t="shared" si="5"/>
        <v>0</v>
      </c>
      <c r="R361" s="3">
        <v>0</v>
      </c>
      <c r="S361">
        <v>205</v>
      </c>
      <c r="T361">
        <v>0</v>
      </c>
      <c r="U361" s="3">
        <v>1</v>
      </c>
      <c r="V361" s="3">
        <v>0</v>
      </c>
      <c r="W361">
        <v>0</v>
      </c>
      <c r="X361" s="3">
        <v>0</v>
      </c>
      <c r="Y361">
        <v>0</v>
      </c>
      <c r="Z361" s="3">
        <v>0</v>
      </c>
      <c r="AA361" t="s">
        <v>49</v>
      </c>
      <c r="AB361" s="3">
        <v>165</v>
      </c>
      <c r="AC361" t="s">
        <v>49</v>
      </c>
      <c r="AD361" t="s">
        <v>49</v>
      </c>
      <c r="AE361">
        <v>0</v>
      </c>
      <c r="AF361" s="3">
        <v>0</v>
      </c>
      <c r="AG361" t="s">
        <v>49</v>
      </c>
      <c r="AH361" t="s">
        <v>49</v>
      </c>
      <c r="AI361" t="s">
        <v>49</v>
      </c>
      <c r="AJ361">
        <v>136.04</v>
      </c>
      <c r="AK361" t="s">
        <v>49</v>
      </c>
      <c r="AL361">
        <v>0</v>
      </c>
      <c r="AM361" t="s">
        <v>49</v>
      </c>
      <c r="AN361">
        <v>241</v>
      </c>
      <c r="AO361" s="19">
        <v>0</v>
      </c>
      <c r="AP361" s="19">
        <v>0</v>
      </c>
      <c r="AQ361" s="19">
        <v>0.7419</v>
      </c>
      <c r="AR361" s="19">
        <v>0.129</v>
      </c>
      <c r="AS361" s="19">
        <v>1</v>
      </c>
      <c r="AT361" s="19">
        <v>0</v>
      </c>
      <c r="AU361" s="3">
        <v>0</v>
      </c>
      <c r="AV361" s="3">
        <v>0</v>
      </c>
      <c r="AW361" s="19">
        <v>0</v>
      </c>
      <c r="AX361" s="3">
        <v>0</v>
      </c>
      <c r="AY361" s="3">
        <v>0</v>
      </c>
    </row>
    <row r="362" spans="1:51">
      <c r="A362" s="3">
        <v>2850986</v>
      </c>
      <c r="B362" t="s">
        <v>613</v>
      </c>
      <c r="C362" s="3">
        <v>12221440</v>
      </c>
      <c r="D362" t="s">
        <v>44</v>
      </c>
      <c r="E362" t="s">
        <v>200</v>
      </c>
      <c r="F362" t="s">
        <v>65</v>
      </c>
      <c r="G362" t="s">
        <v>47</v>
      </c>
      <c r="H362" s="16">
        <v>0</v>
      </c>
      <c r="I362" s="4">
        <f>VLOOKUP(C362,[1]sheet1!$D:$I,6,0)</f>
        <v>0</v>
      </c>
      <c r="J362" s="4">
        <f>VLOOKUP(C362,[2]sheet1!$D:$I,6,0)</f>
        <v>0</v>
      </c>
      <c r="K362" s="4">
        <f>VLOOKUP(C362,[3]sheet1!$D:$I,6,0)</f>
        <v>0</v>
      </c>
      <c r="L362" s="4">
        <f>VLOOKUP(C362,[4]sheet1!$D:$I,6,0)</f>
        <v>0</v>
      </c>
      <c r="M362" s="4">
        <f>VLOOKUP(C362,[5]sheet1!$D:$I,6,0)</f>
        <v>0</v>
      </c>
      <c r="N362" s="4">
        <f>VLOOKUP(C362,[6]sheet1!$D:$I,6,0)</f>
        <v>0</v>
      </c>
      <c r="O362" s="4">
        <f>VLOOKUP(C362,[7]sheet1!$D:$I,6,0)</f>
        <v>0</v>
      </c>
      <c r="P362" s="4">
        <f>VLOOKUP(C362,[8]sheet1!$D:$I,6,0)</f>
        <v>0</v>
      </c>
      <c r="Q362" s="4">
        <f t="shared" si="5"/>
        <v>0</v>
      </c>
      <c r="R362" s="3">
        <v>0</v>
      </c>
      <c r="S362" s="3">
        <v>6</v>
      </c>
      <c r="T362" s="19">
        <v>0</v>
      </c>
      <c r="U362" s="3">
        <v>0</v>
      </c>
      <c r="V362" s="3">
        <v>0</v>
      </c>
      <c r="W362">
        <v>0</v>
      </c>
      <c r="X362" s="3">
        <v>0</v>
      </c>
      <c r="Y362">
        <v>0</v>
      </c>
      <c r="Z362" s="3">
        <v>0</v>
      </c>
      <c r="AA362" t="s">
        <v>353</v>
      </c>
      <c r="AB362" t="s">
        <v>49</v>
      </c>
      <c r="AC362">
        <v>47.91</v>
      </c>
      <c r="AD362" t="s">
        <v>49</v>
      </c>
      <c r="AE362">
        <v>0</v>
      </c>
      <c r="AF362" s="3">
        <v>0</v>
      </c>
      <c r="AG362" t="s">
        <v>49</v>
      </c>
      <c r="AH362">
        <v>0</v>
      </c>
      <c r="AI362" t="s">
        <v>49</v>
      </c>
      <c r="AJ362" t="s">
        <v>49</v>
      </c>
      <c r="AK362" t="s">
        <v>49</v>
      </c>
      <c r="AL362" t="s">
        <v>49</v>
      </c>
      <c r="AM362" t="s">
        <v>49</v>
      </c>
      <c r="AN362" s="3">
        <v>6</v>
      </c>
      <c r="AO362" s="19">
        <v>0</v>
      </c>
      <c r="AP362" s="19">
        <v>0</v>
      </c>
      <c r="AQ362" s="19">
        <v>1</v>
      </c>
      <c r="AR362" s="19">
        <v>0.1667</v>
      </c>
      <c r="AS362" s="19">
        <v>0</v>
      </c>
      <c r="AT362" s="19">
        <v>0</v>
      </c>
      <c r="AU362" s="3">
        <v>0</v>
      </c>
      <c r="AV362" s="3">
        <v>0</v>
      </c>
      <c r="AW362" s="19">
        <v>0</v>
      </c>
      <c r="AX362" s="3">
        <v>0</v>
      </c>
      <c r="AY362" s="3">
        <v>0</v>
      </c>
    </row>
    <row r="363" spans="1:51">
      <c r="A363" s="3">
        <v>2841136</v>
      </c>
      <c r="B363" t="s">
        <v>614</v>
      </c>
      <c r="C363" s="3">
        <v>112221430</v>
      </c>
      <c r="D363" t="s">
        <v>44</v>
      </c>
      <c r="E363" t="s">
        <v>57</v>
      </c>
      <c r="F363" t="s">
        <v>65</v>
      </c>
      <c r="G363" t="s">
        <v>47</v>
      </c>
      <c r="H363" s="16">
        <v>0</v>
      </c>
      <c r="I363" s="4">
        <f>VLOOKUP(C363,[1]sheet1!$D:$I,6,0)</f>
        <v>0</v>
      </c>
      <c r="J363" s="4">
        <f>VLOOKUP(C363,[2]sheet1!$D:$I,6,0)</f>
        <v>0</v>
      </c>
      <c r="K363" s="4">
        <f>VLOOKUP(C363,[3]sheet1!$D:$I,6,0)</f>
        <v>0</v>
      </c>
      <c r="L363" s="4">
        <f>VLOOKUP(C363,[4]sheet1!$D:$I,6,0)</f>
        <v>0</v>
      </c>
      <c r="M363" s="4">
        <f>VLOOKUP(C363,[5]sheet1!$D:$I,6,0)</f>
        <v>0</v>
      </c>
      <c r="N363" s="4">
        <f>VLOOKUP(C363,[6]sheet1!$D:$I,6,0)</f>
        <v>0</v>
      </c>
      <c r="O363" s="4">
        <f>VLOOKUP(C363,[7]sheet1!$D:$I,6,0)</f>
        <v>0</v>
      </c>
      <c r="P363" s="4">
        <f>VLOOKUP(C363,[8]sheet1!$D:$I,6,0)</f>
        <v>0</v>
      </c>
      <c r="Q363" s="4">
        <f t="shared" si="5"/>
        <v>0</v>
      </c>
      <c r="R363" s="3">
        <v>0</v>
      </c>
      <c r="S363" s="3">
        <v>2</v>
      </c>
      <c r="T363" s="19">
        <v>0</v>
      </c>
      <c r="U363" s="3">
        <v>0</v>
      </c>
      <c r="V363" s="3">
        <v>0</v>
      </c>
      <c r="W363">
        <v>0</v>
      </c>
      <c r="X363" s="3">
        <v>0</v>
      </c>
      <c r="Y363">
        <v>0</v>
      </c>
      <c r="Z363" s="3">
        <v>0</v>
      </c>
      <c r="AA363" t="s">
        <v>49</v>
      </c>
      <c r="AB363" t="s">
        <v>49</v>
      </c>
      <c r="AC363" t="s">
        <v>49</v>
      </c>
      <c r="AD363" t="s">
        <v>49</v>
      </c>
      <c r="AE363">
        <v>0</v>
      </c>
      <c r="AF363" s="3">
        <v>0</v>
      </c>
      <c r="AG363" t="s">
        <v>49</v>
      </c>
      <c r="AH363" t="s">
        <v>49</v>
      </c>
      <c r="AI363" t="s">
        <v>49</v>
      </c>
      <c r="AJ363" t="s">
        <v>49</v>
      </c>
      <c r="AK363" t="s">
        <v>49</v>
      </c>
      <c r="AL363" t="s">
        <v>49</v>
      </c>
      <c r="AM363" t="s">
        <v>49</v>
      </c>
      <c r="AN363" s="3">
        <v>2</v>
      </c>
      <c r="AO363" s="19">
        <v>0</v>
      </c>
      <c r="AP363" s="19">
        <v>0</v>
      </c>
      <c r="AQ363" s="19">
        <v>1</v>
      </c>
      <c r="AR363" s="19">
        <v>0.5</v>
      </c>
      <c r="AS363" s="19">
        <v>0</v>
      </c>
      <c r="AT363" s="19">
        <v>0</v>
      </c>
      <c r="AU363" s="3">
        <v>0</v>
      </c>
      <c r="AV363" s="3">
        <v>0</v>
      </c>
      <c r="AW363" s="19">
        <v>0</v>
      </c>
      <c r="AX363" s="3">
        <v>0</v>
      </c>
      <c r="AY363" s="3">
        <v>0</v>
      </c>
    </row>
    <row r="364" spans="1:51">
      <c r="A364" s="3">
        <v>2841022</v>
      </c>
      <c r="B364" t="s">
        <v>615</v>
      </c>
      <c r="C364" s="3">
        <v>112121202</v>
      </c>
      <c r="D364" t="s">
        <v>44</v>
      </c>
      <c r="E364" t="s">
        <v>109</v>
      </c>
      <c r="F364" t="s">
        <v>65</v>
      </c>
      <c r="G364" t="s">
        <v>47</v>
      </c>
      <c r="H364" s="16">
        <v>0</v>
      </c>
      <c r="I364" s="4">
        <f>VLOOKUP(C364,[1]sheet1!$D:$I,6,0)</f>
        <v>127</v>
      </c>
      <c r="J364" s="4">
        <f>VLOOKUP(C364,[2]sheet1!$D:$I,6,0)</f>
        <v>0</v>
      </c>
      <c r="K364" s="4">
        <f>VLOOKUP(C364,[3]sheet1!$D:$I,6,0)</f>
        <v>116</v>
      </c>
      <c r="L364" s="4">
        <f>VLOOKUP(C364,[4]sheet1!$D:$I,6,0)</f>
        <v>124</v>
      </c>
      <c r="M364" s="4">
        <f>VLOOKUP(C364,[5]sheet1!$D:$I,6,0)</f>
        <v>127</v>
      </c>
      <c r="N364" s="4">
        <f>VLOOKUP(C364,[6]sheet1!$D:$I,6,0)</f>
        <v>372</v>
      </c>
      <c r="O364" s="4">
        <f>VLOOKUP(C364,[7]sheet1!$D:$I,6,0)</f>
        <v>113</v>
      </c>
      <c r="P364" s="4">
        <f>VLOOKUP(C364,[8]sheet1!$D:$I,6,0)</f>
        <v>127</v>
      </c>
      <c r="Q364" s="4">
        <f t="shared" si="5"/>
        <v>1106</v>
      </c>
      <c r="R364" s="3">
        <v>0</v>
      </c>
      <c r="S364" s="3">
        <v>53</v>
      </c>
      <c r="T364" s="19">
        <v>0</v>
      </c>
      <c r="U364" s="3">
        <v>0</v>
      </c>
      <c r="V364" s="3">
        <v>0</v>
      </c>
      <c r="W364">
        <v>0</v>
      </c>
      <c r="X364" s="3">
        <v>0</v>
      </c>
      <c r="Y364">
        <v>0</v>
      </c>
      <c r="Z364" s="3">
        <v>0</v>
      </c>
      <c r="AA364" t="s">
        <v>49</v>
      </c>
      <c r="AB364" t="s">
        <v>49</v>
      </c>
      <c r="AC364" t="s">
        <v>49</v>
      </c>
      <c r="AD364" t="s">
        <v>49</v>
      </c>
      <c r="AE364">
        <v>0</v>
      </c>
      <c r="AF364" s="3">
        <v>0</v>
      </c>
      <c r="AG364" t="s">
        <v>49</v>
      </c>
      <c r="AH364" t="s">
        <v>49</v>
      </c>
      <c r="AI364" t="s">
        <v>49</v>
      </c>
      <c r="AJ364" t="s">
        <v>49</v>
      </c>
      <c r="AK364" t="s">
        <v>49</v>
      </c>
      <c r="AL364" t="s">
        <v>49</v>
      </c>
      <c r="AM364" t="s">
        <v>49</v>
      </c>
      <c r="AN364" s="3">
        <v>76</v>
      </c>
      <c r="AO364" s="19">
        <v>0</v>
      </c>
      <c r="AP364" s="19">
        <v>0</v>
      </c>
      <c r="AQ364" s="19">
        <v>0.8302</v>
      </c>
      <c r="AR364" s="19">
        <v>0.3019</v>
      </c>
      <c r="AS364" s="19">
        <v>0</v>
      </c>
      <c r="AT364" s="19">
        <v>0</v>
      </c>
      <c r="AU364" s="3">
        <v>0</v>
      </c>
      <c r="AV364" s="3">
        <v>1</v>
      </c>
      <c r="AW364" s="19">
        <v>0</v>
      </c>
      <c r="AX364" s="3">
        <v>0</v>
      </c>
      <c r="AY364" s="3">
        <v>0</v>
      </c>
    </row>
    <row r="365" spans="1:51">
      <c r="A365" s="3">
        <v>2840663</v>
      </c>
      <c r="B365" t="s">
        <v>616</v>
      </c>
      <c r="C365" s="3">
        <v>112221530</v>
      </c>
      <c r="D365" t="s">
        <v>44</v>
      </c>
      <c r="E365" t="s">
        <v>54</v>
      </c>
      <c r="F365" t="s">
        <v>46</v>
      </c>
      <c r="G365" t="s">
        <v>47</v>
      </c>
      <c r="H365" s="16">
        <v>0</v>
      </c>
      <c r="I365" s="4">
        <f>VLOOKUP(C365,[1]sheet1!$D:$I,6,0)</f>
        <v>0</v>
      </c>
      <c r="J365" s="4">
        <f>VLOOKUP(C365,[2]sheet1!$D:$I,6,0)</f>
        <v>0</v>
      </c>
      <c r="K365" s="4">
        <f>VLOOKUP(C365,[3]sheet1!$D:$I,6,0)</f>
        <v>0</v>
      </c>
      <c r="L365" s="4">
        <f>VLOOKUP(C365,[4]sheet1!$D:$I,6,0)</f>
        <v>0</v>
      </c>
      <c r="M365" s="4">
        <f>VLOOKUP(C365,[5]sheet1!$D:$I,6,0)</f>
        <v>0</v>
      </c>
      <c r="N365" s="4">
        <f>VLOOKUP(C365,[6]sheet1!$D:$I,6,0)</f>
        <v>0</v>
      </c>
      <c r="O365" s="4">
        <f>VLOOKUP(C365,[7]sheet1!$D:$I,6,0)</f>
        <v>0</v>
      </c>
      <c r="P365" s="4">
        <f>VLOOKUP(C365,[8]sheet1!$D:$I,6,0)</f>
        <v>0</v>
      </c>
      <c r="Q365" s="4">
        <f t="shared" si="5"/>
        <v>0</v>
      </c>
      <c r="R365" s="3">
        <v>0</v>
      </c>
      <c r="S365">
        <v>165</v>
      </c>
      <c r="T365">
        <v>0</v>
      </c>
      <c r="U365" s="3">
        <v>0</v>
      </c>
      <c r="V365" s="3">
        <v>0</v>
      </c>
      <c r="W365">
        <v>0</v>
      </c>
      <c r="X365" s="3">
        <v>0</v>
      </c>
      <c r="Y365">
        <v>0</v>
      </c>
      <c r="Z365" s="3">
        <v>0</v>
      </c>
      <c r="AA365" t="s">
        <v>49</v>
      </c>
      <c r="AB365" t="s">
        <v>49</v>
      </c>
      <c r="AC365" t="s">
        <v>49</v>
      </c>
      <c r="AD365" t="s">
        <v>49</v>
      </c>
      <c r="AE365">
        <v>0</v>
      </c>
      <c r="AF365" s="3">
        <v>0</v>
      </c>
      <c r="AG365" t="s">
        <v>49</v>
      </c>
      <c r="AH365" t="s">
        <v>49</v>
      </c>
      <c r="AI365" t="s">
        <v>49</v>
      </c>
      <c r="AJ365" t="s">
        <v>49</v>
      </c>
      <c r="AK365" t="s">
        <v>49</v>
      </c>
      <c r="AL365" t="s">
        <v>49</v>
      </c>
      <c r="AM365" t="s">
        <v>49</v>
      </c>
      <c r="AN365">
        <v>169</v>
      </c>
      <c r="AO365" s="19">
        <v>0</v>
      </c>
      <c r="AP365" s="19">
        <v>0</v>
      </c>
      <c r="AQ365" s="19">
        <v>0.75</v>
      </c>
      <c r="AR365" s="19">
        <v>0.2</v>
      </c>
      <c r="AS365" s="19">
        <v>0</v>
      </c>
      <c r="AT365" s="19">
        <v>0</v>
      </c>
      <c r="AU365" s="3">
        <v>0</v>
      </c>
      <c r="AV365" s="3">
        <v>0</v>
      </c>
      <c r="AW365" s="19">
        <v>0</v>
      </c>
      <c r="AX365" s="3">
        <v>0</v>
      </c>
      <c r="AY365" s="3">
        <v>0</v>
      </c>
    </row>
    <row r="366" spans="1:51">
      <c r="A366" s="3">
        <v>25517138</v>
      </c>
      <c r="B366" t="s">
        <v>617</v>
      </c>
      <c r="C366" t="s">
        <v>618</v>
      </c>
      <c r="D366" t="s">
        <v>44</v>
      </c>
      <c r="E366" t="s">
        <v>619</v>
      </c>
      <c r="F366" t="s">
        <v>65</v>
      </c>
      <c r="G366" t="s">
        <v>47</v>
      </c>
      <c r="H366" s="16">
        <v>0</v>
      </c>
      <c r="I366" s="4">
        <f>VLOOKUP(C366,[1]sheet1!$D:$I,6,0)</f>
        <v>0</v>
      </c>
      <c r="J366" s="4">
        <f>VLOOKUP(C366,[2]sheet1!$D:$I,6,0)</f>
        <v>0</v>
      </c>
      <c r="K366" s="4">
        <f>VLOOKUP(C366,[3]sheet1!$D:$I,6,0)</f>
        <v>0</v>
      </c>
      <c r="L366" s="4">
        <f>VLOOKUP(C366,[4]sheet1!$D:$I,6,0)</f>
        <v>0</v>
      </c>
      <c r="M366" s="4">
        <f>VLOOKUP(C366,[5]sheet1!$D:$I,6,0)</f>
        <v>0</v>
      </c>
      <c r="N366" s="4">
        <f>VLOOKUP(C366,[6]sheet1!$D:$I,6,0)</f>
        <v>0</v>
      </c>
      <c r="O366" s="4">
        <f>VLOOKUP(C366,[7]sheet1!$D:$I,6,0)</f>
        <v>0</v>
      </c>
      <c r="P366" s="4">
        <f>VLOOKUP(C366,[8]sheet1!$D:$I,6,0)</f>
        <v>48</v>
      </c>
      <c r="Q366" s="4">
        <f t="shared" si="5"/>
        <v>48</v>
      </c>
      <c r="R366" s="3">
        <v>0</v>
      </c>
      <c r="S366" s="3">
        <v>3</v>
      </c>
      <c r="T366" s="19">
        <v>0</v>
      </c>
      <c r="U366" s="3">
        <v>0</v>
      </c>
      <c r="V366" s="3">
        <v>0</v>
      </c>
      <c r="W366">
        <v>0</v>
      </c>
      <c r="X366" s="3">
        <v>0</v>
      </c>
      <c r="Y366">
        <v>0</v>
      </c>
      <c r="Z366" s="3">
        <v>0</v>
      </c>
      <c r="AA366" t="s">
        <v>353</v>
      </c>
      <c r="AB366" t="s">
        <v>49</v>
      </c>
      <c r="AC366">
        <v>53.68</v>
      </c>
      <c r="AD366" t="s">
        <v>49</v>
      </c>
      <c r="AE366">
        <v>0</v>
      </c>
      <c r="AF366" s="3">
        <v>0</v>
      </c>
      <c r="AG366" t="s">
        <v>49</v>
      </c>
      <c r="AH366">
        <v>0</v>
      </c>
      <c r="AI366" t="s">
        <v>49</v>
      </c>
      <c r="AJ366" t="s">
        <v>49</v>
      </c>
      <c r="AK366" t="s">
        <v>49</v>
      </c>
      <c r="AL366" t="s">
        <v>49</v>
      </c>
      <c r="AM366" t="s">
        <v>49</v>
      </c>
      <c r="AN366" s="3">
        <v>3</v>
      </c>
      <c r="AO366" s="19">
        <v>0</v>
      </c>
      <c r="AP366" s="19">
        <v>0</v>
      </c>
      <c r="AQ366" s="19">
        <v>0.6667</v>
      </c>
      <c r="AR366" s="19">
        <v>0.6667</v>
      </c>
      <c r="AS366" s="19">
        <v>0</v>
      </c>
      <c r="AT366" s="19">
        <v>0</v>
      </c>
      <c r="AU366" s="3">
        <v>0</v>
      </c>
      <c r="AV366" s="3">
        <v>0</v>
      </c>
      <c r="AW366" s="19">
        <v>0</v>
      </c>
      <c r="AX366" s="3">
        <v>0</v>
      </c>
      <c r="AY366" s="3">
        <v>0</v>
      </c>
    </row>
    <row r="367" spans="1:51">
      <c r="A367" s="3">
        <v>25508419</v>
      </c>
      <c r="B367" t="s">
        <v>620</v>
      </c>
      <c r="C367" t="s">
        <v>621</v>
      </c>
      <c r="D367" t="s">
        <v>44</v>
      </c>
      <c r="E367" t="s">
        <v>619</v>
      </c>
      <c r="F367" t="s">
        <v>65</v>
      </c>
      <c r="G367" t="s">
        <v>356</v>
      </c>
      <c r="H367" s="16">
        <v>0</v>
      </c>
      <c r="I367" s="4">
        <f>VLOOKUP(C367,[1]sheet1!$D:$I,6,0)</f>
        <v>0</v>
      </c>
      <c r="J367" s="4">
        <f>VLOOKUP(C367,[2]sheet1!$D:$I,6,0)</f>
        <v>0</v>
      </c>
      <c r="K367" s="4">
        <f>VLOOKUP(C367,[3]sheet1!$D:$I,6,0)</f>
        <v>0</v>
      </c>
      <c r="L367" s="4">
        <f>VLOOKUP(C367,[4]sheet1!$D:$I,6,0)</f>
        <v>0</v>
      </c>
      <c r="M367" s="4">
        <f>VLOOKUP(C367,[5]sheet1!$D:$I,6,0)</f>
        <v>61</v>
      </c>
      <c r="N367" s="4">
        <f>VLOOKUP(C367,[6]sheet1!$D:$I,6,0)</f>
        <v>0</v>
      </c>
      <c r="O367" s="4">
        <f>VLOOKUP(C367,[7]sheet1!$D:$I,6,0)</f>
        <v>0</v>
      </c>
      <c r="P367" s="4">
        <f>VLOOKUP(C367,[8]sheet1!$D:$I,6,0)</f>
        <v>80</v>
      </c>
      <c r="Q367" s="4">
        <f t="shared" si="5"/>
        <v>141</v>
      </c>
      <c r="R367" s="3">
        <v>0</v>
      </c>
      <c r="S367" s="3">
        <v>8</v>
      </c>
      <c r="T367" s="19">
        <v>0</v>
      </c>
      <c r="U367" s="3">
        <v>2</v>
      </c>
      <c r="V367" s="3">
        <v>0</v>
      </c>
      <c r="W367">
        <v>0</v>
      </c>
      <c r="X367" s="3">
        <v>0</v>
      </c>
      <c r="Y367">
        <v>0</v>
      </c>
      <c r="Z367" s="3">
        <v>0</v>
      </c>
      <c r="AA367" t="s">
        <v>49</v>
      </c>
      <c r="AB367" t="s">
        <v>49</v>
      </c>
      <c r="AC367" t="s">
        <v>49</v>
      </c>
      <c r="AD367" t="s">
        <v>49</v>
      </c>
      <c r="AE367">
        <v>0</v>
      </c>
      <c r="AF367" s="3">
        <v>0</v>
      </c>
      <c r="AG367" t="s">
        <v>49</v>
      </c>
      <c r="AH367" t="s">
        <v>49</v>
      </c>
      <c r="AI367" t="s">
        <v>49</v>
      </c>
      <c r="AJ367" t="s">
        <v>49</v>
      </c>
      <c r="AK367" t="s">
        <v>49</v>
      </c>
      <c r="AL367" t="s">
        <v>49</v>
      </c>
      <c r="AM367" t="s">
        <v>49</v>
      </c>
      <c r="AN367" s="3">
        <v>11</v>
      </c>
      <c r="AO367" s="19">
        <v>0</v>
      </c>
      <c r="AP367" s="19">
        <v>0</v>
      </c>
      <c r="AQ367" s="19">
        <v>0.625</v>
      </c>
      <c r="AR367" s="19">
        <v>0.5</v>
      </c>
      <c r="AS367" s="19">
        <v>0.5</v>
      </c>
      <c r="AT367" s="19">
        <v>0.5</v>
      </c>
      <c r="AU367" s="3">
        <v>0</v>
      </c>
      <c r="AV367" s="3">
        <v>0</v>
      </c>
      <c r="AW367" s="19">
        <v>0</v>
      </c>
      <c r="AX367" s="3">
        <v>0</v>
      </c>
      <c r="AY367" s="3">
        <v>0</v>
      </c>
    </row>
    <row r="368" spans="1:51">
      <c r="A368" s="3">
        <v>25499443</v>
      </c>
      <c r="B368" t="s">
        <v>622</v>
      </c>
      <c r="C368" s="3">
        <v>115376009</v>
      </c>
      <c r="D368" t="s">
        <v>44</v>
      </c>
      <c r="E368" t="s">
        <v>330</v>
      </c>
      <c r="F368" t="s">
        <v>46</v>
      </c>
      <c r="G368" t="s">
        <v>356</v>
      </c>
      <c r="H368" s="16">
        <v>0</v>
      </c>
      <c r="I368" s="4">
        <f>VLOOKUP(C368,[1]sheet1!$D:$I,6,0)</f>
        <v>0</v>
      </c>
      <c r="J368" s="4">
        <f>VLOOKUP(C368,[2]sheet1!$D:$I,6,0)</f>
        <v>0</v>
      </c>
      <c r="K368" s="4">
        <f>VLOOKUP(C368,[3]sheet1!$D:$I,6,0)</f>
        <v>0</v>
      </c>
      <c r="L368" s="4">
        <f>VLOOKUP(C368,[4]sheet1!$D:$I,6,0)</f>
        <v>0</v>
      </c>
      <c r="M368" s="4">
        <f>VLOOKUP(C368,[5]sheet1!$D:$I,6,0)</f>
        <v>0</v>
      </c>
      <c r="N368" s="4">
        <f>VLOOKUP(C368,[6]sheet1!$D:$I,6,0)</f>
        <v>0</v>
      </c>
      <c r="O368" s="4">
        <f>VLOOKUP(C368,[7]sheet1!$D:$I,6,0)</f>
        <v>0</v>
      </c>
      <c r="P368" s="4">
        <f>VLOOKUP(C368,[8]sheet1!$D:$I,6,0)</f>
        <v>0</v>
      </c>
      <c r="Q368" s="4">
        <f t="shared" si="5"/>
        <v>0</v>
      </c>
      <c r="R368" s="3">
        <v>0</v>
      </c>
      <c r="S368">
        <v>82</v>
      </c>
      <c r="T368">
        <v>0</v>
      </c>
      <c r="U368" s="3">
        <v>0</v>
      </c>
      <c r="V368" s="3">
        <v>0</v>
      </c>
      <c r="W368">
        <v>0</v>
      </c>
      <c r="X368" s="3">
        <v>0</v>
      </c>
      <c r="Y368">
        <v>0</v>
      </c>
      <c r="Z368" s="3">
        <v>0</v>
      </c>
      <c r="AA368" t="s">
        <v>49</v>
      </c>
      <c r="AB368" s="3">
        <v>800</v>
      </c>
      <c r="AC368" t="s">
        <v>49</v>
      </c>
      <c r="AD368" t="s">
        <v>49</v>
      </c>
      <c r="AE368">
        <v>0</v>
      </c>
      <c r="AF368" s="3">
        <v>0</v>
      </c>
      <c r="AG368" t="s">
        <v>49</v>
      </c>
      <c r="AH368" t="s">
        <v>49</v>
      </c>
      <c r="AI368" t="s">
        <v>49</v>
      </c>
      <c r="AJ368">
        <v>664.19</v>
      </c>
      <c r="AK368" t="s">
        <v>49</v>
      </c>
      <c r="AL368">
        <v>0</v>
      </c>
      <c r="AM368" t="s">
        <v>49</v>
      </c>
      <c r="AN368" s="3">
        <v>6</v>
      </c>
      <c r="AO368" s="19">
        <v>0</v>
      </c>
      <c r="AP368" s="19">
        <v>0</v>
      </c>
      <c r="AQ368" s="19">
        <v>1</v>
      </c>
      <c r="AR368" s="19">
        <v>0.4</v>
      </c>
      <c r="AS368" s="19">
        <v>0</v>
      </c>
      <c r="AT368" s="19">
        <v>0</v>
      </c>
      <c r="AU368" s="3">
        <v>0</v>
      </c>
      <c r="AV368" s="3">
        <v>0</v>
      </c>
      <c r="AW368" s="19">
        <v>0</v>
      </c>
      <c r="AX368" s="3">
        <v>0</v>
      </c>
      <c r="AY368" s="3">
        <v>0</v>
      </c>
    </row>
    <row r="369" spans="1:51">
      <c r="A369" s="3">
        <v>25496617</v>
      </c>
      <c r="B369" t="s">
        <v>623</v>
      </c>
      <c r="C369" t="s">
        <v>624</v>
      </c>
      <c r="D369" t="s">
        <v>44</v>
      </c>
      <c r="E369" t="s">
        <v>619</v>
      </c>
      <c r="F369" t="s">
        <v>65</v>
      </c>
      <c r="G369" t="s">
        <v>47</v>
      </c>
      <c r="H369" s="16">
        <v>0</v>
      </c>
      <c r="I369" s="4">
        <f>VLOOKUP(C369,[1]sheet1!$D:$I,6,0)</f>
        <v>0</v>
      </c>
      <c r="J369" s="4">
        <f>VLOOKUP(C369,[2]sheet1!$D:$I,6,0)</f>
        <v>0</v>
      </c>
      <c r="K369" s="4">
        <f>VLOOKUP(C369,[3]sheet1!$D:$I,6,0)</f>
        <v>0</v>
      </c>
      <c r="L369" s="4">
        <f>VLOOKUP(C369,[4]sheet1!$D:$I,6,0)</f>
        <v>0</v>
      </c>
      <c r="M369" s="4">
        <f>VLOOKUP(C369,[5]sheet1!$D:$I,6,0)</f>
        <v>147</v>
      </c>
      <c r="N369" s="4">
        <f>VLOOKUP(C369,[6]sheet1!$D:$I,6,0)</f>
        <v>0</v>
      </c>
      <c r="O369" s="4">
        <f>VLOOKUP(C369,[7]sheet1!$D:$I,6,0)</f>
        <v>0</v>
      </c>
      <c r="P369" s="4">
        <f>VLOOKUP(C369,[8]sheet1!$D:$I,6,0)</f>
        <v>0</v>
      </c>
      <c r="Q369" s="4">
        <f t="shared" si="5"/>
        <v>147</v>
      </c>
      <c r="R369" s="3">
        <v>0</v>
      </c>
      <c r="S369" s="3">
        <v>2</v>
      </c>
      <c r="T369" s="19">
        <v>0</v>
      </c>
      <c r="U369" s="3">
        <v>0</v>
      </c>
      <c r="V369" s="3">
        <v>0</v>
      </c>
      <c r="W369">
        <v>0</v>
      </c>
      <c r="X369" s="3">
        <v>0</v>
      </c>
      <c r="Y369">
        <v>0</v>
      </c>
      <c r="Z369" s="3">
        <v>0</v>
      </c>
      <c r="AA369" t="s">
        <v>625</v>
      </c>
      <c r="AB369" t="s">
        <v>49</v>
      </c>
      <c r="AC369">
        <v>129.28</v>
      </c>
      <c r="AD369" t="s">
        <v>49</v>
      </c>
      <c r="AE369">
        <v>0</v>
      </c>
      <c r="AF369" s="3">
        <v>0</v>
      </c>
      <c r="AG369" t="s">
        <v>49</v>
      </c>
      <c r="AH369">
        <v>0</v>
      </c>
      <c r="AI369" t="s">
        <v>49</v>
      </c>
      <c r="AJ369" t="s">
        <v>49</v>
      </c>
      <c r="AK369" t="s">
        <v>49</v>
      </c>
      <c r="AL369" t="s">
        <v>49</v>
      </c>
      <c r="AM369" t="s">
        <v>49</v>
      </c>
      <c r="AN369" s="3">
        <v>4</v>
      </c>
      <c r="AO369" s="19">
        <v>0</v>
      </c>
      <c r="AP369" s="19">
        <v>0</v>
      </c>
      <c r="AQ369" s="19">
        <v>0.5</v>
      </c>
      <c r="AR369" s="19">
        <v>0.5</v>
      </c>
      <c r="AS369" s="19">
        <v>0</v>
      </c>
      <c r="AT369" s="19">
        <v>0</v>
      </c>
      <c r="AU369" s="3">
        <v>0</v>
      </c>
      <c r="AV369" s="3">
        <v>0</v>
      </c>
      <c r="AW369" s="19">
        <v>0</v>
      </c>
      <c r="AX369" s="3">
        <v>0</v>
      </c>
      <c r="AY369" s="3">
        <v>0</v>
      </c>
    </row>
    <row r="370" spans="1:51">
      <c r="A370" s="3">
        <v>25494125</v>
      </c>
      <c r="B370" t="s">
        <v>626</v>
      </c>
      <c r="C370" t="s">
        <v>627</v>
      </c>
      <c r="D370" t="s">
        <v>44</v>
      </c>
      <c r="E370" t="s">
        <v>619</v>
      </c>
      <c r="F370" t="s">
        <v>65</v>
      </c>
      <c r="G370" t="s">
        <v>47</v>
      </c>
      <c r="H370" s="16">
        <v>0</v>
      </c>
      <c r="I370" s="4">
        <f>VLOOKUP(C370,[1]sheet1!$D:$I,6,0)</f>
        <v>0</v>
      </c>
      <c r="J370" s="4">
        <f>VLOOKUP(C370,[2]sheet1!$D:$I,6,0)</f>
        <v>0</v>
      </c>
      <c r="K370" s="4">
        <f>VLOOKUP(C370,[3]sheet1!$D:$I,6,0)</f>
        <v>678</v>
      </c>
      <c r="L370" s="4">
        <f>VLOOKUP(C370,[4]sheet1!$D:$I,6,0)</f>
        <v>0</v>
      </c>
      <c r="M370" s="4">
        <f>VLOOKUP(C370,[5]sheet1!$D:$I,6,0)</f>
        <v>0</v>
      </c>
      <c r="N370" s="4">
        <f>VLOOKUP(C370,[6]sheet1!$D:$I,6,0)</f>
        <v>0</v>
      </c>
      <c r="O370" s="4">
        <f>VLOOKUP(C370,[7]sheet1!$D:$I,6,0)</f>
        <v>0</v>
      </c>
      <c r="P370" s="4">
        <f>VLOOKUP(C370,[8]sheet1!$D:$I,6,0)</f>
        <v>434</v>
      </c>
      <c r="Q370" s="4">
        <f t="shared" si="5"/>
        <v>1112</v>
      </c>
      <c r="R370" s="3">
        <v>0</v>
      </c>
      <c r="S370" s="3">
        <v>6</v>
      </c>
      <c r="T370" s="19">
        <v>0</v>
      </c>
      <c r="U370" s="3">
        <v>0</v>
      </c>
      <c r="V370" s="3">
        <v>0</v>
      </c>
      <c r="W370">
        <v>0</v>
      </c>
      <c r="X370" s="3">
        <v>0</v>
      </c>
      <c r="Y370">
        <v>0</v>
      </c>
      <c r="Z370" s="3">
        <v>0</v>
      </c>
      <c r="AA370" t="s">
        <v>118</v>
      </c>
      <c r="AB370" t="s">
        <v>49</v>
      </c>
      <c r="AC370">
        <v>188.08</v>
      </c>
      <c r="AD370" t="s">
        <v>49</v>
      </c>
      <c r="AE370">
        <v>0</v>
      </c>
      <c r="AF370" s="3">
        <v>0</v>
      </c>
      <c r="AG370" t="s">
        <v>49</v>
      </c>
      <c r="AH370">
        <v>0</v>
      </c>
      <c r="AI370" t="s">
        <v>49</v>
      </c>
      <c r="AJ370" t="s">
        <v>49</v>
      </c>
      <c r="AK370" t="s">
        <v>49</v>
      </c>
      <c r="AL370" t="s">
        <v>49</v>
      </c>
      <c r="AM370" t="s">
        <v>49</v>
      </c>
      <c r="AN370" s="3">
        <v>7</v>
      </c>
      <c r="AO370" s="19">
        <v>0</v>
      </c>
      <c r="AP370" s="19">
        <v>0</v>
      </c>
      <c r="AQ370" s="19">
        <v>1</v>
      </c>
      <c r="AR370" s="19">
        <v>1</v>
      </c>
      <c r="AS370" s="19">
        <v>0</v>
      </c>
      <c r="AT370" s="19">
        <v>0</v>
      </c>
      <c r="AU370" s="3">
        <v>0</v>
      </c>
      <c r="AV370" s="3">
        <v>0</v>
      </c>
      <c r="AW370" s="19">
        <v>0</v>
      </c>
      <c r="AX370" s="3">
        <v>0</v>
      </c>
      <c r="AY370" s="3">
        <v>0</v>
      </c>
    </row>
    <row r="371" spans="1:51">
      <c r="A371" s="3">
        <v>25447099</v>
      </c>
      <c r="B371" t="s">
        <v>628</v>
      </c>
      <c r="C371" t="s">
        <v>629</v>
      </c>
      <c r="D371" t="s">
        <v>44</v>
      </c>
      <c r="E371" t="s">
        <v>630</v>
      </c>
      <c r="F371" t="s">
        <v>65</v>
      </c>
      <c r="G371" t="s">
        <v>47</v>
      </c>
      <c r="H371" s="16">
        <v>0</v>
      </c>
      <c r="I371" s="4">
        <f>VLOOKUP(C371,[1]sheet1!$D:$I,6,0)</f>
        <v>0</v>
      </c>
      <c r="J371" s="4">
        <f>VLOOKUP(C371,[2]sheet1!$D:$I,6,0)</f>
        <v>0</v>
      </c>
      <c r="K371" s="4">
        <f>VLOOKUP(C371,[3]sheet1!$D:$I,6,0)</f>
        <v>0</v>
      </c>
      <c r="L371" s="4">
        <f>VLOOKUP(C371,[4]sheet1!$D:$I,6,0)</f>
        <v>0</v>
      </c>
      <c r="M371" s="4">
        <f>VLOOKUP(C371,[5]sheet1!$D:$I,6,0)</f>
        <v>0</v>
      </c>
      <c r="N371" s="4">
        <f>VLOOKUP(C371,[6]sheet1!$D:$I,6,0)</f>
        <v>0</v>
      </c>
      <c r="O371" s="4">
        <f>VLOOKUP(C371,[7]sheet1!$D:$I,6,0)</f>
        <v>0</v>
      </c>
      <c r="P371" s="4">
        <f>VLOOKUP(C371,[8]sheet1!$D:$I,6,0)</f>
        <v>0</v>
      </c>
      <c r="Q371" s="4">
        <f t="shared" si="5"/>
        <v>0</v>
      </c>
      <c r="R371" s="3">
        <v>0</v>
      </c>
      <c r="S371" s="3">
        <v>10</v>
      </c>
      <c r="T371" s="19">
        <v>0</v>
      </c>
      <c r="U371" s="3">
        <v>0</v>
      </c>
      <c r="V371" s="3">
        <v>0</v>
      </c>
      <c r="W371">
        <v>0</v>
      </c>
      <c r="X371" s="3">
        <v>0</v>
      </c>
      <c r="Y371">
        <v>0</v>
      </c>
      <c r="Z371" s="3">
        <v>0</v>
      </c>
      <c r="AA371" t="s">
        <v>49</v>
      </c>
      <c r="AB371" t="s">
        <v>49</v>
      </c>
      <c r="AC371" t="s">
        <v>49</v>
      </c>
      <c r="AD371" t="s">
        <v>49</v>
      </c>
      <c r="AE371">
        <v>0</v>
      </c>
      <c r="AF371" s="3">
        <v>0</v>
      </c>
      <c r="AG371" t="s">
        <v>49</v>
      </c>
      <c r="AH371" t="s">
        <v>49</v>
      </c>
      <c r="AI371" t="s">
        <v>49</v>
      </c>
      <c r="AJ371" t="s">
        <v>49</v>
      </c>
      <c r="AK371" t="s">
        <v>49</v>
      </c>
      <c r="AL371" t="s">
        <v>49</v>
      </c>
      <c r="AM371" t="s">
        <v>49</v>
      </c>
      <c r="AN371" s="3">
        <v>10</v>
      </c>
      <c r="AO371" s="19">
        <v>0</v>
      </c>
      <c r="AP371" s="19">
        <v>0</v>
      </c>
      <c r="AQ371" s="19">
        <v>0.7</v>
      </c>
      <c r="AR371" s="19">
        <v>0.3</v>
      </c>
      <c r="AS371" s="19">
        <v>0</v>
      </c>
      <c r="AT371" s="19">
        <v>0</v>
      </c>
      <c r="AU371" s="3">
        <v>0</v>
      </c>
      <c r="AV371" s="3">
        <v>0</v>
      </c>
      <c r="AW371" s="19">
        <v>0</v>
      </c>
      <c r="AX371" s="3">
        <v>0</v>
      </c>
      <c r="AY371" s="3">
        <v>0</v>
      </c>
    </row>
    <row r="372" spans="1:51">
      <c r="A372" s="3">
        <v>25439463</v>
      </c>
      <c r="B372" t="s">
        <v>631</v>
      </c>
      <c r="C372" s="3">
        <v>105025023</v>
      </c>
      <c r="D372" t="s">
        <v>44</v>
      </c>
      <c r="E372" t="s">
        <v>632</v>
      </c>
      <c r="F372" t="s">
        <v>65</v>
      </c>
      <c r="G372" t="s">
        <v>47</v>
      </c>
      <c r="H372" s="16">
        <v>0</v>
      </c>
      <c r="I372" s="4">
        <f>VLOOKUP(C372,[1]sheet1!$D:$I,6,0)</f>
        <v>0</v>
      </c>
      <c r="J372" s="4">
        <f>VLOOKUP(C372,[2]sheet1!$D:$I,6,0)</f>
        <v>0</v>
      </c>
      <c r="K372" s="4">
        <f>VLOOKUP(C372,[3]sheet1!$D:$I,6,0)</f>
        <v>0</v>
      </c>
      <c r="L372" s="4">
        <f>VLOOKUP(C372,[4]sheet1!$D:$I,6,0)</f>
        <v>0</v>
      </c>
      <c r="M372" s="4">
        <f>VLOOKUP(C372,[5]sheet1!$D:$I,6,0)</f>
        <v>0</v>
      </c>
      <c r="N372" s="4">
        <f>VLOOKUP(C372,[6]sheet1!$D:$I,6,0)</f>
        <v>0</v>
      </c>
      <c r="O372" s="4">
        <f>VLOOKUP(C372,[7]sheet1!$D:$I,6,0)</f>
        <v>0</v>
      </c>
      <c r="P372" s="4">
        <f>VLOOKUP(C372,[8]sheet1!$D:$I,6,0)</f>
        <v>0</v>
      </c>
      <c r="Q372" s="4">
        <f t="shared" si="5"/>
        <v>0</v>
      </c>
      <c r="R372" s="3">
        <v>0</v>
      </c>
      <c r="S372" s="3">
        <v>4</v>
      </c>
      <c r="T372" s="19">
        <v>0</v>
      </c>
      <c r="U372" s="3">
        <v>0</v>
      </c>
      <c r="V372" s="3">
        <v>0</v>
      </c>
      <c r="W372">
        <v>0</v>
      </c>
      <c r="X372" s="3">
        <v>0</v>
      </c>
      <c r="Y372">
        <v>0</v>
      </c>
      <c r="Z372" s="3">
        <v>0</v>
      </c>
      <c r="AA372" t="s">
        <v>633</v>
      </c>
      <c r="AB372" t="s">
        <v>49</v>
      </c>
      <c r="AC372">
        <v>366.08</v>
      </c>
      <c r="AD372" t="s">
        <v>49</v>
      </c>
      <c r="AE372">
        <v>0</v>
      </c>
      <c r="AF372" s="3">
        <v>0</v>
      </c>
      <c r="AG372" t="s">
        <v>49</v>
      </c>
      <c r="AH372">
        <v>0</v>
      </c>
      <c r="AI372" t="s">
        <v>49</v>
      </c>
      <c r="AJ372" t="s">
        <v>49</v>
      </c>
      <c r="AK372" t="s">
        <v>49</v>
      </c>
      <c r="AL372" t="s">
        <v>49</v>
      </c>
      <c r="AM372" t="s">
        <v>49</v>
      </c>
      <c r="AN372" s="3">
        <v>4</v>
      </c>
      <c r="AO372" s="19">
        <v>0</v>
      </c>
      <c r="AP372" s="19">
        <v>0</v>
      </c>
      <c r="AQ372" s="19">
        <v>0.5</v>
      </c>
      <c r="AR372" s="19">
        <v>0.5</v>
      </c>
      <c r="AS372" s="19">
        <v>0</v>
      </c>
      <c r="AT372" s="19">
        <v>0</v>
      </c>
      <c r="AU372" s="3">
        <v>0</v>
      </c>
      <c r="AV372" s="3">
        <v>0</v>
      </c>
      <c r="AW372" s="19">
        <v>0</v>
      </c>
      <c r="AX372" s="3">
        <v>0</v>
      </c>
      <c r="AY372" s="3">
        <v>0</v>
      </c>
    </row>
    <row r="373" spans="1:51">
      <c r="A373" s="3">
        <v>25303705</v>
      </c>
      <c r="B373" t="s">
        <v>634</v>
      </c>
      <c r="C373" s="3">
        <v>165025027</v>
      </c>
      <c r="D373" t="s">
        <v>44</v>
      </c>
      <c r="E373" t="s">
        <v>78</v>
      </c>
      <c r="F373" t="s">
        <v>65</v>
      </c>
      <c r="G373" t="s">
        <v>47</v>
      </c>
      <c r="H373" s="16">
        <v>0</v>
      </c>
      <c r="I373" s="4">
        <f>VLOOKUP(C373,[1]sheet1!$D:$I,6,0)</f>
        <v>0</v>
      </c>
      <c r="J373" s="4">
        <f>VLOOKUP(C373,[2]sheet1!$D:$I,6,0)</f>
        <v>0</v>
      </c>
      <c r="K373" s="4">
        <f>VLOOKUP(C373,[3]sheet1!$D:$I,6,0)</f>
        <v>0</v>
      </c>
      <c r="L373" s="4">
        <f>VLOOKUP(C373,[4]sheet1!$D:$I,6,0)</f>
        <v>0</v>
      </c>
      <c r="M373" s="4">
        <f>VLOOKUP(C373,[5]sheet1!$D:$I,6,0)</f>
        <v>0</v>
      </c>
      <c r="N373" s="4">
        <f>VLOOKUP(C373,[6]sheet1!$D:$I,6,0)</f>
        <v>0</v>
      </c>
      <c r="O373" s="4">
        <f>VLOOKUP(C373,[7]sheet1!$D:$I,6,0)</f>
        <v>0</v>
      </c>
      <c r="P373" s="4">
        <f>VLOOKUP(C373,[8]sheet1!$D:$I,6,0)</f>
        <v>0</v>
      </c>
      <c r="Q373" s="4">
        <f t="shared" si="5"/>
        <v>0</v>
      </c>
      <c r="R373" s="3">
        <v>0</v>
      </c>
      <c r="S373" s="3">
        <v>5</v>
      </c>
      <c r="T373" s="19">
        <v>0</v>
      </c>
      <c r="U373" s="3">
        <v>0</v>
      </c>
      <c r="V373" s="3">
        <v>0</v>
      </c>
      <c r="W373">
        <v>0</v>
      </c>
      <c r="X373" s="3">
        <v>0</v>
      </c>
      <c r="Y373">
        <v>0</v>
      </c>
      <c r="Z373" s="3">
        <v>0</v>
      </c>
      <c r="AA373" t="s">
        <v>635</v>
      </c>
      <c r="AB373" t="s">
        <v>49</v>
      </c>
      <c r="AC373">
        <v>140.32</v>
      </c>
      <c r="AD373" t="s">
        <v>49</v>
      </c>
      <c r="AE373">
        <v>0</v>
      </c>
      <c r="AF373" s="3">
        <v>0</v>
      </c>
      <c r="AG373" t="s">
        <v>49</v>
      </c>
      <c r="AH373">
        <v>0</v>
      </c>
      <c r="AI373" t="s">
        <v>49</v>
      </c>
      <c r="AJ373" t="s">
        <v>49</v>
      </c>
      <c r="AK373" t="s">
        <v>49</v>
      </c>
      <c r="AL373" t="s">
        <v>49</v>
      </c>
      <c r="AM373" t="s">
        <v>49</v>
      </c>
      <c r="AN373" s="3">
        <v>5</v>
      </c>
      <c r="AO373" s="19">
        <v>0</v>
      </c>
      <c r="AP373" s="19">
        <v>0</v>
      </c>
      <c r="AQ373" s="19">
        <v>1</v>
      </c>
      <c r="AR373" s="19">
        <v>0.6</v>
      </c>
      <c r="AS373" s="19">
        <v>0</v>
      </c>
      <c r="AT373" s="19">
        <v>0</v>
      </c>
      <c r="AU373" s="3">
        <v>0</v>
      </c>
      <c r="AV373" s="3">
        <v>0</v>
      </c>
      <c r="AW373" s="19">
        <v>0</v>
      </c>
      <c r="AX373" s="3">
        <v>0</v>
      </c>
      <c r="AY373" s="3">
        <v>0</v>
      </c>
    </row>
    <row r="374" spans="1:51">
      <c r="A374" s="3">
        <v>25226712</v>
      </c>
      <c r="B374" t="s">
        <v>636</v>
      </c>
      <c r="C374" s="3">
        <v>125316033</v>
      </c>
      <c r="D374" t="s">
        <v>44</v>
      </c>
      <c r="E374" t="s">
        <v>461</v>
      </c>
      <c r="F374" t="s">
        <v>46</v>
      </c>
      <c r="G374" t="s">
        <v>47</v>
      </c>
      <c r="H374" s="16">
        <v>0</v>
      </c>
      <c r="I374" s="4">
        <f>VLOOKUP(C374,[1]sheet1!$D:$I,6,0)</f>
        <v>221</v>
      </c>
      <c r="J374" s="4">
        <f>VLOOKUP(C374,[2]sheet1!$D:$I,6,0)</f>
        <v>0</v>
      </c>
      <c r="K374" s="4">
        <f>VLOOKUP(C374,[3]sheet1!$D:$I,6,0)</f>
        <v>0</v>
      </c>
      <c r="L374" s="4">
        <f>VLOOKUP(C374,[4]sheet1!$D:$I,6,0)</f>
        <v>0</v>
      </c>
      <c r="M374" s="4">
        <f>VLOOKUP(C374,[5]sheet1!$D:$I,6,0)</f>
        <v>0</v>
      </c>
      <c r="N374" s="4">
        <f>VLOOKUP(C374,[6]sheet1!$D:$I,6,0)</f>
        <v>0</v>
      </c>
      <c r="O374" s="4">
        <f>VLOOKUP(C374,[7]sheet1!$D:$I,6,0)</f>
        <v>0</v>
      </c>
      <c r="P374" s="4">
        <f>VLOOKUP(C374,[8]sheet1!$D:$I,6,0)</f>
        <v>213</v>
      </c>
      <c r="Q374" s="4">
        <f t="shared" si="5"/>
        <v>434</v>
      </c>
      <c r="R374" s="3">
        <v>0</v>
      </c>
      <c r="S374">
        <v>184</v>
      </c>
      <c r="T374">
        <v>0</v>
      </c>
      <c r="U374" s="3">
        <v>1</v>
      </c>
      <c r="V374" s="3">
        <v>0</v>
      </c>
      <c r="W374">
        <v>0</v>
      </c>
      <c r="X374" s="3">
        <v>0</v>
      </c>
      <c r="Y374">
        <v>0</v>
      </c>
      <c r="Z374" s="3">
        <v>0</v>
      </c>
      <c r="AA374" t="s">
        <v>52</v>
      </c>
      <c r="AB374" s="3">
        <v>254</v>
      </c>
      <c r="AC374">
        <v>242.74</v>
      </c>
      <c r="AD374" t="s">
        <v>49</v>
      </c>
      <c r="AE374">
        <v>0</v>
      </c>
      <c r="AF374" s="3">
        <v>0</v>
      </c>
      <c r="AG374" t="s">
        <v>49</v>
      </c>
      <c r="AH374">
        <v>0</v>
      </c>
      <c r="AI374" t="s">
        <v>49</v>
      </c>
      <c r="AJ374">
        <v>212.29</v>
      </c>
      <c r="AK374" t="s">
        <v>49</v>
      </c>
      <c r="AL374">
        <v>0</v>
      </c>
      <c r="AM374" t="s">
        <v>49</v>
      </c>
      <c r="AN374" s="3">
        <v>27</v>
      </c>
      <c r="AO374" s="19">
        <v>0</v>
      </c>
      <c r="AP374" s="19">
        <v>0</v>
      </c>
      <c r="AQ374" s="19">
        <v>0.84</v>
      </c>
      <c r="AR374" s="19">
        <v>0.4</v>
      </c>
      <c r="AS374" s="19">
        <v>1</v>
      </c>
      <c r="AT374" s="19">
        <v>1</v>
      </c>
      <c r="AU374" s="3">
        <v>0</v>
      </c>
      <c r="AV374" s="3">
        <v>0</v>
      </c>
      <c r="AW374" s="19">
        <v>0</v>
      </c>
      <c r="AX374" s="3">
        <v>0</v>
      </c>
      <c r="AY374" s="3">
        <v>0</v>
      </c>
    </row>
    <row r="375" spans="1:51">
      <c r="A375" s="3">
        <v>25121452</v>
      </c>
      <c r="B375" t="s">
        <v>637</v>
      </c>
      <c r="C375" t="s">
        <v>638</v>
      </c>
      <c r="D375" t="s">
        <v>44</v>
      </c>
      <c r="E375" t="s">
        <v>141</v>
      </c>
      <c r="F375" t="s">
        <v>46</v>
      </c>
      <c r="G375" t="s">
        <v>47</v>
      </c>
      <c r="H375" s="16">
        <v>0</v>
      </c>
      <c r="I375" s="4">
        <f>VLOOKUP(C375,[1]sheet1!$D:$I,6,0)</f>
        <v>0</v>
      </c>
      <c r="J375" s="4">
        <f>VLOOKUP(C375,[2]sheet1!$D:$I,6,0)</f>
        <v>0</v>
      </c>
      <c r="K375" s="4">
        <f>VLOOKUP(C375,[3]sheet1!$D:$I,6,0)</f>
        <v>0</v>
      </c>
      <c r="L375" s="4">
        <f>VLOOKUP(C375,[4]sheet1!$D:$I,6,0)</f>
        <v>972</v>
      </c>
      <c r="M375" s="4">
        <f>VLOOKUP(C375,[5]sheet1!$D:$I,6,0)</f>
        <v>0</v>
      </c>
      <c r="N375" s="4">
        <f>VLOOKUP(C375,[6]sheet1!$D:$I,6,0)</f>
        <v>962</v>
      </c>
      <c r="O375" s="4">
        <f>VLOOKUP(C375,[7]sheet1!$D:$I,6,0)</f>
        <v>972</v>
      </c>
      <c r="P375" s="4">
        <f>VLOOKUP(C375,[8]sheet1!$D:$I,6,0)</f>
        <v>972</v>
      </c>
      <c r="Q375" s="4">
        <f t="shared" si="5"/>
        <v>3878</v>
      </c>
      <c r="R375" s="3">
        <v>0</v>
      </c>
      <c r="S375">
        <v>265</v>
      </c>
      <c r="T375">
        <v>0</v>
      </c>
      <c r="U375" s="3">
        <v>1</v>
      </c>
      <c r="V375" s="3">
        <v>0</v>
      </c>
      <c r="W375">
        <v>0</v>
      </c>
      <c r="X375" s="3">
        <v>0</v>
      </c>
      <c r="Y375">
        <v>0</v>
      </c>
      <c r="Z375" s="3">
        <v>0</v>
      </c>
      <c r="AA375" t="s">
        <v>225</v>
      </c>
      <c r="AB375" s="3">
        <v>767</v>
      </c>
      <c r="AC375">
        <v>849.91</v>
      </c>
      <c r="AD375" t="s">
        <v>49</v>
      </c>
      <c r="AE375">
        <v>0</v>
      </c>
      <c r="AF375" s="3">
        <v>0</v>
      </c>
      <c r="AG375" t="s">
        <v>49</v>
      </c>
      <c r="AH375">
        <v>0</v>
      </c>
      <c r="AI375" t="s">
        <v>49</v>
      </c>
      <c r="AJ375">
        <v>655.9</v>
      </c>
      <c r="AK375" t="s">
        <v>49</v>
      </c>
      <c r="AL375">
        <v>0</v>
      </c>
      <c r="AM375" t="s">
        <v>49</v>
      </c>
      <c r="AN375" s="3">
        <v>64</v>
      </c>
      <c r="AO375" s="19">
        <v>0</v>
      </c>
      <c r="AP375" s="19">
        <v>0</v>
      </c>
      <c r="AQ375" s="19">
        <v>0.8269</v>
      </c>
      <c r="AR375" s="19">
        <v>0.4038</v>
      </c>
      <c r="AS375" s="19">
        <v>0</v>
      </c>
      <c r="AT375" s="19">
        <v>0</v>
      </c>
      <c r="AU375" s="3">
        <v>0</v>
      </c>
      <c r="AV375" s="3">
        <v>0</v>
      </c>
      <c r="AW375" s="19">
        <v>0</v>
      </c>
      <c r="AX375" s="3">
        <v>0</v>
      </c>
      <c r="AY375" s="3">
        <v>0</v>
      </c>
    </row>
    <row r="376" spans="1:51">
      <c r="A376" s="3">
        <v>25046447</v>
      </c>
      <c r="B376" t="s">
        <v>639</v>
      </c>
      <c r="C376" t="s">
        <v>640</v>
      </c>
      <c r="D376" t="s">
        <v>44</v>
      </c>
      <c r="E376" t="s">
        <v>141</v>
      </c>
      <c r="F376" t="s">
        <v>46</v>
      </c>
      <c r="G376" t="s">
        <v>47</v>
      </c>
      <c r="H376" s="16">
        <v>0</v>
      </c>
      <c r="I376" s="4">
        <f>VLOOKUP(C376,[1]sheet1!$D:$I,6,0)</f>
        <v>0</v>
      </c>
      <c r="J376" s="4">
        <f>VLOOKUP(C376,[2]sheet1!$D:$I,6,0)</f>
        <v>0</v>
      </c>
      <c r="K376" s="4">
        <f>VLOOKUP(C376,[3]sheet1!$D:$I,6,0)</f>
        <v>0</v>
      </c>
      <c r="L376" s="4">
        <f>VLOOKUP(C376,[4]sheet1!$D:$I,6,0)</f>
        <v>672</v>
      </c>
      <c r="M376" s="4">
        <f>VLOOKUP(C376,[5]sheet1!$D:$I,6,0)</f>
        <v>0</v>
      </c>
      <c r="N376" s="4">
        <f>VLOOKUP(C376,[6]sheet1!$D:$I,6,0)</f>
        <v>662</v>
      </c>
      <c r="O376" s="4">
        <f>VLOOKUP(C376,[7]sheet1!$D:$I,6,0)</f>
        <v>0</v>
      </c>
      <c r="P376" s="4">
        <f>VLOOKUP(C376,[8]sheet1!$D:$I,6,0)</f>
        <v>0</v>
      </c>
      <c r="Q376" s="4">
        <f t="shared" si="5"/>
        <v>1334</v>
      </c>
      <c r="R376" s="3">
        <v>0</v>
      </c>
      <c r="S376">
        <v>252</v>
      </c>
      <c r="T376">
        <v>0</v>
      </c>
      <c r="U376" s="3">
        <v>0</v>
      </c>
      <c r="V376" s="3">
        <v>0</v>
      </c>
      <c r="W376">
        <v>0</v>
      </c>
      <c r="X376" s="3">
        <v>0</v>
      </c>
      <c r="Y376">
        <v>0</v>
      </c>
      <c r="Z376" s="3">
        <v>0</v>
      </c>
      <c r="AA376" t="s">
        <v>105</v>
      </c>
      <c r="AB376" s="3">
        <v>565</v>
      </c>
      <c r="AC376">
        <v>588.91</v>
      </c>
      <c r="AD376" t="s">
        <v>49</v>
      </c>
      <c r="AE376">
        <v>0</v>
      </c>
      <c r="AF376" s="3">
        <v>0</v>
      </c>
      <c r="AG376" t="s">
        <v>49</v>
      </c>
      <c r="AH376">
        <v>0</v>
      </c>
      <c r="AI376" t="s">
        <v>49</v>
      </c>
      <c r="AJ376">
        <v>480.16</v>
      </c>
      <c r="AK376" t="s">
        <v>49</v>
      </c>
      <c r="AL376">
        <v>0</v>
      </c>
      <c r="AM376" t="s">
        <v>49</v>
      </c>
      <c r="AN376" s="3">
        <v>56</v>
      </c>
      <c r="AO376" s="19">
        <v>0</v>
      </c>
      <c r="AP376" s="19">
        <v>0</v>
      </c>
      <c r="AQ376" s="19">
        <v>0.9149</v>
      </c>
      <c r="AR376" s="19">
        <v>0.4894</v>
      </c>
      <c r="AS376" s="19">
        <v>0</v>
      </c>
      <c r="AT376" s="19">
        <v>0</v>
      </c>
      <c r="AU376" s="3">
        <v>0</v>
      </c>
      <c r="AV376" s="3">
        <v>0</v>
      </c>
      <c r="AW376" s="19">
        <v>0</v>
      </c>
      <c r="AX376" s="3">
        <v>0</v>
      </c>
      <c r="AY376" s="3">
        <v>0</v>
      </c>
    </row>
    <row r="377" spans="1:51">
      <c r="A377" s="3">
        <v>25031519</v>
      </c>
      <c r="B377" t="s">
        <v>641</v>
      </c>
      <c r="C377" t="s">
        <v>642</v>
      </c>
      <c r="D377" t="s">
        <v>44</v>
      </c>
      <c r="E377" t="s">
        <v>141</v>
      </c>
      <c r="F377" t="s">
        <v>46</v>
      </c>
      <c r="G377" t="s">
        <v>47</v>
      </c>
      <c r="H377" s="16">
        <v>0</v>
      </c>
      <c r="I377" s="4">
        <f>VLOOKUP(C377,[1]sheet1!$D:$I,6,0)</f>
        <v>0</v>
      </c>
      <c r="J377" s="4">
        <f>VLOOKUP(C377,[2]sheet1!$D:$I,6,0)</f>
        <v>0</v>
      </c>
      <c r="K377" s="4">
        <f>VLOOKUP(C377,[3]sheet1!$D:$I,6,0)</f>
        <v>0</v>
      </c>
      <c r="L377" s="4">
        <f>VLOOKUP(C377,[4]sheet1!$D:$I,6,0)</f>
        <v>0</v>
      </c>
      <c r="M377" s="4">
        <f>VLOOKUP(C377,[5]sheet1!$D:$I,6,0)</f>
        <v>0</v>
      </c>
      <c r="N377" s="4">
        <f>VLOOKUP(C377,[6]sheet1!$D:$I,6,0)</f>
        <v>0</v>
      </c>
      <c r="O377" s="4">
        <f>VLOOKUP(C377,[7]sheet1!$D:$I,6,0)</f>
        <v>0</v>
      </c>
      <c r="P377" s="4">
        <f>VLOOKUP(C377,[8]sheet1!$D:$I,6,0)</f>
        <v>0</v>
      </c>
      <c r="Q377" s="4">
        <f t="shared" si="5"/>
        <v>0</v>
      </c>
      <c r="R377" s="3">
        <v>0</v>
      </c>
      <c r="S377">
        <v>255</v>
      </c>
      <c r="T377">
        <v>0</v>
      </c>
      <c r="U377" s="3">
        <v>1</v>
      </c>
      <c r="V377" s="3">
        <v>0</v>
      </c>
      <c r="W377">
        <v>0</v>
      </c>
      <c r="X377" s="3">
        <v>0</v>
      </c>
      <c r="Y377">
        <v>0</v>
      </c>
      <c r="Z377" s="3">
        <v>0</v>
      </c>
      <c r="AA377" t="s">
        <v>274</v>
      </c>
      <c r="AB377" s="3">
        <v>889</v>
      </c>
      <c r="AC377">
        <v>762.91</v>
      </c>
      <c r="AD377" t="s">
        <v>49</v>
      </c>
      <c r="AE377">
        <v>0</v>
      </c>
      <c r="AF377" s="3">
        <v>0</v>
      </c>
      <c r="AG377" t="s">
        <v>49</v>
      </c>
      <c r="AH377">
        <v>0</v>
      </c>
      <c r="AI377" t="s">
        <v>49</v>
      </c>
      <c r="AJ377">
        <v>762.04</v>
      </c>
      <c r="AK377" t="s">
        <v>49</v>
      </c>
      <c r="AL377">
        <v>0</v>
      </c>
      <c r="AM377" t="s">
        <v>49</v>
      </c>
      <c r="AN377" s="3">
        <v>57</v>
      </c>
      <c r="AO377" s="19">
        <v>0</v>
      </c>
      <c r="AP377" s="19">
        <v>0</v>
      </c>
      <c r="AQ377" s="19">
        <v>0.8542</v>
      </c>
      <c r="AR377" s="19">
        <v>0.4375</v>
      </c>
      <c r="AS377" s="19">
        <v>1</v>
      </c>
      <c r="AT377" s="19">
        <v>0</v>
      </c>
      <c r="AU377" s="3">
        <v>0</v>
      </c>
      <c r="AV377" s="3">
        <v>0</v>
      </c>
      <c r="AW377" s="19">
        <v>0</v>
      </c>
      <c r="AX377" s="3">
        <v>0</v>
      </c>
      <c r="AY377" s="3">
        <v>0</v>
      </c>
    </row>
    <row r="378" spans="1:51">
      <c r="A378" s="3">
        <v>25023484</v>
      </c>
      <c r="B378" t="s">
        <v>643</v>
      </c>
      <c r="C378" s="3">
        <v>115306017</v>
      </c>
      <c r="D378" t="s">
        <v>44</v>
      </c>
      <c r="E378" t="s">
        <v>143</v>
      </c>
      <c r="F378" t="s">
        <v>46</v>
      </c>
      <c r="G378" t="s">
        <v>47</v>
      </c>
      <c r="H378" s="16">
        <v>0</v>
      </c>
      <c r="I378" s="4">
        <f>VLOOKUP(C378,[1]sheet1!$D:$I,6,0)</f>
        <v>0</v>
      </c>
      <c r="J378" s="4">
        <f>VLOOKUP(C378,[2]sheet1!$D:$I,6,0)</f>
        <v>0</v>
      </c>
      <c r="K378" s="4">
        <f>VLOOKUP(C378,[3]sheet1!$D:$I,6,0)</f>
        <v>0</v>
      </c>
      <c r="L378" s="4">
        <f>VLOOKUP(C378,[4]sheet1!$D:$I,6,0)</f>
        <v>0</v>
      </c>
      <c r="M378" s="4">
        <f>VLOOKUP(C378,[5]sheet1!$D:$I,6,0)</f>
        <v>0</v>
      </c>
      <c r="N378" s="4">
        <f>VLOOKUP(C378,[6]sheet1!$D:$I,6,0)</f>
        <v>0</v>
      </c>
      <c r="O378" s="4">
        <f>VLOOKUP(C378,[7]sheet1!$D:$I,6,0)</f>
        <v>0</v>
      </c>
      <c r="P378" s="4">
        <f>VLOOKUP(C378,[8]sheet1!$D:$I,6,0)</f>
        <v>0</v>
      </c>
      <c r="Q378" s="15">
        <f t="shared" si="5"/>
        <v>0</v>
      </c>
      <c r="R378" s="3">
        <v>0</v>
      </c>
      <c r="S378">
        <v>133</v>
      </c>
      <c r="T378">
        <v>0</v>
      </c>
      <c r="U378" s="3">
        <v>1</v>
      </c>
      <c r="V378" s="3">
        <v>0</v>
      </c>
      <c r="W378">
        <v>0</v>
      </c>
      <c r="X378" s="3">
        <v>0</v>
      </c>
      <c r="Y378">
        <v>0</v>
      </c>
      <c r="Z378" s="3">
        <v>0</v>
      </c>
      <c r="AA378" t="s">
        <v>411</v>
      </c>
      <c r="AB378" s="3">
        <v>324</v>
      </c>
      <c r="AC378">
        <v>328.22</v>
      </c>
      <c r="AD378" t="s">
        <v>49</v>
      </c>
      <c r="AE378">
        <v>0</v>
      </c>
      <c r="AF378" s="3">
        <v>0</v>
      </c>
      <c r="AG378" t="s">
        <v>49</v>
      </c>
      <c r="AH378">
        <v>0</v>
      </c>
      <c r="AI378" t="s">
        <v>49</v>
      </c>
      <c r="AJ378">
        <v>271.67</v>
      </c>
      <c r="AK378" t="s">
        <v>49</v>
      </c>
      <c r="AL378">
        <v>0</v>
      </c>
      <c r="AM378" t="s">
        <v>49</v>
      </c>
      <c r="AN378" s="3">
        <v>13</v>
      </c>
      <c r="AO378" s="19">
        <v>0</v>
      </c>
      <c r="AP378" s="19">
        <v>0</v>
      </c>
      <c r="AQ378" s="19">
        <v>1</v>
      </c>
      <c r="AR378" s="19">
        <v>0.1538</v>
      </c>
      <c r="AS378" s="19">
        <v>1</v>
      </c>
      <c r="AT378" s="19">
        <v>1</v>
      </c>
      <c r="AU378" s="3">
        <v>0</v>
      </c>
      <c r="AV378" s="3">
        <v>0</v>
      </c>
      <c r="AW378" s="19">
        <v>0</v>
      </c>
      <c r="AX378" s="3">
        <v>0</v>
      </c>
      <c r="AY378" s="3">
        <v>0</v>
      </c>
    </row>
    <row r="379" spans="1:51">
      <c r="A379" s="3">
        <v>25010913</v>
      </c>
      <c r="B379" t="s">
        <v>644</v>
      </c>
      <c r="C379" s="3">
        <v>125306018</v>
      </c>
      <c r="D379" t="s">
        <v>44</v>
      </c>
      <c r="E379" t="s">
        <v>138</v>
      </c>
      <c r="F379" t="s">
        <v>46</v>
      </c>
      <c r="G379" t="s">
        <v>47</v>
      </c>
      <c r="H379" s="16">
        <v>0</v>
      </c>
      <c r="I379" s="4">
        <f>VLOOKUP(C379,[1]sheet1!$D:$I,6,0)</f>
        <v>0</v>
      </c>
      <c r="J379" s="4">
        <f>VLOOKUP(C379,[2]sheet1!$D:$I,6,0)</f>
        <v>0</v>
      </c>
      <c r="K379" s="4">
        <f>VLOOKUP(C379,[3]sheet1!$D:$I,6,0)</f>
        <v>361</v>
      </c>
      <c r="L379" s="4">
        <f>VLOOKUP(C379,[4]sheet1!$D:$I,6,0)</f>
        <v>0</v>
      </c>
      <c r="M379" s="4">
        <f>VLOOKUP(C379,[5]sheet1!$D:$I,6,0)</f>
        <v>0</v>
      </c>
      <c r="N379" s="4">
        <f>VLOOKUP(C379,[6]sheet1!$D:$I,6,0)</f>
        <v>0</v>
      </c>
      <c r="O379" s="4">
        <f>VLOOKUP(C379,[7]sheet1!$D:$I,6,0)</f>
        <v>0</v>
      </c>
      <c r="P379" s="4">
        <f>VLOOKUP(C379,[8]sheet1!$D:$I,6,0)</f>
        <v>0</v>
      </c>
      <c r="Q379" s="15">
        <f t="shared" si="5"/>
        <v>361</v>
      </c>
      <c r="R379" s="3">
        <v>0</v>
      </c>
      <c r="S379">
        <v>180</v>
      </c>
      <c r="T379">
        <v>0</v>
      </c>
      <c r="U379" s="3">
        <v>1</v>
      </c>
      <c r="V379" s="3">
        <v>0</v>
      </c>
      <c r="W379">
        <v>0</v>
      </c>
      <c r="X379" s="3">
        <v>0</v>
      </c>
      <c r="Y379">
        <v>0</v>
      </c>
      <c r="Z379" s="3">
        <v>0</v>
      </c>
      <c r="AA379" t="s">
        <v>411</v>
      </c>
      <c r="AB379" s="3">
        <v>349</v>
      </c>
      <c r="AC379">
        <v>326.24</v>
      </c>
      <c r="AD379" t="s">
        <v>49</v>
      </c>
      <c r="AE379">
        <v>0</v>
      </c>
      <c r="AF379" s="3">
        <v>0</v>
      </c>
      <c r="AG379" t="s">
        <v>49</v>
      </c>
      <c r="AH379">
        <v>0</v>
      </c>
      <c r="AI379" t="s">
        <v>49</v>
      </c>
      <c r="AJ379">
        <v>291.44</v>
      </c>
      <c r="AK379" t="s">
        <v>49</v>
      </c>
      <c r="AL379">
        <v>0</v>
      </c>
      <c r="AM379" t="s">
        <v>49</v>
      </c>
      <c r="AN379" s="3">
        <v>28</v>
      </c>
      <c r="AO379" s="19">
        <v>0</v>
      </c>
      <c r="AP379" s="19">
        <v>0</v>
      </c>
      <c r="AQ379" s="19">
        <v>0.9583</v>
      </c>
      <c r="AR379" s="19">
        <v>0.5417</v>
      </c>
      <c r="AS379" s="19">
        <v>1</v>
      </c>
      <c r="AT379" s="19">
        <v>0</v>
      </c>
      <c r="AU379" s="3">
        <v>0</v>
      </c>
      <c r="AV379" s="3">
        <v>0</v>
      </c>
      <c r="AW379" s="19">
        <v>0</v>
      </c>
      <c r="AX379" s="3">
        <v>0</v>
      </c>
      <c r="AY379" s="3">
        <v>0</v>
      </c>
    </row>
    <row r="380" spans="1:51">
      <c r="A380" s="3">
        <v>24911223</v>
      </c>
      <c r="B380" t="s">
        <v>645</v>
      </c>
      <c r="C380" s="3">
        <v>105101023</v>
      </c>
      <c r="D380" t="s">
        <v>44</v>
      </c>
      <c r="E380" t="s">
        <v>104</v>
      </c>
      <c r="F380" t="s">
        <v>46</v>
      </c>
      <c r="G380" t="s">
        <v>47</v>
      </c>
      <c r="H380" s="16">
        <v>0</v>
      </c>
      <c r="I380" s="4">
        <f>VLOOKUP(C380,[1]sheet1!$D:$I,6,0)</f>
        <v>0</v>
      </c>
      <c r="J380" s="4">
        <f>VLOOKUP(C380,[2]sheet1!$D:$I,6,0)</f>
        <v>0</v>
      </c>
      <c r="K380" s="4">
        <f>VLOOKUP(C380,[3]sheet1!$D:$I,6,0)</f>
        <v>0</v>
      </c>
      <c r="L380" s="4">
        <f>VLOOKUP(C380,[4]sheet1!$D:$I,6,0)</f>
        <v>0</v>
      </c>
      <c r="M380" s="4">
        <f>VLOOKUP(C380,[5]sheet1!$D:$I,6,0)</f>
        <v>0</v>
      </c>
      <c r="N380" s="4">
        <f>VLOOKUP(C380,[6]sheet1!$D:$I,6,0)</f>
        <v>0</v>
      </c>
      <c r="O380" s="4">
        <f>VLOOKUP(C380,[7]sheet1!$D:$I,6,0)</f>
        <v>0</v>
      </c>
      <c r="P380" s="4">
        <f>VLOOKUP(C380,[8]sheet1!$D:$I,6,0)</f>
        <v>0</v>
      </c>
      <c r="Q380" s="4">
        <f t="shared" si="5"/>
        <v>0</v>
      </c>
      <c r="R380" s="3">
        <v>0</v>
      </c>
      <c r="S380">
        <v>478</v>
      </c>
      <c r="T380">
        <v>0</v>
      </c>
      <c r="U380" s="3">
        <v>2</v>
      </c>
      <c r="V380" s="3">
        <v>0</v>
      </c>
      <c r="W380">
        <v>0</v>
      </c>
      <c r="X380" s="3">
        <v>0</v>
      </c>
      <c r="Y380">
        <v>0</v>
      </c>
      <c r="Z380" s="3">
        <v>0</v>
      </c>
      <c r="AA380" t="s">
        <v>646</v>
      </c>
      <c r="AB380" s="3">
        <v>1649</v>
      </c>
      <c r="AC380">
        <v>1643.39</v>
      </c>
      <c r="AD380" t="s">
        <v>49</v>
      </c>
      <c r="AE380">
        <v>0</v>
      </c>
      <c r="AF380" s="3">
        <v>0</v>
      </c>
      <c r="AG380" t="s">
        <v>49</v>
      </c>
      <c r="AH380">
        <v>0</v>
      </c>
      <c r="AI380" t="s">
        <v>49</v>
      </c>
      <c r="AJ380">
        <v>1425.02</v>
      </c>
      <c r="AK380" t="s">
        <v>49</v>
      </c>
      <c r="AL380">
        <v>0</v>
      </c>
      <c r="AM380" t="s">
        <v>49</v>
      </c>
      <c r="AN380">
        <v>528</v>
      </c>
      <c r="AO380" s="19">
        <v>0</v>
      </c>
      <c r="AP380" s="19">
        <v>0</v>
      </c>
      <c r="AQ380" s="19">
        <v>0.8225</v>
      </c>
      <c r="AR380" s="19">
        <v>0.5385</v>
      </c>
      <c r="AS380" s="19">
        <v>1</v>
      </c>
      <c r="AT380" s="19">
        <v>0</v>
      </c>
      <c r="AU380" s="3">
        <v>0</v>
      </c>
      <c r="AV380" s="3">
        <v>0</v>
      </c>
      <c r="AW380" s="19">
        <v>0</v>
      </c>
      <c r="AX380" s="3">
        <v>0</v>
      </c>
      <c r="AY380" s="3">
        <v>0</v>
      </c>
    </row>
    <row r="381" spans="1:51">
      <c r="A381" s="3">
        <v>24832643</v>
      </c>
      <c r="B381" t="s">
        <v>647</v>
      </c>
      <c r="C381" s="3">
        <v>105301083</v>
      </c>
      <c r="D381" t="s">
        <v>44</v>
      </c>
      <c r="E381" t="s">
        <v>104</v>
      </c>
      <c r="F381" t="s">
        <v>46</v>
      </c>
      <c r="G381" t="s">
        <v>47</v>
      </c>
      <c r="H381" s="16">
        <v>0</v>
      </c>
      <c r="I381" s="4">
        <f>VLOOKUP(C381,[1]sheet1!$D:$I,6,0)</f>
        <v>0</v>
      </c>
      <c r="J381" s="4">
        <f>VLOOKUP(C381,[2]sheet1!$D:$I,6,0)</f>
        <v>593</v>
      </c>
      <c r="K381" s="4">
        <f>VLOOKUP(C381,[3]sheet1!$D:$I,6,0)</f>
        <v>0</v>
      </c>
      <c r="L381" s="4">
        <f>VLOOKUP(C381,[4]sheet1!$D:$I,6,0)</f>
        <v>0</v>
      </c>
      <c r="M381" s="4">
        <f>VLOOKUP(C381,[5]sheet1!$D:$I,6,0)</f>
        <v>583</v>
      </c>
      <c r="N381" s="4">
        <f>VLOOKUP(C381,[6]sheet1!$D:$I,6,0)</f>
        <v>0</v>
      </c>
      <c r="O381" s="4">
        <f>VLOOKUP(C381,[7]sheet1!$D:$I,6,0)</f>
        <v>574</v>
      </c>
      <c r="P381" s="4">
        <f>VLOOKUP(C381,[8]sheet1!$D:$I,6,0)</f>
        <v>0</v>
      </c>
      <c r="Q381" s="4">
        <f t="shared" si="5"/>
        <v>1750</v>
      </c>
      <c r="R381" s="3">
        <v>0</v>
      </c>
      <c r="S381">
        <v>368</v>
      </c>
      <c r="T381">
        <v>0</v>
      </c>
      <c r="U381" s="3">
        <v>4</v>
      </c>
      <c r="V381" s="3">
        <v>0</v>
      </c>
      <c r="W381">
        <v>0</v>
      </c>
      <c r="X381" s="3">
        <v>0</v>
      </c>
      <c r="Y381">
        <v>0</v>
      </c>
      <c r="Z381" s="3">
        <v>0</v>
      </c>
      <c r="AA381" t="s">
        <v>223</v>
      </c>
      <c r="AB381" s="3">
        <v>518</v>
      </c>
      <c r="AC381">
        <v>511.52</v>
      </c>
      <c r="AD381" t="s">
        <v>49</v>
      </c>
      <c r="AE381">
        <v>0</v>
      </c>
      <c r="AF381" s="3">
        <v>0</v>
      </c>
      <c r="AG381" t="s">
        <v>49</v>
      </c>
      <c r="AH381">
        <v>0</v>
      </c>
      <c r="AI381" t="s">
        <v>49</v>
      </c>
      <c r="AJ381">
        <v>446.23</v>
      </c>
      <c r="AK381" t="s">
        <v>49</v>
      </c>
      <c r="AL381">
        <v>0</v>
      </c>
      <c r="AM381" t="s">
        <v>49</v>
      </c>
      <c r="AN381" s="3">
        <v>115</v>
      </c>
      <c r="AO381" s="19">
        <v>0</v>
      </c>
      <c r="AP381" s="19">
        <v>0</v>
      </c>
      <c r="AQ381" s="19">
        <v>0.88</v>
      </c>
      <c r="AR381" s="19">
        <v>0.37</v>
      </c>
      <c r="AS381" s="19">
        <v>1</v>
      </c>
      <c r="AT381" s="19">
        <v>0.5</v>
      </c>
      <c r="AU381" s="3">
        <v>0</v>
      </c>
      <c r="AV381" s="3">
        <v>0</v>
      </c>
      <c r="AW381" s="19">
        <v>0</v>
      </c>
      <c r="AX381" s="3">
        <v>0</v>
      </c>
      <c r="AY381" s="3">
        <v>0</v>
      </c>
    </row>
    <row r="382" spans="1:51">
      <c r="A382" s="3">
        <v>24826732</v>
      </c>
      <c r="B382" t="s">
        <v>648</v>
      </c>
      <c r="C382" s="3">
        <v>105301051</v>
      </c>
      <c r="D382" t="s">
        <v>44</v>
      </c>
      <c r="E382" t="s">
        <v>104</v>
      </c>
      <c r="F382" t="s">
        <v>46</v>
      </c>
      <c r="G382" t="s">
        <v>356</v>
      </c>
      <c r="H382" s="16">
        <v>0</v>
      </c>
      <c r="I382" s="4">
        <f>VLOOKUP(C382,[1]sheet1!$D:$I,6,0)</f>
        <v>0</v>
      </c>
      <c r="J382" s="4">
        <f>VLOOKUP(C382,[2]sheet1!$D:$I,6,0)</f>
        <v>2544</v>
      </c>
      <c r="K382" s="4">
        <f>VLOOKUP(C382,[3]sheet1!$D:$I,6,0)</f>
        <v>0</v>
      </c>
      <c r="L382" s="4">
        <f>VLOOKUP(C382,[4]sheet1!$D:$I,6,0)</f>
        <v>0</v>
      </c>
      <c r="M382" s="4">
        <f>VLOOKUP(C382,[5]sheet1!$D:$I,6,0)</f>
        <v>0</v>
      </c>
      <c r="N382" s="4">
        <f>VLOOKUP(C382,[6]sheet1!$D:$I,6,0)</f>
        <v>1272</v>
      </c>
      <c r="O382" s="4">
        <f>VLOOKUP(C382,[7]sheet1!$D:$I,6,0)</f>
        <v>1272</v>
      </c>
      <c r="P382" s="4">
        <f>VLOOKUP(C382,[8]sheet1!$D:$I,6,0)</f>
        <v>0</v>
      </c>
      <c r="Q382" s="4">
        <f t="shared" si="5"/>
        <v>5088</v>
      </c>
      <c r="R382" s="3">
        <v>0</v>
      </c>
      <c r="S382">
        <v>285</v>
      </c>
      <c r="T382">
        <v>0</v>
      </c>
      <c r="U382" s="3">
        <v>1</v>
      </c>
      <c r="V382" s="3">
        <v>0</v>
      </c>
      <c r="W382">
        <v>0</v>
      </c>
      <c r="X382" s="3">
        <v>0</v>
      </c>
      <c r="Y382">
        <v>0</v>
      </c>
      <c r="Z382" s="3">
        <v>0</v>
      </c>
      <c r="AA382" t="s">
        <v>49</v>
      </c>
      <c r="AB382" s="3">
        <v>1059</v>
      </c>
      <c r="AC382" t="s">
        <v>49</v>
      </c>
      <c r="AD382" t="s">
        <v>49</v>
      </c>
      <c r="AE382">
        <v>0</v>
      </c>
      <c r="AF382" s="3">
        <v>0</v>
      </c>
      <c r="AG382" t="s">
        <v>49</v>
      </c>
      <c r="AH382" t="s">
        <v>49</v>
      </c>
      <c r="AI382" t="s">
        <v>49</v>
      </c>
      <c r="AJ382">
        <v>894.9</v>
      </c>
      <c r="AK382" t="s">
        <v>49</v>
      </c>
      <c r="AL382">
        <v>0</v>
      </c>
      <c r="AM382" t="s">
        <v>49</v>
      </c>
      <c r="AN382">
        <v>303</v>
      </c>
      <c r="AO382" s="19">
        <v>0</v>
      </c>
      <c r="AP382" s="19">
        <v>0</v>
      </c>
      <c r="AQ382" s="19">
        <v>0.7167</v>
      </c>
      <c r="AR382" s="19">
        <v>0.35</v>
      </c>
      <c r="AS382" s="19">
        <v>1</v>
      </c>
      <c r="AT382" s="19">
        <v>1</v>
      </c>
      <c r="AU382" s="3">
        <v>0</v>
      </c>
      <c r="AV382" s="3">
        <v>0</v>
      </c>
      <c r="AW382" s="19">
        <v>0</v>
      </c>
      <c r="AX382" s="3">
        <v>0</v>
      </c>
      <c r="AY382" s="3">
        <v>0</v>
      </c>
    </row>
    <row r="383" spans="1:51">
      <c r="A383" s="3">
        <v>24650591</v>
      </c>
      <c r="B383" t="s">
        <v>649</v>
      </c>
      <c r="C383" s="3">
        <v>125302004</v>
      </c>
      <c r="D383" t="s">
        <v>44</v>
      </c>
      <c r="E383" t="s">
        <v>220</v>
      </c>
      <c r="F383" t="s">
        <v>46</v>
      </c>
      <c r="G383" t="s">
        <v>47</v>
      </c>
      <c r="H383" s="16">
        <v>0</v>
      </c>
      <c r="I383" s="4">
        <f>VLOOKUP(C383,[1]sheet1!$D:$I,6,0)</f>
        <v>0</v>
      </c>
      <c r="J383" s="4">
        <f>VLOOKUP(C383,[2]sheet1!$D:$I,6,0)</f>
        <v>0</v>
      </c>
      <c r="K383" s="4">
        <f>VLOOKUP(C383,[3]sheet1!$D:$I,6,0)</f>
        <v>0</v>
      </c>
      <c r="L383" s="4">
        <f>VLOOKUP(C383,[4]sheet1!$D:$I,6,0)</f>
        <v>0</v>
      </c>
      <c r="M383" s="4">
        <f>VLOOKUP(C383,[5]sheet1!$D:$I,6,0)</f>
        <v>0</v>
      </c>
      <c r="N383" s="4">
        <f>VLOOKUP(C383,[6]sheet1!$D:$I,6,0)</f>
        <v>0</v>
      </c>
      <c r="O383" s="4">
        <f>VLOOKUP(C383,[7]sheet1!$D:$I,6,0)</f>
        <v>0</v>
      </c>
      <c r="P383" s="4">
        <f>VLOOKUP(C383,[8]sheet1!$D:$I,6,0)</f>
        <v>0</v>
      </c>
      <c r="Q383" s="4">
        <f t="shared" si="5"/>
        <v>0</v>
      </c>
      <c r="R383" s="3">
        <v>0</v>
      </c>
      <c r="S383">
        <v>492</v>
      </c>
      <c r="T383">
        <v>0</v>
      </c>
      <c r="U383" s="3">
        <v>2</v>
      </c>
      <c r="V383" s="3">
        <v>0</v>
      </c>
      <c r="W383">
        <v>0</v>
      </c>
      <c r="X383" s="3">
        <v>0</v>
      </c>
      <c r="Y383">
        <v>0</v>
      </c>
      <c r="Z383" s="3">
        <v>0</v>
      </c>
      <c r="AA383" t="s">
        <v>218</v>
      </c>
      <c r="AB383" s="3">
        <v>506</v>
      </c>
      <c r="AC383">
        <v>500.94</v>
      </c>
      <c r="AD383" t="s">
        <v>49</v>
      </c>
      <c r="AE383">
        <v>0</v>
      </c>
      <c r="AF383" s="3">
        <v>0</v>
      </c>
      <c r="AG383" t="s">
        <v>49</v>
      </c>
      <c r="AH383">
        <v>0</v>
      </c>
      <c r="AI383" t="s">
        <v>49</v>
      </c>
      <c r="AJ383">
        <v>428.73</v>
      </c>
      <c r="AK383" t="s">
        <v>49</v>
      </c>
      <c r="AL383">
        <v>0</v>
      </c>
      <c r="AM383" t="s">
        <v>49</v>
      </c>
      <c r="AN383" s="3">
        <v>254</v>
      </c>
      <c r="AO383" s="19">
        <v>0</v>
      </c>
      <c r="AP383" s="19">
        <v>0</v>
      </c>
      <c r="AQ383" s="19">
        <v>0.9162</v>
      </c>
      <c r="AR383" s="19">
        <v>0.3743</v>
      </c>
      <c r="AS383" s="19">
        <v>1</v>
      </c>
      <c r="AT383" s="19">
        <v>0.5</v>
      </c>
      <c r="AU383" s="3">
        <v>0</v>
      </c>
      <c r="AV383" s="3">
        <v>0</v>
      </c>
      <c r="AW383" s="19">
        <v>0</v>
      </c>
      <c r="AX383" s="3">
        <v>0</v>
      </c>
      <c r="AY383" s="3">
        <v>0</v>
      </c>
    </row>
    <row r="384" spans="1:51">
      <c r="A384" s="3">
        <v>24098575</v>
      </c>
      <c r="B384" t="s">
        <v>650</v>
      </c>
      <c r="C384" s="3">
        <v>105301059</v>
      </c>
      <c r="D384" t="s">
        <v>44</v>
      </c>
      <c r="E384" t="s">
        <v>104</v>
      </c>
      <c r="F384" t="s">
        <v>46</v>
      </c>
      <c r="G384" t="s">
        <v>47</v>
      </c>
      <c r="H384" s="16">
        <v>0</v>
      </c>
      <c r="I384" s="4">
        <f>VLOOKUP(C384,[1]sheet1!$D:$I,6,0)</f>
        <v>819</v>
      </c>
      <c r="J384" s="4">
        <f>VLOOKUP(C384,[2]sheet1!$D:$I,6,0)</f>
        <v>819</v>
      </c>
      <c r="K384" s="4">
        <f>VLOOKUP(C384,[3]sheet1!$D:$I,6,0)</f>
        <v>0</v>
      </c>
      <c r="L384" s="4">
        <f>VLOOKUP(C384,[4]sheet1!$D:$I,6,0)</f>
        <v>0</v>
      </c>
      <c r="M384" s="4">
        <f>VLOOKUP(C384,[5]sheet1!$D:$I,6,0)</f>
        <v>809</v>
      </c>
      <c r="N384" s="4">
        <f>VLOOKUP(C384,[6]sheet1!$D:$I,6,0)</f>
        <v>0</v>
      </c>
      <c r="O384" s="4">
        <f>VLOOKUP(C384,[7]sheet1!$D:$I,6,0)</f>
        <v>1734</v>
      </c>
      <c r="P384" s="4">
        <f>VLOOKUP(C384,[8]sheet1!$D:$I,6,0)</f>
        <v>792</v>
      </c>
      <c r="Q384" s="4">
        <f t="shared" si="5"/>
        <v>4973</v>
      </c>
      <c r="R384" s="3">
        <v>0</v>
      </c>
      <c r="S384">
        <v>750</v>
      </c>
      <c r="T384">
        <v>0</v>
      </c>
      <c r="U384" s="3">
        <v>21</v>
      </c>
      <c r="V384" s="3">
        <v>0</v>
      </c>
      <c r="W384">
        <v>837</v>
      </c>
      <c r="X384" s="3">
        <v>1</v>
      </c>
      <c r="Y384">
        <v>0</v>
      </c>
      <c r="Z384" s="3">
        <v>0</v>
      </c>
      <c r="AA384" t="s">
        <v>651</v>
      </c>
      <c r="AB384" s="3">
        <v>757</v>
      </c>
      <c r="AC384">
        <v>720.32</v>
      </c>
      <c r="AD384" t="s">
        <v>49</v>
      </c>
      <c r="AE384">
        <v>0</v>
      </c>
      <c r="AF384" s="3">
        <v>0</v>
      </c>
      <c r="AG384" t="s">
        <v>49</v>
      </c>
      <c r="AH384">
        <v>0</v>
      </c>
      <c r="AI384" t="s">
        <v>49</v>
      </c>
      <c r="AJ384">
        <v>648.98</v>
      </c>
      <c r="AK384" t="s">
        <v>49</v>
      </c>
      <c r="AL384">
        <v>0</v>
      </c>
      <c r="AM384" t="s">
        <v>49</v>
      </c>
      <c r="AN384" s="3">
        <v>488</v>
      </c>
      <c r="AO384" s="19">
        <v>0</v>
      </c>
      <c r="AP384" s="19">
        <v>0</v>
      </c>
      <c r="AQ384" s="19">
        <v>0.9231</v>
      </c>
      <c r="AR384" s="19">
        <v>0.4591</v>
      </c>
      <c r="AS384" s="19">
        <v>0.9524</v>
      </c>
      <c r="AT384" s="19">
        <v>0.4286</v>
      </c>
      <c r="AU384" s="3">
        <v>0</v>
      </c>
      <c r="AV384" s="3">
        <v>0</v>
      </c>
      <c r="AW384" s="19">
        <v>0</v>
      </c>
      <c r="AX384" s="3">
        <v>0</v>
      </c>
      <c r="AY384" s="3">
        <v>0</v>
      </c>
    </row>
    <row r="385" spans="1:51">
      <c r="A385" s="3">
        <v>23689618</v>
      </c>
      <c r="B385" t="s">
        <v>652</v>
      </c>
      <c r="C385" s="3">
        <v>115316032</v>
      </c>
      <c r="D385" t="s">
        <v>44</v>
      </c>
      <c r="E385" t="s">
        <v>54</v>
      </c>
      <c r="F385" t="s">
        <v>46</v>
      </c>
      <c r="G385" t="s">
        <v>47</v>
      </c>
      <c r="H385" s="16">
        <v>0</v>
      </c>
      <c r="I385" s="4">
        <f>VLOOKUP(C385,[1]sheet1!$D:$I,6,0)</f>
        <v>0</v>
      </c>
      <c r="J385" s="4">
        <f>VLOOKUP(C385,[2]sheet1!$D:$I,6,0)</f>
        <v>554</v>
      </c>
      <c r="K385" s="4">
        <f>VLOOKUP(C385,[3]sheet1!$D:$I,6,0)</f>
        <v>568</v>
      </c>
      <c r="L385" s="4">
        <f>VLOOKUP(C385,[4]sheet1!$D:$I,6,0)</f>
        <v>281</v>
      </c>
      <c r="M385" s="4">
        <f>VLOOKUP(C385,[5]sheet1!$D:$I,6,0)</f>
        <v>281</v>
      </c>
      <c r="N385" s="4">
        <f>VLOOKUP(C385,[6]sheet1!$D:$I,6,0)</f>
        <v>281</v>
      </c>
      <c r="O385" s="4">
        <f>VLOOKUP(C385,[7]sheet1!$D:$I,6,0)</f>
        <v>562</v>
      </c>
      <c r="P385" s="4">
        <f>VLOOKUP(C385,[8]sheet1!$D:$I,6,0)</f>
        <v>0</v>
      </c>
      <c r="Q385" s="4">
        <f t="shared" si="5"/>
        <v>2527</v>
      </c>
      <c r="R385" s="3">
        <v>0</v>
      </c>
      <c r="S385">
        <v>640</v>
      </c>
      <c r="T385">
        <v>0</v>
      </c>
      <c r="U385" s="3">
        <v>12</v>
      </c>
      <c r="V385" s="3">
        <v>0</v>
      </c>
      <c r="W385">
        <v>0</v>
      </c>
      <c r="X385" s="3">
        <v>0</v>
      </c>
      <c r="Y385">
        <v>0</v>
      </c>
      <c r="Z385" s="3">
        <v>0</v>
      </c>
      <c r="AA385" t="s">
        <v>52</v>
      </c>
      <c r="AB385" s="3">
        <v>254</v>
      </c>
      <c r="AC385">
        <v>244.22</v>
      </c>
      <c r="AD385" t="s">
        <v>49</v>
      </c>
      <c r="AE385">
        <v>0</v>
      </c>
      <c r="AF385" s="3">
        <v>0</v>
      </c>
      <c r="AG385" t="s">
        <v>49</v>
      </c>
      <c r="AH385">
        <v>0</v>
      </c>
      <c r="AI385" t="s">
        <v>49</v>
      </c>
      <c r="AJ385">
        <v>213.77</v>
      </c>
      <c r="AK385" t="s">
        <v>49</v>
      </c>
      <c r="AL385">
        <v>0</v>
      </c>
      <c r="AM385" t="s">
        <v>49</v>
      </c>
      <c r="AN385" s="3">
        <v>422</v>
      </c>
      <c r="AO385" s="19">
        <v>0</v>
      </c>
      <c r="AP385" s="19">
        <v>0</v>
      </c>
      <c r="AQ385" s="19">
        <v>0.901</v>
      </c>
      <c r="AR385" s="19">
        <v>0.3861</v>
      </c>
      <c r="AS385" s="19">
        <v>0.75</v>
      </c>
      <c r="AT385" s="19">
        <v>0.3333</v>
      </c>
      <c r="AU385" s="3">
        <v>0</v>
      </c>
      <c r="AV385" s="3">
        <v>0</v>
      </c>
      <c r="AW385" s="19">
        <v>0</v>
      </c>
      <c r="AX385" s="3">
        <v>0</v>
      </c>
      <c r="AY385" s="3">
        <v>0</v>
      </c>
    </row>
    <row r="386" spans="1:51">
      <c r="A386" s="3">
        <v>23488507</v>
      </c>
      <c r="B386" t="s">
        <v>653</v>
      </c>
      <c r="C386" t="s">
        <v>654</v>
      </c>
      <c r="D386" t="s">
        <v>44</v>
      </c>
      <c r="E386" t="s">
        <v>141</v>
      </c>
      <c r="F386" t="s">
        <v>46</v>
      </c>
      <c r="G386" t="s">
        <v>47</v>
      </c>
      <c r="H386" s="16">
        <v>0</v>
      </c>
      <c r="I386" s="4">
        <f>VLOOKUP(C386,[1]sheet1!$D:$I,6,0)</f>
        <v>0</v>
      </c>
      <c r="J386" s="4">
        <f>VLOOKUP(C386,[2]sheet1!$D:$I,6,0)</f>
        <v>581</v>
      </c>
      <c r="K386" s="4">
        <f>VLOOKUP(C386,[3]sheet1!$D:$I,6,0)</f>
        <v>0</v>
      </c>
      <c r="L386" s="4">
        <f>VLOOKUP(C386,[4]sheet1!$D:$I,6,0)</f>
        <v>0</v>
      </c>
      <c r="M386" s="4">
        <f>VLOOKUP(C386,[5]sheet1!$D:$I,6,0)</f>
        <v>0</v>
      </c>
      <c r="N386" s="4">
        <f>VLOOKUP(C386,[6]sheet1!$D:$I,6,0)</f>
        <v>0</v>
      </c>
      <c r="O386" s="4">
        <f>VLOOKUP(C386,[7]sheet1!$D:$I,6,0)</f>
        <v>0</v>
      </c>
      <c r="P386" s="4">
        <f>VLOOKUP(C386,[8]sheet1!$D:$I,6,0)</f>
        <v>0</v>
      </c>
      <c r="Q386" s="4">
        <f t="shared" si="5"/>
        <v>581</v>
      </c>
      <c r="R386" s="3">
        <v>0</v>
      </c>
      <c r="S386">
        <v>381</v>
      </c>
      <c r="T386">
        <v>0</v>
      </c>
      <c r="U386" s="3">
        <v>3</v>
      </c>
      <c r="V386" s="3">
        <v>0</v>
      </c>
      <c r="W386">
        <v>0</v>
      </c>
      <c r="X386" s="3">
        <v>0</v>
      </c>
      <c r="Y386">
        <v>0</v>
      </c>
      <c r="Z386" s="3">
        <v>0</v>
      </c>
      <c r="AA386" t="s">
        <v>223</v>
      </c>
      <c r="AB386" s="3">
        <v>539</v>
      </c>
      <c r="AC386">
        <v>509.74</v>
      </c>
      <c r="AD386" t="s">
        <v>49</v>
      </c>
      <c r="AE386">
        <v>0</v>
      </c>
      <c r="AF386" s="3">
        <v>0</v>
      </c>
      <c r="AG386" t="s">
        <v>49</v>
      </c>
      <c r="AH386">
        <v>0</v>
      </c>
      <c r="AI386" t="s">
        <v>49</v>
      </c>
      <c r="AJ386">
        <v>457.54</v>
      </c>
      <c r="AK386" t="s">
        <v>49</v>
      </c>
      <c r="AL386">
        <v>0</v>
      </c>
      <c r="AM386" t="s">
        <v>49</v>
      </c>
      <c r="AN386" s="3">
        <v>134</v>
      </c>
      <c r="AO386" s="19">
        <v>0</v>
      </c>
      <c r="AP386" s="19">
        <v>0</v>
      </c>
      <c r="AQ386" s="19">
        <v>0.9533</v>
      </c>
      <c r="AR386" s="19">
        <v>0.486</v>
      </c>
      <c r="AS386" s="19">
        <v>1</v>
      </c>
      <c r="AT386" s="19">
        <v>0.3333</v>
      </c>
      <c r="AU386" s="3">
        <v>0</v>
      </c>
      <c r="AV386" s="3">
        <v>0</v>
      </c>
      <c r="AW386" s="19">
        <v>0</v>
      </c>
      <c r="AX386" s="3">
        <v>0</v>
      </c>
      <c r="AY386" s="3">
        <v>0</v>
      </c>
    </row>
    <row r="387" spans="1:51">
      <c r="A387" s="3">
        <v>22579119</v>
      </c>
      <c r="B387" t="s">
        <v>655</v>
      </c>
      <c r="C387" t="s">
        <v>656</v>
      </c>
      <c r="D387" t="s">
        <v>44</v>
      </c>
      <c r="E387" t="s">
        <v>141</v>
      </c>
      <c r="F387" t="s">
        <v>65</v>
      </c>
      <c r="G387" t="s">
        <v>47</v>
      </c>
      <c r="H387" s="16">
        <v>0</v>
      </c>
      <c r="I387" s="4">
        <f>VLOOKUP(C387,[1]sheet1!$D:$I,6,0)</f>
        <v>0</v>
      </c>
      <c r="J387" s="4">
        <f>VLOOKUP(C387,[2]sheet1!$D:$I,6,0)</f>
        <v>0</v>
      </c>
      <c r="K387" s="4">
        <f>VLOOKUP(C387,[3]sheet1!$D:$I,6,0)</f>
        <v>0</v>
      </c>
      <c r="L387" s="4">
        <f>VLOOKUP(C387,[4]sheet1!$D:$I,6,0)</f>
        <v>0</v>
      </c>
      <c r="M387" s="4">
        <f>VLOOKUP(C387,[5]sheet1!$D:$I,6,0)</f>
        <v>0</v>
      </c>
      <c r="N387" s="4">
        <f>VLOOKUP(C387,[6]sheet1!$D:$I,6,0)</f>
        <v>0</v>
      </c>
      <c r="O387" s="4">
        <f>VLOOKUP(C387,[7]sheet1!$D:$I,6,0)</f>
        <v>0</v>
      </c>
      <c r="P387" s="4">
        <f>VLOOKUP(C387,[8]sheet1!$D:$I,6,0)</f>
        <v>0</v>
      </c>
      <c r="Q387" s="4">
        <f t="shared" ref="Q387:Q450" si="6">SUM(H387:P387)</f>
        <v>0</v>
      </c>
      <c r="R387" s="3">
        <v>0</v>
      </c>
      <c r="S387" s="3">
        <v>46</v>
      </c>
      <c r="T387" s="19">
        <v>0</v>
      </c>
      <c r="U387" s="3">
        <v>6</v>
      </c>
      <c r="V387" s="3">
        <v>0</v>
      </c>
      <c r="W387">
        <v>0</v>
      </c>
      <c r="X387" s="3">
        <v>0</v>
      </c>
      <c r="Y387">
        <v>0</v>
      </c>
      <c r="Z387" s="3">
        <v>0</v>
      </c>
      <c r="AA387" t="s">
        <v>49</v>
      </c>
      <c r="AB387" t="s">
        <v>49</v>
      </c>
      <c r="AC387" t="s">
        <v>49</v>
      </c>
      <c r="AD387" t="s">
        <v>49</v>
      </c>
      <c r="AE387">
        <v>0</v>
      </c>
      <c r="AF387" s="3">
        <v>0</v>
      </c>
      <c r="AG387" t="s">
        <v>49</v>
      </c>
      <c r="AH387" t="s">
        <v>49</v>
      </c>
      <c r="AI387" t="s">
        <v>49</v>
      </c>
      <c r="AJ387" t="s">
        <v>49</v>
      </c>
      <c r="AK387" t="s">
        <v>49</v>
      </c>
      <c r="AL387" t="s">
        <v>49</v>
      </c>
      <c r="AM387" t="s">
        <v>49</v>
      </c>
      <c r="AN387" s="3">
        <v>65</v>
      </c>
      <c r="AO387" s="19">
        <v>0</v>
      </c>
      <c r="AP387" s="19">
        <v>0</v>
      </c>
      <c r="AQ387" s="19">
        <v>0.9348</v>
      </c>
      <c r="AR387" s="19">
        <v>0.3043</v>
      </c>
      <c r="AS387" s="19">
        <v>1</v>
      </c>
      <c r="AT387" s="19">
        <v>0.3333</v>
      </c>
      <c r="AU387" s="3">
        <v>0</v>
      </c>
      <c r="AV387" s="3">
        <v>0</v>
      </c>
      <c r="AW387" s="19">
        <v>0</v>
      </c>
      <c r="AX387" s="3">
        <v>0</v>
      </c>
      <c r="AY387" s="3">
        <v>0</v>
      </c>
    </row>
    <row r="388" spans="1:51">
      <c r="A388" s="3">
        <v>22549369</v>
      </c>
      <c r="B388" t="s">
        <v>657</v>
      </c>
      <c r="C388" t="s">
        <v>658</v>
      </c>
      <c r="D388" t="s">
        <v>44</v>
      </c>
      <c r="E388" t="s">
        <v>104</v>
      </c>
      <c r="F388" t="s">
        <v>65</v>
      </c>
      <c r="G388" t="s">
        <v>47</v>
      </c>
      <c r="H388" s="16">
        <v>0</v>
      </c>
      <c r="I388" s="4">
        <f>VLOOKUP(C388,[1]sheet1!$D:$I,6,0)</f>
        <v>0</v>
      </c>
      <c r="J388" s="4">
        <f>VLOOKUP(C388,[2]sheet1!$D:$I,6,0)</f>
        <v>0</v>
      </c>
      <c r="K388" s="4">
        <f>VLOOKUP(C388,[3]sheet1!$D:$I,6,0)</f>
        <v>536</v>
      </c>
      <c r="L388" s="4">
        <f>VLOOKUP(C388,[4]sheet1!$D:$I,6,0)</f>
        <v>0</v>
      </c>
      <c r="M388" s="4">
        <f>VLOOKUP(C388,[5]sheet1!$D:$I,6,0)</f>
        <v>546</v>
      </c>
      <c r="N388" s="4">
        <f>VLOOKUP(C388,[6]sheet1!$D:$I,6,0)</f>
        <v>581</v>
      </c>
      <c r="O388" s="4">
        <f>VLOOKUP(C388,[7]sheet1!$D:$I,6,0)</f>
        <v>581</v>
      </c>
      <c r="P388" s="4">
        <f>VLOOKUP(C388,[8]sheet1!$D:$I,6,0)</f>
        <v>0</v>
      </c>
      <c r="Q388" s="4">
        <f t="shared" si="6"/>
        <v>2244</v>
      </c>
      <c r="R388" s="3">
        <v>0</v>
      </c>
      <c r="S388" s="3">
        <v>98</v>
      </c>
      <c r="T388" s="19">
        <v>0</v>
      </c>
      <c r="U388" s="3">
        <v>3</v>
      </c>
      <c r="V388" s="3">
        <v>0</v>
      </c>
      <c r="W388">
        <v>0</v>
      </c>
      <c r="X388" s="3">
        <v>0</v>
      </c>
      <c r="Y388">
        <v>0</v>
      </c>
      <c r="Z388" s="3">
        <v>0</v>
      </c>
      <c r="AA388" t="s">
        <v>165</v>
      </c>
      <c r="AB388" t="s">
        <v>49</v>
      </c>
      <c r="AC388">
        <v>485.42</v>
      </c>
      <c r="AD388" t="s">
        <v>49</v>
      </c>
      <c r="AE388">
        <v>0</v>
      </c>
      <c r="AF388" s="3">
        <v>0</v>
      </c>
      <c r="AG388" t="s">
        <v>49</v>
      </c>
      <c r="AH388">
        <v>0</v>
      </c>
      <c r="AI388" t="s">
        <v>49</v>
      </c>
      <c r="AJ388" t="s">
        <v>49</v>
      </c>
      <c r="AK388" t="s">
        <v>49</v>
      </c>
      <c r="AL388" t="s">
        <v>49</v>
      </c>
      <c r="AM388" t="s">
        <v>49</v>
      </c>
      <c r="AN388" s="3">
        <v>124</v>
      </c>
      <c r="AO388" s="19">
        <v>0</v>
      </c>
      <c r="AP388" s="19">
        <v>0</v>
      </c>
      <c r="AQ388" s="19">
        <v>0.9388</v>
      </c>
      <c r="AR388" s="19">
        <v>0.1327</v>
      </c>
      <c r="AS388" s="19">
        <v>1</v>
      </c>
      <c r="AT388" s="19">
        <v>0</v>
      </c>
      <c r="AU388" s="3">
        <v>0</v>
      </c>
      <c r="AV388" s="3">
        <v>0</v>
      </c>
      <c r="AW388" s="19">
        <v>0</v>
      </c>
      <c r="AX388" s="3">
        <v>0</v>
      </c>
      <c r="AY388" s="3">
        <v>0</v>
      </c>
    </row>
    <row r="389" spans="1:51">
      <c r="A389" s="3">
        <v>22514895</v>
      </c>
      <c r="B389" t="s">
        <v>659</v>
      </c>
      <c r="C389" s="3">
        <v>125220002</v>
      </c>
      <c r="D389" t="s">
        <v>44</v>
      </c>
      <c r="E389" t="s">
        <v>149</v>
      </c>
      <c r="F389" t="s">
        <v>65</v>
      </c>
      <c r="G389" t="s">
        <v>47</v>
      </c>
      <c r="H389" s="16">
        <v>0</v>
      </c>
      <c r="I389" s="4">
        <f>VLOOKUP(C389,[1]sheet1!$D:$I,6,0)</f>
        <v>0</v>
      </c>
      <c r="J389" s="4">
        <f>VLOOKUP(C389,[2]sheet1!$D:$I,6,0)</f>
        <v>0</v>
      </c>
      <c r="K389" s="4">
        <f>VLOOKUP(C389,[3]sheet1!$D:$I,6,0)</f>
        <v>0</v>
      </c>
      <c r="L389" s="4">
        <f>VLOOKUP(C389,[4]sheet1!$D:$I,6,0)</f>
        <v>0</v>
      </c>
      <c r="M389" s="4">
        <f>VLOOKUP(C389,[5]sheet1!$D:$I,6,0)</f>
        <v>0</v>
      </c>
      <c r="N389" s="4">
        <f>VLOOKUP(C389,[6]sheet1!$D:$I,6,0)</f>
        <v>0</v>
      </c>
      <c r="O389" s="4">
        <f>VLOOKUP(C389,[7]sheet1!$D:$I,6,0)</f>
        <v>0</v>
      </c>
      <c r="P389" s="4">
        <f>VLOOKUP(C389,[8]sheet1!$D:$I,6,0)</f>
        <v>0</v>
      </c>
      <c r="Q389" s="4">
        <f t="shared" si="6"/>
        <v>0</v>
      </c>
      <c r="R389" s="3">
        <v>0</v>
      </c>
      <c r="S389" s="3">
        <v>3</v>
      </c>
      <c r="T389" s="19">
        <v>0</v>
      </c>
      <c r="U389" s="3">
        <v>0</v>
      </c>
      <c r="V389" s="3">
        <v>0</v>
      </c>
      <c r="W389">
        <v>0</v>
      </c>
      <c r="X389" s="3">
        <v>0</v>
      </c>
      <c r="Y389">
        <v>0</v>
      </c>
      <c r="Z389" s="3">
        <v>0</v>
      </c>
      <c r="AA389" t="s">
        <v>237</v>
      </c>
      <c r="AB389" t="s">
        <v>49</v>
      </c>
      <c r="AC389">
        <v>425.23</v>
      </c>
      <c r="AD389" t="s">
        <v>49</v>
      </c>
      <c r="AE389">
        <v>0</v>
      </c>
      <c r="AF389" s="3">
        <v>0</v>
      </c>
      <c r="AG389" t="s">
        <v>49</v>
      </c>
      <c r="AH389">
        <v>0</v>
      </c>
      <c r="AI389" t="s">
        <v>49</v>
      </c>
      <c r="AJ389" t="s">
        <v>49</v>
      </c>
      <c r="AK389" t="s">
        <v>49</v>
      </c>
      <c r="AL389" t="s">
        <v>49</v>
      </c>
      <c r="AM389" t="s">
        <v>49</v>
      </c>
      <c r="AN389" s="3">
        <v>4</v>
      </c>
      <c r="AO389" s="19">
        <v>0</v>
      </c>
      <c r="AP389" s="19">
        <v>0</v>
      </c>
      <c r="AQ389" s="19">
        <v>0.6667</v>
      </c>
      <c r="AR389" s="19">
        <v>0</v>
      </c>
      <c r="AS389" s="19">
        <v>0</v>
      </c>
      <c r="AT389" s="19">
        <v>0</v>
      </c>
      <c r="AU389" s="3">
        <v>0</v>
      </c>
      <c r="AV389" s="3">
        <v>0</v>
      </c>
      <c r="AW389" s="19">
        <v>0</v>
      </c>
      <c r="AX389" s="3">
        <v>0</v>
      </c>
      <c r="AY389" s="3">
        <v>0</v>
      </c>
    </row>
    <row r="390" spans="1:51">
      <c r="A390" s="3">
        <v>22343383</v>
      </c>
      <c r="B390" t="s">
        <v>660</v>
      </c>
      <c r="C390" s="3">
        <v>115106014</v>
      </c>
      <c r="D390" t="s">
        <v>44</v>
      </c>
      <c r="E390" t="s">
        <v>143</v>
      </c>
      <c r="F390" t="s">
        <v>46</v>
      </c>
      <c r="G390" t="s">
        <v>47</v>
      </c>
      <c r="H390" s="16">
        <v>0</v>
      </c>
      <c r="I390" s="4">
        <f>VLOOKUP(C390,[1]sheet1!$D:$I,6,0)</f>
        <v>0</v>
      </c>
      <c r="J390" s="4">
        <f>VLOOKUP(C390,[2]sheet1!$D:$I,6,0)</f>
        <v>0</v>
      </c>
      <c r="K390" s="4">
        <f>VLOOKUP(C390,[3]sheet1!$D:$I,6,0)</f>
        <v>0</v>
      </c>
      <c r="L390" s="4">
        <f>VLOOKUP(C390,[4]sheet1!$D:$I,6,0)</f>
        <v>0</v>
      </c>
      <c r="M390" s="4">
        <f>VLOOKUP(C390,[5]sheet1!$D:$I,6,0)</f>
        <v>0</v>
      </c>
      <c r="N390" s="4">
        <f>VLOOKUP(C390,[6]sheet1!$D:$I,6,0)</f>
        <v>0</v>
      </c>
      <c r="O390" s="4">
        <f>VLOOKUP(C390,[7]sheet1!$D:$I,6,0)</f>
        <v>0</v>
      </c>
      <c r="P390" s="4">
        <f>VLOOKUP(C390,[8]sheet1!$D:$I,6,0)</f>
        <v>0</v>
      </c>
      <c r="Q390" s="15">
        <f t="shared" si="6"/>
        <v>0</v>
      </c>
      <c r="R390" s="3">
        <v>0</v>
      </c>
      <c r="S390">
        <v>64</v>
      </c>
      <c r="T390">
        <v>0</v>
      </c>
      <c r="U390" s="3">
        <v>0</v>
      </c>
      <c r="V390" s="3">
        <v>0</v>
      </c>
      <c r="W390">
        <v>0</v>
      </c>
      <c r="X390" s="3">
        <v>0</v>
      </c>
      <c r="Y390">
        <v>0</v>
      </c>
      <c r="Z390" s="3">
        <v>0</v>
      </c>
      <c r="AA390" t="s">
        <v>343</v>
      </c>
      <c r="AB390" s="3">
        <v>338</v>
      </c>
      <c r="AC390">
        <v>284.72</v>
      </c>
      <c r="AD390" t="s">
        <v>49</v>
      </c>
      <c r="AE390">
        <v>0</v>
      </c>
      <c r="AF390" s="3">
        <v>0</v>
      </c>
      <c r="AG390" t="s">
        <v>49</v>
      </c>
      <c r="AH390">
        <v>0</v>
      </c>
      <c r="AI390" t="s">
        <v>49</v>
      </c>
      <c r="AJ390">
        <v>283.85</v>
      </c>
      <c r="AK390" t="s">
        <v>49</v>
      </c>
      <c r="AL390">
        <v>0</v>
      </c>
      <c r="AM390" t="s">
        <v>49</v>
      </c>
      <c r="AN390" s="3">
        <v>3</v>
      </c>
      <c r="AO390" s="19">
        <v>0</v>
      </c>
      <c r="AP390" s="19">
        <v>0</v>
      </c>
      <c r="AQ390" s="19">
        <v>0.6667</v>
      </c>
      <c r="AR390" s="19">
        <v>0.3333</v>
      </c>
      <c r="AS390" s="19">
        <v>0</v>
      </c>
      <c r="AT390" s="19">
        <v>0</v>
      </c>
      <c r="AU390" s="3">
        <v>0</v>
      </c>
      <c r="AV390" s="3">
        <v>0</v>
      </c>
      <c r="AW390" s="19">
        <v>0</v>
      </c>
      <c r="AX390" s="3">
        <v>0</v>
      </c>
      <c r="AY390" s="3">
        <v>0</v>
      </c>
    </row>
    <row r="391" spans="1:51">
      <c r="A391" s="3">
        <v>22165545</v>
      </c>
      <c r="B391" t="s">
        <v>661</v>
      </c>
      <c r="C391" s="3">
        <v>135101016</v>
      </c>
      <c r="D391" t="s">
        <v>44</v>
      </c>
      <c r="E391" t="s">
        <v>84</v>
      </c>
      <c r="F391" t="s">
        <v>65</v>
      </c>
      <c r="G391" t="s">
        <v>47</v>
      </c>
      <c r="H391" s="16">
        <v>0</v>
      </c>
      <c r="I391" s="4">
        <f>VLOOKUP(C391,[1]sheet1!$D:$I,6,0)</f>
        <v>0</v>
      </c>
      <c r="J391" s="4">
        <f>VLOOKUP(C391,[2]sheet1!$D:$I,6,0)</f>
        <v>0</v>
      </c>
      <c r="K391" s="4">
        <f>VLOOKUP(C391,[3]sheet1!$D:$I,6,0)</f>
        <v>0</v>
      </c>
      <c r="L391" s="4">
        <f>VLOOKUP(C391,[4]sheet1!$D:$I,6,0)</f>
        <v>0</v>
      </c>
      <c r="M391" s="4">
        <f>VLOOKUP(C391,[5]sheet1!$D:$I,6,0)</f>
        <v>0</v>
      </c>
      <c r="N391" s="4">
        <f>VLOOKUP(C391,[6]sheet1!$D:$I,6,0)</f>
        <v>0</v>
      </c>
      <c r="O391" s="4">
        <f>VLOOKUP(C391,[7]sheet1!$D:$I,6,0)</f>
        <v>0</v>
      </c>
      <c r="P391" s="4">
        <f>VLOOKUP(C391,[8]sheet1!$D:$I,6,0)</f>
        <v>0</v>
      </c>
      <c r="Q391" s="4">
        <f t="shared" si="6"/>
        <v>0</v>
      </c>
      <c r="R391" s="3">
        <v>0</v>
      </c>
      <c r="S391" s="3">
        <v>7</v>
      </c>
      <c r="T391" s="19">
        <v>0</v>
      </c>
      <c r="U391" s="3">
        <v>1</v>
      </c>
      <c r="V391" s="3">
        <v>0</v>
      </c>
      <c r="W391">
        <v>0</v>
      </c>
      <c r="X391" s="3">
        <v>0</v>
      </c>
      <c r="Y391">
        <v>0</v>
      </c>
      <c r="Z391" s="3">
        <v>0</v>
      </c>
      <c r="AA391" t="s">
        <v>218</v>
      </c>
      <c r="AB391" t="s">
        <v>49</v>
      </c>
      <c r="AC391">
        <v>489.69</v>
      </c>
      <c r="AD391" t="s">
        <v>49</v>
      </c>
      <c r="AE391">
        <v>0</v>
      </c>
      <c r="AF391" s="3">
        <v>0</v>
      </c>
      <c r="AG391" t="s">
        <v>49</v>
      </c>
      <c r="AH391">
        <v>0</v>
      </c>
      <c r="AI391" t="s">
        <v>49</v>
      </c>
      <c r="AJ391" t="s">
        <v>49</v>
      </c>
      <c r="AK391" t="s">
        <v>49</v>
      </c>
      <c r="AL391" t="s">
        <v>49</v>
      </c>
      <c r="AM391" t="s">
        <v>49</v>
      </c>
      <c r="AN391" s="3">
        <v>14</v>
      </c>
      <c r="AO391" s="19">
        <v>0</v>
      </c>
      <c r="AP391" s="19">
        <v>0</v>
      </c>
      <c r="AQ391" s="19">
        <v>0.8571</v>
      </c>
      <c r="AR391" s="19">
        <v>0.2857</v>
      </c>
      <c r="AS391" s="19">
        <v>1</v>
      </c>
      <c r="AT391" s="19">
        <v>0</v>
      </c>
      <c r="AU391" s="3">
        <v>0</v>
      </c>
      <c r="AV391" s="3">
        <v>0</v>
      </c>
      <c r="AW391" s="19">
        <v>0</v>
      </c>
      <c r="AX391" s="3">
        <v>0</v>
      </c>
      <c r="AY391" s="3">
        <v>0</v>
      </c>
    </row>
    <row r="392" spans="1:51">
      <c r="A392" s="3">
        <v>21941998</v>
      </c>
      <c r="B392" t="s">
        <v>662</v>
      </c>
      <c r="C392" s="3">
        <v>125251019</v>
      </c>
      <c r="D392" t="s">
        <v>44</v>
      </c>
      <c r="E392" t="s">
        <v>418</v>
      </c>
      <c r="F392" t="s">
        <v>46</v>
      </c>
      <c r="G392" t="s">
        <v>47</v>
      </c>
      <c r="H392" s="16">
        <v>0</v>
      </c>
      <c r="I392" s="4">
        <f>VLOOKUP(C392,[1]sheet1!$D:$I,6,0)</f>
        <v>0</v>
      </c>
      <c r="J392" s="4">
        <f>VLOOKUP(C392,[2]sheet1!$D:$I,6,0)</f>
        <v>0</v>
      </c>
      <c r="K392" s="4">
        <f>VLOOKUP(C392,[3]sheet1!$D:$I,6,0)</f>
        <v>0</v>
      </c>
      <c r="L392" s="4">
        <f>VLOOKUP(C392,[4]sheet1!$D:$I,6,0)</f>
        <v>0</v>
      </c>
      <c r="M392" s="4">
        <f>VLOOKUP(C392,[5]sheet1!$D:$I,6,0)</f>
        <v>0</v>
      </c>
      <c r="N392" s="4">
        <f>VLOOKUP(C392,[6]sheet1!$D:$I,6,0)</f>
        <v>0</v>
      </c>
      <c r="O392" s="4">
        <f>VLOOKUP(C392,[7]sheet1!$D:$I,6,0)</f>
        <v>0</v>
      </c>
      <c r="P392" s="4">
        <f>VLOOKUP(C392,[8]sheet1!$D:$I,6,0)</f>
        <v>0</v>
      </c>
      <c r="Q392" s="4">
        <f t="shared" si="6"/>
        <v>0</v>
      </c>
      <c r="R392" s="3">
        <v>0</v>
      </c>
      <c r="S392">
        <v>0</v>
      </c>
      <c r="T392">
        <v>0</v>
      </c>
      <c r="U392" s="3">
        <v>0</v>
      </c>
      <c r="V392" s="3">
        <v>0</v>
      </c>
      <c r="W392">
        <v>0</v>
      </c>
      <c r="X392" s="3">
        <v>0</v>
      </c>
      <c r="Y392">
        <v>0</v>
      </c>
      <c r="Z392" s="3">
        <v>0</v>
      </c>
      <c r="AA392" t="s">
        <v>663</v>
      </c>
      <c r="AB392" s="3">
        <v>999</v>
      </c>
      <c r="AC392">
        <v>858.74</v>
      </c>
      <c r="AD392" t="s">
        <v>49</v>
      </c>
      <c r="AE392">
        <v>0</v>
      </c>
      <c r="AF392" s="3">
        <v>0</v>
      </c>
      <c r="AG392" t="s">
        <v>49</v>
      </c>
      <c r="AH392">
        <v>0</v>
      </c>
      <c r="AI392" t="s">
        <v>49</v>
      </c>
      <c r="AJ392" t="s">
        <v>49</v>
      </c>
      <c r="AK392" t="s">
        <v>49</v>
      </c>
      <c r="AL392" t="s">
        <v>49</v>
      </c>
      <c r="AM392" t="s">
        <v>49</v>
      </c>
      <c r="AN392">
        <v>0</v>
      </c>
      <c r="AO392" s="19">
        <v>0</v>
      </c>
      <c r="AP392" s="19">
        <v>0</v>
      </c>
      <c r="AQ392" s="19">
        <v>0</v>
      </c>
      <c r="AR392" s="19">
        <v>0</v>
      </c>
      <c r="AS392" s="19">
        <v>0</v>
      </c>
      <c r="AT392" s="19">
        <v>0</v>
      </c>
      <c r="AU392" s="3">
        <v>0</v>
      </c>
      <c r="AV392" s="3">
        <v>0</v>
      </c>
      <c r="AW392" s="19">
        <v>0</v>
      </c>
      <c r="AX392" s="3">
        <v>0</v>
      </c>
      <c r="AY392" s="3">
        <v>0</v>
      </c>
    </row>
    <row r="393" spans="1:51">
      <c r="A393" s="3">
        <v>21873201</v>
      </c>
      <c r="B393" t="s">
        <v>664</v>
      </c>
      <c r="C393" s="3">
        <v>115251018</v>
      </c>
      <c r="D393" t="s">
        <v>44</v>
      </c>
      <c r="E393" t="s">
        <v>227</v>
      </c>
      <c r="F393" t="s">
        <v>46</v>
      </c>
      <c r="G393" t="s">
        <v>47</v>
      </c>
      <c r="H393" s="16">
        <v>0</v>
      </c>
      <c r="I393" s="4">
        <f>VLOOKUP(C393,[1]sheet1!$D:$I,6,0)</f>
        <v>0</v>
      </c>
      <c r="J393" s="4">
        <f>VLOOKUP(C393,[2]sheet1!$D:$I,6,0)</f>
        <v>0</v>
      </c>
      <c r="K393" s="4">
        <f>VLOOKUP(C393,[3]sheet1!$D:$I,6,0)</f>
        <v>0</v>
      </c>
      <c r="L393" s="4">
        <f>VLOOKUP(C393,[4]sheet1!$D:$I,6,0)</f>
        <v>0</v>
      </c>
      <c r="M393" s="4">
        <f>VLOOKUP(C393,[5]sheet1!$D:$I,6,0)</f>
        <v>0</v>
      </c>
      <c r="N393" s="4">
        <f>VLOOKUP(C393,[6]sheet1!$D:$I,6,0)</f>
        <v>0</v>
      </c>
      <c r="O393" s="4">
        <f>VLOOKUP(C393,[7]sheet1!$D:$I,6,0)</f>
        <v>0</v>
      </c>
      <c r="P393" s="4">
        <f>VLOOKUP(C393,[8]sheet1!$D:$I,6,0)</f>
        <v>0</v>
      </c>
      <c r="Q393" s="4">
        <f t="shared" si="6"/>
        <v>0</v>
      </c>
      <c r="R393" s="3">
        <v>0</v>
      </c>
      <c r="S393">
        <v>52</v>
      </c>
      <c r="T393">
        <v>0</v>
      </c>
      <c r="U393" s="3">
        <v>0</v>
      </c>
      <c r="V393" s="3">
        <v>0</v>
      </c>
      <c r="W393">
        <v>0</v>
      </c>
      <c r="X393" s="3">
        <v>0</v>
      </c>
      <c r="Y393">
        <v>0</v>
      </c>
      <c r="Z393" s="3">
        <v>0</v>
      </c>
      <c r="AA393" t="s">
        <v>663</v>
      </c>
      <c r="AB393" s="3">
        <v>999</v>
      </c>
      <c r="AC393">
        <v>860.42</v>
      </c>
      <c r="AD393" t="s">
        <v>49</v>
      </c>
      <c r="AE393">
        <v>0</v>
      </c>
      <c r="AF393" s="3">
        <v>0</v>
      </c>
      <c r="AG393" t="s">
        <v>49</v>
      </c>
      <c r="AH393">
        <v>0</v>
      </c>
      <c r="AI393" t="s">
        <v>49</v>
      </c>
      <c r="AJ393" t="s">
        <v>49</v>
      </c>
      <c r="AK393" t="s">
        <v>49</v>
      </c>
      <c r="AL393" t="s">
        <v>49</v>
      </c>
      <c r="AM393" t="s">
        <v>49</v>
      </c>
      <c r="AN393">
        <v>52</v>
      </c>
      <c r="AO393" s="19">
        <v>0</v>
      </c>
      <c r="AP393" s="19">
        <v>0</v>
      </c>
      <c r="AQ393" s="19">
        <v>0.5</v>
      </c>
      <c r="AR393" s="19">
        <v>0.5</v>
      </c>
      <c r="AS393" s="19">
        <v>0</v>
      </c>
      <c r="AT393" s="19">
        <v>0</v>
      </c>
      <c r="AU393" s="3">
        <v>0</v>
      </c>
      <c r="AV393" s="3">
        <v>0</v>
      </c>
      <c r="AW393" s="19">
        <v>0</v>
      </c>
      <c r="AX393" s="3">
        <v>0</v>
      </c>
      <c r="AY393" s="3">
        <v>0</v>
      </c>
    </row>
    <row r="394" spans="1:51">
      <c r="A394" s="3">
        <v>21721573</v>
      </c>
      <c r="B394" t="s">
        <v>665</v>
      </c>
      <c r="C394" s="3">
        <v>105101076</v>
      </c>
      <c r="D394" t="s">
        <v>44</v>
      </c>
      <c r="E394" t="s">
        <v>104</v>
      </c>
      <c r="F394" t="s">
        <v>46</v>
      </c>
      <c r="G394" t="s">
        <v>47</v>
      </c>
      <c r="H394" s="16">
        <v>0</v>
      </c>
      <c r="I394" s="4">
        <f>VLOOKUP(C394,[1]sheet1!$D:$I,6,0)</f>
        <v>0</v>
      </c>
      <c r="J394" s="4">
        <f>VLOOKUP(C394,[2]sheet1!$D:$I,6,0)</f>
        <v>0</v>
      </c>
      <c r="K394" s="4">
        <f>VLOOKUP(C394,[3]sheet1!$D:$I,6,0)</f>
        <v>0</v>
      </c>
      <c r="L394" s="4">
        <f>VLOOKUP(C394,[4]sheet1!$D:$I,6,0)</f>
        <v>0</v>
      </c>
      <c r="M394" s="4">
        <f>VLOOKUP(C394,[5]sheet1!$D:$I,6,0)</f>
        <v>0</v>
      </c>
      <c r="N394" s="4">
        <f>VLOOKUP(C394,[6]sheet1!$D:$I,6,0)</f>
        <v>0</v>
      </c>
      <c r="O394" s="4">
        <f>VLOOKUP(C394,[7]sheet1!$D:$I,6,0)</f>
        <v>0</v>
      </c>
      <c r="P394" s="4">
        <f>VLOOKUP(C394,[8]sheet1!$D:$I,6,0)</f>
        <v>0</v>
      </c>
      <c r="Q394" s="4">
        <f t="shared" si="6"/>
        <v>0</v>
      </c>
      <c r="R394" s="3">
        <v>0</v>
      </c>
      <c r="S394">
        <v>275</v>
      </c>
      <c r="T394">
        <v>0</v>
      </c>
      <c r="U394" s="3">
        <v>2</v>
      </c>
      <c r="V394" s="3">
        <v>0</v>
      </c>
      <c r="W394">
        <v>0</v>
      </c>
      <c r="X394" s="3">
        <v>0</v>
      </c>
      <c r="Y394">
        <v>0</v>
      </c>
      <c r="Z394" s="3">
        <v>0</v>
      </c>
      <c r="AA394" t="s">
        <v>603</v>
      </c>
      <c r="AB394" s="3">
        <v>899</v>
      </c>
      <c r="AC394">
        <v>772.52</v>
      </c>
      <c r="AD394" t="s">
        <v>49</v>
      </c>
      <c r="AE394">
        <v>0</v>
      </c>
      <c r="AF394" s="3">
        <v>0</v>
      </c>
      <c r="AG394" t="s">
        <v>49</v>
      </c>
      <c r="AH394">
        <v>0</v>
      </c>
      <c r="AI394" t="s">
        <v>49</v>
      </c>
      <c r="AJ394" t="s">
        <v>49</v>
      </c>
      <c r="AK394" t="s">
        <v>49</v>
      </c>
      <c r="AL394" t="s">
        <v>49</v>
      </c>
      <c r="AM394" t="s">
        <v>49</v>
      </c>
      <c r="AN394" s="3">
        <v>65</v>
      </c>
      <c r="AO394" s="19">
        <v>0</v>
      </c>
      <c r="AP394" s="19">
        <v>0</v>
      </c>
      <c r="AQ394" s="19">
        <v>0.8214</v>
      </c>
      <c r="AR394" s="19">
        <v>0.5</v>
      </c>
      <c r="AS394" s="19">
        <v>1</v>
      </c>
      <c r="AT394" s="19">
        <v>0.5</v>
      </c>
      <c r="AU394" s="3">
        <v>0</v>
      </c>
      <c r="AV394" s="3">
        <v>0</v>
      </c>
      <c r="AW394" s="19">
        <v>0</v>
      </c>
      <c r="AX394" s="3">
        <v>0</v>
      </c>
      <c r="AY394" s="3">
        <v>0</v>
      </c>
    </row>
    <row r="395" spans="1:51">
      <c r="A395" s="3">
        <v>21431009</v>
      </c>
      <c r="B395" t="s">
        <v>666</v>
      </c>
      <c r="C395" s="3">
        <v>135178022</v>
      </c>
      <c r="D395" t="s">
        <v>44</v>
      </c>
      <c r="E395" t="s">
        <v>667</v>
      </c>
      <c r="F395" t="s">
        <v>65</v>
      </c>
      <c r="G395" t="s">
        <v>47</v>
      </c>
      <c r="H395" s="16">
        <v>0</v>
      </c>
      <c r="I395" s="4">
        <f>VLOOKUP(C395,[1]sheet1!$D:$I,6,0)</f>
        <v>0</v>
      </c>
      <c r="J395" s="4">
        <f>VLOOKUP(C395,[2]sheet1!$D:$I,6,0)</f>
        <v>0</v>
      </c>
      <c r="K395" s="4">
        <f>VLOOKUP(C395,[3]sheet1!$D:$I,6,0)</f>
        <v>0</v>
      </c>
      <c r="L395" s="4">
        <f>VLOOKUP(C395,[4]sheet1!$D:$I,6,0)</f>
        <v>0</v>
      </c>
      <c r="M395" s="4">
        <f>VLOOKUP(C395,[5]sheet1!$D:$I,6,0)</f>
        <v>0</v>
      </c>
      <c r="N395" s="4">
        <f>VLOOKUP(C395,[6]sheet1!$D:$I,6,0)</f>
        <v>0</v>
      </c>
      <c r="O395" s="4">
        <f>VLOOKUP(C395,[7]sheet1!$D:$I,6,0)</f>
        <v>0</v>
      </c>
      <c r="P395" s="4">
        <f>VLOOKUP(C395,[8]sheet1!$D:$I,6,0)</f>
        <v>0</v>
      </c>
      <c r="Q395" s="4">
        <f t="shared" si="6"/>
        <v>0</v>
      </c>
      <c r="R395" s="3">
        <v>0</v>
      </c>
      <c r="S395" s="3">
        <v>9</v>
      </c>
      <c r="T395" s="19">
        <v>0</v>
      </c>
      <c r="U395" s="3">
        <v>0</v>
      </c>
      <c r="V395" s="3">
        <v>0</v>
      </c>
      <c r="W395">
        <v>169</v>
      </c>
      <c r="X395" s="3">
        <v>1</v>
      </c>
      <c r="Y395">
        <v>0</v>
      </c>
      <c r="Z395" s="3">
        <v>0</v>
      </c>
      <c r="AA395" t="s">
        <v>55</v>
      </c>
      <c r="AB395" t="s">
        <v>49</v>
      </c>
      <c r="AC395">
        <v>107.99</v>
      </c>
      <c r="AD395" t="s">
        <v>49</v>
      </c>
      <c r="AE395">
        <v>0</v>
      </c>
      <c r="AF395" s="3">
        <v>0</v>
      </c>
      <c r="AG395" t="s">
        <v>49</v>
      </c>
      <c r="AH395">
        <v>0</v>
      </c>
      <c r="AI395" t="s">
        <v>49</v>
      </c>
      <c r="AJ395" t="s">
        <v>49</v>
      </c>
      <c r="AK395" t="s">
        <v>49</v>
      </c>
      <c r="AL395" t="s">
        <v>49</v>
      </c>
      <c r="AM395" t="s">
        <v>49</v>
      </c>
      <c r="AN395" s="3">
        <v>10</v>
      </c>
      <c r="AO395" s="19">
        <v>0</v>
      </c>
      <c r="AP395" s="19">
        <v>0</v>
      </c>
      <c r="AQ395" s="19">
        <v>0.3333</v>
      </c>
      <c r="AR395" s="19">
        <v>0</v>
      </c>
      <c r="AS395" s="19">
        <v>0</v>
      </c>
      <c r="AT395" s="19">
        <v>0</v>
      </c>
      <c r="AU395" s="3">
        <v>0</v>
      </c>
      <c r="AV395" s="3">
        <v>0</v>
      </c>
      <c r="AW395" s="19">
        <v>0</v>
      </c>
      <c r="AX395" s="3">
        <v>0</v>
      </c>
      <c r="AY395" s="3">
        <v>0</v>
      </c>
    </row>
    <row r="396" spans="1:51">
      <c r="A396" s="3">
        <v>21407166</v>
      </c>
      <c r="B396" t="s">
        <v>668</v>
      </c>
      <c r="C396" s="3">
        <v>115119029</v>
      </c>
      <c r="D396" t="s">
        <v>44</v>
      </c>
      <c r="E396" t="s">
        <v>252</v>
      </c>
      <c r="F396" t="s">
        <v>46</v>
      </c>
      <c r="G396" t="s">
        <v>47</v>
      </c>
      <c r="H396" s="16">
        <v>0</v>
      </c>
      <c r="I396" s="4">
        <f>VLOOKUP(C396,[1]sheet1!$D:$I,6,0)</f>
        <v>0</v>
      </c>
      <c r="J396" s="4">
        <f>VLOOKUP(C396,[2]sheet1!$D:$I,6,0)</f>
        <v>0</v>
      </c>
      <c r="K396" s="4">
        <f>VLOOKUP(C396,[3]sheet1!$D:$I,6,0)</f>
        <v>0</v>
      </c>
      <c r="L396" s="4">
        <f>VLOOKUP(C396,[4]sheet1!$D:$I,6,0)</f>
        <v>0</v>
      </c>
      <c r="M396" s="4">
        <f>VLOOKUP(C396,[5]sheet1!$D:$I,6,0)</f>
        <v>0</v>
      </c>
      <c r="N396" s="4">
        <f>VLOOKUP(C396,[6]sheet1!$D:$I,6,0)</f>
        <v>0</v>
      </c>
      <c r="O396" s="4">
        <f>VLOOKUP(C396,[7]sheet1!$D:$I,6,0)</f>
        <v>662</v>
      </c>
      <c r="P396" s="4">
        <f>VLOOKUP(C396,[8]sheet1!$D:$I,6,0)</f>
        <v>0</v>
      </c>
      <c r="Q396" s="4">
        <f t="shared" si="6"/>
        <v>662</v>
      </c>
      <c r="R396" s="3">
        <v>0</v>
      </c>
      <c r="S396">
        <v>233</v>
      </c>
      <c r="T396">
        <v>0</v>
      </c>
      <c r="U396" s="3">
        <v>2</v>
      </c>
      <c r="V396" s="3">
        <v>0</v>
      </c>
      <c r="W396">
        <v>0</v>
      </c>
      <c r="X396" s="3">
        <v>0</v>
      </c>
      <c r="Y396">
        <v>0</v>
      </c>
      <c r="Z396" s="3">
        <v>0</v>
      </c>
      <c r="AA396" t="s">
        <v>669</v>
      </c>
      <c r="AB396" s="3">
        <v>528</v>
      </c>
      <c r="AC396">
        <v>589.53</v>
      </c>
      <c r="AD396" t="s">
        <v>49</v>
      </c>
      <c r="AE396">
        <v>0</v>
      </c>
      <c r="AF396" s="3">
        <v>0</v>
      </c>
      <c r="AG396" t="s">
        <v>49</v>
      </c>
      <c r="AH396">
        <v>0</v>
      </c>
      <c r="AI396" t="s">
        <v>49</v>
      </c>
      <c r="AJ396">
        <v>449.46</v>
      </c>
      <c r="AK396" t="s">
        <v>49</v>
      </c>
      <c r="AL396">
        <v>0</v>
      </c>
      <c r="AM396" t="s">
        <v>49</v>
      </c>
      <c r="AN396" s="3">
        <v>47</v>
      </c>
      <c r="AO396" s="19">
        <v>0</v>
      </c>
      <c r="AP396" s="19">
        <v>0</v>
      </c>
      <c r="AQ396" s="19">
        <v>0.825</v>
      </c>
      <c r="AR396" s="19">
        <v>0.275</v>
      </c>
      <c r="AS396" s="19">
        <v>1</v>
      </c>
      <c r="AT396" s="19">
        <v>0.5</v>
      </c>
      <c r="AU396" s="3">
        <v>0</v>
      </c>
      <c r="AV396" s="3">
        <v>0</v>
      </c>
      <c r="AW396" s="19">
        <v>0</v>
      </c>
      <c r="AX396" s="3">
        <v>0</v>
      </c>
      <c r="AY396" s="3">
        <v>0</v>
      </c>
    </row>
    <row r="397" spans="1:51">
      <c r="A397" s="3">
        <v>21389955</v>
      </c>
      <c r="B397" t="s">
        <v>670</v>
      </c>
      <c r="C397" s="3">
        <v>125119030</v>
      </c>
      <c r="D397" t="s">
        <v>44</v>
      </c>
      <c r="E397" t="s">
        <v>252</v>
      </c>
      <c r="F397" t="s">
        <v>46</v>
      </c>
      <c r="G397" t="s">
        <v>47</v>
      </c>
      <c r="H397" s="16">
        <v>0</v>
      </c>
      <c r="I397" s="4">
        <f>VLOOKUP(C397,[1]sheet1!$D:$I,6,0)</f>
        <v>0</v>
      </c>
      <c r="J397" s="4">
        <f>VLOOKUP(C397,[2]sheet1!$D:$I,6,0)</f>
        <v>0</v>
      </c>
      <c r="K397" s="4">
        <f>VLOOKUP(C397,[3]sheet1!$D:$I,6,0)</f>
        <v>0</v>
      </c>
      <c r="L397" s="4">
        <f>VLOOKUP(C397,[4]sheet1!$D:$I,6,0)</f>
        <v>0</v>
      </c>
      <c r="M397" s="4">
        <f>VLOOKUP(C397,[5]sheet1!$D:$I,6,0)</f>
        <v>0</v>
      </c>
      <c r="N397" s="4">
        <f>VLOOKUP(C397,[6]sheet1!$D:$I,6,0)</f>
        <v>0</v>
      </c>
      <c r="O397" s="4">
        <f>VLOOKUP(C397,[7]sheet1!$D:$I,6,0)</f>
        <v>0</v>
      </c>
      <c r="P397" s="4">
        <f>VLOOKUP(C397,[8]sheet1!$D:$I,6,0)</f>
        <v>0</v>
      </c>
      <c r="Q397" s="4">
        <f t="shared" si="6"/>
        <v>0</v>
      </c>
      <c r="R397" s="3">
        <v>0</v>
      </c>
      <c r="S397">
        <v>180</v>
      </c>
      <c r="T397">
        <v>0</v>
      </c>
      <c r="U397" s="3">
        <v>1</v>
      </c>
      <c r="V397" s="3">
        <v>0</v>
      </c>
      <c r="W397">
        <v>0</v>
      </c>
      <c r="X397" s="3">
        <v>0</v>
      </c>
      <c r="Y397">
        <v>0</v>
      </c>
      <c r="Z397" s="3">
        <v>0</v>
      </c>
      <c r="AA397" t="s">
        <v>669</v>
      </c>
      <c r="AB397" s="3">
        <v>551</v>
      </c>
      <c r="AC397">
        <v>589.53</v>
      </c>
      <c r="AD397" t="s">
        <v>49</v>
      </c>
      <c r="AE397">
        <v>0</v>
      </c>
      <c r="AF397" s="3">
        <v>0</v>
      </c>
      <c r="AG397" t="s">
        <v>49</v>
      </c>
      <c r="AH397">
        <v>0</v>
      </c>
      <c r="AI397" t="s">
        <v>49</v>
      </c>
      <c r="AJ397">
        <v>469.47</v>
      </c>
      <c r="AK397" t="s">
        <v>49</v>
      </c>
      <c r="AL397">
        <v>0</v>
      </c>
      <c r="AM397" t="s">
        <v>49</v>
      </c>
      <c r="AN397" s="3">
        <v>28</v>
      </c>
      <c r="AO397" s="19">
        <v>0</v>
      </c>
      <c r="AP397" s="19">
        <v>0</v>
      </c>
      <c r="AQ397" s="19">
        <v>0.8333</v>
      </c>
      <c r="AR397" s="19">
        <v>0.25</v>
      </c>
      <c r="AS397" s="19">
        <v>1</v>
      </c>
      <c r="AT397" s="19">
        <v>1</v>
      </c>
      <c r="AU397" s="3">
        <v>0</v>
      </c>
      <c r="AV397" s="3">
        <v>0</v>
      </c>
      <c r="AW397" s="19">
        <v>0</v>
      </c>
      <c r="AX397" s="3">
        <v>0</v>
      </c>
      <c r="AY397" s="3">
        <v>0</v>
      </c>
    </row>
    <row r="398" spans="1:51">
      <c r="A398" s="3">
        <v>21194249</v>
      </c>
      <c r="B398" t="s">
        <v>671</v>
      </c>
      <c r="C398" s="3">
        <v>1124301070</v>
      </c>
      <c r="D398" t="s">
        <v>44</v>
      </c>
      <c r="E398" t="s">
        <v>104</v>
      </c>
      <c r="F398" t="s">
        <v>46</v>
      </c>
      <c r="G398" t="s">
        <v>47</v>
      </c>
      <c r="H398" s="16">
        <v>0</v>
      </c>
      <c r="I398" s="4">
        <f>VLOOKUP(C398,[1]sheet1!$D:$I,6,0)</f>
        <v>0</v>
      </c>
      <c r="J398" s="4">
        <f>VLOOKUP(C398,[2]sheet1!$D:$I,6,0)</f>
        <v>0</v>
      </c>
      <c r="K398" s="4">
        <f>VLOOKUP(C398,[3]sheet1!$D:$I,6,0)</f>
        <v>885</v>
      </c>
      <c r="L398" s="4">
        <f>VLOOKUP(C398,[4]sheet1!$D:$I,6,0)</f>
        <v>814</v>
      </c>
      <c r="M398" s="4">
        <f>VLOOKUP(C398,[5]sheet1!$D:$I,6,0)</f>
        <v>0</v>
      </c>
      <c r="N398" s="4">
        <f>VLOOKUP(C398,[6]sheet1!$D:$I,6,0)</f>
        <v>0</v>
      </c>
      <c r="O398" s="4">
        <f>VLOOKUP(C398,[7]sheet1!$D:$I,6,0)</f>
        <v>792</v>
      </c>
      <c r="P398" s="4">
        <f>VLOOKUP(C398,[8]sheet1!$D:$I,6,0)</f>
        <v>750.21</v>
      </c>
      <c r="Q398" s="4">
        <f t="shared" si="6"/>
        <v>3241.21</v>
      </c>
      <c r="R398" s="3">
        <v>0</v>
      </c>
      <c r="S398">
        <v>1553</v>
      </c>
      <c r="T398">
        <v>0</v>
      </c>
      <c r="U398" s="3">
        <v>72</v>
      </c>
      <c r="V398" s="3">
        <v>0</v>
      </c>
      <c r="W398">
        <v>844</v>
      </c>
      <c r="X398" s="3">
        <v>1</v>
      </c>
      <c r="Y398">
        <v>0</v>
      </c>
      <c r="Z398" s="3">
        <v>0</v>
      </c>
      <c r="AA398" t="s">
        <v>274</v>
      </c>
      <c r="AB398" s="3">
        <v>805</v>
      </c>
      <c r="AC398">
        <v>764.69</v>
      </c>
      <c r="AD398" t="s">
        <v>49</v>
      </c>
      <c r="AE398">
        <v>0</v>
      </c>
      <c r="AF398" s="3">
        <v>0</v>
      </c>
      <c r="AG398" t="s">
        <v>49</v>
      </c>
      <c r="AH398">
        <v>0</v>
      </c>
      <c r="AI398" t="s">
        <v>49</v>
      </c>
      <c r="AJ398">
        <v>690.74</v>
      </c>
      <c r="AK398" t="s">
        <v>49</v>
      </c>
      <c r="AL398">
        <v>0</v>
      </c>
      <c r="AM398" t="s">
        <v>49</v>
      </c>
      <c r="AN398" s="3">
        <v>2109</v>
      </c>
      <c r="AO398" s="19">
        <v>0</v>
      </c>
      <c r="AP398" s="19">
        <v>0</v>
      </c>
      <c r="AQ398" s="19">
        <v>0.936</v>
      </c>
      <c r="AR398" s="19">
        <v>0.6013</v>
      </c>
      <c r="AS398" s="19">
        <v>0.9861</v>
      </c>
      <c r="AT398" s="19">
        <v>0.5694</v>
      </c>
      <c r="AU398" s="3">
        <v>0</v>
      </c>
      <c r="AV398" s="3">
        <v>0</v>
      </c>
      <c r="AW398" s="19">
        <v>0</v>
      </c>
      <c r="AX398" s="3">
        <v>0</v>
      </c>
      <c r="AY398" s="3">
        <v>0</v>
      </c>
    </row>
    <row r="399" spans="1:51">
      <c r="A399" s="3">
        <v>21143819</v>
      </c>
      <c r="B399" t="s">
        <v>672</v>
      </c>
      <c r="C399" s="3">
        <v>115214007</v>
      </c>
      <c r="D399" t="s">
        <v>44</v>
      </c>
      <c r="E399" t="s">
        <v>179</v>
      </c>
      <c r="F399" t="s">
        <v>65</v>
      </c>
      <c r="G399" t="s">
        <v>47</v>
      </c>
      <c r="H399" s="16">
        <v>0</v>
      </c>
      <c r="I399" s="4">
        <f>VLOOKUP(C399,[1]sheet1!$D:$I,6,0)</f>
        <v>644</v>
      </c>
      <c r="J399" s="4">
        <f>VLOOKUP(C399,[2]sheet1!$D:$I,6,0)</f>
        <v>0</v>
      </c>
      <c r="K399" s="4">
        <f>VLOOKUP(C399,[3]sheet1!$D:$I,6,0)</f>
        <v>337</v>
      </c>
      <c r="L399" s="4">
        <f>VLOOKUP(C399,[4]sheet1!$D:$I,6,0)</f>
        <v>332</v>
      </c>
      <c r="M399" s="4">
        <f>VLOOKUP(C399,[5]sheet1!$D:$I,6,0)</f>
        <v>0</v>
      </c>
      <c r="N399" s="4">
        <f>VLOOKUP(C399,[6]sheet1!$D:$I,6,0)</f>
        <v>318.67</v>
      </c>
      <c r="O399" s="4" t="e">
        <f>VLOOKUP(C399,[7]sheet1!$D:$I,6,0)</f>
        <v>#N/A</v>
      </c>
      <c r="P399" s="4" t="e">
        <f>VLOOKUP(C399,[8]sheet1!$D:$I,6,0)</f>
        <v>#N/A</v>
      </c>
      <c r="Q399" s="4" t="e">
        <f t="shared" si="6"/>
        <v>#N/A</v>
      </c>
      <c r="R399" s="3">
        <v>0</v>
      </c>
      <c r="S399" s="3">
        <v>91</v>
      </c>
      <c r="T399" s="19">
        <v>0</v>
      </c>
      <c r="U399" s="3">
        <v>1</v>
      </c>
      <c r="V399" s="3">
        <v>0</v>
      </c>
      <c r="W399">
        <v>0</v>
      </c>
      <c r="X399" s="3">
        <v>0</v>
      </c>
      <c r="Y399">
        <v>0</v>
      </c>
      <c r="Z399" s="3">
        <v>0</v>
      </c>
      <c r="AA399" t="s">
        <v>170</v>
      </c>
      <c r="AB399" t="s">
        <v>49</v>
      </c>
      <c r="AC399">
        <v>252.92</v>
      </c>
      <c r="AD399" t="s">
        <v>49</v>
      </c>
      <c r="AE399">
        <v>0</v>
      </c>
      <c r="AF399" s="3">
        <v>0</v>
      </c>
      <c r="AG399" t="s">
        <v>49</v>
      </c>
      <c r="AH399">
        <v>0</v>
      </c>
      <c r="AI399" t="s">
        <v>49</v>
      </c>
      <c r="AJ399" t="s">
        <v>49</v>
      </c>
      <c r="AK399" t="s">
        <v>49</v>
      </c>
      <c r="AL399" t="s">
        <v>49</v>
      </c>
      <c r="AM399" t="s">
        <v>49</v>
      </c>
      <c r="AN399" s="3">
        <v>115</v>
      </c>
      <c r="AO399" s="19">
        <v>0</v>
      </c>
      <c r="AP399" s="19">
        <v>0</v>
      </c>
      <c r="AQ399" s="19">
        <v>0.7363</v>
      </c>
      <c r="AR399" s="19">
        <v>0.1209</v>
      </c>
      <c r="AS399" s="19">
        <v>0</v>
      </c>
      <c r="AT399" s="19">
        <v>1</v>
      </c>
      <c r="AU399" s="3">
        <v>0</v>
      </c>
      <c r="AV399" s="3">
        <v>0</v>
      </c>
      <c r="AW399" s="19">
        <v>0</v>
      </c>
      <c r="AX399" s="3">
        <v>0</v>
      </c>
      <c r="AY399" s="3">
        <v>0</v>
      </c>
    </row>
    <row r="400" spans="1:51">
      <c r="A400" s="3">
        <v>21098771</v>
      </c>
      <c r="B400" t="s">
        <v>673</v>
      </c>
      <c r="C400" s="3">
        <v>125181002</v>
      </c>
      <c r="D400" t="s">
        <v>44</v>
      </c>
      <c r="E400" t="s">
        <v>100</v>
      </c>
      <c r="F400" t="s">
        <v>46</v>
      </c>
      <c r="G400" t="s">
        <v>47</v>
      </c>
      <c r="H400" s="16">
        <v>0</v>
      </c>
      <c r="I400" s="4">
        <f>VLOOKUP(C400,[1]sheet1!$D:$I,6,0)</f>
        <v>0</v>
      </c>
      <c r="J400" s="4">
        <f>VLOOKUP(C400,[2]sheet1!$D:$I,6,0)</f>
        <v>0</v>
      </c>
      <c r="K400" s="4">
        <f>VLOOKUP(C400,[3]sheet1!$D:$I,6,0)</f>
        <v>532</v>
      </c>
      <c r="L400" s="4">
        <f>VLOOKUP(C400,[4]sheet1!$D:$I,6,0)</f>
        <v>0</v>
      </c>
      <c r="M400" s="4">
        <f>VLOOKUP(C400,[5]sheet1!$D:$I,6,0)</f>
        <v>0</v>
      </c>
      <c r="N400" s="4">
        <f>VLOOKUP(C400,[6]sheet1!$D:$I,6,0)</f>
        <v>0</v>
      </c>
      <c r="O400" s="4">
        <f>VLOOKUP(C400,[7]sheet1!$D:$I,6,0)</f>
        <v>0</v>
      </c>
      <c r="P400" s="4">
        <f>VLOOKUP(C400,[8]sheet1!$D:$I,6,0)</f>
        <v>0</v>
      </c>
      <c r="Q400" s="4">
        <f t="shared" si="6"/>
        <v>532</v>
      </c>
      <c r="R400" s="3">
        <v>0</v>
      </c>
      <c r="S400">
        <v>205</v>
      </c>
      <c r="T400">
        <v>0</v>
      </c>
      <c r="U400" s="3">
        <v>1</v>
      </c>
      <c r="V400" s="3">
        <v>0</v>
      </c>
      <c r="W400">
        <v>0</v>
      </c>
      <c r="X400" s="3">
        <v>0</v>
      </c>
      <c r="Y400">
        <v>0</v>
      </c>
      <c r="Z400" s="3">
        <v>0</v>
      </c>
      <c r="AA400" t="s">
        <v>101</v>
      </c>
      <c r="AB400" s="3">
        <v>540</v>
      </c>
      <c r="AC400">
        <v>469.4</v>
      </c>
      <c r="AD400" t="s">
        <v>49</v>
      </c>
      <c r="AE400">
        <v>0</v>
      </c>
      <c r="AF400" s="3">
        <v>0</v>
      </c>
      <c r="AG400" t="s">
        <v>49</v>
      </c>
      <c r="AH400">
        <v>0</v>
      </c>
      <c r="AI400" t="s">
        <v>49</v>
      </c>
      <c r="AJ400">
        <v>460.7</v>
      </c>
      <c r="AK400" t="s">
        <v>49</v>
      </c>
      <c r="AL400">
        <v>0</v>
      </c>
      <c r="AM400" t="s">
        <v>49</v>
      </c>
      <c r="AN400" s="3">
        <v>38</v>
      </c>
      <c r="AO400" s="19">
        <v>0</v>
      </c>
      <c r="AP400" s="19">
        <v>0</v>
      </c>
      <c r="AQ400" s="19">
        <v>0.7742</v>
      </c>
      <c r="AR400" s="19">
        <v>0.2258</v>
      </c>
      <c r="AS400" s="19">
        <v>1</v>
      </c>
      <c r="AT400" s="19">
        <v>0</v>
      </c>
      <c r="AU400" s="3">
        <v>0</v>
      </c>
      <c r="AV400" s="3">
        <v>0</v>
      </c>
      <c r="AW400" s="19">
        <v>0</v>
      </c>
      <c r="AX400" s="3">
        <v>0</v>
      </c>
      <c r="AY400" s="3">
        <v>0</v>
      </c>
    </row>
    <row r="401" spans="1:51">
      <c r="A401" s="3">
        <v>21014222</v>
      </c>
      <c r="B401" t="s">
        <v>674</v>
      </c>
      <c r="C401" s="3">
        <v>115215009</v>
      </c>
      <c r="D401" t="s">
        <v>44</v>
      </c>
      <c r="E401" t="s">
        <v>45</v>
      </c>
      <c r="F401" t="s">
        <v>65</v>
      </c>
      <c r="G401" t="s">
        <v>47</v>
      </c>
      <c r="H401" s="16">
        <v>0</v>
      </c>
      <c r="I401" s="4">
        <f>VLOOKUP(C401,[1]sheet1!$D:$I,6,0)</f>
        <v>0</v>
      </c>
      <c r="J401" s="4">
        <f>VLOOKUP(C401,[2]sheet1!$D:$I,6,0)</f>
        <v>0</v>
      </c>
      <c r="K401" s="4">
        <f>VLOOKUP(C401,[3]sheet1!$D:$I,6,0)</f>
        <v>0</v>
      </c>
      <c r="L401" s="4">
        <f>VLOOKUP(C401,[4]sheet1!$D:$I,6,0)</f>
        <v>0</v>
      </c>
      <c r="M401" s="4">
        <f>VLOOKUP(C401,[5]sheet1!$D:$I,6,0)</f>
        <v>0</v>
      </c>
      <c r="N401" s="4">
        <f>VLOOKUP(C401,[6]sheet1!$D:$I,6,0)</f>
        <v>432</v>
      </c>
      <c r="O401" s="4">
        <f>VLOOKUP(C401,[7]sheet1!$D:$I,6,0)</f>
        <v>0</v>
      </c>
      <c r="P401" s="4">
        <f>VLOOKUP(C401,[8]sheet1!$D:$I,6,0)</f>
        <v>0</v>
      </c>
      <c r="Q401" s="4">
        <f t="shared" si="6"/>
        <v>432</v>
      </c>
      <c r="R401" s="3">
        <v>0</v>
      </c>
      <c r="S401" s="3">
        <v>28</v>
      </c>
      <c r="T401" s="19">
        <v>0</v>
      </c>
      <c r="U401" s="3">
        <v>0</v>
      </c>
      <c r="V401" s="3">
        <v>0</v>
      </c>
      <c r="W401">
        <v>0</v>
      </c>
      <c r="X401" s="3">
        <v>0</v>
      </c>
      <c r="Y401">
        <v>0</v>
      </c>
      <c r="Z401" s="3">
        <v>0</v>
      </c>
      <c r="AA401" t="s">
        <v>170</v>
      </c>
      <c r="AB401" t="s">
        <v>49</v>
      </c>
      <c r="AC401">
        <v>251.72</v>
      </c>
      <c r="AD401" t="s">
        <v>49</v>
      </c>
      <c r="AE401">
        <v>0</v>
      </c>
      <c r="AF401" s="3">
        <v>0</v>
      </c>
      <c r="AG401" t="s">
        <v>49</v>
      </c>
      <c r="AH401">
        <v>0</v>
      </c>
      <c r="AI401" t="s">
        <v>49</v>
      </c>
      <c r="AJ401" t="s">
        <v>49</v>
      </c>
      <c r="AK401" t="s">
        <v>49</v>
      </c>
      <c r="AL401" t="s">
        <v>49</v>
      </c>
      <c r="AM401" t="s">
        <v>49</v>
      </c>
      <c r="AN401" s="3">
        <v>32</v>
      </c>
      <c r="AO401" s="19">
        <v>0</v>
      </c>
      <c r="AP401" s="19">
        <v>0</v>
      </c>
      <c r="AQ401" s="19">
        <v>0.7143</v>
      </c>
      <c r="AR401" s="19">
        <v>0.1071</v>
      </c>
      <c r="AS401" s="19">
        <v>0</v>
      </c>
      <c r="AT401" s="19">
        <v>0</v>
      </c>
      <c r="AU401" s="3">
        <v>0</v>
      </c>
      <c r="AV401" s="3">
        <v>0</v>
      </c>
      <c r="AW401" s="19">
        <v>0</v>
      </c>
      <c r="AX401" s="3">
        <v>0</v>
      </c>
      <c r="AY401" s="3">
        <v>0</v>
      </c>
    </row>
    <row r="402" spans="1:51">
      <c r="A402" s="3">
        <v>20972695</v>
      </c>
      <c r="B402" t="s">
        <v>675</v>
      </c>
      <c r="C402" s="3">
        <v>115122023</v>
      </c>
      <c r="D402" t="s">
        <v>44</v>
      </c>
      <c r="E402" t="s">
        <v>100</v>
      </c>
      <c r="F402" t="s">
        <v>65</v>
      </c>
      <c r="G402" t="s">
        <v>47</v>
      </c>
      <c r="H402" s="16">
        <v>0</v>
      </c>
      <c r="I402" s="4">
        <f>VLOOKUP(C402,[1]sheet1!$D:$I,6,0)</f>
        <v>0</v>
      </c>
      <c r="J402" s="4">
        <f>VLOOKUP(C402,[2]sheet1!$D:$I,6,0)</f>
        <v>0</v>
      </c>
      <c r="K402" s="4">
        <f>VLOOKUP(C402,[3]sheet1!$D:$I,6,0)</f>
        <v>0</v>
      </c>
      <c r="L402" s="4">
        <f>VLOOKUP(C402,[4]sheet1!$D:$I,6,0)</f>
        <v>0</v>
      </c>
      <c r="M402" s="4">
        <f>VLOOKUP(C402,[5]sheet1!$D:$I,6,0)</f>
        <v>0</v>
      </c>
      <c r="N402" s="4">
        <f>VLOOKUP(C402,[6]sheet1!$D:$I,6,0)</f>
        <v>0</v>
      </c>
      <c r="O402" s="4">
        <f>VLOOKUP(C402,[7]sheet1!$D:$I,6,0)</f>
        <v>0</v>
      </c>
      <c r="P402" s="4">
        <f>VLOOKUP(C402,[8]sheet1!$D:$I,6,0)</f>
        <v>0</v>
      </c>
      <c r="Q402" s="4">
        <f t="shared" si="6"/>
        <v>0</v>
      </c>
      <c r="R402" s="3">
        <v>0</v>
      </c>
      <c r="S402" s="3">
        <v>162</v>
      </c>
      <c r="T402" s="19">
        <v>0</v>
      </c>
      <c r="U402" s="3">
        <v>6</v>
      </c>
      <c r="V402" s="3">
        <v>0</v>
      </c>
      <c r="W402">
        <v>0</v>
      </c>
      <c r="X402" s="3">
        <v>0</v>
      </c>
      <c r="Y402">
        <v>0</v>
      </c>
      <c r="Z402" s="3">
        <v>0</v>
      </c>
      <c r="AA402" t="s">
        <v>112</v>
      </c>
      <c r="AB402" t="s">
        <v>49</v>
      </c>
      <c r="AC402">
        <v>599.03</v>
      </c>
      <c r="AD402" t="s">
        <v>49</v>
      </c>
      <c r="AE402">
        <v>0</v>
      </c>
      <c r="AF402" s="3">
        <v>0</v>
      </c>
      <c r="AG402" t="s">
        <v>49</v>
      </c>
      <c r="AH402">
        <v>0</v>
      </c>
      <c r="AI402" t="s">
        <v>49</v>
      </c>
      <c r="AJ402" t="s">
        <v>49</v>
      </c>
      <c r="AK402" t="s">
        <v>49</v>
      </c>
      <c r="AL402" t="s">
        <v>49</v>
      </c>
      <c r="AM402" t="s">
        <v>49</v>
      </c>
      <c r="AN402" s="3">
        <v>210</v>
      </c>
      <c r="AO402" s="19">
        <v>0</v>
      </c>
      <c r="AP402" s="19">
        <v>0</v>
      </c>
      <c r="AQ402" s="19">
        <v>0.8333</v>
      </c>
      <c r="AR402" s="19">
        <v>0.3025</v>
      </c>
      <c r="AS402" s="19">
        <v>0.8333</v>
      </c>
      <c r="AT402" s="19">
        <v>0.1667</v>
      </c>
      <c r="AU402" s="3">
        <v>0</v>
      </c>
      <c r="AV402" s="3">
        <v>0</v>
      </c>
      <c r="AW402" s="19">
        <v>0</v>
      </c>
      <c r="AX402" s="3">
        <v>0</v>
      </c>
      <c r="AY402" s="3">
        <v>0</v>
      </c>
    </row>
    <row r="403" spans="1:51">
      <c r="A403" s="3">
        <v>20960789</v>
      </c>
      <c r="B403" t="s">
        <v>676</v>
      </c>
      <c r="C403" s="3">
        <v>125122024</v>
      </c>
      <c r="D403" t="s">
        <v>44</v>
      </c>
      <c r="E403" t="s">
        <v>100</v>
      </c>
      <c r="F403" t="s">
        <v>65</v>
      </c>
      <c r="G403" t="s">
        <v>47</v>
      </c>
      <c r="H403" s="16">
        <v>0</v>
      </c>
      <c r="I403" s="4">
        <f>VLOOKUP(C403,[1]sheet1!$D:$I,6,0)</f>
        <v>0</v>
      </c>
      <c r="J403" s="4">
        <f>VLOOKUP(C403,[2]sheet1!$D:$I,6,0)</f>
        <v>0</v>
      </c>
      <c r="K403" s="4">
        <f>VLOOKUP(C403,[3]sheet1!$D:$I,6,0)</f>
        <v>0</v>
      </c>
      <c r="L403" s="4">
        <f>VLOOKUP(C403,[4]sheet1!$D:$I,6,0)</f>
        <v>0</v>
      </c>
      <c r="M403" s="4">
        <f>VLOOKUP(C403,[5]sheet1!$D:$I,6,0)</f>
        <v>0</v>
      </c>
      <c r="N403" s="4">
        <f>VLOOKUP(C403,[6]sheet1!$D:$I,6,0)</f>
        <v>0</v>
      </c>
      <c r="O403" s="4">
        <f>VLOOKUP(C403,[7]sheet1!$D:$I,6,0)</f>
        <v>0</v>
      </c>
      <c r="P403" s="4">
        <f>VLOOKUP(C403,[8]sheet1!$D:$I,6,0)</f>
        <v>0</v>
      </c>
      <c r="Q403" s="4">
        <f t="shared" si="6"/>
        <v>0</v>
      </c>
      <c r="R403" s="3">
        <v>0</v>
      </c>
      <c r="S403" s="3">
        <v>19</v>
      </c>
      <c r="T403" s="19">
        <v>0</v>
      </c>
      <c r="U403" s="3">
        <v>0</v>
      </c>
      <c r="V403" s="3">
        <v>0</v>
      </c>
      <c r="W403">
        <v>0</v>
      </c>
      <c r="X403" s="3">
        <v>0</v>
      </c>
      <c r="Y403">
        <v>0</v>
      </c>
      <c r="Z403" s="3">
        <v>0</v>
      </c>
      <c r="AA403" t="s">
        <v>112</v>
      </c>
      <c r="AB403" t="s">
        <v>49</v>
      </c>
      <c r="AC403">
        <v>599.03</v>
      </c>
      <c r="AD403" t="s">
        <v>49</v>
      </c>
      <c r="AE403">
        <v>0</v>
      </c>
      <c r="AF403" s="3">
        <v>0</v>
      </c>
      <c r="AG403" t="s">
        <v>49</v>
      </c>
      <c r="AH403">
        <v>0</v>
      </c>
      <c r="AI403" t="s">
        <v>49</v>
      </c>
      <c r="AJ403" t="s">
        <v>49</v>
      </c>
      <c r="AK403" t="s">
        <v>49</v>
      </c>
      <c r="AL403" t="s">
        <v>49</v>
      </c>
      <c r="AM403" t="s">
        <v>49</v>
      </c>
      <c r="AN403" s="3">
        <v>21</v>
      </c>
      <c r="AO403" s="19">
        <v>0</v>
      </c>
      <c r="AP403" s="19">
        <v>0</v>
      </c>
      <c r="AQ403" s="19">
        <v>0.7368</v>
      </c>
      <c r="AR403" s="19">
        <v>0.1579</v>
      </c>
      <c r="AS403" s="19">
        <v>0</v>
      </c>
      <c r="AT403" s="19">
        <v>0</v>
      </c>
      <c r="AU403" s="3">
        <v>0</v>
      </c>
      <c r="AV403" s="3">
        <v>0</v>
      </c>
      <c r="AW403" s="19">
        <v>0</v>
      </c>
      <c r="AX403" s="3">
        <v>0</v>
      </c>
      <c r="AY403" s="3">
        <v>0</v>
      </c>
    </row>
    <row r="404" spans="1:51">
      <c r="A404" s="3">
        <v>20753838</v>
      </c>
      <c r="B404" t="s">
        <v>677</v>
      </c>
      <c r="C404" s="3">
        <v>125215048</v>
      </c>
      <c r="D404" t="s">
        <v>44</v>
      </c>
      <c r="E404" t="s">
        <v>159</v>
      </c>
      <c r="F404" t="s">
        <v>65</v>
      </c>
      <c r="G404" t="s">
        <v>47</v>
      </c>
      <c r="H404" s="16">
        <v>0</v>
      </c>
      <c r="I404" s="4">
        <f>VLOOKUP(C404,[1]sheet1!$D:$I,6,0)</f>
        <v>0</v>
      </c>
      <c r="J404" s="4">
        <f>VLOOKUP(C404,[2]sheet1!$D:$I,6,0)</f>
        <v>0</v>
      </c>
      <c r="K404" s="4">
        <f>VLOOKUP(C404,[3]sheet1!$D:$I,6,0)</f>
        <v>0</v>
      </c>
      <c r="L404" s="4">
        <f>VLOOKUP(C404,[4]sheet1!$D:$I,6,0)</f>
        <v>177.22</v>
      </c>
      <c r="M404" s="4">
        <f>VLOOKUP(C404,[5]sheet1!$D:$I,6,0)</f>
        <v>188</v>
      </c>
      <c r="N404" s="4">
        <f>VLOOKUP(C404,[6]sheet1!$D:$I,6,0)</f>
        <v>0</v>
      </c>
      <c r="O404" s="4">
        <f>VLOOKUP(C404,[7]sheet1!$D:$I,6,0)</f>
        <v>0</v>
      </c>
      <c r="P404" s="4">
        <f>VLOOKUP(C404,[8]sheet1!$D:$I,6,0)</f>
        <v>95</v>
      </c>
      <c r="Q404" s="4">
        <f t="shared" si="6"/>
        <v>460.22</v>
      </c>
      <c r="R404" s="3">
        <v>0</v>
      </c>
      <c r="S404" s="3">
        <v>13</v>
      </c>
      <c r="T404" s="19">
        <v>0</v>
      </c>
      <c r="U404" s="3">
        <v>0</v>
      </c>
      <c r="V404" s="3">
        <v>0</v>
      </c>
      <c r="W404">
        <v>0</v>
      </c>
      <c r="X404" s="3">
        <v>0</v>
      </c>
      <c r="Y404">
        <v>0</v>
      </c>
      <c r="Z404" s="3">
        <v>0</v>
      </c>
      <c r="AA404" t="s">
        <v>93</v>
      </c>
      <c r="AB404" t="s">
        <v>49</v>
      </c>
      <c r="AC404">
        <v>85.14</v>
      </c>
      <c r="AD404" t="s">
        <v>49</v>
      </c>
      <c r="AE404">
        <v>0</v>
      </c>
      <c r="AF404" s="3">
        <v>0</v>
      </c>
      <c r="AG404" t="s">
        <v>49</v>
      </c>
      <c r="AH404">
        <v>0</v>
      </c>
      <c r="AI404" t="s">
        <v>49</v>
      </c>
      <c r="AJ404" t="s">
        <v>49</v>
      </c>
      <c r="AK404" t="s">
        <v>49</v>
      </c>
      <c r="AL404" t="s">
        <v>49</v>
      </c>
      <c r="AM404" t="s">
        <v>49</v>
      </c>
      <c r="AN404" s="3">
        <v>18</v>
      </c>
      <c r="AO404" s="19">
        <v>0</v>
      </c>
      <c r="AP404" s="19">
        <v>0</v>
      </c>
      <c r="AQ404" s="19">
        <v>0.7692</v>
      </c>
      <c r="AR404" s="19">
        <v>0.0769</v>
      </c>
      <c r="AS404" s="19">
        <v>0</v>
      </c>
      <c r="AT404" s="19">
        <v>0</v>
      </c>
      <c r="AU404" s="3">
        <v>0</v>
      </c>
      <c r="AV404" s="3">
        <v>0</v>
      </c>
      <c r="AW404" s="19">
        <v>0</v>
      </c>
      <c r="AX404" s="3">
        <v>0</v>
      </c>
      <c r="AY404" s="3">
        <v>0</v>
      </c>
    </row>
    <row r="405" spans="1:51">
      <c r="A405" s="3">
        <v>20748100</v>
      </c>
      <c r="B405" t="s">
        <v>678</v>
      </c>
      <c r="C405" s="3">
        <v>115214015</v>
      </c>
      <c r="D405" t="s">
        <v>44</v>
      </c>
      <c r="E405" t="s">
        <v>57</v>
      </c>
      <c r="F405" t="s">
        <v>65</v>
      </c>
      <c r="G405" t="s">
        <v>47</v>
      </c>
      <c r="H405" s="16">
        <v>0</v>
      </c>
      <c r="I405" s="4">
        <f>VLOOKUP(C405,[1]sheet1!$D:$I,6,0)</f>
        <v>212</v>
      </c>
      <c r="J405" s="4">
        <f>VLOOKUP(C405,[2]sheet1!$D:$I,6,0)</f>
        <v>0</v>
      </c>
      <c r="K405" s="4">
        <f>VLOOKUP(C405,[3]sheet1!$D:$I,6,0)</f>
        <v>0</v>
      </c>
      <c r="L405" s="4">
        <f>VLOOKUP(C405,[4]sheet1!$D:$I,6,0)</f>
        <v>379</v>
      </c>
      <c r="M405" s="4">
        <f>VLOOKUP(C405,[5]sheet1!$D:$I,6,0)</f>
        <v>0</v>
      </c>
      <c r="N405" s="4">
        <f>VLOOKUP(C405,[6]sheet1!$D:$I,6,0)</f>
        <v>0</v>
      </c>
      <c r="O405" s="4">
        <f>VLOOKUP(C405,[7]sheet1!$D:$I,6,0)</f>
        <v>217</v>
      </c>
      <c r="P405" s="4">
        <f>VLOOKUP(C405,[8]sheet1!$D:$I,6,0)</f>
        <v>419</v>
      </c>
      <c r="Q405" s="4">
        <f t="shared" si="6"/>
        <v>1227</v>
      </c>
      <c r="R405" s="3">
        <v>0</v>
      </c>
      <c r="S405" s="3">
        <v>435</v>
      </c>
      <c r="T405" s="19">
        <v>0</v>
      </c>
      <c r="U405" s="3">
        <v>1</v>
      </c>
      <c r="V405" s="3">
        <v>0</v>
      </c>
      <c r="W405">
        <v>0</v>
      </c>
      <c r="X405" s="3">
        <v>0</v>
      </c>
      <c r="Y405">
        <v>0</v>
      </c>
      <c r="Z405" s="3">
        <v>0</v>
      </c>
      <c r="AA405" t="s">
        <v>58</v>
      </c>
      <c r="AB405" t="s">
        <v>49</v>
      </c>
      <c r="AC405">
        <v>181.72</v>
      </c>
      <c r="AD405" t="s">
        <v>49</v>
      </c>
      <c r="AE405">
        <v>0</v>
      </c>
      <c r="AF405" s="3">
        <v>0</v>
      </c>
      <c r="AG405" t="s">
        <v>49</v>
      </c>
      <c r="AH405">
        <v>0</v>
      </c>
      <c r="AI405" t="s">
        <v>49</v>
      </c>
      <c r="AJ405" t="s">
        <v>49</v>
      </c>
      <c r="AK405" t="s">
        <v>49</v>
      </c>
      <c r="AL405" t="s">
        <v>49</v>
      </c>
      <c r="AM405" t="s">
        <v>49</v>
      </c>
      <c r="AN405" s="3">
        <v>525</v>
      </c>
      <c r="AO405" s="19">
        <v>0</v>
      </c>
      <c r="AP405" s="19">
        <v>0</v>
      </c>
      <c r="AQ405" s="19">
        <v>0.8805</v>
      </c>
      <c r="AR405" s="19">
        <v>0.5034</v>
      </c>
      <c r="AS405" s="19">
        <v>1</v>
      </c>
      <c r="AT405" s="19">
        <v>1</v>
      </c>
      <c r="AU405" s="3">
        <v>0</v>
      </c>
      <c r="AV405" s="3">
        <v>0</v>
      </c>
      <c r="AW405" s="19">
        <v>0</v>
      </c>
      <c r="AX405" s="3">
        <v>0</v>
      </c>
      <c r="AY405" s="3">
        <v>0</v>
      </c>
    </row>
    <row r="406" spans="1:51">
      <c r="A406" s="3">
        <v>20732065</v>
      </c>
      <c r="B406" t="s">
        <v>679</v>
      </c>
      <c r="C406" s="3">
        <v>135215035</v>
      </c>
      <c r="D406" t="s">
        <v>44</v>
      </c>
      <c r="E406" t="s">
        <v>448</v>
      </c>
      <c r="F406" t="s">
        <v>65</v>
      </c>
      <c r="G406" t="s">
        <v>47</v>
      </c>
      <c r="H406" s="16">
        <v>0</v>
      </c>
      <c r="I406" s="4">
        <f>VLOOKUP(C406,[1]sheet1!$D:$I,6,0)</f>
        <v>0</v>
      </c>
      <c r="J406" s="4">
        <f>VLOOKUP(C406,[2]sheet1!$D:$I,6,0)</f>
        <v>0</v>
      </c>
      <c r="K406" s="4">
        <f>VLOOKUP(C406,[3]sheet1!$D:$I,6,0)</f>
        <v>0</v>
      </c>
      <c r="L406" s="4">
        <f>VLOOKUP(C406,[4]sheet1!$D:$I,6,0)</f>
        <v>0</v>
      </c>
      <c r="M406" s="4">
        <f>VLOOKUP(C406,[5]sheet1!$D:$I,6,0)</f>
        <v>0</v>
      </c>
      <c r="N406" s="4">
        <f>VLOOKUP(C406,[6]sheet1!$D:$I,6,0)</f>
        <v>0</v>
      </c>
      <c r="O406" s="4">
        <f>VLOOKUP(C406,[7]sheet1!$D:$I,6,0)</f>
        <v>84</v>
      </c>
      <c r="P406" s="4">
        <f>VLOOKUP(C406,[8]sheet1!$D:$I,6,0)</f>
        <v>0</v>
      </c>
      <c r="Q406" s="4">
        <f t="shared" si="6"/>
        <v>84</v>
      </c>
      <c r="R406" s="3">
        <v>0</v>
      </c>
      <c r="S406" s="3">
        <v>8</v>
      </c>
      <c r="T406" s="19">
        <v>0</v>
      </c>
      <c r="U406" s="3">
        <v>0</v>
      </c>
      <c r="V406" s="3">
        <v>0</v>
      </c>
      <c r="W406">
        <v>0</v>
      </c>
      <c r="X406" s="3">
        <v>0</v>
      </c>
      <c r="Y406">
        <v>0</v>
      </c>
      <c r="Z406" s="3">
        <v>0</v>
      </c>
      <c r="AA406" t="s">
        <v>680</v>
      </c>
      <c r="AB406" t="s">
        <v>49</v>
      </c>
      <c r="AC406">
        <v>71.69</v>
      </c>
      <c r="AD406" t="s">
        <v>49</v>
      </c>
      <c r="AE406">
        <v>0</v>
      </c>
      <c r="AF406" s="3">
        <v>0</v>
      </c>
      <c r="AG406" t="s">
        <v>49</v>
      </c>
      <c r="AH406">
        <v>0</v>
      </c>
      <c r="AI406" t="s">
        <v>49</v>
      </c>
      <c r="AJ406" t="s">
        <v>49</v>
      </c>
      <c r="AK406" t="s">
        <v>49</v>
      </c>
      <c r="AL406" t="s">
        <v>49</v>
      </c>
      <c r="AM406" t="s">
        <v>49</v>
      </c>
      <c r="AN406" s="3">
        <v>8</v>
      </c>
      <c r="AO406" s="19">
        <v>0</v>
      </c>
      <c r="AP406" s="19">
        <v>0</v>
      </c>
      <c r="AQ406" s="19">
        <v>0.75</v>
      </c>
      <c r="AR406" s="19">
        <v>0</v>
      </c>
      <c r="AS406" s="19">
        <v>0</v>
      </c>
      <c r="AT406" s="19">
        <v>0</v>
      </c>
      <c r="AU406" s="3">
        <v>0</v>
      </c>
      <c r="AV406" s="3">
        <v>0</v>
      </c>
      <c r="AW406" s="19">
        <v>0</v>
      </c>
      <c r="AX406" s="3">
        <v>0</v>
      </c>
      <c r="AY406" s="3">
        <v>0</v>
      </c>
    </row>
    <row r="407" spans="1:51">
      <c r="A407" s="3">
        <v>20724698</v>
      </c>
      <c r="B407" t="s">
        <v>681</v>
      </c>
      <c r="C407" s="3">
        <v>125214019</v>
      </c>
      <c r="D407" t="s">
        <v>44</v>
      </c>
      <c r="E407" t="s">
        <v>508</v>
      </c>
      <c r="F407" t="s">
        <v>46</v>
      </c>
      <c r="G407" t="s">
        <v>47</v>
      </c>
      <c r="H407" s="16">
        <v>0</v>
      </c>
      <c r="I407" s="4">
        <f>VLOOKUP(C407,[1]sheet1!$D:$I,6,0)</f>
        <v>0</v>
      </c>
      <c r="J407" s="4">
        <f>VLOOKUP(C407,[2]sheet1!$D:$I,6,0)</f>
        <v>0</v>
      </c>
      <c r="K407" s="4">
        <f>VLOOKUP(C407,[3]sheet1!$D:$I,6,0)</f>
        <v>0</v>
      </c>
      <c r="L407" s="4">
        <f>VLOOKUP(C407,[4]sheet1!$D:$I,6,0)</f>
        <v>0</v>
      </c>
      <c r="M407" s="4">
        <f>VLOOKUP(C407,[5]sheet1!$D:$I,6,0)</f>
        <v>0</v>
      </c>
      <c r="N407" s="4">
        <f>VLOOKUP(C407,[6]sheet1!$D:$I,6,0)</f>
        <v>0</v>
      </c>
      <c r="O407" s="4">
        <f>VLOOKUP(C407,[7]sheet1!$D:$I,6,0)</f>
        <v>0</v>
      </c>
      <c r="P407" s="4">
        <f>VLOOKUP(C407,[8]sheet1!$D:$I,6,0)</f>
        <v>257</v>
      </c>
      <c r="Q407" s="4">
        <f t="shared" si="6"/>
        <v>257</v>
      </c>
      <c r="R407" s="3">
        <v>0</v>
      </c>
      <c r="S407">
        <v>122</v>
      </c>
      <c r="T407">
        <v>0</v>
      </c>
      <c r="U407" s="3">
        <v>1</v>
      </c>
      <c r="V407" s="3">
        <v>0</v>
      </c>
      <c r="W407">
        <v>0</v>
      </c>
      <c r="X407" s="3">
        <v>0</v>
      </c>
      <c r="Y407">
        <v>0</v>
      </c>
      <c r="Z407" s="3">
        <v>0</v>
      </c>
      <c r="AA407" t="s">
        <v>52</v>
      </c>
      <c r="AB407" s="3">
        <v>289</v>
      </c>
      <c r="AC407">
        <v>242.04</v>
      </c>
      <c r="AD407" t="s">
        <v>49</v>
      </c>
      <c r="AE407">
        <v>0</v>
      </c>
      <c r="AF407" s="3">
        <v>0</v>
      </c>
      <c r="AG407" t="s">
        <v>49</v>
      </c>
      <c r="AH407">
        <v>0</v>
      </c>
      <c r="AI407" t="s">
        <v>49</v>
      </c>
      <c r="AJ407" t="s">
        <v>49</v>
      </c>
      <c r="AK407" t="s">
        <v>49</v>
      </c>
      <c r="AL407" t="s">
        <v>49</v>
      </c>
      <c r="AM407" t="s">
        <v>49</v>
      </c>
      <c r="AN407" s="3">
        <v>13</v>
      </c>
      <c r="AO407" s="19">
        <v>0</v>
      </c>
      <c r="AP407" s="19">
        <v>0</v>
      </c>
      <c r="AQ407" s="19">
        <v>0.8182</v>
      </c>
      <c r="AR407" s="19">
        <v>0.2727</v>
      </c>
      <c r="AS407" s="19">
        <v>1</v>
      </c>
      <c r="AT407" s="19">
        <v>0</v>
      </c>
      <c r="AU407" s="3">
        <v>0</v>
      </c>
      <c r="AV407" s="3">
        <v>0</v>
      </c>
      <c r="AW407" s="19">
        <v>0</v>
      </c>
      <c r="AX407" s="3">
        <v>0</v>
      </c>
      <c r="AY407" s="3">
        <v>0</v>
      </c>
    </row>
    <row r="408" spans="1:51">
      <c r="A408" s="3">
        <v>20720442</v>
      </c>
      <c r="B408" t="s">
        <v>682</v>
      </c>
      <c r="C408" s="3">
        <v>135212023</v>
      </c>
      <c r="D408" t="s">
        <v>44</v>
      </c>
      <c r="E408" t="s">
        <v>232</v>
      </c>
      <c r="F408" t="s">
        <v>46</v>
      </c>
      <c r="G408" t="s">
        <v>47</v>
      </c>
      <c r="H408" s="16">
        <v>0</v>
      </c>
      <c r="I408" s="4">
        <f>VLOOKUP(C408,[1]sheet1!$D:$I,6,0)</f>
        <v>99</v>
      </c>
      <c r="J408" s="4">
        <f>VLOOKUP(C408,[2]sheet1!$D:$I,6,0)</f>
        <v>834</v>
      </c>
      <c r="K408" s="4">
        <f>VLOOKUP(C408,[3]sheet1!$D:$I,6,0)</f>
        <v>207</v>
      </c>
      <c r="L408" s="4">
        <f>VLOOKUP(C408,[4]sheet1!$D:$I,6,0)</f>
        <v>0</v>
      </c>
      <c r="M408" s="4">
        <f>VLOOKUP(C408,[5]sheet1!$D:$I,6,0)</f>
        <v>209</v>
      </c>
      <c r="N408" s="4">
        <f>VLOOKUP(C408,[6]sheet1!$D:$I,6,0)</f>
        <v>417</v>
      </c>
      <c r="O408" s="4">
        <f>VLOOKUP(C408,[7]sheet1!$D:$I,6,0)</f>
        <v>209</v>
      </c>
      <c r="P408" s="4">
        <f>VLOOKUP(C408,[8]sheet1!$D:$I,6,0)</f>
        <v>191</v>
      </c>
      <c r="Q408" s="4">
        <f t="shared" si="6"/>
        <v>2166</v>
      </c>
      <c r="R408" s="3">
        <v>0</v>
      </c>
      <c r="S408">
        <v>331</v>
      </c>
      <c r="T408">
        <v>0</v>
      </c>
      <c r="U408" s="3">
        <v>0</v>
      </c>
      <c r="V408" s="3">
        <v>0</v>
      </c>
      <c r="W408">
        <v>219</v>
      </c>
      <c r="X408" s="3">
        <v>1</v>
      </c>
      <c r="Y408">
        <v>0</v>
      </c>
      <c r="Z408" s="3">
        <v>0</v>
      </c>
      <c r="AA408" t="s">
        <v>118</v>
      </c>
      <c r="AB408" s="3">
        <v>214</v>
      </c>
      <c r="AC408">
        <v>182.89</v>
      </c>
      <c r="AD408" t="s">
        <v>49</v>
      </c>
      <c r="AE408">
        <v>0</v>
      </c>
      <c r="AF408" s="3">
        <v>0</v>
      </c>
      <c r="AG408" t="s">
        <v>49</v>
      </c>
      <c r="AH408">
        <v>0</v>
      </c>
      <c r="AI408" t="s">
        <v>49</v>
      </c>
      <c r="AJ408">
        <v>170.14</v>
      </c>
      <c r="AK408" t="s">
        <v>49</v>
      </c>
      <c r="AL408">
        <v>0</v>
      </c>
      <c r="AM408" t="s">
        <v>49</v>
      </c>
      <c r="AN408" s="3">
        <v>101</v>
      </c>
      <c r="AO408" s="19">
        <v>0</v>
      </c>
      <c r="AP408" s="19">
        <v>0</v>
      </c>
      <c r="AQ408" s="19">
        <v>0.7531</v>
      </c>
      <c r="AR408" s="19">
        <v>0.2963</v>
      </c>
      <c r="AS408" s="19">
        <v>0</v>
      </c>
      <c r="AT408" s="19">
        <v>0</v>
      </c>
      <c r="AU408" s="3">
        <v>0</v>
      </c>
      <c r="AV408" s="3">
        <v>0</v>
      </c>
      <c r="AW408" s="19">
        <v>0</v>
      </c>
      <c r="AX408" s="3">
        <v>0</v>
      </c>
      <c r="AY408" s="3">
        <v>0</v>
      </c>
    </row>
    <row r="409" spans="1:51">
      <c r="A409" s="3">
        <v>20714181</v>
      </c>
      <c r="B409" t="s">
        <v>683</v>
      </c>
      <c r="C409" s="3">
        <v>135215036</v>
      </c>
      <c r="D409" t="s">
        <v>44</v>
      </c>
      <c r="E409" t="s">
        <v>448</v>
      </c>
      <c r="F409" t="s">
        <v>65</v>
      </c>
      <c r="G409" t="s">
        <v>47</v>
      </c>
      <c r="H409" s="16">
        <v>0</v>
      </c>
      <c r="I409" s="4">
        <f>VLOOKUP(C409,[1]sheet1!$D:$I,6,0)</f>
        <v>0</v>
      </c>
      <c r="J409" s="4">
        <f>VLOOKUP(C409,[2]sheet1!$D:$I,6,0)</f>
        <v>0</v>
      </c>
      <c r="K409" s="4">
        <f>VLOOKUP(C409,[3]sheet1!$D:$I,6,0)</f>
        <v>0</v>
      </c>
      <c r="L409" s="4">
        <f>VLOOKUP(C409,[4]sheet1!$D:$I,6,0)</f>
        <v>0</v>
      </c>
      <c r="M409" s="4">
        <f>VLOOKUP(C409,[5]sheet1!$D:$I,6,0)</f>
        <v>0</v>
      </c>
      <c r="N409" s="4">
        <f>VLOOKUP(C409,[6]sheet1!$D:$I,6,0)</f>
        <v>0</v>
      </c>
      <c r="O409" s="4">
        <f>VLOOKUP(C409,[7]sheet1!$D:$I,6,0)</f>
        <v>0</v>
      </c>
      <c r="P409" s="4">
        <f>VLOOKUP(C409,[8]sheet1!$D:$I,6,0)</f>
        <v>0</v>
      </c>
      <c r="Q409" s="4">
        <f t="shared" si="6"/>
        <v>0</v>
      </c>
      <c r="R409" s="3">
        <v>0</v>
      </c>
      <c r="S409" s="3">
        <v>1</v>
      </c>
      <c r="T409" s="19">
        <v>0</v>
      </c>
      <c r="U409" s="3">
        <v>0</v>
      </c>
      <c r="V409" s="3">
        <v>0</v>
      </c>
      <c r="W409">
        <v>0</v>
      </c>
      <c r="X409" s="3">
        <v>0</v>
      </c>
      <c r="Y409">
        <v>0</v>
      </c>
      <c r="Z409" s="3">
        <v>0</v>
      </c>
      <c r="AA409" t="s">
        <v>181</v>
      </c>
      <c r="AB409" t="s">
        <v>49</v>
      </c>
      <c r="AC409">
        <v>92.09</v>
      </c>
      <c r="AD409" t="s">
        <v>49</v>
      </c>
      <c r="AE409">
        <v>0</v>
      </c>
      <c r="AF409" s="3">
        <v>0</v>
      </c>
      <c r="AG409" t="s">
        <v>49</v>
      </c>
      <c r="AH409">
        <v>0</v>
      </c>
      <c r="AI409" t="s">
        <v>49</v>
      </c>
      <c r="AJ409" t="s">
        <v>49</v>
      </c>
      <c r="AK409" t="s">
        <v>49</v>
      </c>
      <c r="AL409" t="s">
        <v>49</v>
      </c>
      <c r="AM409" t="s">
        <v>49</v>
      </c>
      <c r="AN409" s="3">
        <v>1</v>
      </c>
      <c r="AO409" s="19">
        <v>0</v>
      </c>
      <c r="AP409" s="19">
        <v>0</v>
      </c>
      <c r="AQ409" s="19">
        <v>0</v>
      </c>
      <c r="AR409" s="19">
        <v>0</v>
      </c>
      <c r="AS409" s="19">
        <v>0</v>
      </c>
      <c r="AT409" s="19">
        <v>0</v>
      </c>
      <c r="AU409" s="3">
        <v>0</v>
      </c>
      <c r="AV409" s="3">
        <v>0</v>
      </c>
      <c r="AW409" s="19">
        <v>0</v>
      </c>
      <c r="AX409" s="3">
        <v>0</v>
      </c>
      <c r="AY409" s="3">
        <v>0</v>
      </c>
    </row>
    <row r="410" spans="1:51">
      <c r="A410" s="3">
        <v>20711273</v>
      </c>
      <c r="B410" t="s">
        <v>684</v>
      </c>
      <c r="C410" s="3">
        <v>135214018</v>
      </c>
      <c r="D410" t="s">
        <v>44</v>
      </c>
      <c r="E410" t="s">
        <v>685</v>
      </c>
      <c r="F410" t="s">
        <v>46</v>
      </c>
      <c r="G410" t="s">
        <v>47</v>
      </c>
      <c r="H410" s="16">
        <v>0</v>
      </c>
      <c r="I410" s="4">
        <f>VLOOKUP(C410,[1]sheet1!$D:$I,6,0)</f>
        <v>111</v>
      </c>
      <c r="J410" s="4">
        <f>VLOOKUP(C410,[2]sheet1!$D:$I,6,0)</f>
        <v>0</v>
      </c>
      <c r="K410" s="4">
        <f>VLOOKUP(C410,[3]sheet1!$D:$I,6,0)</f>
        <v>0</v>
      </c>
      <c r="L410" s="4">
        <f>VLOOKUP(C410,[4]sheet1!$D:$I,6,0)</f>
        <v>0</v>
      </c>
      <c r="M410" s="4">
        <f>VLOOKUP(C410,[5]sheet1!$D:$I,6,0)</f>
        <v>0</v>
      </c>
      <c r="N410" s="4">
        <f>VLOOKUP(C410,[6]sheet1!$D:$I,6,0)</f>
        <v>0</v>
      </c>
      <c r="O410" s="4">
        <f>VLOOKUP(C410,[7]sheet1!$D:$I,6,0)</f>
        <v>0</v>
      </c>
      <c r="P410" s="4">
        <f>VLOOKUP(C410,[8]sheet1!$D:$I,6,0)</f>
        <v>0</v>
      </c>
      <c r="Q410" s="4">
        <f t="shared" si="6"/>
        <v>111</v>
      </c>
      <c r="R410" s="3">
        <v>0</v>
      </c>
      <c r="S410">
        <v>255</v>
      </c>
      <c r="T410">
        <v>0</v>
      </c>
      <c r="U410" s="3">
        <v>3</v>
      </c>
      <c r="V410" s="3">
        <v>0</v>
      </c>
      <c r="W410">
        <v>0</v>
      </c>
      <c r="X410" s="3">
        <v>0</v>
      </c>
      <c r="Y410">
        <v>0</v>
      </c>
      <c r="Z410" s="3">
        <v>0</v>
      </c>
      <c r="AA410" t="s">
        <v>514</v>
      </c>
      <c r="AB410" s="3">
        <v>99</v>
      </c>
      <c r="AC410">
        <v>75.99</v>
      </c>
      <c r="AD410" t="s">
        <v>49</v>
      </c>
      <c r="AE410">
        <v>0</v>
      </c>
      <c r="AF410" s="3">
        <v>0</v>
      </c>
      <c r="AG410" t="s">
        <v>49</v>
      </c>
      <c r="AH410">
        <v>0</v>
      </c>
      <c r="AI410" t="s">
        <v>49</v>
      </c>
      <c r="AJ410" t="s">
        <v>49</v>
      </c>
      <c r="AK410" t="s">
        <v>49</v>
      </c>
      <c r="AL410" t="s">
        <v>49</v>
      </c>
      <c r="AM410" t="s">
        <v>49</v>
      </c>
      <c r="AN410" s="3">
        <v>53</v>
      </c>
      <c r="AO410" s="19">
        <v>0</v>
      </c>
      <c r="AP410" s="19">
        <v>0</v>
      </c>
      <c r="AQ410" s="19">
        <v>0.6667</v>
      </c>
      <c r="AR410" s="19">
        <v>0.0208</v>
      </c>
      <c r="AS410" s="19">
        <v>0.6667</v>
      </c>
      <c r="AT410" s="19">
        <v>0</v>
      </c>
      <c r="AU410" s="3">
        <v>0</v>
      </c>
      <c r="AV410" s="3">
        <v>0</v>
      </c>
      <c r="AW410" s="19">
        <v>0</v>
      </c>
      <c r="AX410" s="3">
        <v>0</v>
      </c>
      <c r="AY410" s="3">
        <v>0</v>
      </c>
    </row>
    <row r="411" spans="1:51">
      <c r="A411" s="3">
        <v>20707668</v>
      </c>
      <c r="B411" t="s">
        <v>686</v>
      </c>
      <c r="C411" s="3">
        <v>115215005</v>
      </c>
      <c r="D411" t="s">
        <v>44</v>
      </c>
      <c r="E411" t="s">
        <v>72</v>
      </c>
      <c r="F411" t="s">
        <v>46</v>
      </c>
      <c r="G411" t="s">
        <v>47</v>
      </c>
      <c r="H411" s="16">
        <v>0</v>
      </c>
      <c r="I411" s="4">
        <f>VLOOKUP(C411,[1]sheet1!$D:$I,6,0)</f>
        <v>0</v>
      </c>
      <c r="J411" s="4">
        <f>VLOOKUP(C411,[2]sheet1!$D:$I,6,0)</f>
        <v>0</v>
      </c>
      <c r="K411" s="4">
        <f>VLOOKUP(C411,[3]sheet1!$D:$I,6,0)</f>
        <v>0</v>
      </c>
      <c r="L411" s="4">
        <f>VLOOKUP(C411,[4]sheet1!$D:$I,6,0)</f>
        <v>0</v>
      </c>
      <c r="M411" s="4">
        <f>VLOOKUP(C411,[5]sheet1!$D:$I,6,0)</f>
        <v>0</v>
      </c>
      <c r="N411" s="4">
        <f>VLOOKUP(C411,[6]sheet1!$D:$I,6,0)</f>
        <v>0</v>
      </c>
      <c r="O411" s="4">
        <f>VLOOKUP(C411,[7]sheet1!$D:$I,6,0)</f>
        <v>0</v>
      </c>
      <c r="P411" s="4">
        <f>VLOOKUP(C411,[8]sheet1!$D:$I,6,0)</f>
        <v>0</v>
      </c>
      <c r="Q411" s="4">
        <f t="shared" si="6"/>
        <v>0</v>
      </c>
      <c r="R411" s="3">
        <v>0</v>
      </c>
      <c r="S411">
        <v>122</v>
      </c>
      <c r="T411">
        <v>0</v>
      </c>
      <c r="U411" s="3">
        <v>1</v>
      </c>
      <c r="V411" s="3">
        <v>0</v>
      </c>
      <c r="W411">
        <v>0</v>
      </c>
      <c r="X411" s="3">
        <v>0</v>
      </c>
      <c r="Y411">
        <v>0</v>
      </c>
      <c r="Z411" s="3">
        <v>0</v>
      </c>
      <c r="AA411" t="s">
        <v>115</v>
      </c>
      <c r="AB411" s="3">
        <v>165</v>
      </c>
      <c r="AC411">
        <v>234.02</v>
      </c>
      <c r="AD411" t="s">
        <v>49</v>
      </c>
      <c r="AE411">
        <v>0</v>
      </c>
      <c r="AF411" s="3">
        <v>0</v>
      </c>
      <c r="AG411" t="s">
        <v>49</v>
      </c>
      <c r="AH411">
        <v>0</v>
      </c>
      <c r="AI411" t="s">
        <v>49</v>
      </c>
      <c r="AJ411">
        <v>134.84</v>
      </c>
      <c r="AK411" t="s">
        <v>49</v>
      </c>
      <c r="AL411">
        <v>0</v>
      </c>
      <c r="AM411" t="s">
        <v>49</v>
      </c>
      <c r="AN411" s="3">
        <v>13</v>
      </c>
      <c r="AO411" s="19">
        <v>0</v>
      </c>
      <c r="AP411" s="19">
        <v>0</v>
      </c>
      <c r="AQ411" s="19">
        <v>0.3636</v>
      </c>
      <c r="AR411" s="19">
        <v>0.0909</v>
      </c>
      <c r="AS411" s="19">
        <v>0</v>
      </c>
      <c r="AT411" s="19">
        <v>1</v>
      </c>
      <c r="AU411" s="3">
        <v>0</v>
      </c>
      <c r="AV411" s="3">
        <v>0</v>
      </c>
      <c r="AW411" s="19">
        <v>0</v>
      </c>
      <c r="AX411" s="3">
        <v>0</v>
      </c>
      <c r="AY411" s="3">
        <v>0</v>
      </c>
    </row>
    <row r="412" spans="1:51">
      <c r="A412" s="3">
        <v>20703363</v>
      </c>
      <c r="B412" t="s">
        <v>687</v>
      </c>
      <c r="C412" s="3">
        <v>125119028</v>
      </c>
      <c r="D412" t="s">
        <v>44</v>
      </c>
      <c r="E412" t="s">
        <v>100</v>
      </c>
      <c r="F412" t="s">
        <v>65</v>
      </c>
      <c r="G412" t="s">
        <v>47</v>
      </c>
      <c r="H412" s="16">
        <v>0</v>
      </c>
      <c r="I412" s="4">
        <f>VLOOKUP(C412,[1]sheet1!$D:$I,6,0)</f>
        <v>0</v>
      </c>
      <c r="J412" s="4">
        <f>VLOOKUP(C412,[2]sheet1!$D:$I,6,0)</f>
        <v>0</v>
      </c>
      <c r="K412" s="4">
        <f>VLOOKUP(C412,[3]sheet1!$D:$I,6,0)</f>
        <v>0</v>
      </c>
      <c r="L412" s="4">
        <f>VLOOKUP(C412,[4]sheet1!$D:$I,6,0)</f>
        <v>0</v>
      </c>
      <c r="M412" s="4">
        <f>VLOOKUP(C412,[5]sheet1!$D:$I,6,0)</f>
        <v>0</v>
      </c>
      <c r="N412" s="4">
        <f>VLOOKUP(C412,[6]sheet1!$D:$I,6,0)</f>
        <v>0</v>
      </c>
      <c r="O412" s="4">
        <f>VLOOKUP(C412,[7]sheet1!$D:$I,6,0)</f>
        <v>0</v>
      </c>
      <c r="P412" s="4">
        <f>VLOOKUP(C412,[8]sheet1!$D:$I,6,0)</f>
        <v>0</v>
      </c>
      <c r="Q412" s="4">
        <f t="shared" si="6"/>
        <v>0</v>
      </c>
      <c r="R412" s="3">
        <v>0</v>
      </c>
      <c r="S412" s="3">
        <v>0</v>
      </c>
      <c r="T412" s="19">
        <v>0</v>
      </c>
      <c r="U412" s="3">
        <v>0</v>
      </c>
      <c r="V412" s="3">
        <v>0</v>
      </c>
      <c r="W412">
        <v>0</v>
      </c>
      <c r="X412" s="3">
        <v>0</v>
      </c>
      <c r="Y412">
        <v>0</v>
      </c>
      <c r="Z412" s="3">
        <v>0</v>
      </c>
      <c r="AA412" t="s">
        <v>223</v>
      </c>
      <c r="AB412" t="s">
        <v>49</v>
      </c>
      <c r="AC412">
        <v>512.03</v>
      </c>
      <c r="AD412" t="s">
        <v>49</v>
      </c>
      <c r="AE412">
        <v>0</v>
      </c>
      <c r="AF412" s="3">
        <v>0</v>
      </c>
      <c r="AG412" t="s">
        <v>49</v>
      </c>
      <c r="AH412">
        <v>0</v>
      </c>
      <c r="AI412" t="s">
        <v>49</v>
      </c>
      <c r="AJ412" t="s">
        <v>49</v>
      </c>
      <c r="AK412" t="s">
        <v>49</v>
      </c>
      <c r="AL412" t="s">
        <v>49</v>
      </c>
      <c r="AM412" t="s">
        <v>49</v>
      </c>
      <c r="AN412" s="3">
        <v>0</v>
      </c>
      <c r="AO412" s="19">
        <v>0</v>
      </c>
      <c r="AP412" s="19">
        <v>0</v>
      </c>
      <c r="AQ412" s="19">
        <v>0</v>
      </c>
      <c r="AR412" s="19">
        <v>0</v>
      </c>
      <c r="AS412" s="19">
        <v>0</v>
      </c>
      <c r="AT412" s="19">
        <v>0</v>
      </c>
      <c r="AU412" s="3">
        <v>0</v>
      </c>
      <c r="AV412" s="3">
        <v>0</v>
      </c>
      <c r="AW412" s="19">
        <v>0</v>
      </c>
      <c r="AX412" s="3">
        <v>0</v>
      </c>
      <c r="AY412" s="3">
        <v>0</v>
      </c>
    </row>
    <row r="413" spans="1:51">
      <c r="A413" s="3">
        <v>20696460</v>
      </c>
      <c r="B413" t="s">
        <v>688</v>
      </c>
      <c r="C413" s="3">
        <v>115215037</v>
      </c>
      <c r="D413" t="s">
        <v>44</v>
      </c>
      <c r="E413" t="s">
        <v>45</v>
      </c>
      <c r="F413" t="s">
        <v>65</v>
      </c>
      <c r="G413" t="s">
        <v>47</v>
      </c>
      <c r="H413" s="16">
        <v>0</v>
      </c>
      <c r="I413" s="4">
        <f>VLOOKUP(C413,[1]sheet1!$D:$I,6,0)</f>
        <v>0</v>
      </c>
      <c r="J413" s="4">
        <f>VLOOKUP(C413,[2]sheet1!$D:$I,6,0)</f>
        <v>402</v>
      </c>
      <c r="K413" s="4">
        <f>VLOOKUP(C413,[3]sheet1!$D:$I,6,0)</f>
        <v>0</v>
      </c>
      <c r="L413" s="4">
        <f>VLOOKUP(C413,[4]sheet1!$D:$I,6,0)</f>
        <v>0</v>
      </c>
      <c r="M413" s="4">
        <f>VLOOKUP(C413,[5]sheet1!$D:$I,6,0)</f>
        <v>402</v>
      </c>
      <c r="N413" s="4">
        <f>VLOOKUP(C413,[6]sheet1!$D:$I,6,0)</f>
        <v>0</v>
      </c>
      <c r="O413" s="4">
        <f>VLOOKUP(C413,[7]sheet1!$D:$I,6,0)</f>
        <v>0</v>
      </c>
      <c r="P413" s="4">
        <f>VLOOKUP(C413,[8]sheet1!$D:$I,6,0)</f>
        <v>0</v>
      </c>
      <c r="Q413" s="4">
        <f t="shared" si="6"/>
        <v>804</v>
      </c>
      <c r="R413" s="3">
        <v>0</v>
      </c>
      <c r="S413" s="3">
        <v>35</v>
      </c>
      <c r="T413" s="19">
        <v>0</v>
      </c>
      <c r="U413" s="3">
        <v>0</v>
      </c>
      <c r="V413" s="3">
        <v>0</v>
      </c>
      <c r="W413">
        <v>0</v>
      </c>
      <c r="X413" s="3">
        <v>0</v>
      </c>
      <c r="Y413">
        <v>0</v>
      </c>
      <c r="Z413" s="3">
        <v>0</v>
      </c>
      <c r="AA413" t="s">
        <v>394</v>
      </c>
      <c r="AB413" t="s">
        <v>49</v>
      </c>
      <c r="AC413">
        <v>303.92</v>
      </c>
      <c r="AD413" t="s">
        <v>49</v>
      </c>
      <c r="AE413">
        <v>0</v>
      </c>
      <c r="AF413" s="3">
        <v>0</v>
      </c>
      <c r="AG413" t="s">
        <v>49</v>
      </c>
      <c r="AH413">
        <v>0</v>
      </c>
      <c r="AI413" t="s">
        <v>49</v>
      </c>
      <c r="AJ413" t="s">
        <v>49</v>
      </c>
      <c r="AK413" t="s">
        <v>49</v>
      </c>
      <c r="AL413" t="s">
        <v>49</v>
      </c>
      <c r="AM413" t="s">
        <v>49</v>
      </c>
      <c r="AN413" s="3">
        <v>44</v>
      </c>
      <c r="AO413" s="19">
        <v>0</v>
      </c>
      <c r="AP413" s="19">
        <v>0</v>
      </c>
      <c r="AQ413" s="19">
        <v>0.7143</v>
      </c>
      <c r="AR413" s="19">
        <v>0.1143</v>
      </c>
      <c r="AS413" s="19">
        <v>0</v>
      </c>
      <c r="AT413" s="19">
        <v>0</v>
      </c>
      <c r="AU413" s="3">
        <v>0</v>
      </c>
      <c r="AV413" s="3">
        <v>0</v>
      </c>
      <c r="AW413" s="19">
        <v>0</v>
      </c>
      <c r="AX413" s="3">
        <v>0</v>
      </c>
      <c r="AY413" s="3">
        <v>0</v>
      </c>
    </row>
    <row r="414" spans="1:51">
      <c r="A414" s="3">
        <v>20672732</v>
      </c>
      <c r="B414" t="s">
        <v>689</v>
      </c>
      <c r="C414" s="3">
        <v>125215046</v>
      </c>
      <c r="D414" t="s">
        <v>44</v>
      </c>
      <c r="E414" t="s">
        <v>461</v>
      </c>
      <c r="F414" t="s">
        <v>65</v>
      </c>
      <c r="G414" t="s">
        <v>47</v>
      </c>
      <c r="H414" s="16">
        <v>0</v>
      </c>
      <c r="I414" s="4">
        <f>VLOOKUP(C414,[1]sheet1!$D:$I,6,0)</f>
        <v>0</v>
      </c>
      <c r="J414" s="4">
        <f>VLOOKUP(C414,[2]sheet1!$D:$I,6,0)</f>
        <v>0</v>
      </c>
      <c r="K414" s="4">
        <f>VLOOKUP(C414,[3]sheet1!$D:$I,6,0)</f>
        <v>0</v>
      </c>
      <c r="L414" s="4">
        <f>VLOOKUP(C414,[4]sheet1!$D:$I,6,0)</f>
        <v>0</v>
      </c>
      <c r="M414" s="4">
        <f>VLOOKUP(C414,[5]sheet1!$D:$I,6,0)</f>
        <v>0</v>
      </c>
      <c r="N414" s="4">
        <f>VLOOKUP(C414,[6]sheet1!$D:$I,6,0)</f>
        <v>0</v>
      </c>
      <c r="O414" s="4">
        <f>VLOOKUP(C414,[7]sheet1!$D:$I,6,0)</f>
        <v>0</v>
      </c>
      <c r="P414" s="4">
        <f>VLOOKUP(C414,[8]sheet1!$D:$I,6,0)</f>
        <v>0</v>
      </c>
      <c r="Q414" s="4">
        <f t="shared" si="6"/>
        <v>0</v>
      </c>
      <c r="R414" s="3">
        <v>0</v>
      </c>
      <c r="S414" s="3">
        <v>2</v>
      </c>
      <c r="T414" s="19">
        <v>0</v>
      </c>
      <c r="U414" s="3">
        <v>0</v>
      </c>
      <c r="V414" s="3">
        <v>0</v>
      </c>
      <c r="W414">
        <v>0</v>
      </c>
      <c r="X414" s="3">
        <v>0</v>
      </c>
      <c r="Y414">
        <v>0</v>
      </c>
      <c r="Z414" s="3">
        <v>0</v>
      </c>
      <c r="AA414" t="s">
        <v>167</v>
      </c>
      <c r="AB414" t="s">
        <v>49</v>
      </c>
      <c r="AC414">
        <v>120.94</v>
      </c>
      <c r="AD414" t="s">
        <v>49</v>
      </c>
      <c r="AE414">
        <v>0</v>
      </c>
      <c r="AF414" s="3">
        <v>0</v>
      </c>
      <c r="AG414" t="s">
        <v>49</v>
      </c>
      <c r="AH414">
        <v>0</v>
      </c>
      <c r="AI414" t="s">
        <v>49</v>
      </c>
      <c r="AJ414" t="s">
        <v>49</v>
      </c>
      <c r="AK414" t="s">
        <v>49</v>
      </c>
      <c r="AL414" t="s">
        <v>49</v>
      </c>
      <c r="AM414" t="s">
        <v>49</v>
      </c>
      <c r="AN414" s="3">
        <v>2</v>
      </c>
      <c r="AO414" s="19">
        <v>0</v>
      </c>
      <c r="AP414" s="19">
        <v>0</v>
      </c>
      <c r="AQ414" s="19">
        <v>1</v>
      </c>
      <c r="AR414" s="19">
        <v>0</v>
      </c>
      <c r="AS414" s="19">
        <v>0</v>
      </c>
      <c r="AT414" s="19">
        <v>0</v>
      </c>
      <c r="AU414" s="3">
        <v>0</v>
      </c>
      <c r="AV414" s="3">
        <v>0</v>
      </c>
      <c r="AW414" s="19">
        <v>0</v>
      </c>
      <c r="AX414" s="3">
        <v>0</v>
      </c>
      <c r="AY414" s="3">
        <v>0</v>
      </c>
    </row>
    <row r="415" spans="1:51">
      <c r="A415" s="3">
        <v>20672302</v>
      </c>
      <c r="B415" t="s">
        <v>690</v>
      </c>
      <c r="C415" s="3">
        <v>115215030</v>
      </c>
      <c r="D415" t="s">
        <v>44</v>
      </c>
      <c r="E415" t="s">
        <v>54</v>
      </c>
      <c r="F415" t="s">
        <v>65</v>
      </c>
      <c r="G415" t="s">
        <v>47</v>
      </c>
      <c r="H415" s="16">
        <v>0</v>
      </c>
      <c r="I415" s="4">
        <f>VLOOKUP(C415,[1]sheet1!$D:$I,6,0)</f>
        <v>0</v>
      </c>
      <c r="J415" s="4">
        <f>VLOOKUP(C415,[2]sheet1!$D:$I,6,0)</f>
        <v>165</v>
      </c>
      <c r="K415" s="4">
        <f>VLOOKUP(C415,[3]sheet1!$D:$I,6,0)</f>
        <v>0</v>
      </c>
      <c r="L415" s="4">
        <f>VLOOKUP(C415,[4]sheet1!$D:$I,6,0)</f>
        <v>502</v>
      </c>
      <c r="M415" s="4">
        <f>VLOOKUP(C415,[5]sheet1!$D:$I,6,0)</f>
        <v>165</v>
      </c>
      <c r="N415" s="4">
        <f>VLOOKUP(C415,[6]sheet1!$D:$I,6,0)</f>
        <v>0</v>
      </c>
      <c r="O415" s="4">
        <f>VLOOKUP(C415,[7]sheet1!$D:$I,6,0)</f>
        <v>168</v>
      </c>
      <c r="P415" s="4">
        <f>VLOOKUP(C415,[8]sheet1!$D:$I,6,0)</f>
        <v>461</v>
      </c>
      <c r="Q415" s="4">
        <f t="shared" si="6"/>
        <v>1461</v>
      </c>
      <c r="R415" s="3">
        <v>0</v>
      </c>
      <c r="S415" s="3">
        <v>26</v>
      </c>
      <c r="T415" s="19">
        <v>0</v>
      </c>
      <c r="U415" s="3">
        <v>1</v>
      </c>
      <c r="V415" s="3">
        <v>0</v>
      </c>
      <c r="W415">
        <v>0</v>
      </c>
      <c r="X415" s="3">
        <v>0</v>
      </c>
      <c r="Y415">
        <v>0</v>
      </c>
      <c r="Z415" s="3">
        <v>0</v>
      </c>
      <c r="AA415" t="s">
        <v>49</v>
      </c>
      <c r="AB415" t="s">
        <v>49</v>
      </c>
      <c r="AC415" t="s">
        <v>49</v>
      </c>
      <c r="AD415" t="s">
        <v>49</v>
      </c>
      <c r="AE415">
        <v>0</v>
      </c>
      <c r="AF415" s="3">
        <v>0</v>
      </c>
      <c r="AG415" t="s">
        <v>49</v>
      </c>
      <c r="AH415" t="s">
        <v>49</v>
      </c>
      <c r="AI415" t="s">
        <v>49</v>
      </c>
      <c r="AJ415" t="s">
        <v>49</v>
      </c>
      <c r="AK415" t="s">
        <v>49</v>
      </c>
      <c r="AL415" t="s">
        <v>49</v>
      </c>
      <c r="AM415" t="s">
        <v>49</v>
      </c>
      <c r="AN415" s="3">
        <v>30</v>
      </c>
      <c r="AO415" s="19">
        <v>0</v>
      </c>
      <c r="AP415" s="19">
        <v>0</v>
      </c>
      <c r="AQ415" s="19">
        <v>0.6538</v>
      </c>
      <c r="AR415" s="19">
        <v>0.1923</v>
      </c>
      <c r="AS415" s="19">
        <v>0</v>
      </c>
      <c r="AT415" s="19">
        <v>0</v>
      </c>
      <c r="AU415" s="3">
        <v>0</v>
      </c>
      <c r="AV415" s="3">
        <v>0</v>
      </c>
      <c r="AW415" s="19">
        <v>0</v>
      </c>
      <c r="AX415" s="3">
        <v>0</v>
      </c>
      <c r="AY415" s="3">
        <v>0</v>
      </c>
    </row>
    <row r="416" spans="1:51">
      <c r="A416" s="3">
        <v>20667280</v>
      </c>
      <c r="B416" t="s">
        <v>691</v>
      </c>
      <c r="C416" s="3">
        <v>115119027</v>
      </c>
      <c r="D416" t="s">
        <v>44</v>
      </c>
      <c r="E416" t="s">
        <v>252</v>
      </c>
      <c r="F416" t="s">
        <v>46</v>
      </c>
      <c r="G416" t="s">
        <v>47</v>
      </c>
      <c r="H416" s="16">
        <v>0</v>
      </c>
      <c r="I416" s="4">
        <f>VLOOKUP(C416,[1]sheet1!$D:$I,6,0)</f>
        <v>0</v>
      </c>
      <c r="J416" s="4">
        <f>VLOOKUP(C416,[2]sheet1!$D:$I,6,0)</f>
        <v>0</v>
      </c>
      <c r="K416" s="4">
        <f>VLOOKUP(C416,[3]sheet1!$D:$I,6,0)</f>
        <v>0</v>
      </c>
      <c r="L416" s="4">
        <f>VLOOKUP(C416,[4]sheet1!$D:$I,6,0)</f>
        <v>0</v>
      </c>
      <c r="M416" s="4">
        <f>VLOOKUP(C416,[5]sheet1!$D:$I,6,0)</f>
        <v>0</v>
      </c>
      <c r="N416" s="4">
        <f>VLOOKUP(C416,[6]sheet1!$D:$I,6,0)</f>
        <v>0</v>
      </c>
      <c r="O416" s="4">
        <f>VLOOKUP(C416,[7]sheet1!$D:$I,6,0)</f>
        <v>0</v>
      </c>
      <c r="P416" s="4">
        <f>VLOOKUP(C416,[8]sheet1!$D:$I,6,0)</f>
        <v>0</v>
      </c>
      <c r="Q416" s="4">
        <f t="shared" si="6"/>
        <v>0</v>
      </c>
      <c r="R416" s="3">
        <v>0</v>
      </c>
      <c r="S416">
        <v>133</v>
      </c>
      <c r="T416">
        <v>0</v>
      </c>
      <c r="U416" s="3">
        <v>2</v>
      </c>
      <c r="V416" s="3">
        <v>0</v>
      </c>
      <c r="W416">
        <v>0</v>
      </c>
      <c r="X416" s="3">
        <v>0</v>
      </c>
      <c r="Y416">
        <v>0</v>
      </c>
      <c r="Z416" s="3">
        <v>0</v>
      </c>
      <c r="AA416" t="s">
        <v>223</v>
      </c>
      <c r="AB416" s="3">
        <v>379</v>
      </c>
      <c r="AC416">
        <v>511.23</v>
      </c>
      <c r="AD416" t="s">
        <v>49</v>
      </c>
      <c r="AE416">
        <v>0</v>
      </c>
      <c r="AF416" s="3">
        <v>0</v>
      </c>
      <c r="AG416" t="s">
        <v>49</v>
      </c>
      <c r="AH416">
        <v>0</v>
      </c>
      <c r="AI416" t="s">
        <v>49</v>
      </c>
      <c r="AJ416">
        <v>319.83</v>
      </c>
      <c r="AK416" t="s">
        <v>49</v>
      </c>
      <c r="AL416">
        <v>0</v>
      </c>
      <c r="AM416" t="s">
        <v>49</v>
      </c>
      <c r="AN416" s="3">
        <v>17</v>
      </c>
      <c r="AO416" s="19">
        <v>0</v>
      </c>
      <c r="AP416" s="19">
        <v>0</v>
      </c>
      <c r="AQ416" s="19">
        <v>0.8462</v>
      </c>
      <c r="AR416" s="19">
        <v>0.3846</v>
      </c>
      <c r="AS416" s="19">
        <v>1</v>
      </c>
      <c r="AT416" s="19">
        <v>0.5</v>
      </c>
      <c r="AU416" s="3">
        <v>0</v>
      </c>
      <c r="AV416" s="3">
        <v>0</v>
      </c>
      <c r="AW416" s="19">
        <v>0</v>
      </c>
      <c r="AX416" s="3">
        <v>0</v>
      </c>
      <c r="AY416" s="3">
        <v>0</v>
      </c>
    </row>
    <row r="417" spans="1:51">
      <c r="A417" s="3">
        <v>20660997</v>
      </c>
      <c r="B417" t="s">
        <v>692</v>
      </c>
      <c r="C417" s="3">
        <v>105101011</v>
      </c>
      <c r="D417" t="s">
        <v>44</v>
      </c>
      <c r="E417" t="s">
        <v>104</v>
      </c>
      <c r="F417" t="s">
        <v>46</v>
      </c>
      <c r="G417" t="s">
        <v>47</v>
      </c>
      <c r="H417" s="16">
        <v>0</v>
      </c>
      <c r="I417" s="4">
        <f>VLOOKUP(C417,[1]sheet1!$D:$I,6,0)</f>
        <v>0</v>
      </c>
      <c r="J417" s="4">
        <f>VLOOKUP(C417,[2]sheet1!$D:$I,6,0)</f>
        <v>0</v>
      </c>
      <c r="K417" s="4">
        <f>VLOOKUP(C417,[3]sheet1!$D:$I,6,0)</f>
        <v>0</v>
      </c>
      <c r="L417" s="4">
        <f>VLOOKUP(C417,[4]sheet1!$D:$I,6,0)</f>
        <v>0</v>
      </c>
      <c r="M417" s="4">
        <f>VLOOKUP(C417,[5]sheet1!$D:$I,6,0)</f>
        <v>0</v>
      </c>
      <c r="N417" s="4">
        <f>VLOOKUP(C417,[6]sheet1!$D:$I,6,0)</f>
        <v>0</v>
      </c>
      <c r="O417" s="4">
        <f>VLOOKUP(C417,[7]sheet1!$D:$I,6,0)</f>
        <v>0</v>
      </c>
      <c r="P417" s="4">
        <f>VLOOKUP(C417,[8]sheet1!$D:$I,6,0)</f>
        <v>0</v>
      </c>
      <c r="Q417" s="4">
        <f t="shared" si="6"/>
        <v>0</v>
      </c>
      <c r="R417" s="3">
        <v>0</v>
      </c>
      <c r="S417">
        <v>260</v>
      </c>
      <c r="T417">
        <v>0</v>
      </c>
      <c r="U417" s="3">
        <v>2</v>
      </c>
      <c r="V417" s="3">
        <v>0</v>
      </c>
      <c r="W417">
        <v>0</v>
      </c>
      <c r="X417" s="3">
        <v>0</v>
      </c>
      <c r="Y417">
        <v>0</v>
      </c>
      <c r="Z417" s="3">
        <v>0</v>
      </c>
      <c r="AA417" t="s">
        <v>382</v>
      </c>
      <c r="AB417" s="3">
        <v>738</v>
      </c>
      <c r="AC417">
        <v>946.52</v>
      </c>
      <c r="AD417" t="s">
        <v>49</v>
      </c>
      <c r="AE417">
        <v>0</v>
      </c>
      <c r="AF417" s="3">
        <v>0</v>
      </c>
      <c r="AG417" t="s">
        <v>49</v>
      </c>
      <c r="AH417">
        <v>0</v>
      </c>
      <c r="AI417" t="s">
        <v>49</v>
      </c>
      <c r="AJ417">
        <v>632.45</v>
      </c>
      <c r="AK417" t="s">
        <v>49</v>
      </c>
      <c r="AL417">
        <v>0</v>
      </c>
      <c r="AM417" t="s">
        <v>49</v>
      </c>
      <c r="AN417" s="3">
        <v>56</v>
      </c>
      <c r="AO417" s="19">
        <v>0</v>
      </c>
      <c r="AP417" s="19">
        <v>0</v>
      </c>
      <c r="AQ417" s="19">
        <v>0.78</v>
      </c>
      <c r="AR417" s="19">
        <v>0.56</v>
      </c>
      <c r="AS417" s="19">
        <v>1</v>
      </c>
      <c r="AT417" s="19">
        <v>0.5</v>
      </c>
      <c r="AU417" s="3">
        <v>0</v>
      </c>
      <c r="AV417" s="3">
        <v>0</v>
      </c>
      <c r="AW417" s="19">
        <v>0</v>
      </c>
      <c r="AX417" s="3">
        <v>0</v>
      </c>
      <c r="AY417" s="3">
        <v>0</v>
      </c>
    </row>
    <row r="418" spans="1:51">
      <c r="A418" s="3">
        <v>20653628</v>
      </c>
      <c r="B418" t="s">
        <v>693</v>
      </c>
      <c r="C418" s="3">
        <v>125215038</v>
      </c>
      <c r="D418" t="s">
        <v>44</v>
      </c>
      <c r="E418" t="s">
        <v>90</v>
      </c>
      <c r="F418" t="s">
        <v>65</v>
      </c>
      <c r="G418" t="s">
        <v>47</v>
      </c>
      <c r="H418" s="16">
        <v>0</v>
      </c>
      <c r="I418" s="4">
        <f>VLOOKUP(C418,[1]sheet1!$D:$I,6,0)</f>
        <v>0</v>
      </c>
      <c r="J418" s="4">
        <f>VLOOKUP(C418,[2]sheet1!$D:$I,6,0)</f>
        <v>0</v>
      </c>
      <c r="K418" s="4">
        <f>VLOOKUP(C418,[3]sheet1!$D:$I,6,0)</f>
        <v>0</v>
      </c>
      <c r="L418" s="4">
        <f>VLOOKUP(C418,[4]sheet1!$D:$I,6,0)</f>
        <v>0</v>
      </c>
      <c r="M418" s="4">
        <f>VLOOKUP(C418,[5]sheet1!$D:$I,6,0)</f>
        <v>0</v>
      </c>
      <c r="N418" s="4">
        <f>VLOOKUP(C418,[6]sheet1!$D:$I,6,0)</f>
        <v>0</v>
      </c>
      <c r="O418" s="4">
        <f>VLOOKUP(C418,[7]sheet1!$D:$I,6,0)</f>
        <v>0</v>
      </c>
      <c r="P418" s="4">
        <f>VLOOKUP(C418,[8]sheet1!$D:$I,6,0)</f>
        <v>0</v>
      </c>
      <c r="Q418" s="4">
        <f t="shared" si="6"/>
        <v>0</v>
      </c>
      <c r="R418" s="3">
        <v>0</v>
      </c>
      <c r="S418" s="3">
        <v>3</v>
      </c>
      <c r="T418" s="19">
        <v>0</v>
      </c>
      <c r="U418" s="3">
        <v>0</v>
      </c>
      <c r="V418" s="3">
        <v>0</v>
      </c>
      <c r="W418">
        <v>0</v>
      </c>
      <c r="X418" s="3">
        <v>0</v>
      </c>
      <c r="Y418">
        <v>0</v>
      </c>
      <c r="Z418" s="3">
        <v>0</v>
      </c>
      <c r="AA418" t="s">
        <v>394</v>
      </c>
      <c r="AB418" t="s">
        <v>49</v>
      </c>
      <c r="AC418">
        <v>302.64</v>
      </c>
      <c r="AD418" t="s">
        <v>49</v>
      </c>
      <c r="AE418">
        <v>0</v>
      </c>
      <c r="AF418" s="3">
        <v>0</v>
      </c>
      <c r="AG418" t="s">
        <v>49</v>
      </c>
      <c r="AH418">
        <v>0</v>
      </c>
      <c r="AI418" t="s">
        <v>49</v>
      </c>
      <c r="AJ418" t="s">
        <v>49</v>
      </c>
      <c r="AK418" t="s">
        <v>49</v>
      </c>
      <c r="AL418" t="s">
        <v>49</v>
      </c>
      <c r="AM418" t="s">
        <v>49</v>
      </c>
      <c r="AN418" s="3">
        <v>3</v>
      </c>
      <c r="AO418" s="19">
        <v>0</v>
      </c>
      <c r="AP418" s="19">
        <v>0</v>
      </c>
      <c r="AQ418" s="19">
        <v>0.6667</v>
      </c>
      <c r="AR418" s="19">
        <v>0</v>
      </c>
      <c r="AS418" s="19">
        <v>0</v>
      </c>
      <c r="AT418" s="19">
        <v>0</v>
      </c>
      <c r="AU418" s="3">
        <v>0</v>
      </c>
      <c r="AV418" s="3">
        <v>0</v>
      </c>
      <c r="AW418" s="19">
        <v>0</v>
      </c>
      <c r="AX418" s="3">
        <v>0</v>
      </c>
      <c r="AY418" s="3">
        <v>0</v>
      </c>
    </row>
    <row r="419" spans="1:51">
      <c r="A419" s="3">
        <v>20629769</v>
      </c>
      <c r="B419" t="s">
        <v>694</v>
      </c>
      <c r="C419" s="3">
        <v>115215021</v>
      </c>
      <c r="D419" t="s">
        <v>44</v>
      </c>
      <c r="E419" t="s">
        <v>54</v>
      </c>
      <c r="F419" t="s">
        <v>65</v>
      </c>
      <c r="G419" t="s">
        <v>47</v>
      </c>
      <c r="H419" s="16">
        <v>0</v>
      </c>
      <c r="I419" s="4">
        <f>VLOOKUP(C419,[1]sheet1!$D:$I,6,0)</f>
        <v>0</v>
      </c>
      <c r="J419" s="4">
        <f>VLOOKUP(C419,[2]sheet1!$D:$I,6,0)</f>
        <v>192</v>
      </c>
      <c r="K419" s="4">
        <f>VLOOKUP(C419,[3]sheet1!$D:$I,6,0)</f>
        <v>0</v>
      </c>
      <c r="L419" s="4">
        <f>VLOOKUP(C419,[4]sheet1!$D:$I,6,0)</f>
        <v>0</v>
      </c>
      <c r="M419" s="4">
        <f>VLOOKUP(C419,[5]sheet1!$D:$I,6,0)</f>
        <v>192</v>
      </c>
      <c r="N419" s="4">
        <f>VLOOKUP(C419,[6]sheet1!$D:$I,6,0)</f>
        <v>0</v>
      </c>
      <c r="O419" s="4">
        <f>VLOOKUP(C419,[7]sheet1!$D:$I,6,0)</f>
        <v>0</v>
      </c>
      <c r="P419" s="4">
        <f>VLOOKUP(C419,[8]sheet1!$D:$I,6,0)</f>
        <v>0</v>
      </c>
      <c r="Q419" s="4">
        <f t="shared" si="6"/>
        <v>384</v>
      </c>
      <c r="R419" s="3">
        <v>0</v>
      </c>
      <c r="S419" s="3">
        <v>26</v>
      </c>
      <c r="T419" s="19">
        <v>0</v>
      </c>
      <c r="U419" s="3">
        <v>1</v>
      </c>
      <c r="V419" s="3">
        <v>0</v>
      </c>
      <c r="W419">
        <v>210</v>
      </c>
      <c r="X419" s="3">
        <v>1</v>
      </c>
      <c r="Y419">
        <v>0</v>
      </c>
      <c r="Z419" s="3">
        <v>0</v>
      </c>
      <c r="AA419" t="s">
        <v>58</v>
      </c>
      <c r="AB419" t="s">
        <v>49</v>
      </c>
      <c r="AC419">
        <v>183.32</v>
      </c>
      <c r="AD419" t="s">
        <v>49</v>
      </c>
      <c r="AE419">
        <v>0</v>
      </c>
      <c r="AF419" s="3">
        <v>0</v>
      </c>
      <c r="AG419" t="s">
        <v>49</v>
      </c>
      <c r="AH419">
        <v>0</v>
      </c>
      <c r="AI419" t="s">
        <v>49</v>
      </c>
      <c r="AJ419" t="s">
        <v>49</v>
      </c>
      <c r="AK419" t="s">
        <v>49</v>
      </c>
      <c r="AL419" t="s">
        <v>49</v>
      </c>
      <c r="AM419" t="s">
        <v>49</v>
      </c>
      <c r="AN419" s="3">
        <v>36</v>
      </c>
      <c r="AO419" s="19">
        <v>0</v>
      </c>
      <c r="AP419" s="19">
        <v>0</v>
      </c>
      <c r="AQ419" s="19">
        <v>0.5769</v>
      </c>
      <c r="AR419" s="19">
        <v>0.0769</v>
      </c>
      <c r="AS419" s="19">
        <v>1</v>
      </c>
      <c r="AT419" s="19">
        <v>0</v>
      </c>
      <c r="AU419" s="3">
        <v>0</v>
      </c>
      <c r="AV419" s="3">
        <v>0</v>
      </c>
      <c r="AW419" s="19">
        <v>0</v>
      </c>
      <c r="AX419" s="3">
        <v>0</v>
      </c>
      <c r="AY419" s="3">
        <v>0</v>
      </c>
    </row>
    <row r="420" spans="1:51">
      <c r="A420" s="3">
        <v>20623937</v>
      </c>
      <c r="B420" t="s">
        <v>695</v>
      </c>
      <c r="C420" s="3">
        <v>125215022</v>
      </c>
      <c r="D420" t="s">
        <v>44</v>
      </c>
      <c r="E420" t="s">
        <v>299</v>
      </c>
      <c r="F420" t="s">
        <v>65</v>
      </c>
      <c r="G420" t="s">
        <v>47</v>
      </c>
      <c r="H420" s="16">
        <v>0</v>
      </c>
      <c r="I420" s="4">
        <f>VLOOKUP(C420,[1]sheet1!$D:$I,6,0)</f>
        <v>0</v>
      </c>
      <c r="J420" s="4">
        <f>VLOOKUP(C420,[2]sheet1!$D:$I,6,0)</f>
        <v>0</v>
      </c>
      <c r="K420" s="4">
        <f>VLOOKUP(C420,[3]sheet1!$D:$I,6,0)</f>
        <v>0</v>
      </c>
      <c r="L420" s="4">
        <f>VLOOKUP(C420,[4]sheet1!$D:$I,6,0)</f>
        <v>0</v>
      </c>
      <c r="M420" s="4">
        <f>VLOOKUP(C420,[5]sheet1!$D:$I,6,0)</f>
        <v>0</v>
      </c>
      <c r="N420" s="4">
        <f>VLOOKUP(C420,[6]sheet1!$D:$I,6,0)</f>
        <v>0</v>
      </c>
      <c r="O420" s="4">
        <f>VLOOKUP(C420,[7]sheet1!$D:$I,6,0)</f>
        <v>0</v>
      </c>
      <c r="P420" s="4">
        <f>VLOOKUP(C420,[8]sheet1!$D:$I,6,0)</f>
        <v>173.9</v>
      </c>
      <c r="Q420" s="4">
        <f t="shared" si="6"/>
        <v>173.9</v>
      </c>
      <c r="R420" s="3">
        <v>0</v>
      </c>
      <c r="S420" s="3">
        <v>5</v>
      </c>
      <c r="T420" s="19">
        <v>0</v>
      </c>
      <c r="U420" s="3">
        <v>0</v>
      </c>
      <c r="V420" s="3">
        <v>0</v>
      </c>
      <c r="W420">
        <v>0</v>
      </c>
      <c r="X420" s="3">
        <v>0</v>
      </c>
      <c r="Y420">
        <v>0</v>
      </c>
      <c r="Z420" s="3">
        <v>0</v>
      </c>
      <c r="AA420" t="s">
        <v>129</v>
      </c>
      <c r="AB420" t="s">
        <v>49</v>
      </c>
      <c r="AC420">
        <v>164.24</v>
      </c>
      <c r="AD420" t="s">
        <v>49</v>
      </c>
      <c r="AE420">
        <v>0</v>
      </c>
      <c r="AF420" s="3">
        <v>0</v>
      </c>
      <c r="AG420" t="s">
        <v>49</v>
      </c>
      <c r="AH420">
        <v>0</v>
      </c>
      <c r="AI420" t="s">
        <v>49</v>
      </c>
      <c r="AJ420" t="s">
        <v>49</v>
      </c>
      <c r="AK420" t="s">
        <v>49</v>
      </c>
      <c r="AL420" t="s">
        <v>49</v>
      </c>
      <c r="AM420" t="s">
        <v>49</v>
      </c>
      <c r="AN420" s="3">
        <v>8</v>
      </c>
      <c r="AO420" s="19">
        <v>0</v>
      </c>
      <c r="AP420" s="19">
        <v>0</v>
      </c>
      <c r="AQ420" s="19">
        <v>0.6</v>
      </c>
      <c r="AR420" s="19">
        <v>0</v>
      </c>
      <c r="AS420" s="19">
        <v>0</v>
      </c>
      <c r="AT420" s="19">
        <v>0</v>
      </c>
      <c r="AU420" s="3">
        <v>0</v>
      </c>
      <c r="AV420" s="3">
        <v>0</v>
      </c>
      <c r="AW420" s="19">
        <v>0</v>
      </c>
      <c r="AX420" s="3">
        <v>0</v>
      </c>
      <c r="AY420" s="3">
        <v>0</v>
      </c>
    </row>
    <row r="421" spans="1:51">
      <c r="A421" s="3">
        <v>20415380</v>
      </c>
      <c r="B421" t="s">
        <v>696</v>
      </c>
      <c r="C421" s="3">
        <v>115212003</v>
      </c>
      <c r="D421" t="s">
        <v>44</v>
      </c>
      <c r="E421" t="s">
        <v>51</v>
      </c>
      <c r="F421" t="s">
        <v>46</v>
      </c>
      <c r="G421" t="s">
        <v>47</v>
      </c>
      <c r="H421" s="16">
        <v>0</v>
      </c>
      <c r="I421" s="4">
        <f>VLOOKUP(C421,[1]sheet1!$D:$I,6,0)</f>
        <v>0</v>
      </c>
      <c r="J421" s="4">
        <f>VLOOKUP(C421,[2]sheet1!$D:$I,6,0)</f>
        <v>502</v>
      </c>
      <c r="K421" s="4">
        <f>VLOOKUP(C421,[3]sheet1!$D:$I,6,0)</f>
        <v>0</v>
      </c>
      <c r="L421" s="4">
        <f>VLOOKUP(C421,[4]sheet1!$D:$I,6,0)</f>
        <v>218</v>
      </c>
      <c r="M421" s="4">
        <f>VLOOKUP(C421,[5]sheet1!$D:$I,6,0)</f>
        <v>0</v>
      </c>
      <c r="N421" s="4">
        <f>VLOOKUP(C421,[6]sheet1!$D:$I,6,0)</f>
        <v>256</v>
      </c>
      <c r="O421" s="4">
        <f>VLOOKUP(C421,[7]sheet1!$D:$I,6,0)</f>
        <v>233</v>
      </c>
      <c r="P421" s="4">
        <f>VLOOKUP(C421,[8]sheet1!$D:$I,6,0)</f>
        <v>466</v>
      </c>
      <c r="Q421" s="4">
        <f t="shared" si="6"/>
        <v>1675</v>
      </c>
      <c r="R421" s="3">
        <v>0</v>
      </c>
      <c r="S421">
        <v>1125</v>
      </c>
      <c r="T421">
        <v>0</v>
      </c>
      <c r="U421" s="3">
        <v>40</v>
      </c>
      <c r="V421" s="3">
        <v>0</v>
      </c>
      <c r="W421">
        <v>0</v>
      </c>
      <c r="X421" s="3">
        <v>0</v>
      </c>
      <c r="Y421">
        <v>0</v>
      </c>
      <c r="Z421" s="3">
        <v>0</v>
      </c>
      <c r="AA421" t="s">
        <v>230</v>
      </c>
      <c r="AB421" s="3">
        <v>246</v>
      </c>
      <c r="AC421">
        <v>217.82</v>
      </c>
      <c r="AD421" t="s">
        <v>49</v>
      </c>
      <c r="AE421">
        <v>0</v>
      </c>
      <c r="AF421" s="3">
        <v>0</v>
      </c>
      <c r="AG421" t="s">
        <v>49</v>
      </c>
      <c r="AH421">
        <v>0</v>
      </c>
      <c r="AI421" t="s">
        <v>49</v>
      </c>
      <c r="AJ421">
        <v>206.51</v>
      </c>
      <c r="AK421" t="s">
        <v>49</v>
      </c>
      <c r="AL421">
        <v>0</v>
      </c>
      <c r="AM421" t="s">
        <v>49</v>
      </c>
      <c r="AN421" s="3">
        <v>1462</v>
      </c>
      <c r="AO421" s="19">
        <v>0</v>
      </c>
      <c r="AP421" s="19">
        <v>0</v>
      </c>
      <c r="AQ421" s="19">
        <v>0.8214</v>
      </c>
      <c r="AR421" s="19">
        <v>0.4182</v>
      </c>
      <c r="AS421" s="19">
        <v>0.95</v>
      </c>
      <c r="AT421" s="19">
        <v>0.5</v>
      </c>
      <c r="AU421" s="3">
        <v>0</v>
      </c>
      <c r="AV421" s="3">
        <v>0</v>
      </c>
      <c r="AW421" s="19">
        <v>0</v>
      </c>
      <c r="AX421" s="3">
        <v>0</v>
      </c>
      <c r="AY421" s="3">
        <v>0</v>
      </c>
    </row>
    <row r="422" spans="1:51">
      <c r="A422" s="3">
        <v>19908198</v>
      </c>
      <c r="B422" t="s">
        <v>697</v>
      </c>
      <c r="C422" s="3">
        <v>125220022</v>
      </c>
      <c r="D422" t="s">
        <v>44</v>
      </c>
      <c r="E422" t="s">
        <v>149</v>
      </c>
      <c r="F422" t="s">
        <v>46</v>
      </c>
      <c r="G422" t="s">
        <v>47</v>
      </c>
      <c r="H422" s="16">
        <v>0</v>
      </c>
      <c r="I422" s="4">
        <f>VLOOKUP(C422,[1]sheet1!$D:$I,6,0)</f>
        <v>429</v>
      </c>
      <c r="J422" s="4">
        <f>VLOOKUP(C422,[2]sheet1!$D:$I,6,0)</f>
        <v>0</v>
      </c>
      <c r="K422" s="4">
        <f>VLOOKUP(C422,[3]sheet1!$D:$I,6,0)</f>
        <v>0</v>
      </c>
      <c r="L422" s="4">
        <f>VLOOKUP(C422,[4]sheet1!$D:$I,6,0)</f>
        <v>0</v>
      </c>
      <c r="M422" s="4">
        <f>VLOOKUP(C422,[5]sheet1!$D:$I,6,0)</f>
        <v>0</v>
      </c>
      <c r="N422" s="4">
        <f>VLOOKUP(C422,[6]sheet1!$D:$I,6,0)</f>
        <v>0</v>
      </c>
      <c r="O422" s="4">
        <f>VLOOKUP(C422,[7]sheet1!$D:$I,6,0)</f>
        <v>0</v>
      </c>
      <c r="P422" s="4">
        <f>VLOOKUP(C422,[8]sheet1!$D:$I,6,0)</f>
        <v>0</v>
      </c>
      <c r="Q422" s="4">
        <f t="shared" si="6"/>
        <v>429</v>
      </c>
      <c r="R422" s="3">
        <v>0</v>
      </c>
      <c r="S422">
        <v>297</v>
      </c>
      <c r="T422">
        <v>0</v>
      </c>
      <c r="U422" s="3">
        <v>0</v>
      </c>
      <c r="V422" s="3">
        <v>0</v>
      </c>
      <c r="W422">
        <v>0</v>
      </c>
      <c r="X422" s="3">
        <v>0</v>
      </c>
      <c r="Y422">
        <v>0</v>
      </c>
      <c r="Z422" s="3">
        <v>0</v>
      </c>
      <c r="AA422" t="s">
        <v>698</v>
      </c>
      <c r="AB422" s="3">
        <v>338</v>
      </c>
      <c r="AC422">
        <v>390.43</v>
      </c>
      <c r="AD422" t="s">
        <v>49</v>
      </c>
      <c r="AE422">
        <v>0</v>
      </c>
      <c r="AF422" s="3">
        <v>0</v>
      </c>
      <c r="AG422" t="s">
        <v>49</v>
      </c>
      <c r="AH422">
        <v>0</v>
      </c>
      <c r="AI422" t="s">
        <v>49</v>
      </c>
      <c r="AJ422">
        <v>285.16</v>
      </c>
      <c r="AK422" t="s">
        <v>49</v>
      </c>
      <c r="AL422">
        <v>0</v>
      </c>
      <c r="AM422" t="s">
        <v>49</v>
      </c>
      <c r="AN422" s="3">
        <v>84</v>
      </c>
      <c r="AO422" s="19">
        <v>0</v>
      </c>
      <c r="AP422" s="19">
        <v>0</v>
      </c>
      <c r="AQ422" s="19">
        <v>0.8923</v>
      </c>
      <c r="AR422" s="19">
        <v>0.1538</v>
      </c>
      <c r="AS422" s="19">
        <v>0</v>
      </c>
      <c r="AT422" s="19">
        <v>0</v>
      </c>
      <c r="AU422" s="3">
        <v>0</v>
      </c>
      <c r="AV422" s="3">
        <v>0</v>
      </c>
      <c r="AW422" s="19">
        <v>0</v>
      </c>
      <c r="AX422" s="3">
        <v>0</v>
      </c>
      <c r="AY422" s="3">
        <v>0</v>
      </c>
    </row>
    <row r="423" spans="1:51">
      <c r="A423" s="3">
        <v>19843066</v>
      </c>
      <c r="B423" t="s">
        <v>699</v>
      </c>
      <c r="C423" s="3">
        <v>115278007</v>
      </c>
      <c r="D423" t="s">
        <v>44</v>
      </c>
      <c r="E423" t="s">
        <v>277</v>
      </c>
      <c r="F423" t="s">
        <v>65</v>
      </c>
      <c r="G423" t="s">
        <v>47</v>
      </c>
      <c r="H423" s="16">
        <v>0</v>
      </c>
      <c r="I423" s="4">
        <f>VLOOKUP(C423,[1]sheet1!$D:$I,6,0)</f>
        <v>0</v>
      </c>
      <c r="J423" s="4">
        <f>VLOOKUP(C423,[2]sheet1!$D:$I,6,0)</f>
        <v>0</v>
      </c>
      <c r="K423" s="4">
        <f>VLOOKUP(C423,[3]sheet1!$D:$I,6,0)</f>
        <v>0</v>
      </c>
      <c r="L423" s="4">
        <f>VLOOKUP(C423,[4]sheet1!$D:$I,6,0)</f>
        <v>0</v>
      </c>
      <c r="M423" s="4">
        <f>VLOOKUP(C423,[5]sheet1!$D:$I,6,0)</f>
        <v>0</v>
      </c>
      <c r="N423" s="4">
        <f>VLOOKUP(C423,[6]sheet1!$D:$I,6,0)</f>
        <v>0</v>
      </c>
      <c r="O423" s="4">
        <f>VLOOKUP(C423,[7]sheet1!$D:$I,6,0)</f>
        <v>0</v>
      </c>
      <c r="P423" s="4">
        <f>VLOOKUP(C423,[8]sheet1!$D:$I,6,0)</f>
        <v>0</v>
      </c>
      <c r="Q423" s="4">
        <f t="shared" si="6"/>
        <v>0</v>
      </c>
      <c r="R423" s="3">
        <v>0</v>
      </c>
      <c r="S423" s="3">
        <v>14</v>
      </c>
      <c r="T423" s="19">
        <v>0</v>
      </c>
      <c r="U423" s="3">
        <v>0</v>
      </c>
      <c r="V423" s="3">
        <v>0</v>
      </c>
      <c r="W423">
        <v>0</v>
      </c>
      <c r="X423" s="3">
        <v>0</v>
      </c>
      <c r="Y423">
        <v>0</v>
      </c>
      <c r="Z423" s="3">
        <v>0</v>
      </c>
      <c r="AA423" t="s">
        <v>49</v>
      </c>
      <c r="AB423" t="s">
        <v>49</v>
      </c>
      <c r="AC423" t="s">
        <v>49</v>
      </c>
      <c r="AD423" t="s">
        <v>49</v>
      </c>
      <c r="AE423">
        <v>0</v>
      </c>
      <c r="AF423" s="3">
        <v>0</v>
      </c>
      <c r="AG423" t="s">
        <v>49</v>
      </c>
      <c r="AH423" t="s">
        <v>49</v>
      </c>
      <c r="AI423" t="s">
        <v>49</v>
      </c>
      <c r="AJ423" t="s">
        <v>49</v>
      </c>
      <c r="AK423" t="s">
        <v>49</v>
      </c>
      <c r="AL423" t="s">
        <v>49</v>
      </c>
      <c r="AM423" t="s">
        <v>49</v>
      </c>
      <c r="AN423" s="3">
        <v>15</v>
      </c>
      <c r="AO423" s="19">
        <v>0</v>
      </c>
      <c r="AP423" s="19">
        <v>0</v>
      </c>
      <c r="AQ423" s="19">
        <v>0.7143</v>
      </c>
      <c r="AR423" s="19">
        <v>0.7143</v>
      </c>
      <c r="AS423" s="19">
        <v>0</v>
      </c>
      <c r="AT423" s="19">
        <v>0</v>
      </c>
      <c r="AU423" s="3">
        <v>0</v>
      </c>
      <c r="AV423" s="3">
        <v>0</v>
      </c>
      <c r="AW423" s="19">
        <v>0</v>
      </c>
      <c r="AX423" s="3">
        <v>0</v>
      </c>
      <c r="AY423" s="3">
        <v>0</v>
      </c>
    </row>
    <row r="424" spans="1:51">
      <c r="A424" s="3">
        <v>19821427</v>
      </c>
      <c r="B424" t="s">
        <v>700</v>
      </c>
      <c r="C424" s="3">
        <v>115151005</v>
      </c>
      <c r="D424" t="s">
        <v>44</v>
      </c>
      <c r="E424" t="s">
        <v>227</v>
      </c>
      <c r="F424" t="s">
        <v>65</v>
      </c>
      <c r="G424" t="s">
        <v>47</v>
      </c>
      <c r="H424" s="16">
        <v>0</v>
      </c>
      <c r="I424" s="4">
        <f>VLOOKUP(C424,[1]sheet1!$D:$I,6,0)</f>
        <v>0</v>
      </c>
      <c r="J424" s="4">
        <f>VLOOKUP(C424,[2]sheet1!$D:$I,6,0)</f>
        <v>1816</v>
      </c>
      <c r="K424" s="4">
        <f>VLOOKUP(C424,[3]sheet1!$D:$I,6,0)</f>
        <v>0</v>
      </c>
      <c r="L424" s="4">
        <f>VLOOKUP(C424,[4]sheet1!$D:$I,6,0)</f>
        <v>0</v>
      </c>
      <c r="M424" s="4">
        <f>VLOOKUP(C424,[5]sheet1!$D:$I,6,0)</f>
        <v>0</v>
      </c>
      <c r="N424" s="4">
        <f>VLOOKUP(C424,[6]sheet1!$D:$I,6,0)</f>
        <v>0</v>
      </c>
      <c r="O424" s="4">
        <f>VLOOKUP(C424,[7]sheet1!$D:$I,6,0)</f>
        <v>0</v>
      </c>
      <c r="P424" s="4">
        <f>VLOOKUP(C424,[8]sheet1!$D:$I,6,0)</f>
        <v>0</v>
      </c>
      <c r="Q424" s="4">
        <f t="shared" si="6"/>
        <v>1816</v>
      </c>
      <c r="R424" s="3">
        <v>0</v>
      </c>
      <c r="S424" s="3">
        <v>24</v>
      </c>
      <c r="T424" s="19">
        <v>0</v>
      </c>
      <c r="U424" s="3">
        <v>0</v>
      </c>
      <c r="V424" s="3">
        <v>0</v>
      </c>
      <c r="W424">
        <v>0</v>
      </c>
      <c r="X424" s="3">
        <v>0</v>
      </c>
      <c r="Y424">
        <v>0</v>
      </c>
      <c r="Z424" s="3">
        <v>0</v>
      </c>
      <c r="AA424" t="s">
        <v>701</v>
      </c>
      <c r="AB424" t="s">
        <v>49</v>
      </c>
      <c r="AC424">
        <v>530.69</v>
      </c>
      <c r="AD424" t="s">
        <v>49</v>
      </c>
      <c r="AE424">
        <v>0</v>
      </c>
      <c r="AF424" s="3">
        <v>0</v>
      </c>
      <c r="AG424" t="s">
        <v>49</v>
      </c>
      <c r="AH424">
        <v>0</v>
      </c>
      <c r="AI424" t="s">
        <v>49</v>
      </c>
      <c r="AJ424" t="s">
        <v>49</v>
      </c>
      <c r="AK424" t="s">
        <v>49</v>
      </c>
      <c r="AL424" t="s">
        <v>49</v>
      </c>
      <c r="AM424" t="s">
        <v>49</v>
      </c>
      <c r="AN424" s="3">
        <v>24</v>
      </c>
      <c r="AO424" s="19">
        <v>0</v>
      </c>
      <c r="AP424" s="19">
        <v>0</v>
      </c>
      <c r="AQ424" s="19">
        <v>0.625</v>
      </c>
      <c r="AR424" s="19">
        <v>0.4167</v>
      </c>
      <c r="AS424" s="19">
        <v>0</v>
      </c>
      <c r="AT424" s="19">
        <v>0</v>
      </c>
      <c r="AU424" s="3">
        <v>0</v>
      </c>
      <c r="AV424" s="3">
        <v>0</v>
      </c>
      <c r="AW424" s="19">
        <v>0</v>
      </c>
      <c r="AX424" s="3">
        <v>0</v>
      </c>
      <c r="AY424" s="3">
        <v>0</v>
      </c>
    </row>
    <row r="425" spans="1:51">
      <c r="A425" s="3">
        <v>19808289</v>
      </c>
      <c r="B425" t="s">
        <v>702</v>
      </c>
      <c r="C425" s="3">
        <v>115114001</v>
      </c>
      <c r="D425" t="s">
        <v>44</v>
      </c>
      <c r="E425" t="s">
        <v>57</v>
      </c>
      <c r="F425" t="s">
        <v>65</v>
      </c>
      <c r="G425" t="s">
        <v>47</v>
      </c>
      <c r="H425" s="16">
        <v>0</v>
      </c>
      <c r="I425" s="4">
        <f>VLOOKUP(C425,[1]sheet1!$D:$I,6,0)</f>
        <v>0</v>
      </c>
      <c r="J425" s="4">
        <f>VLOOKUP(C425,[2]sheet1!$D:$I,6,0)</f>
        <v>0</v>
      </c>
      <c r="K425" s="4">
        <f>VLOOKUP(C425,[3]sheet1!$D:$I,6,0)</f>
        <v>0</v>
      </c>
      <c r="L425" s="4">
        <f>VLOOKUP(C425,[4]sheet1!$D:$I,6,0)</f>
        <v>0</v>
      </c>
      <c r="M425" s="4">
        <f>VLOOKUP(C425,[5]sheet1!$D:$I,6,0)</f>
        <v>0</v>
      </c>
      <c r="N425" s="4">
        <f>VLOOKUP(C425,[6]sheet1!$D:$I,6,0)</f>
        <v>0</v>
      </c>
      <c r="O425" s="4">
        <f>VLOOKUP(C425,[7]sheet1!$D:$I,6,0)</f>
        <v>0</v>
      </c>
      <c r="P425" s="4">
        <f>VLOOKUP(C425,[8]sheet1!$D:$I,6,0)</f>
        <v>0</v>
      </c>
      <c r="Q425" s="4">
        <f t="shared" si="6"/>
        <v>0</v>
      </c>
      <c r="R425" s="3">
        <v>0</v>
      </c>
      <c r="S425" s="3">
        <v>1</v>
      </c>
      <c r="T425" s="19">
        <v>0</v>
      </c>
      <c r="U425" s="3">
        <v>0</v>
      </c>
      <c r="V425" s="3">
        <v>0</v>
      </c>
      <c r="W425">
        <v>0</v>
      </c>
      <c r="X425" s="3">
        <v>0</v>
      </c>
      <c r="Y425">
        <v>0</v>
      </c>
      <c r="Z425" s="3">
        <v>0</v>
      </c>
      <c r="AA425" t="s">
        <v>49</v>
      </c>
      <c r="AB425" t="s">
        <v>49</v>
      </c>
      <c r="AC425" t="s">
        <v>49</v>
      </c>
      <c r="AD425" t="s">
        <v>49</v>
      </c>
      <c r="AE425">
        <v>0</v>
      </c>
      <c r="AF425" s="3">
        <v>0</v>
      </c>
      <c r="AG425" t="s">
        <v>49</v>
      </c>
      <c r="AH425" t="s">
        <v>49</v>
      </c>
      <c r="AI425" t="s">
        <v>49</v>
      </c>
      <c r="AJ425" t="s">
        <v>49</v>
      </c>
      <c r="AK425" t="s">
        <v>49</v>
      </c>
      <c r="AL425" t="s">
        <v>49</v>
      </c>
      <c r="AM425" t="s">
        <v>49</v>
      </c>
      <c r="AN425" s="3">
        <v>1</v>
      </c>
      <c r="AO425" s="19">
        <v>0</v>
      </c>
      <c r="AP425" s="19">
        <v>0</v>
      </c>
      <c r="AQ425" s="19">
        <v>0</v>
      </c>
      <c r="AR425" s="19">
        <v>0</v>
      </c>
      <c r="AS425" s="19">
        <v>0</v>
      </c>
      <c r="AT425" s="19">
        <v>0</v>
      </c>
      <c r="AU425" s="3">
        <v>0</v>
      </c>
      <c r="AV425" s="3">
        <v>0</v>
      </c>
      <c r="AW425" s="19">
        <v>0</v>
      </c>
      <c r="AX425" s="3">
        <v>0</v>
      </c>
      <c r="AY425" s="3">
        <v>0</v>
      </c>
    </row>
    <row r="426" spans="1:51">
      <c r="A426" s="3">
        <v>19805072</v>
      </c>
      <c r="B426" t="s">
        <v>703</v>
      </c>
      <c r="C426" s="3">
        <v>125106002</v>
      </c>
      <c r="D426" t="s">
        <v>44</v>
      </c>
      <c r="E426" t="s">
        <v>138</v>
      </c>
      <c r="F426" t="s">
        <v>65</v>
      </c>
      <c r="G426" t="s">
        <v>47</v>
      </c>
      <c r="H426" s="16">
        <v>0</v>
      </c>
      <c r="I426" s="4">
        <f>VLOOKUP(C426,[1]sheet1!$D:$I,6,0)</f>
        <v>0</v>
      </c>
      <c r="J426" s="4">
        <f>VLOOKUP(C426,[2]sheet1!$D:$I,6,0)</f>
        <v>0</v>
      </c>
      <c r="K426" s="4">
        <f>VLOOKUP(C426,[3]sheet1!$D:$I,6,0)</f>
        <v>0</v>
      </c>
      <c r="L426" s="4">
        <f>VLOOKUP(C426,[4]sheet1!$D:$I,6,0)</f>
        <v>0</v>
      </c>
      <c r="M426" s="4">
        <f>VLOOKUP(C426,[5]sheet1!$D:$I,6,0)</f>
        <v>0</v>
      </c>
      <c r="N426" s="4">
        <f>VLOOKUP(C426,[6]sheet1!$D:$I,6,0)</f>
        <v>0</v>
      </c>
      <c r="O426" s="4">
        <f>VLOOKUP(C426,[7]sheet1!$D:$I,6,0)</f>
        <v>0</v>
      </c>
      <c r="P426" s="4">
        <f>VLOOKUP(C426,[8]sheet1!$D:$I,6,0)</f>
        <v>0</v>
      </c>
      <c r="Q426" s="15">
        <f t="shared" si="6"/>
        <v>0</v>
      </c>
      <c r="R426" s="3">
        <v>0</v>
      </c>
      <c r="S426" s="3">
        <v>4</v>
      </c>
      <c r="T426" s="19">
        <v>0</v>
      </c>
      <c r="U426" s="3">
        <v>0</v>
      </c>
      <c r="V426" s="3">
        <v>0</v>
      </c>
      <c r="W426">
        <v>0</v>
      </c>
      <c r="X426" s="3">
        <v>0</v>
      </c>
      <c r="Y426">
        <v>0</v>
      </c>
      <c r="Z426" s="3">
        <v>0</v>
      </c>
      <c r="AA426" t="s">
        <v>704</v>
      </c>
      <c r="AB426" t="s">
        <v>49</v>
      </c>
      <c r="AC426">
        <v>369.74</v>
      </c>
      <c r="AD426" t="s">
        <v>49</v>
      </c>
      <c r="AE426">
        <v>0</v>
      </c>
      <c r="AF426" s="3">
        <v>0</v>
      </c>
      <c r="AG426" t="s">
        <v>49</v>
      </c>
      <c r="AH426">
        <v>0</v>
      </c>
      <c r="AI426" t="s">
        <v>49</v>
      </c>
      <c r="AJ426" t="s">
        <v>49</v>
      </c>
      <c r="AK426" t="s">
        <v>49</v>
      </c>
      <c r="AL426" t="s">
        <v>49</v>
      </c>
      <c r="AM426" t="s">
        <v>49</v>
      </c>
      <c r="AN426" s="3">
        <v>4</v>
      </c>
      <c r="AO426" s="19">
        <v>0</v>
      </c>
      <c r="AP426" s="19">
        <v>0</v>
      </c>
      <c r="AQ426" s="19">
        <v>0.75</v>
      </c>
      <c r="AR426" s="19">
        <v>0.5</v>
      </c>
      <c r="AS426" s="19">
        <v>0</v>
      </c>
      <c r="AT426" s="19">
        <v>0</v>
      </c>
      <c r="AU426" s="3">
        <v>0</v>
      </c>
      <c r="AV426" s="3">
        <v>0</v>
      </c>
      <c r="AW426" s="19">
        <v>0</v>
      </c>
      <c r="AX426" s="3">
        <v>0</v>
      </c>
      <c r="AY426" s="3">
        <v>0</v>
      </c>
    </row>
    <row r="427" spans="1:51">
      <c r="A427" s="3">
        <v>19682909</v>
      </c>
      <c r="B427" t="s">
        <v>705</v>
      </c>
      <c r="C427" t="s">
        <v>706</v>
      </c>
      <c r="D427" t="s">
        <v>44</v>
      </c>
      <c r="E427" t="s">
        <v>290</v>
      </c>
      <c r="F427" t="s">
        <v>46</v>
      </c>
      <c r="G427" t="s">
        <v>47</v>
      </c>
      <c r="H427" s="16">
        <v>0</v>
      </c>
      <c r="I427" s="4">
        <f>VLOOKUP(C427,[1]sheet1!$D:$I,6,0)</f>
        <v>0</v>
      </c>
      <c r="J427" s="4">
        <f>VLOOKUP(C427,[2]sheet1!$D:$I,6,0)</f>
        <v>0</v>
      </c>
      <c r="K427" s="4">
        <f>VLOOKUP(C427,[3]sheet1!$D:$I,6,0)</f>
        <v>0</v>
      </c>
      <c r="L427" s="4">
        <f>VLOOKUP(C427,[4]sheet1!$D:$I,6,0)</f>
        <v>0</v>
      </c>
      <c r="M427" s="4">
        <f>VLOOKUP(C427,[5]sheet1!$D:$I,6,0)</f>
        <v>0</v>
      </c>
      <c r="N427" s="4">
        <f>VLOOKUP(C427,[6]sheet1!$D:$I,6,0)</f>
        <v>0</v>
      </c>
      <c r="O427" s="4">
        <f>VLOOKUP(C427,[7]sheet1!$D:$I,6,0)</f>
        <v>0</v>
      </c>
      <c r="P427" s="4">
        <f>VLOOKUP(C427,[8]sheet1!$D:$I,6,0)</f>
        <v>0</v>
      </c>
      <c r="Q427" s="15">
        <f t="shared" si="6"/>
        <v>0</v>
      </c>
      <c r="R427" s="3">
        <v>0</v>
      </c>
      <c r="S427">
        <v>127</v>
      </c>
      <c r="T427">
        <v>0</v>
      </c>
      <c r="U427" s="3">
        <v>0</v>
      </c>
      <c r="V427" s="3">
        <v>0</v>
      </c>
      <c r="W427">
        <v>0</v>
      </c>
      <c r="X427" s="3">
        <v>0</v>
      </c>
      <c r="Y427">
        <v>0</v>
      </c>
      <c r="Z427" s="3">
        <v>0</v>
      </c>
      <c r="AA427" t="s">
        <v>237</v>
      </c>
      <c r="AB427" s="3">
        <v>378</v>
      </c>
      <c r="AC427">
        <v>422.74</v>
      </c>
      <c r="AD427" t="s">
        <v>49</v>
      </c>
      <c r="AE427">
        <v>0</v>
      </c>
      <c r="AF427" s="3">
        <v>0</v>
      </c>
      <c r="AG427" t="s">
        <v>49</v>
      </c>
      <c r="AH427">
        <v>0</v>
      </c>
      <c r="AI427" t="s">
        <v>49</v>
      </c>
      <c r="AJ427">
        <v>317.47</v>
      </c>
      <c r="AK427" t="s">
        <v>49</v>
      </c>
      <c r="AL427">
        <v>0</v>
      </c>
      <c r="AM427" t="s">
        <v>49</v>
      </c>
      <c r="AN427" s="3">
        <v>17</v>
      </c>
      <c r="AO427" s="19">
        <v>0</v>
      </c>
      <c r="AP427" s="19">
        <v>0</v>
      </c>
      <c r="AQ427" s="19">
        <v>0.75</v>
      </c>
      <c r="AR427" s="19">
        <v>0.25</v>
      </c>
      <c r="AS427" s="19">
        <v>0</v>
      </c>
      <c r="AT427" s="19">
        <v>0</v>
      </c>
      <c r="AU427" s="3">
        <v>0</v>
      </c>
      <c r="AV427" s="3">
        <v>0</v>
      </c>
      <c r="AW427" s="19">
        <v>0</v>
      </c>
      <c r="AX427" s="3">
        <v>0</v>
      </c>
      <c r="AY427" s="3">
        <v>0</v>
      </c>
    </row>
    <row r="428" spans="1:51">
      <c r="A428" s="3">
        <v>19672258</v>
      </c>
      <c r="B428" t="s">
        <v>707</v>
      </c>
      <c r="C428" s="3">
        <v>115107001</v>
      </c>
      <c r="D428" t="s">
        <v>44</v>
      </c>
      <c r="E428" t="s">
        <v>185</v>
      </c>
      <c r="F428" t="s">
        <v>46</v>
      </c>
      <c r="G428" t="s">
        <v>47</v>
      </c>
      <c r="H428" s="16">
        <v>0</v>
      </c>
      <c r="I428" s="4">
        <f>VLOOKUP(C428,[1]sheet1!$D:$I,6,0)</f>
        <v>0</v>
      </c>
      <c r="J428" s="4">
        <f>VLOOKUP(C428,[2]sheet1!$D:$I,6,0)</f>
        <v>0</v>
      </c>
      <c r="K428" s="4">
        <f>VLOOKUP(C428,[3]sheet1!$D:$I,6,0)</f>
        <v>0</v>
      </c>
      <c r="L428" s="4">
        <f>VLOOKUP(C428,[4]sheet1!$D:$I,6,0)</f>
        <v>0</v>
      </c>
      <c r="M428" s="4">
        <f>VLOOKUP(C428,[5]sheet1!$D:$I,6,0)</f>
        <v>0</v>
      </c>
      <c r="N428" s="4">
        <f>VLOOKUP(C428,[6]sheet1!$D:$I,6,0)</f>
        <v>0</v>
      </c>
      <c r="O428" s="4">
        <f>VLOOKUP(C428,[7]sheet1!$D:$I,6,0)</f>
        <v>0</v>
      </c>
      <c r="P428" s="4">
        <f>VLOOKUP(C428,[8]sheet1!$D:$I,6,0)</f>
        <v>0</v>
      </c>
      <c r="Q428" s="15">
        <f t="shared" si="6"/>
        <v>0</v>
      </c>
      <c r="R428" s="3">
        <v>0</v>
      </c>
      <c r="S428">
        <v>133</v>
      </c>
      <c r="T428">
        <v>0</v>
      </c>
      <c r="U428" s="3">
        <v>0</v>
      </c>
      <c r="V428" s="3">
        <v>0</v>
      </c>
      <c r="W428">
        <v>0</v>
      </c>
      <c r="X428" s="3">
        <v>0</v>
      </c>
      <c r="Y428">
        <v>0</v>
      </c>
      <c r="Z428" s="3">
        <v>0</v>
      </c>
      <c r="AA428" t="s">
        <v>250</v>
      </c>
      <c r="AB428" s="3">
        <v>399</v>
      </c>
      <c r="AC428">
        <v>337.22</v>
      </c>
      <c r="AD428" t="s">
        <v>49</v>
      </c>
      <c r="AE428">
        <v>0</v>
      </c>
      <c r="AF428" s="3">
        <v>0</v>
      </c>
      <c r="AG428" t="s">
        <v>49</v>
      </c>
      <c r="AH428">
        <v>0</v>
      </c>
      <c r="AI428" t="s">
        <v>49</v>
      </c>
      <c r="AJ428" t="s">
        <v>49</v>
      </c>
      <c r="AK428" t="s">
        <v>49</v>
      </c>
      <c r="AL428" t="s">
        <v>49</v>
      </c>
      <c r="AM428" t="s">
        <v>49</v>
      </c>
      <c r="AN428" s="3">
        <v>14</v>
      </c>
      <c r="AO428" s="19">
        <v>0</v>
      </c>
      <c r="AP428" s="19">
        <v>0</v>
      </c>
      <c r="AQ428" s="19">
        <v>0.5385</v>
      </c>
      <c r="AR428" s="19">
        <v>0.1538</v>
      </c>
      <c r="AS428" s="19">
        <v>0</v>
      </c>
      <c r="AT428" s="19">
        <v>0</v>
      </c>
      <c r="AU428" s="3">
        <v>0</v>
      </c>
      <c r="AV428" s="3">
        <v>0</v>
      </c>
      <c r="AW428" s="19">
        <v>0</v>
      </c>
      <c r="AX428" s="3">
        <v>0</v>
      </c>
      <c r="AY428" s="3">
        <v>0</v>
      </c>
    </row>
    <row r="429" spans="1:51">
      <c r="A429" s="3">
        <v>19641099</v>
      </c>
      <c r="B429" t="s">
        <v>708</v>
      </c>
      <c r="C429" s="3">
        <v>115106003</v>
      </c>
      <c r="D429" t="s">
        <v>44</v>
      </c>
      <c r="E429" t="s">
        <v>143</v>
      </c>
      <c r="F429" t="s">
        <v>46</v>
      </c>
      <c r="G429" t="s">
        <v>47</v>
      </c>
      <c r="H429" s="16">
        <v>0</v>
      </c>
      <c r="I429" s="4">
        <f>VLOOKUP(C429,[1]sheet1!$D:$I,6,0)</f>
        <v>0</v>
      </c>
      <c r="J429" s="4">
        <f>VLOOKUP(C429,[2]sheet1!$D:$I,6,0)</f>
        <v>632</v>
      </c>
      <c r="K429" s="4">
        <f>VLOOKUP(C429,[3]sheet1!$D:$I,6,0)</f>
        <v>0</v>
      </c>
      <c r="L429" s="4">
        <f>VLOOKUP(C429,[4]sheet1!$D:$I,6,0)</f>
        <v>0</v>
      </c>
      <c r="M429" s="4">
        <f>VLOOKUP(C429,[5]sheet1!$D:$I,6,0)</f>
        <v>597</v>
      </c>
      <c r="N429" s="4">
        <f>VLOOKUP(C429,[6]sheet1!$D:$I,6,0)</f>
        <v>0</v>
      </c>
      <c r="O429" s="4">
        <f>VLOOKUP(C429,[7]sheet1!$D:$I,6,0)</f>
        <v>0</v>
      </c>
      <c r="P429" s="4">
        <f>VLOOKUP(C429,[8]sheet1!$D:$I,6,0)</f>
        <v>559</v>
      </c>
      <c r="Q429" s="15">
        <f t="shared" si="6"/>
        <v>1788</v>
      </c>
      <c r="R429" s="3">
        <v>0</v>
      </c>
      <c r="S429">
        <v>280</v>
      </c>
      <c r="T429">
        <v>0</v>
      </c>
      <c r="U429" s="3">
        <v>0</v>
      </c>
      <c r="V429" s="3">
        <v>0</v>
      </c>
      <c r="W429">
        <v>0</v>
      </c>
      <c r="X429" s="3">
        <v>0</v>
      </c>
      <c r="Y429">
        <v>0</v>
      </c>
      <c r="Z429" s="3">
        <v>0</v>
      </c>
      <c r="AA429" t="s">
        <v>223</v>
      </c>
      <c r="AB429" s="3">
        <v>436</v>
      </c>
      <c r="AC429">
        <v>510.92</v>
      </c>
      <c r="AD429" t="s">
        <v>49</v>
      </c>
      <c r="AE429">
        <v>0</v>
      </c>
      <c r="AF429" s="3">
        <v>0</v>
      </c>
      <c r="AG429" t="s">
        <v>49</v>
      </c>
      <c r="AH429">
        <v>0</v>
      </c>
      <c r="AI429" t="s">
        <v>49</v>
      </c>
      <c r="AJ429">
        <v>403.99</v>
      </c>
      <c r="AK429" t="s">
        <v>49</v>
      </c>
      <c r="AL429">
        <v>0</v>
      </c>
      <c r="AM429" t="s">
        <v>49</v>
      </c>
      <c r="AN429" s="3">
        <v>69</v>
      </c>
      <c r="AO429" s="19">
        <v>0</v>
      </c>
      <c r="AP429" s="19">
        <v>0</v>
      </c>
      <c r="AQ429" s="19">
        <v>0.8966</v>
      </c>
      <c r="AR429" s="19">
        <v>0.3621</v>
      </c>
      <c r="AS429" s="19">
        <v>0</v>
      </c>
      <c r="AT429" s="19">
        <v>0</v>
      </c>
      <c r="AU429" s="3">
        <v>0</v>
      </c>
      <c r="AV429" s="3">
        <v>0</v>
      </c>
      <c r="AW429" s="19">
        <v>0</v>
      </c>
      <c r="AX429" s="3">
        <v>0</v>
      </c>
      <c r="AY429" s="3">
        <v>0</v>
      </c>
    </row>
    <row r="430" spans="1:51">
      <c r="A430" s="3">
        <v>19519876</v>
      </c>
      <c r="B430" t="s">
        <v>709</v>
      </c>
      <c r="C430" t="s">
        <v>710</v>
      </c>
      <c r="D430" t="s">
        <v>44</v>
      </c>
      <c r="E430" t="s">
        <v>141</v>
      </c>
      <c r="F430" t="s">
        <v>46</v>
      </c>
      <c r="G430" t="s">
        <v>47</v>
      </c>
      <c r="H430" s="16">
        <v>0</v>
      </c>
      <c r="I430" s="4">
        <f>VLOOKUP(C430,[1]sheet1!$D:$I,6,0)</f>
        <v>0</v>
      </c>
      <c r="J430" s="4">
        <f>VLOOKUP(C430,[2]sheet1!$D:$I,6,0)</f>
        <v>0</v>
      </c>
      <c r="K430" s="4">
        <f>VLOOKUP(C430,[3]sheet1!$D:$I,6,0)</f>
        <v>0</v>
      </c>
      <c r="L430" s="4">
        <f>VLOOKUP(C430,[4]sheet1!$D:$I,6,0)</f>
        <v>0</v>
      </c>
      <c r="M430" s="4">
        <f>VLOOKUP(C430,[5]sheet1!$D:$I,6,0)</f>
        <v>0</v>
      </c>
      <c r="N430" s="4">
        <f>VLOOKUP(C430,[6]sheet1!$D:$I,6,0)</f>
        <v>0</v>
      </c>
      <c r="O430" s="4">
        <f>VLOOKUP(C430,[7]sheet1!$D:$I,6,0)</f>
        <v>514</v>
      </c>
      <c r="P430" s="4">
        <f>VLOOKUP(C430,[8]sheet1!$D:$I,6,0)</f>
        <v>0</v>
      </c>
      <c r="Q430" s="4">
        <f t="shared" si="6"/>
        <v>514</v>
      </c>
      <c r="R430" s="3">
        <v>0</v>
      </c>
      <c r="S430">
        <v>303</v>
      </c>
      <c r="T430">
        <v>0</v>
      </c>
      <c r="U430" s="3">
        <v>3</v>
      </c>
      <c r="V430" s="3">
        <v>0</v>
      </c>
      <c r="W430">
        <v>0</v>
      </c>
      <c r="X430" s="3">
        <v>0</v>
      </c>
      <c r="Y430">
        <v>0</v>
      </c>
      <c r="Z430" s="3">
        <v>0</v>
      </c>
      <c r="AA430" t="s">
        <v>147</v>
      </c>
      <c r="AB430" s="3">
        <v>345</v>
      </c>
      <c r="AC430">
        <v>493.21</v>
      </c>
      <c r="AD430" t="s">
        <v>49</v>
      </c>
      <c r="AE430">
        <v>0</v>
      </c>
      <c r="AF430" s="3">
        <v>0</v>
      </c>
      <c r="AG430" t="s">
        <v>49</v>
      </c>
      <c r="AH430">
        <v>0</v>
      </c>
      <c r="AI430" t="s">
        <v>49</v>
      </c>
      <c r="AJ430">
        <v>288.76</v>
      </c>
      <c r="AK430" t="s">
        <v>49</v>
      </c>
      <c r="AL430">
        <v>0</v>
      </c>
      <c r="AM430" t="s">
        <v>49</v>
      </c>
      <c r="AN430" s="3">
        <v>76</v>
      </c>
      <c r="AO430" s="19">
        <v>0</v>
      </c>
      <c r="AP430" s="19">
        <v>0</v>
      </c>
      <c r="AQ430" s="19">
        <v>0.9265</v>
      </c>
      <c r="AR430" s="19">
        <v>0.7059</v>
      </c>
      <c r="AS430" s="19">
        <v>1</v>
      </c>
      <c r="AT430" s="19">
        <v>0.3333</v>
      </c>
      <c r="AU430" s="3">
        <v>0</v>
      </c>
      <c r="AV430" s="3">
        <v>0</v>
      </c>
      <c r="AW430" s="19">
        <v>0</v>
      </c>
      <c r="AX430" s="3">
        <v>0</v>
      </c>
      <c r="AY430" s="3">
        <v>0</v>
      </c>
    </row>
    <row r="431" spans="1:51">
      <c r="A431" s="3">
        <v>19498923</v>
      </c>
      <c r="B431" t="s">
        <v>711</v>
      </c>
      <c r="C431" s="3">
        <v>115101013</v>
      </c>
      <c r="D431" t="s">
        <v>44</v>
      </c>
      <c r="E431" t="s">
        <v>104</v>
      </c>
      <c r="F431" t="s">
        <v>46</v>
      </c>
      <c r="G431" t="s">
        <v>47</v>
      </c>
      <c r="H431" s="16">
        <v>0</v>
      </c>
      <c r="I431" s="4">
        <f>VLOOKUP(C431,[1]sheet1!$D:$I,6,0)</f>
        <v>0</v>
      </c>
      <c r="J431" s="4">
        <f>VLOOKUP(C431,[2]sheet1!$D:$I,6,0)</f>
        <v>0</v>
      </c>
      <c r="K431" s="4">
        <f>VLOOKUP(C431,[3]sheet1!$D:$I,6,0)</f>
        <v>572</v>
      </c>
      <c r="L431" s="4">
        <f>VLOOKUP(C431,[4]sheet1!$D:$I,6,0)</f>
        <v>0</v>
      </c>
      <c r="M431" s="4">
        <f>VLOOKUP(C431,[5]sheet1!$D:$I,6,0)</f>
        <v>0</v>
      </c>
      <c r="N431" s="4">
        <f>VLOOKUP(C431,[6]sheet1!$D:$I,6,0)</f>
        <v>0</v>
      </c>
      <c r="O431" s="4">
        <f>VLOOKUP(C431,[7]sheet1!$D:$I,6,0)</f>
        <v>572</v>
      </c>
      <c r="P431" s="4">
        <f>VLOOKUP(C431,[8]sheet1!$D:$I,6,0)</f>
        <v>0</v>
      </c>
      <c r="Q431" s="4">
        <f t="shared" si="6"/>
        <v>1144</v>
      </c>
      <c r="R431" s="3">
        <v>0</v>
      </c>
      <c r="S431">
        <v>278</v>
      </c>
      <c r="T431">
        <v>0</v>
      </c>
      <c r="U431" s="3">
        <v>2</v>
      </c>
      <c r="V431" s="3">
        <v>0</v>
      </c>
      <c r="W431">
        <v>0</v>
      </c>
      <c r="X431" s="3">
        <v>0</v>
      </c>
      <c r="Y431">
        <v>0</v>
      </c>
      <c r="Z431" s="3">
        <v>0</v>
      </c>
      <c r="AA431" t="s">
        <v>712</v>
      </c>
      <c r="AB431" s="3">
        <v>374</v>
      </c>
      <c r="AC431">
        <v>503.69</v>
      </c>
      <c r="AD431" t="s">
        <v>49</v>
      </c>
      <c r="AE431">
        <v>0</v>
      </c>
      <c r="AF431" s="3">
        <v>0</v>
      </c>
      <c r="AG431" t="s">
        <v>49</v>
      </c>
      <c r="AH431">
        <v>0</v>
      </c>
      <c r="AI431" t="s">
        <v>49</v>
      </c>
      <c r="AJ431">
        <v>315.77</v>
      </c>
      <c r="AK431" t="s">
        <v>49</v>
      </c>
      <c r="AL431">
        <v>0</v>
      </c>
      <c r="AM431" t="s">
        <v>49</v>
      </c>
      <c r="AN431" s="3">
        <v>63</v>
      </c>
      <c r="AO431" s="19">
        <v>0</v>
      </c>
      <c r="AP431" s="19">
        <v>0</v>
      </c>
      <c r="AQ431" s="19">
        <v>0.8246</v>
      </c>
      <c r="AR431" s="19">
        <v>0.4737</v>
      </c>
      <c r="AS431" s="19">
        <v>0.5</v>
      </c>
      <c r="AT431" s="19">
        <v>0.5</v>
      </c>
      <c r="AU431" s="3">
        <v>0</v>
      </c>
      <c r="AV431" s="3">
        <v>0</v>
      </c>
      <c r="AW431" s="19">
        <v>0</v>
      </c>
      <c r="AX431" s="3">
        <v>0</v>
      </c>
      <c r="AY431" s="3">
        <v>0</v>
      </c>
    </row>
    <row r="432" spans="1:51">
      <c r="A432" s="3">
        <v>19497767</v>
      </c>
      <c r="B432" t="s">
        <v>713</v>
      </c>
      <c r="C432" s="3">
        <v>115101001</v>
      </c>
      <c r="D432" t="s">
        <v>44</v>
      </c>
      <c r="E432" t="s">
        <v>104</v>
      </c>
      <c r="F432" t="s">
        <v>46</v>
      </c>
      <c r="G432" t="s">
        <v>47</v>
      </c>
      <c r="H432" s="16">
        <v>0</v>
      </c>
      <c r="I432" s="4">
        <f>VLOOKUP(C432,[1]sheet1!$D:$I,6,0)</f>
        <v>0</v>
      </c>
      <c r="J432" s="4">
        <f>VLOOKUP(C432,[2]sheet1!$D:$I,6,0)</f>
        <v>0</v>
      </c>
      <c r="K432" s="4">
        <f>VLOOKUP(C432,[3]sheet1!$D:$I,6,0)</f>
        <v>0</v>
      </c>
      <c r="L432" s="4">
        <f>VLOOKUP(C432,[4]sheet1!$D:$I,6,0)</f>
        <v>0</v>
      </c>
      <c r="M432" s="4">
        <f>VLOOKUP(C432,[5]sheet1!$D:$I,6,0)</f>
        <v>0</v>
      </c>
      <c r="N432" s="4">
        <f>VLOOKUP(C432,[6]sheet1!$D:$I,6,0)</f>
        <v>537</v>
      </c>
      <c r="O432" s="4">
        <f>VLOOKUP(C432,[7]sheet1!$D:$I,6,0)</f>
        <v>572</v>
      </c>
      <c r="P432" s="4">
        <f>VLOOKUP(C432,[8]sheet1!$D:$I,6,0)</f>
        <v>0</v>
      </c>
      <c r="Q432" s="4">
        <f t="shared" si="6"/>
        <v>1109</v>
      </c>
      <c r="R432" s="3">
        <v>0</v>
      </c>
      <c r="S432">
        <v>275</v>
      </c>
      <c r="T432">
        <v>0</v>
      </c>
      <c r="U432" s="3">
        <v>2</v>
      </c>
      <c r="V432" s="3">
        <v>0</v>
      </c>
      <c r="W432">
        <v>0</v>
      </c>
      <c r="X432" s="3">
        <v>0</v>
      </c>
      <c r="Y432">
        <v>0</v>
      </c>
      <c r="Z432" s="3">
        <v>0</v>
      </c>
      <c r="AA432" t="s">
        <v>714</v>
      </c>
      <c r="AB432" s="3">
        <v>420</v>
      </c>
      <c r="AC432">
        <v>422.78</v>
      </c>
      <c r="AD432" t="s">
        <v>49</v>
      </c>
      <c r="AE432">
        <v>0</v>
      </c>
      <c r="AF432" s="3">
        <v>0</v>
      </c>
      <c r="AG432" t="s">
        <v>49</v>
      </c>
      <c r="AH432">
        <v>0</v>
      </c>
      <c r="AI432" t="s">
        <v>49</v>
      </c>
      <c r="AJ432">
        <v>355.79</v>
      </c>
      <c r="AK432" t="s">
        <v>49</v>
      </c>
      <c r="AL432">
        <v>0</v>
      </c>
      <c r="AM432" t="s">
        <v>49</v>
      </c>
      <c r="AN432" s="3">
        <v>59</v>
      </c>
      <c r="AO432" s="19">
        <v>0</v>
      </c>
      <c r="AP432" s="19">
        <v>0</v>
      </c>
      <c r="AQ432" s="19">
        <v>0.8214</v>
      </c>
      <c r="AR432" s="19">
        <v>0.5179</v>
      </c>
      <c r="AS432" s="19">
        <v>1</v>
      </c>
      <c r="AT432" s="19">
        <v>0.5</v>
      </c>
      <c r="AU432" s="3">
        <v>0</v>
      </c>
      <c r="AV432" s="3">
        <v>0</v>
      </c>
      <c r="AW432" s="19">
        <v>0</v>
      </c>
      <c r="AX432" s="3">
        <v>0</v>
      </c>
      <c r="AY432" s="3">
        <v>0</v>
      </c>
    </row>
    <row r="433" spans="1:51">
      <c r="A433" s="3">
        <v>19494294</v>
      </c>
      <c r="B433" t="s">
        <v>715</v>
      </c>
      <c r="C433" s="3">
        <v>125212014</v>
      </c>
      <c r="D433" t="s">
        <v>44</v>
      </c>
      <c r="E433" t="s">
        <v>109</v>
      </c>
      <c r="F433" t="s">
        <v>65</v>
      </c>
      <c r="G433" t="s">
        <v>47</v>
      </c>
      <c r="H433" s="16">
        <v>0</v>
      </c>
      <c r="I433" s="4">
        <f>VLOOKUP(C433,[1]sheet1!$D:$I,6,0)</f>
        <v>0</v>
      </c>
      <c r="J433" s="4">
        <f>VLOOKUP(C433,[2]sheet1!$D:$I,6,0)</f>
        <v>0</v>
      </c>
      <c r="K433" s="4">
        <f>VLOOKUP(C433,[3]sheet1!$D:$I,6,0)</f>
        <v>0</v>
      </c>
      <c r="L433" s="4">
        <f>VLOOKUP(C433,[4]sheet1!$D:$I,6,0)</f>
        <v>0</v>
      </c>
      <c r="M433" s="4">
        <f>VLOOKUP(C433,[5]sheet1!$D:$I,6,0)</f>
        <v>0</v>
      </c>
      <c r="N433" s="4">
        <f>VLOOKUP(C433,[6]sheet1!$D:$I,6,0)</f>
        <v>0</v>
      </c>
      <c r="O433" s="4">
        <f>VLOOKUP(C433,[7]sheet1!$D:$I,6,0)</f>
        <v>0</v>
      </c>
      <c r="P433" s="4">
        <f>VLOOKUP(C433,[8]sheet1!$D:$I,6,0)</f>
        <v>0</v>
      </c>
      <c r="Q433" s="4">
        <f t="shared" si="6"/>
        <v>0</v>
      </c>
      <c r="R433" s="3">
        <v>0</v>
      </c>
      <c r="S433" s="3">
        <v>38</v>
      </c>
      <c r="T433" s="19">
        <v>0</v>
      </c>
      <c r="U433" s="3">
        <v>2</v>
      </c>
      <c r="V433" s="3">
        <v>0</v>
      </c>
      <c r="W433">
        <v>0</v>
      </c>
      <c r="X433" s="3">
        <v>0</v>
      </c>
      <c r="Y433">
        <v>0</v>
      </c>
      <c r="Z433" s="3">
        <v>0</v>
      </c>
      <c r="AA433" t="s">
        <v>250</v>
      </c>
      <c r="AB433" t="s">
        <v>49</v>
      </c>
      <c r="AC433">
        <v>339.14</v>
      </c>
      <c r="AD433" t="s">
        <v>49</v>
      </c>
      <c r="AE433">
        <v>0</v>
      </c>
      <c r="AF433" s="3">
        <v>0</v>
      </c>
      <c r="AG433" t="s">
        <v>49</v>
      </c>
      <c r="AH433">
        <v>0</v>
      </c>
      <c r="AI433" t="s">
        <v>49</v>
      </c>
      <c r="AJ433" t="s">
        <v>49</v>
      </c>
      <c r="AK433" t="s">
        <v>49</v>
      </c>
      <c r="AL433" t="s">
        <v>49</v>
      </c>
      <c r="AM433" t="s">
        <v>49</v>
      </c>
      <c r="AN433" s="3">
        <v>45</v>
      </c>
      <c r="AO433" s="19">
        <v>0</v>
      </c>
      <c r="AP433" s="19">
        <v>0</v>
      </c>
      <c r="AQ433" s="19">
        <v>0.8421</v>
      </c>
      <c r="AR433" s="19">
        <v>0.5263</v>
      </c>
      <c r="AS433" s="19">
        <v>1</v>
      </c>
      <c r="AT433" s="19">
        <v>0.5</v>
      </c>
      <c r="AU433" s="3">
        <v>0</v>
      </c>
      <c r="AV433" s="3">
        <v>0</v>
      </c>
      <c r="AW433" s="19">
        <v>0</v>
      </c>
      <c r="AX433" s="3">
        <v>0</v>
      </c>
      <c r="AY433" s="3">
        <v>0</v>
      </c>
    </row>
    <row r="434" spans="1:51">
      <c r="A434" s="3">
        <v>19488521</v>
      </c>
      <c r="B434" t="s">
        <v>716</v>
      </c>
      <c r="C434" t="s">
        <v>717</v>
      </c>
      <c r="D434" t="s">
        <v>44</v>
      </c>
      <c r="E434" t="s">
        <v>220</v>
      </c>
      <c r="F434" t="s">
        <v>65</v>
      </c>
      <c r="G434" t="s">
        <v>47</v>
      </c>
      <c r="H434" s="16">
        <v>0</v>
      </c>
      <c r="I434" s="4">
        <f>VLOOKUP(C434,[1]sheet1!$D:$I,6,0)</f>
        <v>0</v>
      </c>
      <c r="J434" s="4">
        <f>VLOOKUP(C434,[2]sheet1!$D:$I,6,0)</f>
        <v>0</v>
      </c>
      <c r="K434" s="4">
        <f>VLOOKUP(C434,[3]sheet1!$D:$I,6,0)</f>
        <v>0</v>
      </c>
      <c r="L434" s="4">
        <f>VLOOKUP(C434,[4]sheet1!$D:$I,6,0)</f>
        <v>0</v>
      </c>
      <c r="M434" s="4">
        <f>VLOOKUP(C434,[5]sheet1!$D:$I,6,0)</f>
        <v>0</v>
      </c>
      <c r="N434" s="4">
        <f>VLOOKUP(C434,[6]sheet1!$D:$I,6,0)</f>
        <v>0</v>
      </c>
      <c r="O434" s="4">
        <f>VLOOKUP(C434,[7]sheet1!$D:$I,6,0)</f>
        <v>0</v>
      </c>
      <c r="P434" s="4">
        <f>VLOOKUP(C434,[8]sheet1!$D:$I,6,0)</f>
        <v>0</v>
      </c>
      <c r="Q434" s="4">
        <f t="shared" si="6"/>
        <v>0</v>
      </c>
      <c r="R434" s="3">
        <v>0</v>
      </c>
      <c r="S434" s="3">
        <v>17</v>
      </c>
      <c r="T434" s="19">
        <v>0</v>
      </c>
      <c r="U434" s="3">
        <v>0</v>
      </c>
      <c r="V434" s="3">
        <v>0</v>
      </c>
      <c r="W434">
        <v>0</v>
      </c>
      <c r="X434" s="3">
        <v>0</v>
      </c>
      <c r="Y434">
        <v>0</v>
      </c>
      <c r="Z434" s="3">
        <v>0</v>
      </c>
      <c r="AA434" t="s">
        <v>244</v>
      </c>
      <c r="AB434" t="s">
        <v>49</v>
      </c>
      <c r="AC434">
        <v>561.84</v>
      </c>
      <c r="AD434" t="s">
        <v>49</v>
      </c>
      <c r="AE434">
        <v>0</v>
      </c>
      <c r="AF434" s="3">
        <v>0</v>
      </c>
      <c r="AG434" t="s">
        <v>49</v>
      </c>
      <c r="AH434">
        <v>0</v>
      </c>
      <c r="AI434" t="s">
        <v>49</v>
      </c>
      <c r="AJ434" t="s">
        <v>49</v>
      </c>
      <c r="AK434" t="s">
        <v>49</v>
      </c>
      <c r="AL434" t="s">
        <v>49</v>
      </c>
      <c r="AM434" t="s">
        <v>49</v>
      </c>
      <c r="AN434" s="3">
        <v>20</v>
      </c>
      <c r="AO434" s="19">
        <v>0</v>
      </c>
      <c r="AP434" s="19">
        <v>0</v>
      </c>
      <c r="AQ434" s="19">
        <v>0.7059</v>
      </c>
      <c r="AR434" s="19">
        <v>0.2941</v>
      </c>
      <c r="AS434" s="19">
        <v>0</v>
      </c>
      <c r="AT434" s="19">
        <v>0</v>
      </c>
      <c r="AU434" s="3">
        <v>0</v>
      </c>
      <c r="AV434" s="3">
        <v>0</v>
      </c>
      <c r="AW434" s="19">
        <v>0</v>
      </c>
      <c r="AX434" s="3">
        <v>0</v>
      </c>
      <c r="AY434" s="3">
        <v>0</v>
      </c>
    </row>
    <row r="435" spans="1:51">
      <c r="A435" s="3">
        <v>19482897</v>
      </c>
      <c r="B435" t="s">
        <v>718</v>
      </c>
      <c r="C435" s="3">
        <v>115212013</v>
      </c>
      <c r="D435" t="s">
        <v>44</v>
      </c>
      <c r="E435" t="s">
        <v>51</v>
      </c>
      <c r="F435" t="s">
        <v>65</v>
      </c>
      <c r="G435" t="s">
        <v>47</v>
      </c>
      <c r="H435" s="16">
        <v>0</v>
      </c>
      <c r="I435" s="4">
        <f>VLOOKUP(C435,[1]sheet1!$D:$I,6,0)</f>
        <v>0</v>
      </c>
      <c r="J435" s="4">
        <f>VLOOKUP(C435,[2]sheet1!$D:$I,6,0)</f>
        <v>0</v>
      </c>
      <c r="K435" s="4">
        <f>VLOOKUP(C435,[3]sheet1!$D:$I,6,0)</f>
        <v>0</v>
      </c>
      <c r="L435" s="4">
        <f>VLOOKUP(C435,[4]sheet1!$D:$I,6,0)</f>
        <v>0</v>
      </c>
      <c r="M435" s="4">
        <f>VLOOKUP(C435,[5]sheet1!$D:$I,6,0)</f>
        <v>0</v>
      </c>
      <c r="N435" s="4">
        <f>VLOOKUP(C435,[6]sheet1!$D:$I,6,0)</f>
        <v>0</v>
      </c>
      <c r="O435" s="4">
        <f>VLOOKUP(C435,[7]sheet1!$D:$I,6,0)</f>
        <v>524</v>
      </c>
      <c r="P435" s="4">
        <f>VLOOKUP(C435,[8]sheet1!$D:$I,6,0)</f>
        <v>0</v>
      </c>
      <c r="Q435" s="4">
        <f t="shared" si="6"/>
        <v>524</v>
      </c>
      <c r="R435" s="3">
        <v>0</v>
      </c>
      <c r="S435" s="3">
        <v>53</v>
      </c>
      <c r="T435" s="19">
        <v>0</v>
      </c>
      <c r="U435" s="3">
        <v>2</v>
      </c>
      <c r="V435" s="3">
        <v>0</v>
      </c>
      <c r="W435">
        <v>0</v>
      </c>
      <c r="X435" s="3">
        <v>0</v>
      </c>
      <c r="Y435">
        <v>0</v>
      </c>
      <c r="Z435" s="3">
        <v>0</v>
      </c>
      <c r="AA435" t="s">
        <v>250</v>
      </c>
      <c r="AB435" t="s">
        <v>49</v>
      </c>
      <c r="AC435">
        <v>339.62</v>
      </c>
      <c r="AD435" t="s">
        <v>49</v>
      </c>
      <c r="AE435">
        <v>0</v>
      </c>
      <c r="AF435" s="3">
        <v>0</v>
      </c>
      <c r="AG435" t="s">
        <v>49</v>
      </c>
      <c r="AH435">
        <v>0</v>
      </c>
      <c r="AI435" t="s">
        <v>49</v>
      </c>
      <c r="AJ435" t="s">
        <v>49</v>
      </c>
      <c r="AK435" t="s">
        <v>49</v>
      </c>
      <c r="AL435" t="s">
        <v>49</v>
      </c>
      <c r="AM435" t="s">
        <v>49</v>
      </c>
      <c r="AN435" s="3">
        <v>64</v>
      </c>
      <c r="AO435" s="19">
        <v>0</v>
      </c>
      <c r="AP435" s="19">
        <v>0</v>
      </c>
      <c r="AQ435" s="19">
        <v>0.717</v>
      </c>
      <c r="AR435" s="19">
        <v>0.3774</v>
      </c>
      <c r="AS435" s="19">
        <v>1</v>
      </c>
      <c r="AT435" s="19">
        <v>1</v>
      </c>
      <c r="AU435" s="3">
        <v>0</v>
      </c>
      <c r="AV435" s="3">
        <v>0</v>
      </c>
      <c r="AW435" s="19">
        <v>0</v>
      </c>
      <c r="AX435" s="3">
        <v>0</v>
      </c>
      <c r="AY435" s="3">
        <v>0</v>
      </c>
    </row>
    <row r="436" spans="1:51">
      <c r="A436" s="3">
        <v>19407320</v>
      </c>
      <c r="B436" t="s">
        <v>719</v>
      </c>
      <c r="C436" s="3">
        <v>1105212020</v>
      </c>
      <c r="D436" t="s">
        <v>44</v>
      </c>
      <c r="E436" t="s">
        <v>51</v>
      </c>
      <c r="F436" t="s">
        <v>65</v>
      </c>
      <c r="G436" t="s">
        <v>47</v>
      </c>
      <c r="H436" s="16">
        <v>0</v>
      </c>
      <c r="I436" s="4">
        <f>VLOOKUP(C436,[1]sheet1!$D:$I,6,0)</f>
        <v>0</v>
      </c>
      <c r="J436" s="4">
        <f>VLOOKUP(C436,[2]sheet1!$D:$I,6,0)</f>
        <v>0</v>
      </c>
      <c r="K436" s="4">
        <f>VLOOKUP(C436,[3]sheet1!$D:$I,6,0)</f>
        <v>0</v>
      </c>
      <c r="L436" s="4">
        <f>VLOOKUP(C436,[4]sheet1!$D:$I,6,0)</f>
        <v>0</v>
      </c>
      <c r="M436" s="4">
        <f>VLOOKUP(C436,[5]sheet1!$D:$I,6,0)</f>
        <v>0</v>
      </c>
      <c r="N436" s="4">
        <f>VLOOKUP(C436,[6]sheet1!$D:$I,6,0)</f>
        <v>0</v>
      </c>
      <c r="O436" s="4">
        <f>VLOOKUP(C436,[7]sheet1!$D:$I,6,0)</f>
        <v>0</v>
      </c>
      <c r="P436" s="4">
        <f>VLOOKUP(C436,[8]sheet1!$D:$I,6,0)</f>
        <v>0</v>
      </c>
      <c r="Q436" s="4">
        <f t="shared" si="6"/>
        <v>0</v>
      </c>
      <c r="R436" s="3">
        <v>0</v>
      </c>
      <c r="S436" s="3">
        <v>2</v>
      </c>
      <c r="T436" s="19">
        <v>0</v>
      </c>
      <c r="U436" s="3">
        <v>0</v>
      </c>
      <c r="V436" s="3">
        <v>0</v>
      </c>
      <c r="W436">
        <v>0</v>
      </c>
      <c r="X436" s="3">
        <v>0</v>
      </c>
      <c r="Y436">
        <v>0</v>
      </c>
      <c r="Z436" s="3">
        <v>0</v>
      </c>
      <c r="AA436" t="s">
        <v>49</v>
      </c>
      <c r="AB436" t="s">
        <v>49</v>
      </c>
      <c r="AC436" t="s">
        <v>49</v>
      </c>
      <c r="AD436" t="s">
        <v>49</v>
      </c>
      <c r="AE436">
        <v>0</v>
      </c>
      <c r="AF436" s="3">
        <v>0</v>
      </c>
      <c r="AG436" t="s">
        <v>49</v>
      </c>
      <c r="AH436" t="s">
        <v>49</v>
      </c>
      <c r="AI436" t="s">
        <v>49</v>
      </c>
      <c r="AJ436" t="s">
        <v>49</v>
      </c>
      <c r="AK436" t="s">
        <v>49</v>
      </c>
      <c r="AL436" t="s">
        <v>49</v>
      </c>
      <c r="AM436" t="s">
        <v>49</v>
      </c>
      <c r="AN436" s="3">
        <v>2</v>
      </c>
      <c r="AO436" s="19">
        <v>0</v>
      </c>
      <c r="AP436" s="19">
        <v>0</v>
      </c>
      <c r="AQ436" s="19">
        <v>1</v>
      </c>
      <c r="AR436" s="19">
        <v>0.5</v>
      </c>
      <c r="AS436" s="19">
        <v>0</v>
      </c>
      <c r="AT436" s="19">
        <v>0</v>
      </c>
      <c r="AU436" s="3">
        <v>0</v>
      </c>
      <c r="AV436" s="3">
        <v>0</v>
      </c>
      <c r="AW436" s="19">
        <v>0</v>
      </c>
      <c r="AX436" s="3">
        <v>0</v>
      </c>
      <c r="AY436" s="3">
        <v>0</v>
      </c>
    </row>
    <row r="437" spans="1:51">
      <c r="A437" s="3">
        <v>19215787</v>
      </c>
      <c r="B437" t="s">
        <v>720</v>
      </c>
      <c r="C437" s="3">
        <v>115101019</v>
      </c>
      <c r="D437" t="s">
        <v>44</v>
      </c>
      <c r="E437" t="s">
        <v>104</v>
      </c>
      <c r="F437" t="s">
        <v>46</v>
      </c>
      <c r="G437" t="s">
        <v>47</v>
      </c>
      <c r="H437" s="16">
        <v>0</v>
      </c>
      <c r="I437" s="4">
        <f>VLOOKUP(C437,[1]sheet1!$D:$I,6,0)</f>
        <v>0</v>
      </c>
      <c r="J437" s="4">
        <f>VLOOKUP(C437,[2]sheet1!$D:$I,6,0)</f>
        <v>0</v>
      </c>
      <c r="K437" s="4">
        <f>VLOOKUP(C437,[3]sheet1!$D:$I,6,0)</f>
        <v>0</v>
      </c>
      <c r="L437" s="4">
        <f>VLOOKUP(C437,[4]sheet1!$D:$I,6,0)</f>
        <v>0</v>
      </c>
      <c r="M437" s="4">
        <f>VLOOKUP(C437,[5]sheet1!$D:$I,6,0)</f>
        <v>0</v>
      </c>
      <c r="N437" s="4">
        <f>VLOOKUP(C437,[6]sheet1!$D:$I,6,0)</f>
        <v>0</v>
      </c>
      <c r="O437" s="4">
        <f>VLOOKUP(C437,[7]sheet1!$D:$I,6,0)</f>
        <v>0</v>
      </c>
      <c r="P437" s="4">
        <f>VLOOKUP(C437,[8]sheet1!$D:$I,6,0)</f>
        <v>0</v>
      </c>
      <c r="Q437" s="4">
        <f t="shared" si="6"/>
        <v>0</v>
      </c>
      <c r="R437" s="3">
        <v>0</v>
      </c>
      <c r="S437">
        <v>64</v>
      </c>
      <c r="T437">
        <v>0</v>
      </c>
      <c r="U437" s="3">
        <v>0</v>
      </c>
      <c r="V437" s="3">
        <v>0</v>
      </c>
      <c r="W437">
        <v>0</v>
      </c>
      <c r="X437" s="3">
        <v>0</v>
      </c>
      <c r="Y437">
        <v>0</v>
      </c>
      <c r="Z437" s="3">
        <v>0</v>
      </c>
      <c r="AA437" t="s">
        <v>586</v>
      </c>
      <c r="AB437" s="3">
        <v>539</v>
      </c>
      <c r="AC437">
        <v>459.32</v>
      </c>
      <c r="AD437" t="s">
        <v>49</v>
      </c>
      <c r="AE437">
        <v>0</v>
      </c>
      <c r="AF437" s="3">
        <v>0</v>
      </c>
      <c r="AG437" t="s">
        <v>49</v>
      </c>
      <c r="AH437">
        <v>0</v>
      </c>
      <c r="AI437" t="s">
        <v>49</v>
      </c>
      <c r="AJ437" t="s">
        <v>49</v>
      </c>
      <c r="AK437" t="s">
        <v>49</v>
      </c>
      <c r="AL437" t="s">
        <v>49</v>
      </c>
      <c r="AM437" t="s">
        <v>49</v>
      </c>
      <c r="AN437" s="3">
        <v>3</v>
      </c>
      <c r="AO437" s="19">
        <v>0</v>
      </c>
      <c r="AP437" s="19">
        <v>0</v>
      </c>
      <c r="AQ437" s="19">
        <v>1</v>
      </c>
      <c r="AR437" s="19">
        <v>1</v>
      </c>
      <c r="AS437" s="19">
        <v>0</v>
      </c>
      <c r="AT437" s="19">
        <v>0</v>
      </c>
      <c r="AU437" s="3">
        <v>0</v>
      </c>
      <c r="AV437" s="3">
        <v>0</v>
      </c>
      <c r="AW437" s="19">
        <v>0</v>
      </c>
      <c r="AX437" s="3">
        <v>0</v>
      </c>
      <c r="AY437" s="3">
        <v>0</v>
      </c>
    </row>
    <row r="438" spans="1:51">
      <c r="A438" s="3">
        <v>19184215</v>
      </c>
      <c r="B438" t="s">
        <v>721</v>
      </c>
      <c r="C438" s="3">
        <v>135116010</v>
      </c>
      <c r="D438" t="s">
        <v>44</v>
      </c>
      <c r="E438" t="s">
        <v>448</v>
      </c>
      <c r="F438" t="s">
        <v>46</v>
      </c>
      <c r="G438" t="s">
        <v>47</v>
      </c>
      <c r="H438" s="16">
        <v>0</v>
      </c>
      <c r="I438" s="4">
        <f>VLOOKUP(C438,[1]sheet1!$D:$I,6,0)</f>
        <v>0</v>
      </c>
      <c r="J438" s="4">
        <f>VLOOKUP(C438,[2]sheet1!$D:$I,6,0)</f>
        <v>0</v>
      </c>
      <c r="K438" s="4">
        <f>VLOOKUP(C438,[3]sheet1!$D:$I,6,0)</f>
        <v>0</v>
      </c>
      <c r="L438" s="4">
        <f>VLOOKUP(C438,[4]sheet1!$D:$I,6,0)</f>
        <v>0</v>
      </c>
      <c r="M438" s="4">
        <f>VLOOKUP(C438,[5]sheet1!$D:$I,6,0)</f>
        <v>0</v>
      </c>
      <c r="N438" s="4">
        <f>VLOOKUP(C438,[6]sheet1!$D:$I,6,0)</f>
        <v>0</v>
      </c>
      <c r="O438" s="4">
        <f>VLOOKUP(C438,[7]sheet1!$D:$I,6,0)</f>
        <v>0</v>
      </c>
      <c r="P438" s="4">
        <f>VLOOKUP(C438,[8]sheet1!$D:$I,6,0)</f>
        <v>0</v>
      </c>
      <c r="Q438" s="4">
        <f t="shared" si="6"/>
        <v>0</v>
      </c>
      <c r="R438" s="3">
        <v>0</v>
      </c>
      <c r="S438">
        <v>37</v>
      </c>
      <c r="T438">
        <v>0</v>
      </c>
      <c r="U438" s="3">
        <v>1</v>
      </c>
      <c r="V438" s="3">
        <v>0</v>
      </c>
      <c r="W438">
        <v>0</v>
      </c>
      <c r="X438" s="3">
        <v>0</v>
      </c>
      <c r="Y438">
        <v>0</v>
      </c>
      <c r="Z438" s="3">
        <v>0</v>
      </c>
      <c r="AA438" t="s">
        <v>722</v>
      </c>
      <c r="AB438" s="3">
        <v>88</v>
      </c>
      <c r="AC438">
        <v>92.94</v>
      </c>
      <c r="AD438" t="s">
        <v>49</v>
      </c>
      <c r="AE438">
        <v>0</v>
      </c>
      <c r="AF438" s="3">
        <v>0</v>
      </c>
      <c r="AG438" t="s">
        <v>49</v>
      </c>
      <c r="AH438">
        <v>0</v>
      </c>
      <c r="AI438" t="s">
        <v>49</v>
      </c>
      <c r="AJ438">
        <v>65.74</v>
      </c>
      <c r="AK438" t="s">
        <v>49</v>
      </c>
      <c r="AL438">
        <v>0</v>
      </c>
      <c r="AM438" t="s">
        <v>49</v>
      </c>
      <c r="AN438" s="3">
        <v>1</v>
      </c>
      <c r="AO438" s="19">
        <v>0</v>
      </c>
      <c r="AP438" s="19">
        <v>0</v>
      </c>
      <c r="AQ438" s="19">
        <v>1</v>
      </c>
      <c r="AR438" s="19">
        <v>0</v>
      </c>
      <c r="AS438" s="19">
        <v>1</v>
      </c>
      <c r="AT438" s="19">
        <v>0</v>
      </c>
      <c r="AU438" s="3">
        <v>0</v>
      </c>
      <c r="AV438" s="3">
        <v>0</v>
      </c>
      <c r="AW438" s="19">
        <v>0</v>
      </c>
      <c r="AX438" s="3">
        <v>0</v>
      </c>
      <c r="AY438" s="3">
        <v>0</v>
      </c>
    </row>
    <row r="439" spans="1:51">
      <c r="A439" s="3">
        <v>19169200</v>
      </c>
      <c r="B439" t="s">
        <v>723</v>
      </c>
      <c r="C439" t="s">
        <v>724</v>
      </c>
      <c r="D439" t="s">
        <v>44</v>
      </c>
      <c r="E439" t="s">
        <v>143</v>
      </c>
      <c r="F439" t="s">
        <v>46</v>
      </c>
      <c r="G439" t="s">
        <v>47</v>
      </c>
      <c r="H439" s="16">
        <v>0</v>
      </c>
      <c r="I439" s="4">
        <f>VLOOKUP(C439,[1]sheet1!$D:$I,6,0)</f>
        <v>0</v>
      </c>
      <c r="J439" s="4">
        <f>VLOOKUP(C439,[2]sheet1!$D:$I,6,0)</f>
        <v>482</v>
      </c>
      <c r="K439" s="4">
        <f>VLOOKUP(C439,[3]sheet1!$D:$I,6,0)</f>
        <v>0</v>
      </c>
      <c r="L439" s="4">
        <f>VLOOKUP(C439,[4]sheet1!$D:$I,6,0)</f>
        <v>0</v>
      </c>
      <c r="M439" s="4">
        <f>VLOOKUP(C439,[5]sheet1!$D:$I,6,0)</f>
        <v>0</v>
      </c>
      <c r="N439" s="4">
        <f>VLOOKUP(C439,[6]sheet1!$D:$I,6,0)</f>
        <v>0</v>
      </c>
      <c r="O439" s="4">
        <f>VLOOKUP(C439,[7]sheet1!$D:$I,6,0)</f>
        <v>464</v>
      </c>
      <c r="P439" s="4">
        <f>VLOOKUP(C439,[8]sheet1!$D:$I,6,0)</f>
        <v>0</v>
      </c>
      <c r="Q439" s="15">
        <f t="shared" si="6"/>
        <v>946</v>
      </c>
      <c r="R439" s="3">
        <v>0</v>
      </c>
      <c r="S439">
        <v>275</v>
      </c>
      <c r="T439">
        <v>0</v>
      </c>
      <c r="U439" s="3">
        <v>2</v>
      </c>
      <c r="V439" s="3">
        <v>0</v>
      </c>
      <c r="W439">
        <v>0</v>
      </c>
      <c r="X439" s="3">
        <v>0</v>
      </c>
      <c r="Y439">
        <v>0</v>
      </c>
      <c r="Z439" s="3">
        <v>0</v>
      </c>
      <c r="AA439" t="s">
        <v>704</v>
      </c>
      <c r="AB439" s="3">
        <v>390</v>
      </c>
      <c r="AC439">
        <v>371.72</v>
      </c>
      <c r="AD439" t="s">
        <v>49</v>
      </c>
      <c r="AE439">
        <v>0</v>
      </c>
      <c r="AF439" s="3">
        <v>0</v>
      </c>
      <c r="AG439" t="s">
        <v>49</v>
      </c>
      <c r="AH439">
        <v>0</v>
      </c>
      <c r="AI439" t="s">
        <v>49</v>
      </c>
      <c r="AJ439">
        <v>329.09</v>
      </c>
      <c r="AK439" t="s">
        <v>49</v>
      </c>
      <c r="AL439">
        <v>0</v>
      </c>
      <c r="AM439" t="s">
        <v>49</v>
      </c>
      <c r="AN439" s="3">
        <v>65</v>
      </c>
      <c r="AO439" s="19">
        <v>0</v>
      </c>
      <c r="AP439" s="19">
        <v>0</v>
      </c>
      <c r="AQ439" s="19">
        <v>0.875</v>
      </c>
      <c r="AR439" s="19">
        <v>0.7143</v>
      </c>
      <c r="AS439" s="19">
        <v>1</v>
      </c>
      <c r="AT439" s="19">
        <v>1</v>
      </c>
      <c r="AU439" s="3">
        <v>0</v>
      </c>
      <c r="AV439" s="3">
        <v>0</v>
      </c>
      <c r="AW439" s="19">
        <v>0</v>
      </c>
      <c r="AX439" s="3">
        <v>0</v>
      </c>
      <c r="AY439" s="3">
        <v>0</v>
      </c>
    </row>
    <row r="440" spans="1:51">
      <c r="A440" s="3">
        <v>19168265</v>
      </c>
      <c r="B440" t="s">
        <v>725</v>
      </c>
      <c r="C440" t="s">
        <v>726</v>
      </c>
      <c r="D440" t="s">
        <v>44</v>
      </c>
      <c r="E440" t="s">
        <v>100</v>
      </c>
      <c r="F440" t="s">
        <v>46</v>
      </c>
      <c r="G440" t="s">
        <v>47</v>
      </c>
      <c r="H440" s="16">
        <v>0</v>
      </c>
      <c r="I440" s="4">
        <f>VLOOKUP(C440,[1]sheet1!$D:$I,6,0)</f>
        <v>0</v>
      </c>
      <c r="J440" s="4">
        <f>VLOOKUP(C440,[2]sheet1!$D:$I,6,0)</f>
        <v>0</v>
      </c>
      <c r="K440" s="4">
        <f>VLOOKUP(C440,[3]sheet1!$D:$I,6,0)</f>
        <v>0</v>
      </c>
      <c r="L440" s="4">
        <f>VLOOKUP(C440,[4]sheet1!$D:$I,6,0)</f>
        <v>0</v>
      </c>
      <c r="M440" s="4">
        <f>VLOOKUP(C440,[5]sheet1!$D:$I,6,0)</f>
        <v>0</v>
      </c>
      <c r="N440" s="4">
        <f>VLOOKUP(C440,[6]sheet1!$D:$I,6,0)</f>
        <v>730</v>
      </c>
      <c r="O440" s="4">
        <f>VLOOKUP(C440,[7]sheet1!$D:$I,6,0)</f>
        <v>0</v>
      </c>
      <c r="P440" s="4">
        <f>VLOOKUP(C440,[8]sheet1!$D:$I,6,0)</f>
        <v>0</v>
      </c>
      <c r="Q440" s="4">
        <f t="shared" si="6"/>
        <v>730</v>
      </c>
      <c r="R440" s="3">
        <v>0</v>
      </c>
      <c r="S440">
        <v>116</v>
      </c>
      <c r="T440">
        <v>0</v>
      </c>
      <c r="U440" s="3">
        <v>1</v>
      </c>
      <c r="V440" s="3">
        <v>0</v>
      </c>
      <c r="W440">
        <v>0</v>
      </c>
      <c r="X440" s="3">
        <v>0</v>
      </c>
      <c r="Y440">
        <v>0</v>
      </c>
      <c r="Z440" s="3">
        <v>0</v>
      </c>
      <c r="AA440" t="s">
        <v>727</v>
      </c>
      <c r="AB440" s="3">
        <v>663</v>
      </c>
      <c r="AC440">
        <v>668.63</v>
      </c>
      <c r="AD440" t="s">
        <v>49</v>
      </c>
      <c r="AE440">
        <v>0</v>
      </c>
      <c r="AF440" s="3">
        <v>0</v>
      </c>
      <c r="AG440" t="s">
        <v>49</v>
      </c>
      <c r="AH440">
        <v>0</v>
      </c>
      <c r="AI440" t="s">
        <v>49</v>
      </c>
      <c r="AJ440">
        <v>567.71</v>
      </c>
      <c r="AK440" t="s">
        <v>49</v>
      </c>
      <c r="AL440">
        <v>0</v>
      </c>
      <c r="AM440" t="s">
        <v>49</v>
      </c>
      <c r="AN440" s="3">
        <v>18</v>
      </c>
      <c r="AO440" s="19">
        <v>0</v>
      </c>
      <c r="AP440" s="19">
        <v>0</v>
      </c>
      <c r="AQ440" s="19">
        <v>1</v>
      </c>
      <c r="AR440" s="19">
        <v>0.3</v>
      </c>
      <c r="AS440" s="19">
        <v>1</v>
      </c>
      <c r="AT440" s="19">
        <v>1</v>
      </c>
      <c r="AU440" s="3">
        <v>0</v>
      </c>
      <c r="AV440" s="3">
        <v>0</v>
      </c>
      <c r="AW440" s="19">
        <v>0</v>
      </c>
      <c r="AX440" s="3">
        <v>0</v>
      </c>
      <c r="AY440" s="3">
        <v>0</v>
      </c>
    </row>
    <row r="441" spans="1:51">
      <c r="A441" s="3">
        <v>19166729</v>
      </c>
      <c r="B441" t="s">
        <v>728</v>
      </c>
      <c r="C441" s="3">
        <v>115119031</v>
      </c>
      <c r="D441" t="s">
        <v>44</v>
      </c>
      <c r="E441" t="s">
        <v>100</v>
      </c>
      <c r="F441" t="s">
        <v>46</v>
      </c>
      <c r="G441" t="s">
        <v>47</v>
      </c>
      <c r="H441" s="16">
        <v>0</v>
      </c>
      <c r="I441" s="4">
        <f>VLOOKUP(C441,[1]sheet1!$D:$I,6,0)</f>
        <v>0</v>
      </c>
      <c r="J441" s="4">
        <f>VLOOKUP(C441,[2]sheet1!$D:$I,6,0)</f>
        <v>0</v>
      </c>
      <c r="K441" s="4">
        <f>VLOOKUP(C441,[3]sheet1!$D:$I,6,0)</f>
        <v>0</v>
      </c>
      <c r="L441" s="4">
        <f>VLOOKUP(C441,[4]sheet1!$D:$I,6,0)</f>
        <v>0</v>
      </c>
      <c r="M441" s="4">
        <f>VLOOKUP(C441,[5]sheet1!$D:$I,6,0)</f>
        <v>0</v>
      </c>
      <c r="N441" s="4">
        <f>VLOOKUP(C441,[6]sheet1!$D:$I,6,0)</f>
        <v>0</v>
      </c>
      <c r="O441" s="4">
        <f>VLOOKUP(C441,[7]sheet1!$D:$I,6,0)</f>
        <v>711</v>
      </c>
      <c r="P441" s="4">
        <f>VLOOKUP(C441,[8]sheet1!$D:$I,6,0)</f>
        <v>0</v>
      </c>
      <c r="Q441" s="4">
        <f t="shared" si="6"/>
        <v>711</v>
      </c>
      <c r="R441" s="3">
        <v>0</v>
      </c>
      <c r="S441">
        <v>478</v>
      </c>
      <c r="T441">
        <v>0</v>
      </c>
      <c r="U441" s="3">
        <v>10</v>
      </c>
      <c r="V441" s="3">
        <v>0</v>
      </c>
      <c r="W441">
        <v>790</v>
      </c>
      <c r="X441" s="3">
        <v>1</v>
      </c>
      <c r="Y441">
        <v>0</v>
      </c>
      <c r="Z441" s="3">
        <v>0</v>
      </c>
      <c r="AA441" t="s">
        <v>727</v>
      </c>
      <c r="AB441" s="3">
        <v>689</v>
      </c>
      <c r="AC441">
        <v>668.63</v>
      </c>
      <c r="AD441" t="s">
        <v>49</v>
      </c>
      <c r="AE441">
        <v>0</v>
      </c>
      <c r="AF441" s="3">
        <v>0</v>
      </c>
      <c r="AG441" t="s">
        <v>49</v>
      </c>
      <c r="AH441">
        <v>0</v>
      </c>
      <c r="AI441" t="s">
        <v>49</v>
      </c>
      <c r="AJ441">
        <v>590.33</v>
      </c>
      <c r="AK441" t="s">
        <v>49</v>
      </c>
      <c r="AL441">
        <v>0</v>
      </c>
      <c r="AM441" t="s">
        <v>49</v>
      </c>
      <c r="AN441" s="3">
        <v>226</v>
      </c>
      <c r="AO441" s="19">
        <v>0</v>
      </c>
      <c r="AP441" s="19">
        <v>0</v>
      </c>
      <c r="AQ441" s="19">
        <v>0.8639</v>
      </c>
      <c r="AR441" s="19">
        <v>0.4734</v>
      </c>
      <c r="AS441" s="19">
        <v>0.9</v>
      </c>
      <c r="AT441" s="19">
        <v>0.9</v>
      </c>
      <c r="AU441" s="3">
        <v>0</v>
      </c>
      <c r="AV441" s="3">
        <v>0</v>
      </c>
      <c r="AW441" s="19">
        <v>0</v>
      </c>
      <c r="AX441" s="3">
        <v>0</v>
      </c>
      <c r="AY441" s="3">
        <v>0</v>
      </c>
    </row>
    <row r="442" spans="1:51">
      <c r="A442" s="3">
        <v>19163974</v>
      </c>
      <c r="B442" t="s">
        <v>729</v>
      </c>
      <c r="C442" s="3">
        <v>115101007</v>
      </c>
      <c r="D442" t="s">
        <v>44</v>
      </c>
      <c r="E442" t="s">
        <v>104</v>
      </c>
      <c r="F442" t="s">
        <v>46</v>
      </c>
      <c r="G442" t="s">
        <v>47</v>
      </c>
      <c r="H442" s="16">
        <v>0</v>
      </c>
      <c r="I442" s="4">
        <f>VLOOKUP(C442,[1]sheet1!$D:$I,6,0)</f>
        <v>0</v>
      </c>
      <c r="J442" s="4">
        <f>VLOOKUP(C442,[2]sheet1!$D:$I,6,0)</f>
        <v>0</v>
      </c>
      <c r="K442" s="4">
        <f>VLOOKUP(C442,[3]sheet1!$D:$I,6,0)</f>
        <v>0</v>
      </c>
      <c r="L442" s="4">
        <f>VLOOKUP(C442,[4]sheet1!$D:$I,6,0)</f>
        <v>0</v>
      </c>
      <c r="M442" s="4">
        <f>VLOOKUP(C442,[5]sheet1!$D:$I,6,0)</f>
        <v>0</v>
      </c>
      <c r="N442" s="4">
        <f>VLOOKUP(C442,[6]sheet1!$D:$I,6,0)</f>
        <v>0</v>
      </c>
      <c r="O442" s="4">
        <f>VLOOKUP(C442,[7]sheet1!$D:$I,6,0)</f>
        <v>0</v>
      </c>
      <c r="P442" s="4">
        <f>VLOOKUP(C442,[8]sheet1!$D:$I,6,0)</f>
        <v>0</v>
      </c>
      <c r="Q442" s="4">
        <f t="shared" si="6"/>
        <v>0</v>
      </c>
      <c r="R442" s="3">
        <v>0</v>
      </c>
      <c r="S442">
        <v>395</v>
      </c>
      <c r="T442">
        <v>0</v>
      </c>
      <c r="U442" s="3">
        <v>5</v>
      </c>
      <c r="V442" s="3">
        <v>0</v>
      </c>
      <c r="W442">
        <v>0</v>
      </c>
      <c r="X442" s="3">
        <v>0</v>
      </c>
      <c r="Y442">
        <v>0</v>
      </c>
      <c r="Z442" s="3">
        <v>0</v>
      </c>
      <c r="AA442" t="s">
        <v>730</v>
      </c>
      <c r="AB442" s="3">
        <v>324</v>
      </c>
      <c r="AC442">
        <v>390.59</v>
      </c>
      <c r="AD442" t="s">
        <v>49</v>
      </c>
      <c r="AE442">
        <v>0</v>
      </c>
      <c r="AF442" s="3">
        <v>0</v>
      </c>
      <c r="AG442" t="s">
        <v>49</v>
      </c>
      <c r="AH442">
        <v>0</v>
      </c>
      <c r="AI442" t="s">
        <v>49</v>
      </c>
      <c r="AJ442">
        <v>272.27</v>
      </c>
      <c r="AK442" t="s">
        <v>49</v>
      </c>
      <c r="AL442">
        <v>0</v>
      </c>
      <c r="AM442" t="s">
        <v>49</v>
      </c>
      <c r="AN442" s="3">
        <v>128</v>
      </c>
      <c r="AO442" s="19">
        <v>0</v>
      </c>
      <c r="AP442" s="19">
        <v>0</v>
      </c>
      <c r="AQ442" s="19">
        <v>0.8261</v>
      </c>
      <c r="AR442" s="19">
        <v>0.5478</v>
      </c>
      <c r="AS442" s="19">
        <v>1</v>
      </c>
      <c r="AT442" s="19">
        <v>0.8</v>
      </c>
      <c r="AU442" s="3">
        <v>0</v>
      </c>
      <c r="AV442" s="3">
        <v>0</v>
      </c>
      <c r="AW442" s="19">
        <v>0</v>
      </c>
      <c r="AX442" s="3">
        <v>0</v>
      </c>
      <c r="AY442" s="3">
        <v>0</v>
      </c>
    </row>
    <row r="443" spans="1:51">
      <c r="A443" s="3">
        <v>19159926</v>
      </c>
      <c r="B443" t="s">
        <v>731</v>
      </c>
      <c r="C443" s="3">
        <v>1125107002</v>
      </c>
      <c r="D443" t="s">
        <v>44</v>
      </c>
      <c r="E443" t="s">
        <v>290</v>
      </c>
      <c r="F443" t="s">
        <v>65</v>
      </c>
      <c r="G443" t="s">
        <v>47</v>
      </c>
      <c r="H443" s="16">
        <v>0</v>
      </c>
      <c r="I443" s="4">
        <f>VLOOKUP(C443,[1]sheet1!$D:$I,6,0)</f>
        <v>0</v>
      </c>
      <c r="J443" s="4">
        <f>VLOOKUP(C443,[2]sheet1!$D:$I,6,0)</f>
        <v>0</v>
      </c>
      <c r="K443" s="4">
        <f>VLOOKUP(C443,[3]sheet1!$D:$I,6,0)</f>
        <v>0</v>
      </c>
      <c r="L443" s="4">
        <f>VLOOKUP(C443,[4]sheet1!$D:$I,6,0)</f>
        <v>0</v>
      </c>
      <c r="M443" s="4">
        <f>VLOOKUP(C443,[5]sheet1!$D:$I,6,0)</f>
        <v>0</v>
      </c>
      <c r="N443" s="4">
        <f>VLOOKUP(C443,[6]sheet1!$D:$I,6,0)</f>
        <v>0</v>
      </c>
      <c r="O443" s="4">
        <f>VLOOKUP(C443,[7]sheet1!$D:$I,6,0)</f>
        <v>0</v>
      </c>
      <c r="P443" s="4">
        <f>VLOOKUP(C443,[8]sheet1!$D:$I,6,0)</f>
        <v>0</v>
      </c>
      <c r="Q443" s="15">
        <f t="shared" si="6"/>
        <v>0</v>
      </c>
      <c r="R443" s="3">
        <v>0</v>
      </c>
      <c r="S443" s="3">
        <v>1</v>
      </c>
      <c r="T443" s="19">
        <v>0</v>
      </c>
      <c r="U443" s="3">
        <v>0</v>
      </c>
      <c r="V443" s="3">
        <v>0</v>
      </c>
      <c r="W443">
        <v>0</v>
      </c>
      <c r="X443" s="3">
        <v>0</v>
      </c>
      <c r="Y443">
        <v>0</v>
      </c>
      <c r="Z443" s="3">
        <v>0</v>
      </c>
      <c r="AA443" t="s">
        <v>250</v>
      </c>
      <c r="AB443" t="s">
        <v>49</v>
      </c>
      <c r="AC443">
        <v>335.74</v>
      </c>
      <c r="AD443" t="s">
        <v>49</v>
      </c>
      <c r="AE443">
        <v>0</v>
      </c>
      <c r="AF443" s="3">
        <v>0</v>
      </c>
      <c r="AG443" t="s">
        <v>49</v>
      </c>
      <c r="AH443">
        <v>0</v>
      </c>
      <c r="AI443" t="s">
        <v>49</v>
      </c>
      <c r="AJ443" t="s">
        <v>49</v>
      </c>
      <c r="AK443" t="s">
        <v>49</v>
      </c>
      <c r="AL443" t="s">
        <v>49</v>
      </c>
      <c r="AM443" t="s">
        <v>49</v>
      </c>
      <c r="AN443" s="3">
        <v>1</v>
      </c>
      <c r="AO443" s="19">
        <v>0</v>
      </c>
      <c r="AP443" s="19">
        <v>0</v>
      </c>
      <c r="AQ443" s="19">
        <v>1</v>
      </c>
      <c r="AR443" s="19">
        <v>0</v>
      </c>
      <c r="AS443" s="19">
        <v>0</v>
      </c>
      <c r="AT443" s="19">
        <v>0</v>
      </c>
      <c r="AU443" s="3">
        <v>0</v>
      </c>
      <c r="AV443" s="3">
        <v>0</v>
      </c>
      <c r="AW443" s="19">
        <v>0</v>
      </c>
      <c r="AX443" s="3">
        <v>0</v>
      </c>
      <c r="AY443" s="3">
        <v>0</v>
      </c>
    </row>
    <row r="444" spans="1:51">
      <c r="A444" s="3">
        <v>19096201</v>
      </c>
      <c r="B444" t="s">
        <v>732</v>
      </c>
      <c r="C444" s="3">
        <v>1125116008</v>
      </c>
      <c r="D444" t="s">
        <v>44</v>
      </c>
      <c r="E444" t="s">
        <v>299</v>
      </c>
      <c r="F444" t="s">
        <v>65</v>
      </c>
      <c r="G444" t="s">
        <v>47</v>
      </c>
      <c r="H444" s="16">
        <v>0</v>
      </c>
      <c r="I444" s="4">
        <f>VLOOKUP(C444,[1]sheet1!$D:$I,6,0)</f>
        <v>0</v>
      </c>
      <c r="J444" s="4">
        <f>VLOOKUP(C444,[2]sheet1!$D:$I,6,0)</f>
        <v>0</v>
      </c>
      <c r="K444" s="4">
        <f>VLOOKUP(C444,[3]sheet1!$D:$I,6,0)</f>
        <v>0</v>
      </c>
      <c r="L444" s="4">
        <f>VLOOKUP(C444,[4]sheet1!$D:$I,6,0)</f>
        <v>0</v>
      </c>
      <c r="M444" s="4">
        <f>VLOOKUP(C444,[5]sheet1!$D:$I,6,0)</f>
        <v>0</v>
      </c>
      <c r="N444" s="4">
        <f>VLOOKUP(C444,[6]sheet1!$D:$I,6,0)</f>
        <v>0</v>
      </c>
      <c r="O444" s="4">
        <f>VLOOKUP(C444,[7]sheet1!$D:$I,6,0)</f>
        <v>0</v>
      </c>
      <c r="P444" s="4">
        <f>VLOOKUP(C444,[8]sheet1!$D:$I,6,0)</f>
        <v>0</v>
      </c>
      <c r="Q444" s="4">
        <f t="shared" si="6"/>
        <v>0</v>
      </c>
      <c r="R444" s="3">
        <v>0</v>
      </c>
      <c r="S444" s="3">
        <v>0</v>
      </c>
      <c r="T444" s="19">
        <v>0</v>
      </c>
      <c r="U444" s="3">
        <v>0</v>
      </c>
      <c r="V444" s="3">
        <v>0</v>
      </c>
      <c r="W444">
        <v>0</v>
      </c>
      <c r="X444" s="3">
        <v>0</v>
      </c>
      <c r="Y444">
        <v>0</v>
      </c>
      <c r="Z444" s="3">
        <v>0</v>
      </c>
      <c r="AA444" t="s">
        <v>49</v>
      </c>
      <c r="AB444" t="s">
        <v>49</v>
      </c>
      <c r="AC444" t="s">
        <v>49</v>
      </c>
      <c r="AD444" t="s">
        <v>49</v>
      </c>
      <c r="AE444">
        <v>0</v>
      </c>
      <c r="AF444" s="3">
        <v>0</v>
      </c>
      <c r="AG444" t="s">
        <v>49</v>
      </c>
      <c r="AH444" t="s">
        <v>49</v>
      </c>
      <c r="AI444" t="s">
        <v>49</v>
      </c>
      <c r="AJ444" t="s">
        <v>49</v>
      </c>
      <c r="AK444" t="s">
        <v>49</v>
      </c>
      <c r="AL444" t="s">
        <v>49</v>
      </c>
      <c r="AM444" t="s">
        <v>49</v>
      </c>
      <c r="AN444" s="3">
        <v>0</v>
      </c>
      <c r="AO444" s="19">
        <v>0</v>
      </c>
      <c r="AP444" s="19">
        <v>0</v>
      </c>
      <c r="AQ444" s="19">
        <v>0</v>
      </c>
      <c r="AR444" s="19">
        <v>0</v>
      </c>
      <c r="AS444" s="19">
        <v>0</v>
      </c>
      <c r="AT444" s="19">
        <v>0</v>
      </c>
      <c r="AU444" s="3">
        <v>0</v>
      </c>
      <c r="AV444" s="3">
        <v>0</v>
      </c>
      <c r="AW444" s="19">
        <v>0</v>
      </c>
      <c r="AX444" s="3">
        <v>0</v>
      </c>
      <c r="AY444" s="3">
        <v>0</v>
      </c>
    </row>
    <row r="445" spans="1:51">
      <c r="A445" s="3">
        <v>19095627</v>
      </c>
      <c r="B445" t="s">
        <v>733</v>
      </c>
      <c r="C445" s="3">
        <v>1115116007</v>
      </c>
      <c r="D445" t="s">
        <v>44</v>
      </c>
      <c r="E445" t="s">
        <v>54</v>
      </c>
      <c r="F445" t="s">
        <v>46</v>
      </c>
      <c r="G445" t="s">
        <v>47</v>
      </c>
      <c r="H445" s="16">
        <v>0</v>
      </c>
      <c r="I445" s="4">
        <f>VLOOKUP(C445,[1]sheet1!$D:$I,6,0)</f>
        <v>0</v>
      </c>
      <c r="J445" s="4">
        <f>VLOOKUP(C445,[2]sheet1!$D:$I,6,0)</f>
        <v>0</v>
      </c>
      <c r="K445" s="4">
        <f>VLOOKUP(C445,[3]sheet1!$D:$I,6,0)</f>
        <v>0</v>
      </c>
      <c r="L445" s="4">
        <f>VLOOKUP(C445,[4]sheet1!$D:$I,6,0)</f>
        <v>0</v>
      </c>
      <c r="M445" s="4">
        <f>VLOOKUP(C445,[5]sheet1!$D:$I,6,0)</f>
        <v>0</v>
      </c>
      <c r="N445" s="4">
        <f>VLOOKUP(C445,[6]sheet1!$D:$I,6,0)</f>
        <v>0</v>
      </c>
      <c r="O445" s="4">
        <f>VLOOKUP(C445,[7]sheet1!$D:$I,6,0)</f>
        <v>0</v>
      </c>
      <c r="P445" s="4">
        <f>VLOOKUP(C445,[8]sheet1!$D:$I,6,0)</f>
        <v>0</v>
      </c>
      <c r="Q445" s="4">
        <f t="shared" si="6"/>
        <v>0</v>
      </c>
      <c r="R445" s="3">
        <v>0</v>
      </c>
      <c r="S445">
        <v>127</v>
      </c>
      <c r="T445">
        <v>0</v>
      </c>
      <c r="U445" s="3">
        <v>0</v>
      </c>
      <c r="V445" s="3">
        <v>0</v>
      </c>
      <c r="W445">
        <v>0</v>
      </c>
      <c r="X445" s="3">
        <v>0</v>
      </c>
      <c r="Y445">
        <v>0</v>
      </c>
      <c r="Z445" s="3">
        <v>0</v>
      </c>
      <c r="AA445" t="s">
        <v>734</v>
      </c>
      <c r="AB445" s="3">
        <v>129</v>
      </c>
      <c r="AC445">
        <v>236.39</v>
      </c>
      <c r="AD445" t="s">
        <v>49</v>
      </c>
      <c r="AE445">
        <v>0</v>
      </c>
      <c r="AF445" s="3">
        <v>0</v>
      </c>
      <c r="AG445" t="s">
        <v>49</v>
      </c>
      <c r="AH445">
        <v>0</v>
      </c>
      <c r="AI445" t="s">
        <v>49</v>
      </c>
      <c r="AJ445">
        <v>105.02</v>
      </c>
      <c r="AK445" t="s">
        <v>49</v>
      </c>
      <c r="AL445">
        <v>0</v>
      </c>
      <c r="AM445" t="s">
        <v>49</v>
      </c>
      <c r="AN445" s="3">
        <v>14</v>
      </c>
      <c r="AO445" s="19">
        <v>0</v>
      </c>
      <c r="AP445" s="19">
        <v>0</v>
      </c>
      <c r="AQ445" s="19">
        <v>0.6667</v>
      </c>
      <c r="AR445" s="19">
        <v>0.4167</v>
      </c>
      <c r="AS445" s="19">
        <v>0</v>
      </c>
      <c r="AT445" s="19">
        <v>0</v>
      </c>
      <c r="AU445" s="3">
        <v>0</v>
      </c>
      <c r="AV445" s="3">
        <v>0</v>
      </c>
      <c r="AW445" s="19">
        <v>0</v>
      </c>
      <c r="AX445" s="3">
        <v>0</v>
      </c>
      <c r="AY445" s="3">
        <v>0</v>
      </c>
    </row>
    <row r="446" spans="1:51">
      <c r="A446" s="3">
        <v>19079171</v>
      </c>
      <c r="B446" t="s">
        <v>735</v>
      </c>
      <c r="C446" s="3">
        <v>125151008</v>
      </c>
      <c r="D446" t="s">
        <v>44</v>
      </c>
      <c r="E446" t="s">
        <v>418</v>
      </c>
      <c r="F446" t="s">
        <v>65</v>
      </c>
      <c r="G446" t="s">
        <v>47</v>
      </c>
      <c r="H446" s="16">
        <v>0</v>
      </c>
      <c r="I446" s="4">
        <f>VLOOKUP(C446,[1]sheet1!$D:$I,6,0)</f>
        <v>0</v>
      </c>
      <c r="J446" s="4">
        <f>VLOOKUP(C446,[2]sheet1!$D:$I,6,0)</f>
        <v>0</v>
      </c>
      <c r="K446" s="4">
        <f>VLOOKUP(C446,[3]sheet1!$D:$I,6,0)</f>
        <v>0</v>
      </c>
      <c r="L446" s="4">
        <f>VLOOKUP(C446,[4]sheet1!$D:$I,6,0)</f>
        <v>0</v>
      </c>
      <c r="M446" s="4">
        <f>VLOOKUP(C446,[5]sheet1!$D:$I,6,0)</f>
        <v>0</v>
      </c>
      <c r="N446" s="4">
        <f>VLOOKUP(C446,[6]sheet1!$D:$I,6,0)</f>
        <v>0</v>
      </c>
      <c r="O446" s="4">
        <f>VLOOKUP(C446,[7]sheet1!$D:$I,6,0)</f>
        <v>0</v>
      </c>
      <c r="P446" s="4">
        <f>VLOOKUP(C446,[8]sheet1!$D:$I,6,0)</f>
        <v>0</v>
      </c>
      <c r="Q446" s="4">
        <f t="shared" si="6"/>
        <v>0</v>
      </c>
      <c r="R446" s="3">
        <v>0</v>
      </c>
      <c r="S446" s="3">
        <v>1</v>
      </c>
      <c r="T446" s="19">
        <v>0</v>
      </c>
      <c r="U446" s="3">
        <v>0</v>
      </c>
      <c r="V446" s="3">
        <v>0</v>
      </c>
      <c r="W446">
        <v>0</v>
      </c>
      <c r="X446" s="3">
        <v>0</v>
      </c>
      <c r="Y446">
        <v>0</v>
      </c>
      <c r="Z446" s="3">
        <v>0</v>
      </c>
      <c r="AA446" t="s">
        <v>147</v>
      </c>
      <c r="AB446" t="s">
        <v>49</v>
      </c>
      <c r="AC446">
        <v>494.21</v>
      </c>
      <c r="AD446" t="s">
        <v>49</v>
      </c>
      <c r="AE446">
        <v>0</v>
      </c>
      <c r="AF446" s="3">
        <v>0</v>
      </c>
      <c r="AG446" t="s">
        <v>49</v>
      </c>
      <c r="AH446">
        <v>0</v>
      </c>
      <c r="AI446" t="s">
        <v>49</v>
      </c>
      <c r="AJ446" t="s">
        <v>49</v>
      </c>
      <c r="AK446" t="s">
        <v>49</v>
      </c>
      <c r="AL446" t="s">
        <v>49</v>
      </c>
      <c r="AM446" t="s">
        <v>49</v>
      </c>
      <c r="AN446" s="3">
        <v>1</v>
      </c>
      <c r="AO446" s="19">
        <v>0</v>
      </c>
      <c r="AP446" s="19">
        <v>0</v>
      </c>
      <c r="AQ446" s="19">
        <v>1</v>
      </c>
      <c r="AR446" s="19">
        <v>1</v>
      </c>
      <c r="AS446" s="19">
        <v>0</v>
      </c>
      <c r="AT446" s="19">
        <v>0</v>
      </c>
      <c r="AU446" s="3">
        <v>0</v>
      </c>
      <c r="AV446" s="3">
        <v>0</v>
      </c>
      <c r="AW446" s="19">
        <v>0</v>
      </c>
      <c r="AX446" s="3">
        <v>0</v>
      </c>
      <c r="AY446" s="3">
        <v>0</v>
      </c>
    </row>
    <row r="447" spans="1:51">
      <c r="A447" s="3">
        <v>19029531</v>
      </c>
      <c r="B447" t="s">
        <v>736</v>
      </c>
      <c r="C447" s="3">
        <v>1125178002</v>
      </c>
      <c r="D447" t="s">
        <v>44</v>
      </c>
      <c r="E447" t="s">
        <v>527</v>
      </c>
      <c r="F447" t="s">
        <v>65</v>
      </c>
      <c r="G447" t="s">
        <v>47</v>
      </c>
      <c r="H447" s="16">
        <v>0</v>
      </c>
      <c r="I447" s="4">
        <f>VLOOKUP(C447,[1]sheet1!$D:$I,6,0)</f>
        <v>0</v>
      </c>
      <c r="J447" s="4">
        <f>VLOOKUP(C447,[2]sheet1!$D:$I,6,0)</f>
        <v>281</v>
      </c>
      <c r="K447" s="4">
        <f>VLOOKUP(C447,[3]sheet1!$D:$I,6,0)</f>
        <v>0</v>
      </c>
      <c r="L447" s="4">
        <f>VLOOKUP(C447,[4]sheet1!$D:$I,6,0)</f>
        <v>0</v>
      </c>
      <c r="M447" s="4">
        <f>VLOOKUP(C447,[5]sheet1!$D:$I,6,0)</f>
        <v>0</v>
      </c>
      <c r="N447" s="4">
        <f>VLOOKUP(C447,[6]sheet1!$D:$I,6,0)</f>
        <v>0</v>
      </c>
      <c r="O447" s="4">
        <f>VLOOKUP(C447,[7]sheet1!$D:$I,6,0)</f>
        <v>0</v>
      </c>
      <c r="P447" s="4">
        <f>VLOOKUP(C447,[8]sheet1!$D:$I,6,0)</f>
        <v>0</v>
      </c>
      <c r="Q447" s="4">
        <f t="shared" si="6"/>
        <v>281</v>
      </c>
      <c r="R447" s="3">
        <v>0</v>
      </c>
      <c r="S447" s="3">
        <v>62</v>
      </c>
      <c r="T447" s="19">
        <v>0</v>
      </c>
      <c r="U447" s="3">
        <v>4</v>
      </c>
      <c r="V447" s="3">
        <v>0</v>
      </c>
      <c r="W447">
        <v>0</v>
      </c>
      <c r="X447" s="3">
        <v>0</v>
      </c>
      <c r="Y447">
        <v>0</v>
      </c>
      <c r="Z447" s="3">
        <v>0</v>
      </c>
      <c r="AA447" t="s">
        <v>737</v>
      </c>
      <c r="AB447" t="s">
        <v>49</v>
      </c>
      <c r="AC447">
        <v>242.54</v>
      </c>
      <c r="AD447" t="s">
        <v>49</v>
      </c>
      <c r="AE447">
        <v>0</v>
      </c>
      <c r="AF447" s="3">
        <v>0</v>
      </c>
      <c r="AG447" t="s">
        <v>49</v>
      </c>
      <c r="AH447">
        <v>0</v>
      </c>
      <c r="AI447" t="s">
        <v>49</v>
      </c>
      <c r="AJ447" t="s">
        <v>49</v>
      </c>
      <c r="AK447" t="s">
        <v>49</v>
      </c>
      <c r="AL447" t="s">
        <v>49</v>
      </c>
      <c r="AM447" t="s">
        <v>49</v>
      </c>
      <c r="AN447" s="3">
        <v>85</v>
      </c>
      <c r="AO447" s="19">
        <v>0</v>
      </c>
      <c r="AP447" s="19">
        <v>0</v>
      </c>
      <c r="AQ447" s="19">
        <v>0.8387</v>
      </c>
      <c r="AR447" s="19">
        <v>0.5645</v>
      </c>
      <c r="AS447" s="19">
        <v>1</v>
      </c>
      <c r="AT447" s="19">
        <v>0.5</v>
      </c>
      <c r="AU447" s="3">
        <v>0</v>
      </c>
      <c r="AV447" s="3">
        <v>0</v>
      </c>
      <c r="AW447" s="19">
        <v>0</v>
      </c>
      <c r="AX447" s="3">
        <v>0</v>
      </c>
      <c r="AY447" s="3">
        <v>0</v>
      </c>
    </row>
    <row r="448" spans="1:51">
      <c r="A448" s="3">
        <v>19003367</v>
      </c>
      <c r="B448" t="s">
        <v>738</v>
      </c>
      <c r="C448" s="3">
        <v>125151010</v>
      </c>
      <c r="D448" t="s">
        <v>44</v>
      </c>
      <c r="E448" t="s">
        <v>418</v>
      </c>
      <c r="F448" t="s">
        <v>65</v>
      </c>
      <c r="G448" t="s">
        <v>47</v>
      </c>
      <c r="H448" s="16">
        <v>0</v>
      </c>
      <c r="I448" s="4">
        <f>VLOOKUP(C448,[1]sheet1!$D:$I,6,0)</f>
        <v>0</v>
      </c>
      <c r="J448" s="4">
        <f>VLOOKUP(C448,[2]sheet1!$D:$I,6,0)</f>
        <v>0</v>
      </c>
      <c r="K448" s="4">
        <f>VLOOKUP(C448,[3]sheet1!$D:$I,6,0)</f>
        <v>0</v>
      </c>
      <c r="L448" s="4">
        <f>VLOOKUP(C448,[4]sheet1!$D:$I,6,0)</f>
        <v>372</v>
      </c>
      <c r="M448" s="4">
        <f>VLOOKUP(C448,[5]sheet1!$D:$I,6,0)</f>
        <v>0</v>
      </c>
      <c r="N448" s="4">
        <f>VLOOKUP(C448,[6]sheet1!$D:$I,6,0)</f>
        <v>0</v>
      </c>
      <c r="O448" s="4">
        <f>VLOOKUP(C448,[7]sheet1!$D:$I,6,0)</f>
        <v>372</v>
      </c>
      <c r="P448" s="4">
        <f>VLOOKUP(C448,[8]sheet1!$D:$I,6,0)</f>
        <v>0</v>
      </c>
      <c r="Q448" s="4">
        <f t="shared" si="6"/>
        <v>744</v>
      </c>
      <c r="R448" s="3">
        <v>0</v>
      </c>
      <c r="S448" s="3">
        <v>14</v>
      </c>
      <c r="T448" s="19">
        <v>0</v>
      </c>
      <c r="U448" s="3">
        <v>0</v>
      </c>
      <c r="V448" s="3">
        <v>0</v>
      </c>
      <c r="W448">
        <v>0</v>
      </c>
      <c r="X448" s="3">
        <v>0</v>
      </c>
      <c r="Y448">
        <v>0</v>
      </c>
      <c r="Z448" s="3">
        <v>0</v>
      </c>
      <c r="AA448" t="s">
        <v>49</v>
      </c>
      <c r="AB448" t="s">
        <v>49</v>
      </c>
      <c r="AC448" t="s">
        <v>49</v>
      </c>
      <c r="AD448" t="s">
        <v>49</v>
      </c>
      <c r="AE448">
        <v>0</v>
      </c>
      <c r="AF448" s="3">
        <v>0</v>
      </c>
      <c r="AG448" t="s">
        <v>49</v>
      </c>
      <c r="AH448" t="s">
        <v>49</v>
      </c>
      <c r="AI448" t="s">
        <v>49</v>
      </c>
      <c r="AJ448" t="s">
        <v>49</v>
      </c>
      <c r="AK448" t="s">
        <v>49</v>
      </c>
      <c r="AL448" t="s">
        <v>49</v>
      </c>
      <c r="AM448" t="s">
        <v>49</v>
      </c>
      <c r="AN448" s="3">
        <v>16</v>
      </c>
      <c r="AO448" s="19">
        <v>0</v>
      </c>
      <c r="AP448" s="19">
        <v>0</v>
      </c>
      <c r="AQ448" s="19">
        <v>1</v>
      </c>
      <c r="AR448" s="19">
        <v>0.4286</v>
      </c>
      <c r="AS448" s="19">
        <v>0</v>
      </c>
      <c r="AT448" s="19">
        <v>0</v>
      </c>
      <c r="AU448" s="3">
        <v>0</v>
      </c>
      <c r="AV448" s="3">
        <v>0</v>
      </c>
      <c r="AW448" s="19">
        <v>0</v>
      </c>
      <c r="AX448" s="3">
        <v>0</v>
      </c>
      <c r="AY448" s="3">
        <v>0</v>
      </c>
    </row>
    <row r="449" spans="1:51">
      <c r="A449" s="3">
        <v>19002808</v>
      </c>
      <c r="B449" t="s">
        <v>739</v>
      </c>
      <c r="C449" s="3">
        <v>115151009</v>
      </c>
      <c r="D449" t="s">
        <v>44</v>
      </c>
      <c r="E449" t="s">
        <v>227</v>
      </c>
      <c r="F449" t="s">
        <v>65</v>
      </c>
      <c r="G449" t="s">
        <v>47</v>
      </c>
      <c r="H449" s="16">
        <v>0</v>
      </c>
      <c r="I449" s="4">
        <f>VLOOKUP(C449,[1]sheet1!$D:$I,6,0)</f>
        <v>0</v>
      </c>
      <c r="J449" s="4">
        <f>VLOOKUP(C449,[2]sheet1!$D:$I,6,0)</f>
        <v>0</v>
      </c>
      <c r="K449" s="4">
        <f>VLOOKUP(C449,[3]sheet1!$D:$I,6,0)</f>
        <v>0</v>
      </c>
      <c r="L449" s="4">
        <f>VLOOKUP(C449,[4]sheet1!$D:$I,6,0)</f>
        <v>0</v>
      </c>
      <c r="M449" s="4">
        <f>VLOOKUP(C449,[5]sheet1!$D:$I,6,0)</f>
        <v>0</v>
      </c>
      <c r="N449" s="4">
        <f>VLOOKUP(C449,[6]sheet1!$D:$I,6,0)</f>
        <v>0</v>
      </c>
      <c r="O449" s="4">
        <f>VLOOKUP(C449,[7]sheet1!$D:$I,6,0)</f>
        <v>0</v>
      </c>
      <c r="P449" s="4">
        <f>VLOOKUP(C449,[8]sheet1!$D:$I,6,0)</f>
        <v>372</v>
      </c>
      <c r="Q449" s="4">
        <f t="shared" si="6"/>
        <v>372</v>
      </c>
      <c r="R449" s="3">
        <v>0</v>
      </c>
      <c r="S449" s="3">
        <v>35</v>
      </c>
      <c r="T449" s="19">
        <v>0</v>
      </c>
      <c r="U449" s="3">
        <v>3</v>
      </c>
      <c r="V449" s="3">
        <v>0</v>
      </c>
      <c r="W449">
        <v>0</v>
      </c>
      <c r="X449" s="3">
        <v>0</v>
      </c>
      <c r="Y449">
        <v>0</v>
      </c>
      <c r="Z449" s="3">
        <v>0</v>
      </c>
      <c r="AA449" t="s">
        <v>49</v>
      </c>
      <c r="AB449" t="s">
        <v>49</v>
      </c>
      <c r="AC449" t="s">
        <v>49</v>
      </c>
      <c r="AD449" t="s">
        <v>49</v>
      </c>
      <c r="AE449">
        <v>0</v>
      </c>
      <c r="AF449" s="3">
        <v>0</v>
      </c>
      <c r="AG449" t="s">
        <v>49</v>
      </c>
      <c r="AH449" t="s">
        <v>49</v>
      </c>
      <c r="AI449" t="s">
        <v>49</v>
      </c>
      <c r="AJ449" t="s">
        <v>49</v>
      </c>
      <c r="AK449" t="s">
        <v>49</v>
      </c>
      <c r="AL449" t="s">
        <v>49</v>
      </c>
      <c r="AM449" t="s">
        <v>49</v>
      </c>
      <c r="AN449" s="3">
        <v>43</v>
      </c>
      <c r="AO449" s="19">
        <v>0</v>
      </c>
      <c r="AP449" s="19">
        <v>0</v>
      </c>
      <c r="AQ449" s="19">
        <v>0.8571</v>
      </c>
      <c r="AR449" s="19">
        <v>0.5429</v>
      </c>
      <c r="AS449" s="19">
        <v>1</v>
      </c>
      <c r="AT449" s="19">
        <v>1</v>
      </c>
      <c r="AU449" s="3">
        <v>0</v>
      </c>
      <c r="AV449" s="3">
        <v>0</v>
      </c>
      <c r="AW449" s="19">
        <v>0</v>
      </c>
      <c r="AX449" s="3">
        <v>0</v>
      </c>
      <c r="AY449" s="3">
        <v>0</v>
      </c>
    </row>
    <row r="450" spans="1:51">
      <c r="A450" s="3">
        <v>18942290</v>
      </c>
      <c r="B450" t="s">
        <v>740</v>
      </c>
      <c r="C450" s="3">
        <v>1125101020</v>
      </c>
      <c r="D450" t="s">
        <v>44</v>
      </c>
      <c r="E450" t="s">
        <v>141</v>
      </c>
      <c r="F450" t="s">
        <v>46</v>
      </c>
      <c r="G450" t="s">
        <v>47</v>
      </c>
      <c r="H450" s="16">
        <v>0</v>
      </c>
      <c r="I450" s="4">
        <f>VLOOKUP(C450,[1]sheet1!$D:$I,6,0)</f>
        <v>0</v>
      </c>
      <c r="J450" s="4">
        <f>VLOOKUP(C450,[2]sheet1!$D:$I,6,0)</f>
        <v>0</v>
      </c>
      <c r="K450" s="4">
        <f>VLOOKUP(C450,[3]sheet1!$D:$I,6,0)</f>
        <v>0</v>
      </c>
      <c r="L450" s="4">
        <f>VLOOKUP(C450,[4]sheet1!$D:$I,6,0)</f>
        <v>0</v>
      </c>
      <c r="M450" s="4">
        <f>VLOOKUP(C450,[5]sheet1!$D:$I,6,0)</f>
        <v>0</v>
      </c>
      <c r="N450" s="4">
        <f>VLOOKUP(C450,[6]sheet1!$D:$I,6,0)</f>
        <v>0</v>
      </c>
      <c r="O450" s="4">
        <f>VLOOKUP(C450,[7]sheet1!$D:$I,6,0)</f>
        <v>0</v>
      </c>
      <c r="P450" s="4">
        <f>VLOOKUP(C450,[8]sheet1!$D:$I,6,0)</f>
        <v>0</v>
      </c>
      <c r="Q450" s="4">
        <f t="shared" si="6"/>
        <v>0</v>
      </c>
      <c r="R450" s="3">
        <v>0</v>
      </c>
      <c r="S450">
        <v>64</v>
      </c>
      <c r="T450">
        <v>0</v>
      </c>
      <c r="U450" s="3">
        <v>0</v>
      </c>
      <c r="V450" s="3">
        <v>0</v>
      </c>
      <c r="W450">
        <v>0</v>
      </c>
      <c r="X450" s="3">
        <v>0</v>
      </c>
      <c r="Y450">
        <v>0</v>
      </c>
      <c r="Z450" s="3">
        <v>0</v>
      </c>
      <c r="AA450" t="s">
        <v>196</v>
      </c>
      <c r="AB450" s="3">
        <v>559</v>
      </c>
      <c r="AC450">
        <v>474.94</v>
      </c>
      <c r="AD450" t="s">
        <v>49</v>
      </c>
      <c r="AE450">
        <v>0</v>
      </c>
      <c r="AF450" s="3">
        <v>0</v>
      </c>
      <c r="AG450" t="s">
        <v>49</v>
      </c>
      <c r="AH450">
        <v>0</v>
      </c>
      <c r="AI450" t="s">
        <v>49</v>
      </c>
      <c r="AJ450" t="s">
        <v>49</v>
      </c>
      <c r="AK450" t="s">
        <v>49</v>
      </c>
      <c r="AL450" t="s">
        <v>49</v>
      </c>
      <c r="AM450" t="s">
        <v>49</v>
      </c>
      <c r="AN450" s="3">
        <v>4</v>
      </c>
      <c r="AO450" s="19">
        <v>0</v>
      </c>
      <c r="AP450" s="19">
        <v>0</v>
      </c>
      <c r="AQ450" s="19">
        <v>1</v>
      </c>
      <c r="AR450" s="19">
        <v>0.3333</v>
      </c>
      <c r="AS450" s="19">
        <v>0</v>
      </c>
      <c r="AT450" s="19">
        <v>0</v>
      </c>
      <c r="AU450" s="3">
        <v>0</v>
      </c>
      <c r="AV450" s="3">
        <v>0</v>
      </c>
      <c r="AW450" s="19">
        <v>0</v>
      </c>
      <c r="AX450" s="3">
        <v>0</v>
      </c>
      <c r="AY450" s="3">
        <v>0</v>
      </c>
    </row>
    <row r="451" spans="1:51">
      <c r="A451" s="3">
        <v>18940898</v>
      </c>
      <c r="B451" t="s">
        <v>741</v>
      </c>
      <c r="C451" s="3">
        <v>1125101008</v>
      </c>
      <c r="D451" t="s">
        <v>44</v>
      </c>
      <c r="E451" t="s">
        <v>141</v>
      </c>
      <c r="F451" t="s">
        <v>46</v>
      </c>
      <c r="G451" t="s">
        <v>47</v>
      </c>
      <c r="H451" s="16">
        <v>0</v>
      </c>
      <c r="I451" s="4">
        <f>VLOOKUP(C451,[1]sheet1!$D:$I,6,0)</f>
        <v>0</v>
      </c>
      <c r="J451" s="4">
        <f>VLOOKUP(C451,[2]sheet1!$D:$I,6,0)</f>
        <v>0</v>
      </c>
      <c r="K451" s="4">
        <f>VLOOKUP(C451,[3]sheet1!$D:$I,6,0)</f>
        <v>0</v>
      </c>
      <c r="L451" s="4">
        <f>VLOOKUP(C451,[4]sheet1!$D:$I,6,0)</f>
        <v>0</v>
      </c>
      <c r="M451" s="4">
        <f>VLOOKUP(C451,[5]sheet1!$D:$I,6,0)</f>
        <v>0</v>
      </c>
      <c r="N451" s="4">
        <f>VLOOKUP(C451,[6]sheet1!$D:$I,6,0)</f>
        <v>432</v>
      </c>
      <c r="O451" s="4">
        <f>VLOOKUP(C451,[7]sheet1!$D:$I,6,0)</f>
        <v>0</v>
      </c>
      <c r="P451" s="4">
        <f>VLOOKUP(C451,[8]sheet1!$D:$I,6,0)</f>
        <v>0</v>
      </c>
      <c r="Q451" s="4">
        <f t="shared" ref="Q451:Q514" si="7">SUM(H451:P451)</f>
        <v>432</v>
      </c>
      <c r="R451" s="3">
        <v>0</v>
      </c>
      <c r="S451">
        <v>233</v>
      </c>
      <c r="T451">
        <v>0</v>
      </c>
      <c r="U451" s="3">
        <v>0</v>
      </c>
      <c r="V451" s="3">
        <v>0</v>
      </c>
      <c r="W451">
        <v>0</v>
      </c>
      <c r="X451" s="3">
        <v>0</v>
      </c>
      <c r="Y451">
        <v>0</v>
      </c>
      <c r="Z451" s="3">
        <v>0</v>
      </c>
      <c r="AA451" t="s">
        <v>730</v>
      </c>
      <c r="AB451" s="3">
        <v>450</v>
      </c>
      <c r="AC451">
        <v>388.81</v>
      </c>
      <c r="AD451" t="s">
        <v>49</v>
      </c>
      <c r="AE451">
        <v>0</v>
      </c>
      <c r="AF451" s="3">
        <v>0</v>
      </c>
      <c r="AG451" t="s">
        <v>49</v>
      </c>
      <c r="AH451">
        <v>0</v>
      </c>
      <c r="AI451" t="s">
        <v>49</v>
      </c>
      <c r="AJ451">
        <v>380.11</v>
      </c>
      <c r="AK451" t="s">
        <v>49</v>
      </c>
      <c r="AL451">
        <v>0</v>
      </c>
      <c r="AM451" t="s">
        <v>49</v>
      </c>
      <c r="AN451" s="3">
        <v>47</v>
      </c>
      <c r="AO451" s="19">
        <v>0</v>
      </c>
      <c r="AP451" s="19">
        <v>0</v>
      </c>
      <c r="AQ451" s="19">
        <v>0.925</v>
      </c>
      <c r="AR451" s="19">
        <v>0.45</v>
      </c>
      <c r="AS451" s="19">
        <v>0</v>
      </c>
      <c r="AT451" s="19">
        <v>0</v>
      </c>
      <c r="AU451" s="3">
        <v>0</v>
      </c>
      <c r="AV451" s="3">
        <v>0</v>
      </c>
      <c r="AW451" s="19">
        <v>0</v>
      </c>
      <c r="AX451" s="3">
        <v>0</v>
      </c>
      <c r="AY451" s="3">
        <v>0</v>
      </c>
    </row>
    <row r="452" spans="1:51">
      <c r="A452" s="3">
        <v>18939286</v>
      </c>
      <c r="B452" t="s">
        <v>742</v>
      </c>
      <c r="C452" t="s">
        <v>743</v>
      </c>
      <c r="D452" t="s">
        <v>44</v>
      </c>
      <c r="E452" t="s">
        <v>227</v>
      </c>
      <c r="F452" t="s">
        <v>65</v>
      </c>
      <c r="G452" t="s">
        <v>47</v>
      </c>
      <c r="H452" s="16">
        <v>0</v>
      </c>
      <c r="I452" s="4">
        <f>VLOOKUP(C452,[1]sheet1!$D:$I,6,0)</f>
        <v>0</v>
      </c>
      <c r="J452" s="4">
        <f>VLOOKUP(C452,[2]sheet1!$D:$I,6,0)</f>
        <v>0</v>
      </c>
      <c r="K452" s="4">
        <f>VLOOKUP(C452,[3]sheet1!$D:$I,6,0)</f>
        <v>0</v>
      </c>
      <c r="L452" s="4">
        <f>VLOOKUP(C452,[4]sheet1!$D:$I,6,0)</f>
        <v>0</v>
      </c>
      <c r="M452" s="4">
        <f>VLOOKUP(C452,[5]sheet1!$D:$I,6,0)</f>
        <v>0</v>
      </c>
      <c r="N452" s="4">
        <f>VLOOKUP(C452,[6]sheet1!$D:$I,6,0)</f>
        <v>0</v>
      </c>
      <c r="O452" s="4">
        <f>VLOOKUP(C452,[7]sheet1!$D:$I,6,0)</f>
        <v>0</v>
      </c>
      <c r="P452" s="4">
        <f>VLOOKUP(C452,[8]sheet1!$D:$I,6,0)</f>
        <v>0</v>
      </c>
      <c r="Q452" s="4">
        <f t="shared" si="7"/>
        <v>0</v>
      </c>
      <c r="R452" s="3">
        <v>0</v>
      </c>
      <c r="S452" s="3">
        <v>14</v>
      </c>
      <c r="T452" s="19">
        <v>0</v>
      </c>
      <c r="U452" s="3">
        <v>1</v>
      </c>
      <c r="V452" s="3">
        <v>0</v>
      </c>
      <c r="W452">
        <v>0</v>
      </c>
      <c r="X452" s="3">
        <v>0</v>
      </c>
      <c r="Y452">
        <v>0</v>
      </c>
      <c r="Z452" s="3">
        <v>0</v>
      </c>
      <c r="AA452" t="s">
        <v>124</v>
      </c>
      <c r="AB452" t="s">
        <v>49</v>
      </c>
      <c r="AC452">
        <v>321.89</v>
      </c>
      <c r="AD452" t="s">
        <v>49</v>
      </c>
      <c r="AE452">
        <v>0</v>
      </c>
      <c r="AF452" s="3">
        <v>0</v>
      </c>
      <c r="AG452" t="s">
        <v>49</v>
      </c>
      <c r="AH452">
        <v>0</v>
      </c>
      <c r="AI452" t="s">
        <v>49</v>
      </c>
      <c r="AJ452" t="s">
        <v>49</v>
      </c>
      <c r="AK452" t="s">
        <v>49</v>
      </c>
      <c r="AL452" t="s">
        <v>49</v>
      </c>
      <c r="AM452" t="s">
        <v>49</v>
      </c>
      <c r="AN452" s="3">
        <v>14</v>
      </c>
      <c r="AO452" s="19">
        <v>0</v>
      </c>
      <c r="AP452" s="19">
        <v>0</v>
      </c>
      <c r="AQ452" s="19">
        <v>0.9286</v>
      </c>
      <c r="AR452" s="19">
        <v>0.5714</v>
      </c>
      <c r="AS452" s="19">
        <v>1</v>
      </c>
      <c r="AT452" s="19">
        <v>1</v>
      </c>
      <c r="AU452" s="3">
        <v>0</v>
      </c>
      <c r="AV452" s="3">
        <v>0</v>
      </c>
      <c r="AW452" s="19">
        <v>0</v>
      </c>
      <c r="AX452" s="3">
        <v>0</v>
      </c>
      <c r="AY452" s="3">
        <v>0</v>
      </c>
    </row>
    <row r="453" spans="1:51">
      <c r="A453" s="3">
        <v>18771175</v>
      </c>
      <c r="B453" t="s">
        <v>744</v>
      </c>
      <c r="C453" t="s">
        <v>745</v>
      </c>
      <c r="D453" t="s">
        <v>44</v>
      </c>
      <c r="E453" t="s">
        <v>117</v>
      </c>
      <c r="F453" t="s">
        <v>65</v>
      </c>
      <c r="G453" t="s">
        <v>47</v>
      </c>
      <c r="H453" s="16">
        <v>0</v>
      </c>
      <c r="I453" s="4">
        <f>VLOOKUP(C453,[1]sheet1!$D:$I,6,0)</f>
        <v>0</v>
      </c>
      <c r="J453" s="4">
        <f>VLOOKUP(C453,[2]sheet1!$D:$I,6,0)</f>
        <v>0</v>
      </c>
      <c r="K453" s="4">
        <f>VLOOKUP(C453,[3]sheet1!$D:$I,6,0)</f>
        <v>0</v>
      </c>
      <c r="L453" s="4">
        <f>VLOOKUP(C453,[4]sheet1!$D:$I,6,0)</f>
        <v>0</v>
      </c>
      <c r="M453" s="4">
        <f>VLOOKUP(C453,[5]sheet1!$D:$I,6,0)</f>
        <v>0</v>
      </c>
      <c r="N453" s="4">
        <f>VLOOKUP(C453,[6]sheet1!$D:$I,6,0)</f>
        <v>0</v>
      </c>
      <c r="O453" s="4">
        <f>VLOOKUP(C453,[7]sheet1!$D:$I,6,0)</f>
        <v>0</v>
      </c>
      <c r="P453" s="4">
        <f>VLOOKUP(C453,[8]sheet1!$D:$I,6,0)</f>
        <v>0</v>
      </c>
      <c r="Q453" s="4">
        <f t="shared" si="7"/>
        <v>0</v>
      </c>
      <c r="R453" s="3">
        <v>0</v>
      </c>
      <c r="S453" s="3">
        <v>0</v>
      </c>
      <c r="T453" s="19">
        <v>0</v>
      </c>
      <c r="U453" s="3">
        <v>0</v>
      </c>
      <c r="V453" s="3">
        <v>0</v>
      </c>
      <c r="W453">
        <v>0</v>
      </c>
      <c r="X453" s="3">
        <v>0</v>
      </c>
      <c r="Y453">
        <v>0</v>
      </c>
      <c r="Z453" s="3">
        <v>0</v>
      </c>
      <c r="AA453" t="s">
        <v>49</v>
      </c>
      <c r="AB453" t="s">
        <v>49</v>
      </c>
      <c r="AC453" t="s">
        <v>49</v>
      </c>
      <c r="AD453" t="s">
        <v>49</v>
      </c>
      <c r="AE453">
        <v>0</v>
      </c>
      <c r="AF453" s="3">
        <v>0</v>
      </c>
      <c r="AG453" t="s">
        <v>49</v>
      </c>
      <c r="AH453" t="s">
        <v>49</v>
      </c>
      <c r="AI453" t="s">
        <v>49</v>
      </c>
      <c r="AJ453" t="s">
        <v>49</v>
      </c>
      <c r="AK453" t="s">
        <v>49</v>
      </c>
      <c r="AL453" t="s">
        <v>49</v>
      </c>
      <c r="AM453" t="s">
        <v>49</v>
      </c>
      <c r="AN453" s="3">
        <v>0</v>
      </c>
      <c r="AO453" s="19">
        <v>0</v>
      </c>
      <c r="AP453" s="19">
        <v>0</v>
      </c>
      <c r="AQ453" s="19">
        <v>0</v>
      </c>
      <c r="AR453" s="19">
        <v>0</v>
      </c>
      <c r="AS453" s="19">
        <v>0</v>
      </c>
      <c r="AT453" s="19">
        <v>0</v>
      </c>
      <c r="AU453" s="3">
        <v>0</v>
      </c>
      <c r="AV453" s="3">
        <v>0</v>
      </c>
      <c r="AW453" s="19">
        <v>0</v>
      </c>
      <c r="AX453" s="3">
        <v>0</v>
      </c>
      <c r="AY453" s="3">
        <v>0</v>
      </c>
    </row>
    <row r="454" spans="1:51">
      <c r="A454" s="3">
        <v>18770453</v>
      </c>
      <c r="B454" t="s">
        <v>746</v>
      </c>
      <c r="C454" t="s">
        <v>747</v>
      </c>
      <c r="D454" t="s">
        <v>44</v>
      </c>
      <c r="E454" t="s">
        <v>461</v>
      </c>
      <c r="F454" t="s">
        <v>65</v>
      </c>
      <c r="G454" t="s">
        <v>47</v>
      </c>
      <c r="H454" s="16">
        <v>0</v>
      </c>
      <c r="I454" s="4">
        <f>VLOOKUP(C454,[1]sheet1!$D:$I,6,0)</f>
        <v>0</v>
      </c>
      <c r="J454" s="4">
        <f>VLOOKUP(C454,[2]sheet1!$D:$I,6,0)</f>
        <v>0</v>
      </c>
      <c r="K454" s="4">
        <f>VLOOKUP(C454,[3]sheet1!$D:$I,6,0)</f>
        <v>0</v>
      </c>
      <c r="L454" s="4">
        <f>VLOOKUP(C454,[4]sheet1!$D:$I,6,0)</f>
        <v>0</v>
      </c>
      <c r="M454" s="4">
        <f>VLOOKUP(C454,[5]sheet1!$D:$I,6,0)</f>
        <v>0</v>
      </c>
      <c r="N454" s="4">
        <f>VLOOKUP(C454,[6]sheet1!$D:$I,6,0)</f>
        <v>0</v>
      </c>
      <c r="O454" s="4">
        <f>VLOOKUP(C454,[7]sheet1!$D:$I,6,0)</f>
        <v>0</v>
      </c>
      <c r="P454" s="4">
        <f>VLOOKUP(C454,[8]sheet1!$D:$I,6,0)</f>
        <v>0</v>
      </c>
      <c r="Q454" s="4">
        <f t="shared" si="7"/>
        <v>0</v>
      </c>
      <c r="R454" s="3">
        <v>0</v>
      </c>
      <c r="S454" s="3">
        <v>1</v>
      </c>
      <c r="T454" s="19">
        <v>0</v>
      </c>
      <c r="U454" s="3">
        <v>0</v>
      </c>
      <c r="V454" s="3">
        <v>0</v>
      </c>
      <c r="W454">
        <v>0</v>
      </c>
      <c r="X454" s="3">
        <v>0</v>
      </c>
      <c r="Y454">
        <v>0</v>
      </c>
      <c r="Z454" s="3">
        <v>0</v>
      </c>
      <c r="AA454" t="s">
        <v>748</v>
      </c>
      <c r="AB454" t="s">
        <v>49</v>
      </c>
      <c r="AC454">
        <v>208.81</v>
      </c>
      <c r="AD454" t="s">
        <v>49</v>
      </c>
      <c r="AE454">
        <v>0</v>
      </c>
      <c r="AF454" s="3">
        <v>0</v>
      </c>
      <c r="AG454" t="s">
        <v>49</v>
      </c>
      <c r="AH454">
        <v>0</v>
      </c>
      <c r="AI454" t="s">
        <v>49</v>
      </c>
      <c r="AJ454" t="s">
        <v>49</v>
      </c>
      <c r="AK454" t="s">
        <v>49</v>
      </c>
      <c r="AL454" t="s">
        <v>49</v>
      </c>
      <c r="AM454" t="s">
        <v>49</v>
      </c>
      <c r="AN454" s="3">
        <v>1</v>
      </c>
      <c r="AO454" s="19">
        <v>0</v>
      </c>
      <c r="AP454" s="19">
        <v>0</v>
      </c>
      <c r="AQ454" s="19">
        <v>1</v>
      </c>
      <c r="AR454" s="19">
        <v>0</v>
      </c>
      <c r="AS454" s="19">
        <v>0</v>
      </c>
      <c r="AT454" s="19">
        <v>0</v>
      </c>
      <c r="AU454" s="3">
        <v>0</v>
      </c>
      <c r="AV454" s="3">
        <v>0</v>
      </c>
      <c r="AW454" s="19">
        <v>0</v>
      </c>
      <c r="AX454" s="3">
        <v>0</v>
      </c>
      <c r="AY454" s="3">
        <v>0</v>
      </c>
    </row>
    <row r="455" spans="1:51">
      <c r="A455" s="3">
        <v>18567973</v>
      </c>
      <c r="B455" t="s">
        <v>749</v>
      </c>
      <c r="C455" s="3">
        <v>124310206</v>
      </c>
      <c r="D455" t="s">
        <v>44</v>
      </c>
      <c r="E455" t="s">
        <v>206</v>
      </c>
      <c r="F455" t="s">
        <v>65</v>
      </c>
      <c r="G455" t="s">
        <v>47</v>
      </c>
      <c r="H455" s="16">
        <v>0</v>
      </c>
      <c r="I455" s="4">
        <f>VLOOKUP(C455,[1]sheet1!$D:$I,6,0)</f>
        <v>0</v>
      </c>
      <c r="J455" s="4">
        <f>VLOOKUP(C455,[2]sheet1!$D:$I,6,0)</f>
        <v>0</v>
      </c>
      <c r="K455" s="4">
        <f>VLOOKUP(C455,[3]sheet1!$D:$I,6,0)</f>
        <v>0</v>
      </c>
      <c r="L455" s="4">
        <f>VLOOKUP(C455,[4]sheet1!$D:$I,6,0)</f>
        <v>0</v>
      </c>
      <c r="M455" s="4">
        <f>VLOOKUP(C455,[5]sheet1!$D:$I,6,0)</f>
        <v>0</v>
      </c>
      <c r="N455" s="4">
        <f>VLOOKUP(C455,[6]sheet1!$D:$I,6,0)</f>
        <v>0</v>
      </c>
      <c r="O455" s="4">
        <f>VLOOKUP(C455,[7]sheet1!$D:$I,6,0)</f>
        <v>0</v>
      </c>
      <c r="P455" s="4">
        <f>VLOOKUP(C455,[8]sheet1!$D:$I,6,0)</f>
        <v>0</v>
      </c>
      <c r="Q455" s="4">
        <f t="shared" si="7"/>
        <v>0</v>
      </c>
      <c r="R455" s="3">
        <v>0</v>
      </c>
      <c r="S455" s="3">
        <v>0</v>
      </c>
      <c r="T455" s="19">
        <v>0</v>
      </c>
      <c r="U455" s="3">
        <v>0</v>
      </c>
      <c r="V455" s="3">
        <v>0</v>
      </c>
      <c r="W455">
        <v>0</v>
      </c>
      <c r="X455" s="3">
        <v>0</v>
      </c>
      <c r="Y455">
        <v>0</v>
      </c>
      <c r="Z455" s="3">
        <v>0</v>
      </c>
      <c r="AA455" t="s">
        <v>748</v>
      </c>
      <c r="AB455" t="s">
        <v>49</v>
      </c>
      <c r="AC455">
        <v>206.41</v>
      </c>
      <c r="AD455" t="s">
        <v>49</v>
      </c>
      <c r="AE455">
        <v>0</v>
      </c>
      <c r="AF455" s="3">
        <v>0</v>
      </c>
      <c r="AG455" t="s">
        <v>49</v>
      </c>
      <c r="AH455">
        <v>0</v>
      </c>
      <c r="AI455" t="s">
        <v>49</v>
      </c>
      <c r="AJ455" t="s">
        <v>49</v>
      </c>
      <c r="AK455" t="s">
        <v>49</v>
      </c>
      <c r="AL455" t="s">
        <v>49</v>
      </c>
      <c r="AM455" t="s">
        <v>49</v>
      </c>
      <c r="AN455" s="3">
        <v>0</v>
      </c>
      <c r="AO455" s="19">
        <v>0</v>
      </c>
      <c r="AP455" s="19">
        <v>0</v>
      </c>
      <c r="AQ455" s="19">
        <v>0</v>
      </c>
      <c r="AR455" s="19">
        <v>0</v>
      </c>
      <c r="AS455" s="19">
        <v>0</v>
      </c>
      <c r="AT455" s="19">
        <v>0</v>
      </c>
      <c r="AU455" s="3">
        <v>0</v>
      </c>
      <c r="AV455" s="3">
        <v>0</v>
      </c>
      <c r="AW455" s="19">
        <v>0</v>
      </c>
      <c r="AX455" s="3">
        <v>0</v>
      </c>
      <c r="AY455" s="3">
        <v>0</v>
      </c>
    </row>
    <row r="456" spans="1:51">
      <c r="A456" s="3">
        <v>18567156</v>
      </c>
      <c r="B456" t="s">
        <v>750</v>
      </c>
      <c r="C456" s="3">
        <v>114310205</v>
      </c>
      <c r="D456" t="s">
        <v>44</v>
      </c>
      <c r="E456" t="s">
        <v>751</v>
      </c>
      <c r="F456" t="s">
        <v>46</v>
      </c>
      <c r="G456" t="s">
        <v>47</v>
      </c>
      <c r="H456" s="16">
        <v>0</v>
      </c>
      <c r="I456" s="4">
        <f>VLOOKUP(C456,[1]sheet1!$D:$I,6,0)</f>
        <v>0</v>
      </c>
      <c r="J456" s="4">
        <f>VLOOKUP(C456,[2]sheet1!$D:$I,6,0)</f>
        <v>0</v>
      </c>
      <c r="K456" s="4">
        <f>VLOOKUP(C456,[3]sheet1!$D:$I,6,0)</f>
        <v>0</v>
      </c>
      <c r="L456" s="4">
        <f>VLOOKUP(C456,[4]sheet1!$D:$I,6,0)</f>
        <v>0</v>
      </c>
      <c r="M456" s="4">
        <f>VLOOKUP(C456,[5]sheet1!$D:$I,6,0)</f>
        <v>0</v>
      </c>
      <c r="N456" s="4">
        <f>VLOOKUP(C456,[6]sheet1!$D:$I,6,0)</f>
        <v>0</v>
      </c>
      <c r="O456" s="4">
        <f>VLOOKUP(C456,[7]sheet1!$D:$I,6,0)</f>
        <v>0</v>
      </c>
      <c r="P456" s="4">
        <f>VLOOKUP(C456,[8]sheet1!$D:$I,6,0)</f>
        <v>0</v>
      </c>
      <c r="Q456" s="4">
        <f t="shared" si="7"/>
        <v>0</v>
      </c>
      <c r="R456" s="3">
        <v>0</v>
      </c>
      <c r="S456">
        <v>82</v>
      </c>
      <c r="T456">
        <v>0</v>
      </c>
      <c r="U456" s="3">
        <v>0</v>
      </c>
      <c r="V456" s="3">
        <v>0</v>
      </c>
      <c r="W456">
        <v>0</v>
      </c>
      <c r="X456" s="3">
        <v>0</v>
      </c>
      <c r="Y456">
        <v>0</v>
      </c>
      <c r="Z456" s="3">
        <v>0</v>
      </c>
      <c r="AA456" t="s">
        <v>49</v>
      </c>
      <c r="AB456" s="3">
        <v>288</v>
      </c>
      <c r="AC456" t="s">
        <v>49</v>
      </c>
      <c r="AD456" t="s">
        <v>49</v>
      </c>
      <c r="AE456">
        <v>0</v>
      </c>
      <c r="AF456" s="3">
        <v>0</v>
      </c>
      <c r="AG456" t="s">
        <v>49</v>
      </c>
      <c r="AH456" t="s">
        <v>49</v>
      </c>
      <c r="AI456" t="s">
        <v>49</v>
      </c>
      <c r="AJ456">
        <v>245.87</v>
      </c>
      <c r="AK456" t="s">
        <v>49</v>
      </c>
      <c r="AL456">
        <v>0</v>
      </c>
      <c r="AM456" t="s">
        <v>49</v>
      </c>
      <c r="AN456">
        <v>82</v>
      </c>
      <c r="AO456" s="19">
        <v>0</v>
      </c>
      <c r="AP456" s="19">
        <v>0</v>
      </c>
      <c r="AQ456" s="19">
        <v>1</v>
      </c>
      <c r="AR456" s="19">
        <v>0.2</v>
      </c>
      <c r="AS456" s="19">
        <v>0</v>
      </c>
      <c r="AT456" s="19">
        <v>0</v>
      </c>
      <c r="AU456" s="3">
        <v>0</v>
      </c>
      <c r="AV456" s="3">
        <v>0</v>
      </c>
      <c r="AW456" s="19">
        <v>0</v>
      </c>
      <c r="AX456" s="3">
        <v>0</v>
      </c>
      <c r="AY456" s="3">
        <v>0</v>
      </c>
    </row>
    <row r="457" spans="1:51">
      <c r="A457" s="3">
        <v>18543162</v>
      </c>
      <c r="B457" t="s">
        <v>752</v>
      </c>
      <c r="C457" s="3">
        <v>105025005</v>
      </c>
      <c r="D457" t="s">
        <v>44</v>
      </c>
      <c r="E457" t="s">
        <v>78</v>
      </c>
      <c r="F457" t="s">
        <v>65</v>
      </c>
      <c r="G457" t="s">
        <v>356</v>
      </c>
      <c r="H457" s="16">
        <v>0</v>
      </c>
      <c r="I457" s="4">
        <f>VLOOKUP(C457,[1]sheet1!$D:$I,6,0)</f>
        <v>0</v>
      </c>
      <c r="J457" s="4">
        <f>VLOOKUP(C457,[2]sheet1!$D:$I,6,0)</f>
        <v>0</v>
      </c>
      <c r="K457" s="4">
        <f>VLOOKUP(C457,[3]sheet1!$D:$I,6,0)</f>
        <v>0</v>
      </c>
      <c r="L457" s="4">
        <f>VLOOKUP(C457,[4]sheet1!$D:$I,6,0)</f>
        <v>0</v>
      </c>
      <c r="M457" s="4">
        <f>VLOOKUP(C457,[5]sheet1!$D:$I,6,0)</f>
        <v>0</v>
      </c>
      <c r="N457" s="4">
        <f>VLOOKUP(C457,[6]sheet1!$D:$I,6,0)</f>
        <v>0</v>
      </c>
      <c r="O457" s="4">
        <f>VLOOKUP(C457,[7]sheet1!$D:$I,6,0)</f>
        <v>0</v>
      </c>
      <c r="P457" s="4">
        <f>VLOOKUP(C457,[8]sheet1!$D:$I,6,0)</f>
        <v>0</v>
      </c>
      <c r="Q457" s="4">
        <f t="shared" si="7"/>
        <v>0</v>
      </c>
      <c r="R457" s="3">
        <v>0</v>
      </c>
      <c r="S457" s="3">
        <v>4</v>
      </c>
      <c r="T457" s="19">
        <v>0</v>
      </c>
      <c r="U457" s="3">
        <v>0</v>
      </c>
      <c r="V457" s="3">
        <v>0</v>
      </c>
      <c r="W457">
        <v>0</v>
      </c>
      <c r="X457" s="3">
        <v>0</v>
      </c>
      <c r="Y457">
        <v>0</v>
      </c>
      <c r="Z457" s="3">
        <v>0</v>
      </c>
      <c r="AA457" t="s">
        <v>49</v>
      </c>
      <c r="AB457" t="s">
        <v>49</v>
      </c>
      <c r="AC457" t="s">
        <v>49</v>
      </c>
      <c r="AD457" t="s">
        <v>49</v>
      </c>
      <c r="AE457">
        <v>0</v>
      </c>
      <c r="AF457" s="3">
        <v>0</v>
      </c>
      <c r="AG457" t="s">
        <v>49</v>
      </c>
      <c r="AH457" t="s">
        <v>49</v>
      </c>
      <c r="AI457" t="s">
        <v>49</v>
      </c>
      <c r="AJ457" t="s">
        <v>49</v>
      </c>
      <c r="AK457" t="s">
        <v>49</v>
      </c>
      <c r="AL457" t="s">
        <v>49</v>
      </c>
      <c r="AM457" t="s">
        <v>49</v>
      </c>
      <c r="AN457" s="3">
        <v>4</v>
      </c>
      <c r="AO457" s="19">
        <v>0</v>
      </c>
      <c r="AP457" s="19">
        <v>0</v>
      </c>
      <c r="AQ457" s="19">
        <v>0</v>
      </c>
      <c r="AR457" s="19">
        <v>0.25</v>
      </c>
      <c r="AS457" s="19">
        <v>0</v>
      </c>
      <c r="AT457" s="19">
        <v>0</v>
      </c>
      <c r="AU457" s="3">
        <v>0</v>
      </c>
      <c r="AV457" s="3">
        <v>0</v>
      </c>
      <c r="AW457" s="19">
        <v>0</v>
      </c>
      <c r="AX457" s="3">
        <v>0</v>
      </c>
      <c r="AY457" s="3">
        <v>0</v>
      </c>
    </row>
    <row r="458" spans="1:51">
      <c r="A458" s="3">
        <v>18531759</v>
      </c>
      <c r="B458" t="s">
        <v>753</v>
      </c>
      <c r="C458" s="3">
        <v>11340303</v>
      </c>
      <c r="D458" t="s">
        <v>44</v>
      </c>
      <c r="E458" t="s">
        <v>330</v>
      </c>
      <c r="F458" t="s">
        <v>46</v>
      </c>
      <c r="G458" t="s">
        <v>47</v>
      </c>
      <c r="H458" s="16">
        <v>0</v>
      </c>
      <c r="I458" s="4">
        <f>VLOOKUP(C458,[1]sheet1!$D:$I,6,0)</f>
        <v>0</v>
      </c>
      <c r="J458" s="4">
        <f>VLOOKUP(C458,[2]sheet1!$D:$I,6,0)</f>
        <v>0</v>
      </c>
      <c r="K458" s="4">
        <f>VLOOKUP(C458,[3]sheet1!$D:$I,6,0)</f>
        <v>0</v>
      </c>
      <c r="L458" s="4">
        <f>VLOOKUP(C458,[4]sheet1!$D:$I,6,0)</f>
        <v>0</v>
      </c>
      <c r="M458" s="4">
        <f>VLOOKUP(C458,[5]sheet1!$D:$I,6,0)</f>
        <v>0</v>
      </c>
      <c r="N458" s="4">
        <f>VLOOKUP(C458,[6]sheet1!$D:$I,6,0)</f>
        <v>0</v>
      </c>
      <c r="O458" s="4">
        <f>VLOOKUP(C458,[7]sheet1!$D:$I,6,0)</f>
        <v>0</v>
      </c>
      <c r="P458" s="4">
        <f>VLOOKUP(C458,[8]sheet1!$D:$I,6,0)</f>
        <v>2489</v>
      </c>
      <c r="Q458" s="4">
        <f t="shared" si="7"/>
        <v>2489</v>
      </c>
      <c r="R458" s="3">
        <v>0</v>
      </c>
      <c r="S458">
        <v>147</v>
      </c>
      <c r="T458">
        <v>0</v>
      </c>
      <c r="U458" s="3">
        <v>2</v>
      </c>
      <c r="V458" s="3">
        <v>0</v>
      </c>
      <c r="W458">
        <v>0</v>
      </c>
      <c r="X458" s="3">
        <v>0</v>
      </c>
      <c r="Y458">
        <v>0</v>
      </c>
      <c r="Z458" s="3">
        <v>0</v>
      </c>
      <c r="AA458" t="s">
        <v>274</v>
      </c>
      <c r="AB458" s="3">
        <v>758</v>
      </c>
      <c r="AC458">
        <v>764.49</v>
      </c>
      <c r="AD458" t="s">
        <v>49</v>
      </c>
      <c r="AE458">
        <v>0</v>
      </c>
      <c r="AF458" s="3">
        <v>0</v>
      </c>
      <c r="AG458" t="s">
        <v>49</v>
      </c>
      <c r="AH458">
        <v>0</v>
      </c>
      <c r="AI458" t="s">
        <v>49</v>
      </c>
      <c r="AJ458">
        <v>649.65</v>
      </c>
      <c r="AK458" t="s">
        <v>49</v>
      </c>
      <c r="AL458">
        <v>0</v>
      </c>
      <c r="AM458" t="s">
        <v>49</v>
      </c>
      <c r="AN458">
        <v>165</v>
      </c>
      <c r="AO458" s="19">
        <v>0</v>
      </c>
      <c r="AP458" s="19">
        <v>0</v>
      </c>
      <c r="AQ458" s="19">
        <v>0.4375</v>
      </c>
      <c r="AR458" s="19">
        <v>0.1875</v>
      </c>
      <c r="AS458" s="19">
        <v>0.5</v>
      </c>
      <c r="AT458" s="19">
        <v>0</v>
      </c>
      <c r="AU458" s="3">
        <v>0</v>
      </c>
      <c r="AV458" s="3">
        <v>0</v>
      </c>
      <c r="AW458" s="19">
        <v>0</v>
      </c>
      <c r="AX458" s="3">
        <v>0</v>
      </c>
      <c r="AY458" s="3">
        <v>0</v>
      </c>
    </row>
    <row r="459" spans="1:51">
      <c r="A459" s="3">
        <v>18385594</v>
      </c>
      <c r="B459" t="s">
        <v>754</v>
      </c>
      <c r="C459" s="3">
        <v>105025003</v>
      </c>
      <c r="D459" t="s">
        <v>44</v>
      </c>
      <c r="E459" t="s">
        <v>78</v>
      </c>
      <c r="F459" t="s">
        <v>65</v>
      </c>
      <c r="G459" t="s">
        <v>47</v>
      </c>
      <c r="H459" s="16">
        <v>0</v>
      </c>
      <c r="I459" s="4">
        <f>VLOOKUP(C459,[1]sheet1!$D:$I,6,0)</f>
        <v>0</v>
      </c>
      <c r="J459" s="4">
        <f>VLOOKUP(C459,[2]sheet1!$D:$I,6,0)</f>
        <v>0</v>
      </c>
      <c r="K459" s="4">
        <f>VLOOKUP(C459,[3]sheet1!$D:$I,6,0)</f>
        <v>0</v>
      </c>
      <c r="L459" s="4">
        <f>VLOOKUP(C459,[4]sheet1!$D:$I,6,0)</f>
        <v>0</v>
      </c>
      <c r="M459" s="4">
        <f>VLOOKUP(C459,[5]sheet1!$D:$I,6,0)</f>
        <v>0</v>
      </c>
      <c r="N459" s="4">
        <f>VLOOKUP(C459,[6]sheet1!$D:$I,6,0)</f>
        <v>0</v>
      </c>
      <c r="O459" s="4">
        <f>VLOOKUP(C459,[7]sheet1!$D:$I,6,0)</f>
        <v>0</v>
      </c>
      <c r="P459" s="4">
        <f>VLOOKUP(C459,[8]sheet1!$D:$I,6,0)</f>
        <v>0</v>
      </c>
      <c r="Q459" s="4">
        <f t="shared" si="7"/>
        <v>0</v>
      </c>
      <c r="R459" s="3">
        <v>0</v>
      </c>
      <c r="S459" s="3">
        <v>19</v>
      </c>
      <c r="T459" s="19">
        <v>0</v>
      </c>
      <c r="U459" s="3">
        <v>1</v>
      </c>
      <c r="V459" s="3">
        <v>0</v>
      </c>
      <c r="W459">
        <v>0</v>
      </c>
      <c r="X459" s="3">
        <v>0</v>
      </c>
      <c r="Y459">
        <v>0</v>
      </c>
      <c r="Z459" s="3">
        <v>0</v>
      </c>
      <c r="AA459" t="s">
        <v>680</v>
      </c>
      <c r="AB459" t="s">
        <v>49</v>
      </c>
      <c r="AC459">
        <v>71.43</v>
      </c>
      <c r="AD459" t="s">
        <v>49</v>
      </c>
      <c r="AE459">
        <v>0</v>
      </c>
      <c r="AF459" s="3">
        <v>0</v>
      </c>
      <c r="AG459" t="s">
        <v>49</v>
      </c>
      <c r="AH459">
        <v>0</v>
      </c>
      <c r="AI459" t="s">
        <v>49</v>
      </c>
      <c r="AJ459" t="s">
        <v>49</v>
      </c>
      <c r="AK459" t="s">
        <v>49</v>
      </c>
      <c r="AL459" t="s">
        <v>49</v>
      </c>
      <c r="AM459" t="s">
        <v>49</v>
      </c>
      <c r="AN459" s="3">
        <v>24</v>
      </c>
      <c r="AO459" s="19">
        <v>0</v>
      </c>
      <c r="AP459" s="19">
        <v>0</v>
      </c>
      <c r="AQ459" s="19">
        <v>0.7368</v>
      </c>
      <c r="AR459" s="19">
        <v>0.3158</v>
      </c>
      <c r="AS459" s="19">
        <v>0</v>
      </c>
      <c r="AT459" s="19">
        <v>0</v>
      </c>
      <c r="AU459" s="3">
        <v>0</v>
      </c>
      <c r="AV459" s="3">
        <v>0</v>
      </c>
      <c r="AW459" s="19">
        <v>0</v>
      </c>
      <c r="AX459" s="3">
        <v>0</v>
      </c>
      <c r="AY459" s="3">
        <v>0</v>
      </c>
    </row>
    <row r="460" spans="1:51">
      <c r="A460" s="3">
        <v>18229728</v>
      </c>
      <c r="B460" t="s">
        <v>755</v>
      </c>
      <c r="C460" s="3">
        <v>16123410</v>
      </c>
      <c r="D460" t="s">
        <v>44</v>
      </c>
      <c r="E460" t="s">
        <v>304</v>
      </c>
      <c r="F460" t="s">
        <v>65</v>
      </c>
      <c r="G460" t="s">
        <v>47</v>
      </c>
      <c r="H460" s="16">
        <v>0</v>
      </c>
      <c r="I460" s="4">
        <f>VLOOKUP(C460,[1]sheet1!$D:$I,6,0)</f>
        <v>0</v>
      </c>
      <c r="J460" s="4">
        <f>VLOOKUP(C460,[2]sheet1!$D:$I,6,0)</f>
        <v>0</v>
      </c>
      <c r="K460" s="4">
        <f>VLOOKUP(C460,[3]sheet1!$D:$I,6,0)</f>
        <v>0</v>
      </c>
      <c r="L460" s="4">
        <f>VLOOKUP(C460,[4]sheet1!$D:$I,6,0)</f>
        <v>0</v>
      </c>
      <c r="M460" s="4">
        <f>VLOOKUP(C460,[5]sheet1!$D:$I,6,0)</f>
        <v>0</v>
      </c>
      <c r="N460" s="4">
        <f>VLOOKUP(C460,[6]sheet1!$D:$I,6,0)</f>
        <v>0</v>
      </c>
      <c r="O460" s="4">
        <f>VLOOKUP(C460,[7]sheet1!$D:$I,6,0)</f>
        <v>0</v>
      </c>
      <c r="P460" s="4">
        <f>VLOOKUP(C460,[8]sheet1!$D:$I,6,0)</f>
        <v>0</v>
      </c>
      <c r="Q460" s="4">
        <f t="shared" si="7"/>
        <v>0</v>
      </c>
      <c r="R460" s="3">
        <v>0</v>
      </c>
      <c r="S460" s="3">
        <v>0</v>
      </c>
      <c r="T460" s="19">
        <v>0</v>
      </c>
      <c r="U460" s="3">
        <v>0</v>
      </c>
      <c r="V460" s="3">
        <v>0</v>
      </c>
      <c r="W460">
        <v>0</v>
      </c>
      <c r="X460" s="3">
        <v>0</v>
      </c>
      <c r="Y460">
        <v>0</v>
      </c>
      <c r="Z460" s="3">
        <v>0</v>
      </c>
      <c r="AA460" t="s">
        <v>49</v>
      </c>
      <c r="AB460" t="s">
        <v>49</v>
      </c>
      <c r="AC460" t="s">
        <v>49</v>
      </c>
      <c r="AD460" t="s">
        <v>49</v>
      </c>
      <c r="AE460">
        <v>0</v>
      </c>
      <c r="AF460" s="3">
        <v>0</v>
      </c>
      <c r="AG460" t="s">
        <v>49</v>
      </c>
      <c r="AH460" t="s">
        <v>49</v>
      </c>
      <c r="AI460" t="s">
        <v>49</v>
      </c>
      <c r="AJ460" t="s">
        <v>49</v>
      </c>
      <c r="AK460" t="s">
        <v>49</v>
      </c>
      <c r="AL460" t="s">
        <v>49</v>
      </c>
      <c r="AM460" t="s">
        <v>49</v>
      </c>
      <c r="AN460" s="3">
        <v>0</v>
      </c>
      <c r="AO460" s="19">
        <v>0</v>
      </c>
      <c r="AP460" s="19">
        <v>0</v>
      </c>
      <c r="AQ460" s="19">
        <v>0</v>
      </c>
      <c r="AR460" s="19">
        <v>0</v>
      </c>
      <c r="AS460" s="19">
        <v>0</v>
      </c>
      <c r="AT460" s="19">
        <v>0</v>
      </c>
      <c r="AU460" s="3">
        <v>0</v>
      </c>
      <c r="AV460" s="3">
        <v>0</v>
      </c>
      <c r="AW460" s="19">
        <v>0</v>
      </c>
      <c r="AX460" s="3">
        <v>0</v>
      </c>
      <c r="AY460" s="3">
        <v>0</v>
      </c>
    </row>
    <row r="461" spans="1:51">
      <c r="A461" s="3">
        <v>17954258</v>
      </c>
      <c r="B461" t="s">
        <v>756</v>
      </c>
      <c r="C461" s="3">
        <v>16223409</v>
      </c>
      <c r="D461" t="s">
        <v>44</v>
      </c>
      <c r="E461" t="s">
        <v>304</v>
      </c>
      <c r="F461" t="s">
        <v>65</v>
      </c>
      <c r="G461" t="s">
        <v>47</v>
      </c>
      <c r="H461" s="16">
        <v>0</v>
      </c>
      <c r="I461" s="4">
        <f>VLOOKUP(C461,[1]sheet1!$D:$I,6,0)</f>
        <v>0</v>
      </c>
      <c r="J461" s="4">
        <f>VLOOKUP(C461,[2]sheet1!$D:$I,6,0)</f>
        <v>0</v>
      </c>
      <c r="K461" s="4">
        <f>VLOOKUP(C461,[3]sheet1!$D:$I,6,0)</f>
        <v>0</v>
      </c>
      <c r="L461" s="4">
        <f>VLOOKUP(C461,[4]sheet1!$D:$I,6,0)</f>
        <v>0</v>
      </c>
      <c r="M461" s="4">
        <f>VLOOKUP(C461,[5]sheet1!$D:$I,6,0)</f>
        <v>0</v>
      </c>
      <c r="N461" s="4">
        <f>VLOOKUP(C461,[6]sheet1!$D:$I,6,0)</f>
        <v>0</v>
      </c>
      <c r="O461" s="4">
        <f>VLOOKUP(C461,[7]sheet1!$D:$I,6,0)</f>
        <v>0</v>
      </c>
      <c r="P461" s="4">
        <f>VLOOKUP(C461,[8]sheet1!$D:$I,6,0)</f>
        <v>0</v>
      </c>
      <c r="Q461" s="4">
        <f t="shared" si="7"/>
        <v>0</v>
      </c>
      <c r="R461" s="3">
        <v>0</v>
      </c>
      <c r="S461" s="3">
        <v>0</v>
      </c>
      <c r="T461" s="19">
        <v>0</v>
      </c>
      <c r="U461" s="3">
        <v>0</v>
      </c>
      <c r="V461" s="3">
        <v>0</v>
      </c>
      <c r="W461">
        <v>0</v>
      </c>
      <c r="X461" s="3">
        <v>0</v>
      </c>
      <c r="Y461">
        <v>0</v>
      </c>
      <c r="Z461" s="3">
        <v>0</v>
      </c>
      <c r="AA461" t="s">
        <v>76</v>
      </c>
      <c r="AB461" t="s">
        <v>49</v>
      </c>
      <c r="AC461">
        <v>54.47</v>
      </c>
      <c r="AD461" t="s">
        <v>49</v>
      </c>
      <c r="AE461">
        <v>0</v>
      </c>
      <c r="AF461" s="3">
        <v>0</v>
      </c>
      <c r="AG461" t="s">
        <v>49</v>
      </c>
      <c r="AH461">
        <v>0</v>
      </c>
      <c r="AI461" t="s">
        <v>49</v>
      </c>
      <c r="AJ461" t="s">
        <v>49</v>
      </c>
      <c r="AK461" t="s">
        <v>49</v>
      </c>
      <c r="AL461" t="s">
        <v>49</v>
      </c>
      <c r="AM461" t="s">
        <v>49</v>
      </c>
      <c r="AN461" s="3">
        <v>0</v>
      </c>
      <c r="AO461" s="19">
        <v>0</v>
      </c>
      <c r="AP461" s="19">
        <v>0</v>
      </c>
      <c r="AQ461" s="19">
        <v>0</v>
      </c>
      <c r="AR461" s="19">
        <v>0</v>
      </c>
      <c r="AS461" s="19">
        <v>0</v>
      </c>
      <c r="AT461" s="19">
        <v>0</v>
      </c>
      <c r="AU461" s="3">
        <v>0</v>
      </c>
      <c r="AV461" s="3">
        <v>0</v>
      </c>
      <c r="AW461" s="19">
        <v>0</v>
      </c>
      <c r="AX461" s="3">
        <v>0</v>
      </c>
      <c r="AY461" s="3">
        <v>0</v>
      </c>
    </row>
    <row r="462" spans="1:51">
      <c r="A462" s="3">
        <v>17951473</v>
      </c>
      <c r="B462" t="s">
        <v>757</v>
      </c>
      <c r="C462" s="3">
        <v>116206303</v>
      </c>
      <c r="D462" t="s">
        <v>44</v>
      </c>
      <c r="E462" t="s">
        <v>758</v>
      </c>
      <c r="F462" t="s">
        <v>65</v>
      </c>
      <c r="G462" t="s">
        <v>356</v>
      </c>
      <c r="H462" s="16">
        <v>0</v>
      </c>
      <c r="I462" s="4">
        <f>VLOOKUP(C462,[1]sheet1!$D:$I,6,0)</f>
        <v>0</v>
      </c>
      <c r="J462" s="4">
        <f>VLOOKUP(C462,[2]sheet1!$D:$I,6,0)</f>
        <v>0</v>
      </c>
      <c r="K462" s="4">
        <f>VLOOKUP(C462,[3]sheet1!$D:$I,6,0)</f>
        <v>0</v>
      </c>
      <c r="L462" s="4" t="e">
        <f>VLOOKUP(C462,[4]sheet1!$D:$I,6,0)</f>
        <v>#N/A</v>
      </c>
      <c r="M462" s="4" t="e">
        <f>VLOOKUP(C462,[5]sheet1!$D:$I,6,0)</f>
        <v>#N/A</v>
      </c>
      <c r="N462" s="4" t="e">
        <f>VLOOKUP(C462,[6]sheet1!$D:$I,6,0)</f>
        <v>#N/A</v>
      </c>
      <c r="O462" s="4" t="e">
        <f>VLOOKUP(C462,[7]sheet1!$D:$I,6,0)</f>
        <v>#N/A</v>
      </c>
      <c r="P462" s="4" t="e">
        <f>VLOOKUP(C462,[8]sheet1!$D:$I,6,0)</f>
        <v>#N/A</v>
      </c>
      <c r="Q462" s="4" t="e">
        <f t="shared" si="7"/>
        <v>#N/A</v>
      </c>
      <c r="R462" s="3">
        <v>0</v>
      </c>
      <c r="S462" s="3">
        <v>0</v>
      </c>
      <c r="T462" s="19">
        <v>0</v>
      </c>
      <c r="U462" s="3">
        <v>0</v>
      </c>
      <c r="V462" s="3">
        <v>0</v>
      </c>
      <c r="W462">
        <v>0</v>
      </c>
      <c r="X462" s="3">
        <v>0</v>
      </c>
      <c r="Y462">
        <v>0</v>
      </c>
      <c r="Z462" s="3">
        <v>0</v>
      </c>
      <c r="AA462" t="s">
        <v>49</v>
      </c>
      <c r="AB462" t="s">
        <v>49</v>
      </c>
      <c r="AC462" t="s">
        <v>49</v>
      </c>
      <c r="AD462" t="s">
        <v>49</v>
      </c>
      <c r="AE462">
        <v>0</v>
      </c>
      <c r="AF462" s="3">
        <v>0</v>
      </c>
      <c r="AG462" t="s">
        <v>49</v>
      </c>
      <c r="AH462" t="s">
        <v>49</v>
      </c>
      <c r="AI462" t="s">
        <v>49</v>
      </c>
      <c r="AJ462" t="s">
        <v>49</v>
      </c>
      <c r="AK462" t="s">
        <v>49</v>
      </c>
      <c r="AL462" t="s">
        <v>49</v>
      </c>
      <c r="AM462" t="s">
        <v>49</v>
      </c>
      <c r="AN462" s="3">
        <v>0</v>
      </c>
      <c r="AO462" s="19">
        <v>0</v>
      </c>
      <c r="AP462" s="19">
        <v>0</v>
      </c>
      <c r="AQ462" s="19">
        <v>0</v>
      </c>
      <c r="AR462" s="19">
        <v>0</v>
      </c>
      <c r="AS462" s="19">
        <v>0</v>
      </c>
      <c r="AT462" s="19">
        <v>0</v>
      </c>
      <c r="AU462" s="3">
        <v>0</v>
      </c>
      <c r="AV462" s="3">
        <v>0</v>
      </c>
      <c r="AW462" s="19">
        <v>0</v>
      </c>
      <c r="AX462" s="3">
        <v>0</v>
      </c>
      <c r="AY462" s="3">
        <v>0</v>
      </c>
    </row>
    <row r="463" spans="1:51">
      <c r="A463" s="3">
        <v>17950867</v>
      </c>
      <c r="B463" t="s">
        <v>759</v>
      </c>
      <c r="C463" s="3">
        <v>16123407</v>
      </c>
      <c r="D463" t="s">
        <v>44</v>
      </c>
      <c r="E463" t="s">
        <v>304</v>
      </c>
      <c r="F463" t="s">
        <v>65</v>
      </c>
      <c r="G463" t="s">
        <v>356</v>
      </c>
      <c r="H463" s="16">
        <v>0</v>
      </c>
      <c r="I463" s="4">
        <f>VLOOKUP(C463,[1]sheet1!$D:$I,6,0)</f>
        <v>0</v>
      </c>
      <c r="J463" s="4">
        <f>VLOOKUP(C463,[2]sheet1!$D:$I,6,0)</f>
        <v>0</v>
      </c>
      <c r="K463" s="4">
        <f>VLOOKUP(C463,[3]sheet1!$D:$I,6,0)</f>
        <v>0</v>
      </c>
      <c r="L463" s="4">
        <f>VLOOKUP(C463,[4]sheet1!$D:$I,6,0)</f>
        <v>0</v>
      </c>
      <c r="M463" s="4">
        <f>VLOOKUP(C463,[5]sheet1!$D:$I,6,0)</f>
        <v>0</v>
      </c>
      <c r="N463" s="4">
        <f>VLOOKUP(C463,[6]sheet1!$D:$I,6,0)</f>
        <v>0</v>
      </c>
      <c r="O463" s="4">
        <f>VLOOKUP(C463,[7]sheet1!$D:$I,6,0)</f>
        <v>0</v>
      </c>
      <c r="P463" s="4">
        <f>VLOOKUP(C463,[8]sheet1!$D:$I,6,0)</f>
        <v>0</v>
      </c>
      <c r="Q463" s="4">
        <f t="shared" si="7"/>
        <v>0</v>
      </c>
      <c r="R463" s="3">
        <v>0</v>
      </c>
      <c r="S463" s="3">
        <v>0</v>
      </c>
      <c r="T463" s="19">
        <v>0</v>
      </c>
      <c r="U463" s="3">
        <v>0</v>
      </c>
      <c r="V463" s="3">
        <v>0</v>
      </c>
      <c r="W463">
        <v>0</v>
      </c>
      <c r="X463" s="3">
        <v>0</v>
      </c>
      <c r="Y463">
        <v>0</v>
      </c>
      <c r="Z463" s="3">
        <v>0</v>
      </c>
      <c r="AA463" t="s">
        <v>49</v>
      </c>
      <c r="AB463" t="s">
        <v>49</v>
      </c>
      <c r="AC463" t="s">
        <v>49</v>
      </c>
      <c r="AD463" t="s">
        <v>49</v>
      </c>
      <c r="AE463">
        <v>0</v>
      </c>
      <c r="AF463" s="3">
        <v>0</v>
      </c>
      <c r="AG463" t="s">
        <v>49</v>
      </c>
      <c r="AH463" t="s">
        <v>49</v>
      </c>
      <c r="AI463" t="s">
        <v>49</v>
      </c>
      <c r="AJ463" t="s">
        <v>49</v>
      </c>
      <c r="AK463" t="s">
        <v>49</v>
      </c>
      <c r="AL463" t="s">
        <v>49</v>
      </c>
      <c r="AM463" t="s">
        <v>49</v>
      </c>
      <c r="AN463" s="3">
        <v>0</v>
      </c>
      <c r="AO463" s="19">
        <v>0</v>
      </c>
      <c r="AP463" s="19">
        <v>0</v>
      </c>
      <c r="AQ463" s="19">
        <v>0</v>
      </c>
      <c r="AR463" s="19">
        <v>0</v>
      </c>
      <c r="AS463" s="19">
        <v>0</v>
      </c>
      <c r="AT463" s="19">
        <v>0</v>
      </c>
      <c r="AU463" s="3">
        <v>0</v>
      </c>
      <c r="AV463" s="3">
        <v>0</v>
      </c>
      <c r="AW463" s="19">
        <v>0</v>
      </c>
      <c r="AX463" s="3">
        <v>0</v>
      </c>
      <c r="AY463" s="3">
        <v>0</v>
      </c>
    </row>
    <row r="464" spans="1:51">
      <c r="A464" s="3">
        <v>17885335</v>
      </c>
      <c r="B464" t="s">
        <v>760</v>
      </c>
      <c r="C464" s="3">
        <v>16423417</v>
      </c>
      <c r="D464" t="s">
        <v>44</v>
      </c>
      <c r="E464" t="s">
        <v>304</v>
      </c>
      <c r="F464" t="s">
        <v>65</v>
      </c>
      <c r="G464" t="s">
        <v>47</v>
      </c>
      <c r="H464" s="16">
        <v>0</v>
      </c>
      <c r="I464" s="4">
        <f>VLOOKUP(C464,[1]sheet1!$D:$I,6,0)</f>
        <v>0</v>
      </c>
      <c r="J464" s="4">
        <f>VLOOKUP(C464,[2]sheet1!$D:$I,6,0)</f>
        <v>0</v>
      </c>
      <c r="K464" s="4">
        <f>VLOOKUP(C464,[3]sheet1!$D:$I,6,0)</f>
        <v>125</v>
      </c>
      <c r="L464" s="4">
        <f>VLOOKUP(C464,[4]sheet1!$D:$I,6,0)</f>
        <v>0</v>
      </c>
      <c r="M464" s="4">
        <f>VLOOKUP(C464,[5]sheet1!$D:$I,6,0)</f>
        <v>0</v>
      </c>
      <c r="N464" s="4">
        <f>VLOOKUP(C464,[6]sheet1!$D:$I,6,0)</f>
        <v>0</v>
      </c>
      <c r="O464" s="4">
        <f>VLOOKUP(C464,[7]sheet1!$D:$I,6,0)</f>
        <v>0</v>
      </c>
      <c r="P464" s="4">
        <f>VLOOKUP(C464,[8]sheet1!$D:$I,6,0)</f>
        <v>0</v>
      </c>
      <c r="Q464" s="4">
        <f t="shared" si="7"/>
        <v>125</v>
      </c>
      <c r="R464" s="3">
        <v>0</v>
      </c>
      <c r="S464" s="3">
        <v>11</v>
      </c>
      <c r="T464" s="19">
        <v>0</v>
      </c>
      <c r="U464" s="3">
        <v>1</v>
      </c>
      <c r="V464" s="3">
        <v>0</v>
      </c>
      <c r="W464">
        <v>0</v>
      </c>
      <c r="X464" s="3">
        <v>0</v>
      </c>
      <c r="Y464">
        <v>0</v>
      </c>
      <c r="Z464" s="3">
        <v>0</v>
      </c>
      <c r="AA464" t="s">
        <v>49</v>
      </c>
      <c r="AB464" t="s">
        <v>49</v>
      </c>
      <c r="AC464" t="s">
        <v>49</v>
      </c>
      <c r="AD464" t="s">
        <v>49</v>
      </c>
      <c r="AE464">
        <v>0</v>
      </c>
      <c r="AF464" s="3">
        <v>0</v>
      </c>
      <c r="AG464" t="s">
        <v>49</v>
      </c>
      <c r="AH464" t="s">
        <v>49</v>
      </c>
      <c r="AI464" t="s">
        <v>49</v>
      </c>
      <c r="AJ464" t="s">
        <v>49</v>
      </c>
      <c r="AK464" t="s">
        <v>49</v>
      </c>
      <c r="AL464" t="s">
        <v>49</v>
      </c>
      <c r="AM464" t="s">
        <v>49</v>
      </c>
      <c r="AN464" s="3">
        <v>12</v>
      </c>
      <c r="AO464" s="19">
        <v>0</v>
      </c>
      <c r="AP464" s="19">
        <v>0</v>
      </c>
      <c r="AQ464" s="19">
        <v>0.7273</v>
      </c>
      <c r="AR464" s="19">
        <v>0.0909</v>
      </c>
      <c r="AS464" s="19">
        <v>1</v>
      </c>
      <c r="AT464" s="19">
        <v>0</v>
      </c>
      <c r="AU464" s="3">
        <v>0</v>
      </c>
      <c r="AV464" s="3">
        <v>0</v>
      </c>
      <c r="AW464" s="19">
        <v>0</v>
      </c>
      <c r="AX464" s="3">
        <v>0</v>
      </c>
      <c r="AY464" s="3">
        <v>0</v>
      </c>
    </row>
    <row r="465" spans="1:51">
      <c r="A465" s="3">
        <v>17876509</v>
      </c>
      <c r="B465" t="s">
        <v>761</v>
      </c>
      <c r="C465" s="3">
        <v>16123409</v>
      </c>
      <c r="D465" t="s">
        <v>44</v>
      </c>
      <c r="E465" t="s">
        <v>304</v>
      </c>
      <c r="F465" t="s">
        <v>65</v>
      </c>
      <c r="G465" t="s">
        <v>47</v>
      </c>
      <c r="H465" s="16">
        <v>0</v>
      </c>
      <c r="I465" s="4">
        <f>VLOOKUP(C465,[1]sheet1!$D:$I,6,0)</f>
        <v>0</v>
      </c>
      <c r="J465" s="4">
        <f>VLOOKUP(C465,[2]sheet1!$D:$I,6,0)</f>
        <v>0</v>
      </c>
      <c r="K465" s="4">
        <f>VLOOKUP(C465,[3]sheet1!$D:$I,6,0)</f>
        <v>0</v>
      </c>
      <c r="L465" s="4">
        <f>VLOOKUP(C465,[4]sheet1!$D:$I,6,0)</f>
        <v>0</v>
      </c>
      <c r="M465" s="4">
        <f>VLOOKUP(C465,[5]sheet1!$D:$I,6,0)</f>
        <v>0</v>
      </c>
      <c r="N465" s="4">
        <f>VLOOKUP(C465,[6]sheet1!$D:$I,6,0)</f>
        <v>0</v>
      </c>
      <c r="O465" s="4">
        <f>VLOOKUP(C465,[7]sheet1!$D:$I,6,0)</f>
        <v>0</v>
      </c>
      <c r="P465" s="4">
        <f>VLOOKUP(C465,[8]sheet1!$D:$I,6,0)</f>
        <v>0</v>
      </c>
      <c r="Q465" s="4">
        <f t="shared" si="7"/>
        <v>0</v>
      </c>
      <c r="R465" s="3">
        <v>0</v>
      </c>
      <c r="S465" s="3">
        <v>0</v>
      </c>
      <c r="T465" s="19">
        <v>0</v>
      </c>
      <c r="U465" s="3">
        <v>0</v>
      </c>
      <c r="V465" s="3">
        <v>0</v>
      </c>
      <c r="W465">
        <v>0</v>
      </c>
      <c r="X465" s="3">
        <v>0</v>
      </c>
      <c r="Y465">
        <v>0</v>
      </c>
      <c r="Z465" s="3">
        <v>0</v>
      </c>
      <c r="AA465" t="s">
        <v>49</v>
      </c>
      <c r="AB465" t="s">
        <v>49</v>
      </c>
      <c r="AC465" t="s">
        <v>49</v>
      </c>
      <c r="AD465" t="s">
        <v>49</v>
      </c>
      <c r="AE465">
        <v>0</v>
      </c>
      <c r="AF465" s="3">
        <v>0</v>
      </c>
      <c r="AG465" t="s">
        <v>49</v>
      </c>
      <c r="AH465" t="s">
        <v>49</v>
      </c>
      <c r="AI465" t="s">
        <v>49</v>
      </c>
      <c r="AJ465" t="s">
        <v>49</v>
      </c>
      <c r="AK465" t="s">
        <v>49</v>
      </c>
      <c r="AL465" t="s">
        <v>49</v>
      </c>
      <c r="AM465" t="s">
        <v>49</v>
      </c>
      <c r="AN465" s="3">
        <v>0</v>
      </c>
      <c r="AO465" s="19">
        <v>0</v>
      </c>
      <c r="AP465" s="19">
        <v>0</v>
      </c>
      <c r="AQ465" s="19">
        <v>0</v>
      </c>
      <c r="AR465" s="19">
        <v>0</v>
      </c>
      <c r="AS465" s="19">
        <v>0</v>
      </c>
      <c r="AT465" s="19">
        <v>0</v>
      </c>
      <c r="AU465" s="3">
        <v>0</v>
      </c>
      <c r="AV465" s="3">
        <v>0</v>
      </c>
      <c r="AW465" s="19">
        <v>0</v>
      </c>
      <c r="AX465" s="3">
        <v>0</v>
      </c>
      <c r="AY465" s="3">
        <v>0</v>
      </c>
    </row>
    <row r="466" spans="1:51">
      <c r="A466" s="3">
        <v>17875307</v>
      </c>
      <c r="B466" t="s">
        <v>762</v>
      </c>
      <c r="C466" s="3">
        <v>16123403</v>
      </c>
      <c r="D466" t="s">
        <v>44</v>
      </c>
      <c r="E466" t="s">
        <v>64</v>
      </c>
      <c r="F466" t="s">
        <v>65</v>
      </c>
      <c r="G466" t="s">
        <v>47</v>
      </c>
      <c r="H466" s="16">
        <v>0</v>
      </c>
      <c r="I466" s="4">
        <f>VLOOKUP(C466,[1]sheet1!$D:$I,6,0)</f>
        <v>0</v>
      </c>
      <c r="J466" s="4">
        <f>VLOOKUP(C466,[2]sheet1!$D:$I,6,0)</f>
        <v>0</v>
      </c>
      <c r="K466" s="4">
        <f>VLOOKUP(C466,[3]sheet1!$D:$I,6,0)</f>
        <v>0</v>
      </c>
      <c r="L466" s="4">
        <f>VLOOKUP(C466,[4]sheet1!$D:$I,6,0)</f>
        <v>0</v>
      </c>
      <c r="M466" s="4">
        <f>VLOOKUP(C466,[5]sheet1!$D:$I,6,0)</f>
        <v>0</v>
      </c>
      <c r="N466" s="4">
        <f>VLOOKUP(C466,[6]sheet1!$D:$I,6,0)</f>
        <v>0</v>
      </c>
      <c r="O466" s="4">
        <f>VLOOKUP(C466,[7]sheet1!$D:$I,6,0)</f>
        <v>0</v>
      </c>
      <c r="P466" s="4">
        <f>VLOOKUP(C466,[8]sheet1!$D:$I,6,0)</f>
        <v>0</v>
      </c>
      <c r="Q466" s="4">
        <f t="shared" si="7"/>
        <v>0</v>
      </c>
      <c r="R466" s="3">
        <v>0</v>
      </c>
      <c r="S466" s="3">
        <v>1</v>
      </c>
      <c r="T466" s="19">
        <v>0</v>
      </c>
      <c r="U466" s="3">
        <v>0</v>
      </c>
      <c r="V466" s="3">
        <v>0</v>
      </c>
      <c r="W466">
        <v>0</v>
      </c>
      <c r="X466" s="3">
        <v>0</v>
      </c>
      <c r="Y466">
        <v>0</v>
      </c>
      <c r="Z466" s="3">
        <v>0</v>
      </c>
      <c r="AA466" t="s">
        <v>49</v>
      </c>
      <c r="AB466" t="s">
        <v>49</v>
      </c>
      <c r="AC466" t="s">
        <v>49</v>
      </c>
      <c r="AD466" t="s">
        <v>49</v>
      </c>
      <c r="AE466">
        <v>0</v>
      </c>
      <c r="AF466" s="3">
        <v>0</v>
      </c>
      <c r="AG466" t="s">
        <v>49</v>
      </c>
      <c r="AH466" t="s">
        <v>49</v>
      </c>
      <c r="AI466" t="s">
        <v>49</v>
      </c>
      <c r="AJ466" t="s">
        <v>49</v>
      </c>
      <c r="AK466" t="s">
        <v>49</v>
      </c>
      <c r="AL466" t="s">
        <v>49</v>
      </c>
      <c r="AM466" t="s">
        <v>49</v>
      </c>
      <c r="AN466" s="3">
        <v>1</v>
      </c>
      <c r="AO466" s="19">
        <v>0</v>
      </c>
      <c r="AP466" s="19">
        <v>0</v>
      </c>
      <c r="AQ466" s="19">
        <v>1</v>
      </c>
      <c r="AR466" s="19">
        <v>0</v>
      </c>
      <c r="AS466" s="19">
        <v>0</v>
      </c>
      <c r="AT466" s="19">
        <v>0</v>
      </c>
      <c r="AU466" s="3">
        <v>0</v>
      </c>
      <c r="AV466" s="3">
        <v>0</v>
      </c>
      <c r="AW466" s="19">
        <v>0</v>
      </c>
      <c r="AX466" s="3">
        <v>0</v>
      </c>
      <c r="AY466" s="3">
        <v>0</v>
      </c>
    </row>
    <row r="467" spans="1:51">
      <c r="A467" s="3">
        <v>17870600</v>
      </c>
      <c r="B467" t="s">
        <v>763</v>
      </c>
      <c r="C467" s="3">
        <v>16223101</v>
      </c>
      <c r="D467" t="s">
        <v>44</v>
      </c>
      <c r="E467" t="s">
        <v>191</v>
      </c>
      <c r="F467" t="s">
        <v>65</v>
      </c>
      <c r="G467" t="s">
        <v>47</v>
      </c>
      <c r="H467" s="16">
        <v>0</v>
      </c>
      <c r="I467" s="4">
        <f>VLOOKUP(C467,[1]sheet1!$D:$I,6,0)</f>
        <v>0</v>
      </c>
      <c r="J467" s="4">
        <f>VLOOKUP(C467,[2]sheet1!$D:$I,6,0)</f>
        <v>0</v>
      </c>
      <c r="K467" s="4">
        <f>VLOOKUP(C467,[3]sheet1!$D:$I,6,0)</f>
        <v>44</v>
      </c>
      <c r="L467" s="4">
        <f>VLOOKUP(C467,[4]sheet1!$D:$I,6,0)</f>
        <v>0</v>
      </c>
      <c r="M467" s="4">
        <f>VLOOKUP(C467,[5]sheet1!$D:$I,6,0)</f>
        <v>0</v>
      </c>
      <c r="N467" s="4">
        <f>VLOOKUP(C467,[6]sheet1!$D:$I,6,0)</f>
        <v>0</v>
      </c>
      <c r="O467" s="4">
        <f>VLOOKUP(C467,[7]sheet1!$D:$I,6,0)</f>
        <v>0</v>
      </c>
      <c r="P467" s="4">
        <f>VLOOKUP(C467,[8]sheet1!$D:$I,6,0)</f>
        <v>0</v>
      </c>
      <c r="Q467" s="4">
        <f t="shared" si="7"/>
        <v>44</v>
      </c>
      <c r="R467" s="3">
        <v>0</v>
      </c>
      <c r="S467" s="3">
        <v>4</v>
      </c>
      <c r="T467" s="19">
        <v>0</v>
      </c>
      <c r="U467" s="3">
        <v>0</v>
      </c>
      <c r="V467" s="3">
        <v>0</v>
      </c>
      <c r="W467">
        <v>0</v>
      </c>
      <c r="X467" s="3">
        <v>0</v>
      </c>
      <c r="Y467">
        <v>0</v>
      </c>
      <c r="Z467" s="3">
        <v>0</v>
      </c>
      <c r="AA467" t="s">
        <v>336</v>
      </c>
      <c r="AB467" t="s">
        <v>49</v>
      </c>
      <c r="AC467">
        <v>38.21</v>
      </c>
      <c r="AD467" t="s">
        <v>49</v>
      </c>
      <c r="AE467">
        <v>0</v>
      </c>
      <c r="AF467" s="3">
        <v>0</v>
      </c>
      <c r="AG467" t="s">
        <v>49</v>
      </c>
      <c r="AH467">
        <v>0</v>
      </c>
      <c r="AI467" t="s">
        <v>49</v>
      </c>
      <c r="AJ467" t="s">
        <v>49</v>
      </c>
      <c r="AK467" t="s">
        <v>49</v>
      </c>
      <c r="AL467" t="s">
        <v>49</v>
      </c>
      <c r="AM467" t="s">
        <v>49</v>
      </c>
      <c r="AN467" s="3">
        <v>4</v>
      </c>
      <c r="AO467" s="19">
        <v>0</v>
      </c>
      <c r="AP467" s="19">
        <v>0</v>
      </c>
      <c r="AQ467" s="19">
        <v>0.75</v>
      </c>
      <c r="AR467" s="19">
        <v>0.25</v>
      </c>
      <c r="AS467" s="19">
        <v>0</v>
      </c>
      <c r="AT467" s="19">
        <v>0</v>
      </c>
      <c r="AU467" s="3">
        <v>0</v>
      </c>
      <c r="AV467" s="3">
        <v>0</v>
      </c>
      <c r="AW467" s="19">
        <v>0</v>
      </c>
      <c r="AX467" s="3">
        <v>0</v>
      </c>
      <c r="AY467" s="3">
        <v>0</v>
      </c>
    </row>
    <row r="468" spans="1:51">
      <c r="A468" s="3">
        <v>17865606</v>
      </c>
      <c r="B468" t="s">
        <v>764</v>
      </c>
      <c r="C468" s="3">
        <v>16043428</v>
      </c>
      <c r="D468" t="s">
        <v>44</v>
      </c>
      <c r="E468" t="s">
        <v>64</v>
      </c>
      <c r="F468" t="s">
        <v>65</v>
      </c>
      <c r="G468" t="s">
        <v>47</v>
      </c>
      <c r="H468" s="16">
        <v>0</v>
      </c>
      <c r="I468" s="4">
        <f>VLOOKUP(C468,[1]sheet1!$D:$I,6,0)</f>
        <v>0</v>
      </c>
      <c r="J468" s="4">
        <f>VLOOKUP(C468,[2]sheet1!$D:$I,6,0)</f>
        <v>0</v>
      </c>
      <c r="K468" s="4">
        <f>VLOOKUP(C468,[3]sheet1!$D:$I,6,0)</f>
        <v>0</v>
      </c>
      <c r="L468" s="4">
        <f>VLOOKUP(C468,[4]sheet1!$D:$I,6,0)</f>
        <v>0</v>
      </c>
      <c r="M468" s="4">
        <f>VLOOKUP(C468,[5]sheet1!$D:$I,6,0)</f>
        <v>0</v>
      </c>
      <c r="N468" s="4">
        <f>VLOOKUP(C468,[6]sheet1!$D:$I,6,0)</f>
        <v>0</v>
      </c>
      <c r="O468" s="4">
        <f>VLOOKUP(C468,[7]sheet1!$D:$I,6,0)</f>
        <v>0</v>
      </c>
      <c r="P468" s="4">
        <f>VLOOKUP(C468,[8]sheet1!$D:$I,6,0)</f>
        <v>0</v>
      </c>
      <c r="Q468" s="4">
        <f t="shared" si="7"/>
        <v>0</v>
      </c>
      <c r="R468" s="3">
        <v>0</v>
      </c>
      <c r="S468" s="3">
        <v>0</v>
      </c>
      <c r="T468" s="19">
        <v>0</v>
      </c>
      <c r="U468" s="3">
        <v>0</v>
      </c>
      <c r="V468" s="3">
        <v>0</v>
      </c>
      <c r="W468">
        <v>0</v>
      </c>
      <c r="X468" s="3">
        <v>0</v>
      </c>
      <c r="Y468">
        <v>0</v>
      </c>
      <c r="Z468" s="3">
        <v>0</v>
      </c>
      <c r="AA468" t="s">
        <v>49</v>
      </c>
      <c r="AB468" t="s">
        <v>49</v>
      </c>
      <c r="AC468" t="s">
        <v>49</v>
      </c>
      <c r="AD468" t="s">
        <v>49</v>
      </c>
      <c r="AE468">
        <v>0</v>
      </c>
      <c r="AF468" s="3">
        <v>0</v>
      </c>
      <c r="AG468" t="s">
        <v>49</v>
      </c>
      <c r="AH468" t="s">
        <v>49</v>
      </c>
      <c r="AI468" t="s">
        <v>49</v>
      </c>
      <c r="AJ468" t="s">
        <v>49</v>
      </c>
      <c r="AK468" t="s">
        <v>49</v>
      </c>
      <c r="AL468" t="s">
        <v>49</v>
      </c>
      <c r="AM468" t="s">
        <v>49</v>
      </c>
      <c r="AN468" s="3">
        <v>0</v>
      </c>
      <c r="AO468" s="19">
        <v>0</v>
      </c>
      <c r="AP468" s="19">
        <v>0</v>
      </c>
      <c r="AQ468" s="19">
        <v>0</v>
      </c>
      <c r="AR468" s="19">
        <v>0</v>
      </c>
      <c r="AS468" s="19">
        <v>0</v>
      </c>
      <c r="AT468" s="19">
        <v>0</v>
      </c>
      <c r="AU468" s="3">
        <v>0</v>
      </c>
      <c r="AV468" s="3">
        <v>0</v>
      </c>
      <c r="AW468" s="19">
        <v>0</v>
      </c>
      <c r="AX468" s="3">
        <v>0</v>
      </c>
      <c r="AY468" s="3">
        <v>0</v>
      </c>
    </row>
    <row r="469" spans="1:51">
      <c r="A469" s="3">
        <v>17863605</v>
      </c>
      <c r="B469" t="s">
        <v>765</v>
      </c>
      <c r="C469" s="3">
        <v>16423418</v>
      </c>
      <c r="D469" t="s">
        <v>44</v>
      </c>
      <c r="E469" t="s">
        <v>75</v>
      </c>
      <c r="F469" t="s">
        <v>65</v>
      </c>
      <c r="G469" t="s">
        <v>47</v>
      </c>
      <c r="H469" s="16">
        <v>0</v>
      </c>
      <c r="I469" s="4">
        <f>VLOOKUP(C469,[1]sheet1!$D:$I,6,0)</f>
        <v>0</v>
      </c>
      <c r="J469" s="4">
        <f>VLOOKUP(C469,[2]sheet1!$D:$I,6,0)</f>
        <v>0</v>
      </c>
      <c r="K469" s="4">
        <f>VLOOKUP(C469,[3]sheet1!$D:$I,6,0)</f>
        <v>0</v>
      </c>
      <c r="L469" s="4">
        <f>VLOOKUP(C469,[4]sheet1!$D:$I,6,0)</f>
        <v>0</v>
      </c>
      <c r="M469" s="4">
        <f>VLOOKUP(C469,[5]sheet1!$D:$I,6,0)</f>
        <v>0</v>
      </c>
      <c r="N469" s="4">
        <f>VLOOKUP(C469,[6]sheet1!$D:$I,6,0)</f>
        <v>0</v>
      </c>
      <c r="O469" s="4">
        <f>VLOOKUP(C469,[7]sheet1!$D:$I,6,0)</f>
        <v>0</v>
      </c>
      <c r="P469" s="4">
        <f>VLOOKUP(C469,[8]sheet1!$D:$I,6,0)</f>
        <v>0</v>
      </c>
      <c r="Q469" s="4">
        <f t="shared" si="7"/>
        <v>0</v>
      </c>
      <c r="R469" s="3">
        <v>0</v>
      </c>
      <c r="S469" s="3">
        <v>15</v>
      </c>
      <c r="T469" s="19">
        <v>0</v>
      </c>
      <c r="U469" s="3">
        <v>0</v>
      </c>
      <c r="V469" s="3">
        <v>0</v>
      </c>
      <c r="W469">
        <v>0</v>
      </c>
      <c r="X469" s="3">
        <v>0</v>
      </c>
      <c r="Y469">
        <v>0</v>
      </c>
      <c r="Z469" s="3">
        <v>0</v>
      </c>
      <c r="AA469" t="s">
        <v>766</v>
      </c>
      <c r="AB469" t="s">
        <v>49</v>
      </c>
      <c r="AC469">
        <v>58.37</v>
      </c>
      <c r="AD469" t="s">
        <v>49</v>
      </c>
      <c r="AE469">
        <v>0</v>
      </c>
      <c r="AF469" s="3">
        <v>0</v>
      </c>
      <c r="AG469" t="s">
        <v>49</v>
      </c>
      <c r="AH469">
        <v>0</v>
      </c>
      <c r="AI469" t="s">
        <v>49</v>
      </c>
      <c r="AJ469" t="s">
        <v>49</v>
      </c>
      <c r="AK469" t="s">
        <v>49</v>
      </c>
      <c r="AL469" t="s">
        <v>49</v>
      </c>
      <c r="AM469" t="s">
        <v>49</v>
      </c>
      <c r="AN469" s="3">
        <v>16</v>
      </c>
      <c r="AO469" s="19">
        <v>0</v>
      </c>
      <c r="AP469" s="19">
        <v>0</v>
      </c>
      <c r="AQ469" s="19">
        <v>0.8667</v>
      </c>
      <c r="AR469" s="19">
        <v>0.6667</v>
      </c>
      <c r="AS469" s="19">
        <v>0</v>
      </c>
      <c r="AT469" s="19">
        <v>0</v>
      </c>
      <c r="AU469" s="3">
        <v>0</v>
      </c>
      <c r="AV469" s="3">
        <v>0</v>
      </c>
      <c r="AW469" s="19">
        <v>0</v>
      </c>
      <c r="AX469" s="3">
        <v>0</v>
      </c>
      <c r="AY469" s="3">
        <v>0</v>
      </c>
    </row>
    <row r="470" spans="1:51">
      <c r="A470" s="3">
        <v>17860477</v>
      </c>
      <c r="B470" t="s">
        <v>767</v>
      </c>
      <c r="C470" s="3">
        <v>16143205</v>
      </c>
      <c r="D470" t="s">
        <v>44</v>
      </c>
      <c r="E470" t="s">
        <v>768</v>
      </c>
      <c r="F470" t="s">
        <v>65</v>
      </c>
      <c r="G470" t="s">
        <v>47</v>
      </c>
      <c r="H470" s="16">
        <v>0</v>
      </c>
      <c r="I470" s="4">
        <f>VLOOKUP(C470,[1]sheet1!$D:$I,6,0)</f>
        <v>0</v>
      </c>
      <c r="J470" s="4">
        <f>VLOOKUP(C470,[2]sheet1!$D:$I,6,0)</f>
        <v>0</v>
      </c>
      <c r="K470" s="4">
        <f>VLOOKUP(C470,[3]sheet1!$D:$I,6,0)</f>
        <v>0</v>
      </c>
      <c r="L470" s="4">
        <f>VLOOKUP(C470,[4]sheet1!$D:$I,6,0)</f>
        <v>0</v>
      </c>
      <c r="M470" s="4">
        <f>VLOOKUP(C470,[5]sheet1!$D:$I,6,0)</f>
        <v>0</v>
      </c>
      <c r="N470" s="4">
        <f>VLOOKUP(C470,[6]sheet1!$D:$I,6,0)</f>
        <v>0</v>
      </c>
      <c r="O470" s="4">
        <f>VLOOKUP(C470,[7]sheet1!$D:$I,6,0)</f>
        <v>0</v>
      </c>
      <c r="P470" s="4">
        <f>VLOOKUP(C470,[8]sheet1!$D:$I,6,0)</f>
        <v>0</v>
      </c>
      <c r="Q470" s="4">
        <f t="shared" si="7"/>
        <v>0</v>
      </c>
      <c r="R470" s="3">
        <v>0</v>
      </c>
      <c r="S470" s="3">
        <v>1</v>
      </c>
      <c r="T470" s="19">
        <v>0</v>
      </c>
      <c r="U470" s="3">
        <v>0</v>
      </c>
      <c r="V470" s="3">
        <v>0</v>
      </c>
      <c r="W470">
        <v>0</v>
      </c>
      <c r="X470" s="3">
        <v>0</v>
      </c>
      <c r="Y470">
        <v>0</v>
      </c>
      <c r="Z470" s="3">
        <v>0</v>
      </c>
      <c r="AA470" t="s">
        <v>126</v>
      </c>
      <c r="AB470" t="s">
        <v>49</v>
      </c>
      <c r="AC470">
        <v>27.03</v>
      </c>
      <c r="AD470" t="s">
        <v>49</v>
      </c>
      <c r="AE470">
        <v>0</v>
      </c>
      <c r="AF470" s="3">
        <v>0</v>
      </c>
      <c r="AG470" t="s">
        <v>49</v>
      </c>
      <c r="AH470">
        <v>0</v>
      </c>
      <c r="AI470" t="s">
        <v>49</v>
      </c>
      <c r="AJ470" t="s">
        <v>49</v>
      </c>
      <c r="AK470" t="s">
        <v>49</v>
      </c>
      <c r="AL470" t="s">
        <v>49</v>
      </c>
      <c r="AM470" t="s">
        <v>49</v>
      </c>
      <c r="AN470" s="3">
        <v>1</v>
      </c>
      <c r="AO470" s="19">
        <v>0</v>
      </c>
      <c r="AP470" s="19">
        <v>0</v>
      </c>
      <c r="AQ470" s="19">
        <v>1</v>
      </c>
      <c r="AR470" s="19">
        <v>0</v>
      </c>
      <c r="AS470" s="19">
        <v>0</v>
      </c>
      <c r="AT470" s="19">
        <v>0</v>
      </c>
      <c r="AU470" s="3">
        <v>0</v>
      </c>
      <c r="AV470" s="3">
        <v>0</v>
      </c>
      <c r="AW470" s="19">
        <v>0</v>
      </c>
      <c r="AX470" s="3">
        <v>0</v>
      </c>
      <c r="AY470" s="3">
        <v>0</v>
      </c>
    </row>
    <row r="471" spans="1:51">
      <c r="A471" s="3">
        <v>17858403</v>
      </c>
      <c r="B471" t="s">
        <v>769</v>
      </c>
      <c r="C471" s="3">
        <v>16323402</v>
      </c>
      <c r="D471" t="s">
        <v>44</v>
      </c>
      <c r="E471" t="s">
        <v>304</v>
      </c>
      <c r="F471" t="s">
        <v>65</v>
      </c>
      <c r="G471" t="s">
        <v>47</v>
      </c>
      <c r="H471" s="16">
        <v>0</v>
      </c>
      <c r="I471" s="4">
        <f>VLOOKUP(C471,[1]sheet1!$D:$I,6,0)</f>
        <v>0</v>
      </c>
      <c r="J471" s="4">
        <f>VLOOKUP(C471,[2]sheet1!$D:$I,6,0)</f>
        <v>0</v>
      </c>
      <c r="K471" s="4">
        <f>VLOOKUP(C471,[3]sheet1!$D:$I,6,0)</f>
        <v>0</v>
      </c>
      <c r="L471" s="4">
        <f>VLOOKUP(C471,[4]sheet1!$D:$I,6,0)</f>
        <v>0</v>
      </c>
      <c r="M471" s="4">
        <f>VLOOKUP(C471,[5]sheet1!$D:$I,6,0)</f>
        <v>0</v>
      </c>
      <c r="N471" s="4">
        <f>VLOOKUP(C471,[6]sheet1!$D:$I,6,0)</f>
        <v>0</v>
      </c>
      <c r="O471" s="4">
        <f>VLOOKUP(C471,[7]sheet1!$D:$I,6,0)</f>
        <v>0</v>
      </c>
      <c r="P471" s="4">
        <f>VLOOKUP(C471,[8]sheet1!$D:$I,6,0)</f>
        <v>0</v>
      </c>
      <c r="Q471" s="4">
        <f t="shared" si="7"/>
        <v>0</v>
      </c>
      <c r="R471" s="3">
        <v>0</v>
      </c>
      <c r="S471" s="3">
        <v>3</v>
      </c>
      <c r="T471" s="19">
        <v>0</v>
      </c>
      <c r="U471" s="3">
        <v>0</v>
      </c>
      <c r="V471" s="3">
        <v>0</v>
      </c>
      <c r="W471">
        <v>0</v>
      </c>
      <c r="X471" s="3">
        <v>0</v>
      </c>
      <c r="Y471">
        <v>0</v>
      </c>
      <c r="Z471" s="3">
        <v>0</v>
      </c>
      <c r="AA471" t="s">
        <v>49</v>
      </c>
      <c r="AB471" t="s">
        <v>49</v>
      </c>
      <c r="AC471" t="s">
        <v>49</v>
      </c>
      <c r="AD471" t="s">
        <v>49</v>
      </c>
      <c r="AE471">
        <v>0</v>
      </c>
      <c r="AF471" s="3">
        <v>0</v>
      </c>
      <c r="AG471" t="s">
        <v>49</v>
      </c>
      <c r="AH471" t="s">
        <v>49</v>
      </c>
      <c r="AI471" t="s">
        <v>49</v>
      </c>
      <c r="AJ471" t="s">
        <v>49</v>
      </c>
      <c r="AK471" t="s">
        <v>49</v>
      </c>
      <c r="AL471" t="s">
        <v>49</v>
      </c>
      <c r="AM471" t="s">
        <v>49</v>
      </c>
      <c r="AN471" s="3">
        <v>3</v>
      </c>
      <c r="AO471" s="19">
        <v>0</v>
      </c>
      <c r="AP471" s="19">
        <v>0</v>
      </c>
      <c r="AQ471" s="19">
        <v>0.6667</v>
      </c>
      <c r="AR471" s="19">
        <v>0</v>
      </c>
      <c r="AS471" s="19">
        <v>0</v>
      </c>
      <c r="AT471" s="19">
        <v>0</v>
      </c>
      <c r="AU471" s="3">
        <v>0</v>
      </c>
      <c r="AV471" s="3">
        <v>0</v>
      </c>
      <c r="AW471" s="19">
        <v>0</v>
      </c>
      <c r="AX471" s="3">
        <v>0</v>
      </c>
      <c r="AY471" s="3">
        <v>0</v>
      </c>
    </row>
    <row r="472" spans="1:51">
      <c r="A472" s="3">
        <v>17857651</v>
      </c>
      <c r="B472" t="s">
        <v>770</v>
      </c>
      <c r="C472" s="3">
        <v>16243103</v>
      </c>
      <c r="D472" t="s">
        <v>44</v>
      </c>
      <c r="E472" t="s">
        <v>771</v>
      </c>
      <c r="F472" t="s">
        <v>65</v>
      </c>
      <c r="G472" t="s">
        <v>47</v>
      </c>
      <c r="H472" s="16">
        <v>0</v>
      </c>
      <c r="I472" s="4">
        <f>VLOOKUP(C472,[1]sheet1!$D:$I,6,0)</f>
        <v>0</v>
      </c>
      <c r="J472" s="4">
        <f>VLOOKUP(C472,[2]sheet1!$D:$I,6,0)</f>
        <v>0</v>
      </c>
      <c r="K472" s="4">
        <f>VLOOKUP(C472,[3]sheet1!$D:$I,6,0)</f>
        <v>0</v>
      </c>
      <c r="L472" s="4">
        <f>VLOOKUP(C472,[4]sheet1!$D:$I,6,0)</f>
        <v>0</v>
      </c>
      <c r="M472" s="4">
        <f>VLOOKUP(C472,[5]sheet1!$D:$I,6,0)</f>
        <v>0</v>
      </c>
      <c r="N472" s="4">
        <f>VLOOKUP(C472,[6]sheet1!$D:$I,6,0)</f>
        <v>0</v>
      </c>
      <c r="O472" s="4">
        <f>VLOOKUP(C472,[7]sheet1!$D:$I,6,0)</f>
        <v>0</v>
      </c>
      <c r="P472" s="4">
        <f>VLOOKUP(C472,[8]sheet1!$D:$I,6,0)</f>
        <v>0</v>
      </c>
      <c r="Q472" s="4">
        <f t="shared" si="7"/>
        <v>0</v>
      </c>
      <c r="R472" s="3">
        <v>0</v>
      </c>
      <c r="S472" s="3">
        <v>1</v>
      </c>
      <c r="T472" s="19">
        <v>0</v>
      </c>
      <c r="U472" s="3">
        <v>0</v>
      </c>
      <c r="V472" s="3">
        <v>0</v>
      </c>
      <c r="W472">
        <v>0</v>
      </c>
      <c r="X472" s="3">
        <v>0</v>
      </c>
      <c r="Y472">
        <v>0</v>
      </c>
      <c r="Z472" s="3">
        <v>0</v>
      </c>
      <c r="AA472" t="s">
        <v>49</v>
      </c>
      <c r="AB472" t="s">
        <v>49</v>
      </c>
      <c r="AC472" t="s">
        <v>49</v>
      </c>
      <c r="AD472" t="s">
        <v>49</v>
      </c>
      <c r="AE472">
        <v>0</v>
      </c>
      <c r="AF472" s="3">
        <v>0</v>
      </c>
      <c r="AG472" t="s">
        <v>49</v>
      </c>
      <c r="AH472" t="s">
        <v>49</v>
      </c>
      <c r="AI472" t="s">
        <v>49</v>
      </c>
      <c r="AJ472" t="s">
        <v>49</v>
      </c>
      <c r="AK472" t="s">
        <v>49</v>
      </c>
      <c r="AL472" t="s">
        <v>49</v>
      </c>
      <c r="AM472" t="s">
        <v>49</v>
      </c>
      <c r="AN472" s="3">
        <v>1</v>
      </c>
      <c r="AO472" s="19">
        <v>0</v>
      </c>
      <c r="AP472" s="19">
        <v>0</v>
      </c>
      <c r="AQ472" s="19">
        <v>1</v>
      </c>
      <c r="AR472" s="19">
        <v>0</v>
      </c>
      <c r="AS472" s="19">
        <v>0</v>
      </c>
      <c r="AT472" s="19">
        <v>0</v>
      </c>
      <c r="AU472" s="3">
        <v>0</v>
      </c>
      <c r="AV472" s="3">
        <v>0</v>
      </c>
      <c r="AW472" s="19">
        <v>0</v>
      </c>
      <c r="AX472" s="3">
        <v>0</v>
      </c>
      <c r="AY472" s="3">
        <v>0</v>
      </c>
    </row>
    <row r="473" spans="1:51">
      <c r="A473" s="3">
        <v>17856930</v>
      </c>
      <c r="B473" t="s">
        <v>772</v>
      </c>
      <c r="C473" s="3">
        <v>16343418</v>
      </c>
      <c r="D473" t="s">
        <v>44</v>
      </c>
      <c r="E473" t="s">
        <v>773</v>
      </c>
      <c r="F473" t="s">
        <v>65</v>
      </c>
      <c r="G473" t="s">
        <v>47</v>
      </c>
      <c r="H473" s="16">
        <v>0</v>
      </c>
      <c r="I473" s="4">
        <f>VLOOKUP(C473,[1]sheet1!$D:$I,6,0)</f>
        <v>0</v>
      </c>
      <c r="J473" s="4">
        <f>VLOOKUP(C473,[2]sheet1!$D:$I,6,0)</f>
        <v>0</v>
      </c>
      <c r="K473" s="4">
        <f>VLOOKUP(C473,[3]sheet1!$D:$I,6,0)</f>
        <v>0</v>
      </c>
      <c r="L473" s="4">
        <f>VLOOKUP(C473,[4]sheet1!$D:$I,6,0)</f>
        <v>0</v>
      </c>
      <c r="M473" s="4">
        <f>VLOOKUP(C473,[5]sheet1!$D:$I,6,0)</f>
        <v>0</v>
      </c>
      <c r="N473" s="4">
        <f>VLOOKUP(C473,[6]sheet1!$D:$I,6,0)</f>
        <v>0</v>
      </c>
      <c r="O473" s="4">
        <f>VLOOKUP(C473,[7]sheet1!$D:$I,6,0)</f>
        <v>0</v>
      </c>
      <c r="P473" s="4">
        <f>VLOOKUP(C473,[8]sheet1!$D:$I,6,0)</f>
        <v>0</v>
      </c>
      <c r="Q473" s="4">
        <f t="shared" si="7"/>
        <v>0</v>
      </c>
      <c r="R473" s="3">
        <v>0</v>
      </c>
      <c r="S473" s="3">
        <v>2</v>
      </c>
      <c r="T473" s="19">
        <v>0</v>
      </c>
      <c r="U473" s="3">
        <v>0</v>
      </c>
      <c r="V473" s="3">
        <v>0</v>
      </c>
      <c r="W473">
        <v>0</v>
      </c>
      <c r="X473" s="3">
        <v>0</v>
      </c>
      <c r="Y473">
        <v>0</v>
      </c>
      <c r="Z473" s="3">
        <v>0</v>
      </c>
      <c r="AA473" t="s">
        <v>49</v>
      </c>
      <c r="AB473" t="s">
        <v>49</v>
      </c>
      <c r="AC473" t="s">
        <v>49</v>
      </c>
      <c r="AD473" t="s">
        <v>49</v>
      </c>
      <c r="AE473">
        <v>0</v>
      </c>
      <c r="AF473" s="3">
        <v>0</v>
      </c>
      <c r="AG473" t="s">
        <v>49</v>
      </c>
      <c r="AH473" t="s">
        <v>49</v>
      </c>
      <c r="AI473" t="s">
        <v>49</v>
      </c>
      <c r="AJ473" t="s">
        <v>49</v>
      </c>
      <c r="AK473" t="s">
        <v>49</v>
      </c>
      <c r="AL473" t="s">
        <v>49</v>
      </c>
      <c r="AM473" t="s">
        <v>49</v>
      </c>
      <c r="AN473" s="3">
        <v>2</v>
      </c>
      <c r="AO473" s="19">
        <v>0</v>
      </c>
      <c r="AP473" s="19">
        <v>0</v>
      </c>
      <c r="AQ473" s="19">
        <v>0.5</v>
      </c>
      <c r="AR473" s="19">
        <v>0</v>
      </c>
      <c r="AS473" s="19">
        <v>0</v>
      </c>
      <c r="AT473" s="19">
        <v>0</v>
      </c>
      <c r="AU473" s="3">
        <v>0</v>
      </c>
      <c r="AV473" s="3">
        <v>0</v>
      </c>
      <c r="AW473" s="19">
        <v>0</v>
      </c>
      <c r="AX473" s="3">
        <v>0</v>
      </c>
      <c r="AY473" s="3">
        <v>0</v>
      </c>
    </row>
    <row r="474" spans="1:51">
      <c r="A474" s="3">
        <v>17650370</v>
      </c>
      <c r="B474" t="s">
        <v>774</v>
      </c>
      <c r="C474" s="3">
        <v>1124310184</v>
      </c>
      <c r="D474" t="s">
        <v>44</v>
      </c>
      <c r="E474" t="s">
        <v>206</v>
      </c>
      <c r="F474" t="s">
        <v>65</v>
      </c>
      <c r="G474" t="s">
        <v>47</v>
      </c>
      <c r="H474" s="16">
        <v>0</v>
      </c>
      <c r="I474" s="4">
        <f>VLOOKUP(C474,[1]sheet1!$D:$I,6,0)</f>
        <v>0</v>
      </c>
      <c r="J474" s="4">
        <f>VLOOKUP(C474,[2]sheet1!$D:$I,6,0)</f>
        <v>0</v>
      </c>
      <c r="K474" s="4">
        <f>VLOOKUP(C474,[3]sheet1!$D:$I,6,0)</f>
        <v>0</v>
      </c>
      <c r="L474" s="4">
        <f>VLOOKUP(C474,[4]sheet1!$D:$I,6,0)</f>
        <v>0</v>
      </c>
      <c r="M474" s="4">
        <f>VLOOKUP(C474,[5]sheet1!$D:$I,6,0)</f>
        <v>0</v>
      </c>
      <c r="N474" s="4">
        <f>VLOOKUP(C474,[6]sheet1!$D:$I,6,0)</f>
        <v>0</v>
      </c>
      <c r="O474" s="4">
        <f>VLOOKUP(C474,[7]sheet1!$D:$I,6,0)</f>
        <v>0</v>
      </c>
      <c r="P474" s="4">
        <f>VLOOKUP(C474,[8]sheet1!$D:$I,6,0)</f>
        <v>0</v>
      </c>
      <c r="Q474" s="4">
        <f t="shared" si="7"/>
        <v>0</v>
      </c>
      <c r="R474" s="3">
        <v>0</v>
      </c>
      <c r="S474" s="3">
        <v>12</v>
      </c>
      <c r="T474" s="19">
        <v>0</v>
      </c>
      <c r="U474" s="3">
        <v>1</v>
      </c>
      <c r="V474" s="3">
        <v>0</v>
      </c>
      <c r="W474">
        <v>0</v>
      </c>
      <c r="X474" s="3">
        <v>0</v>
      </c>
      <c r="Y474">
        <v>0</v>
      </c>
      <c r="Z474" s="3">
        <v>0</v>
      </c>
      <c r="AA474" t="s">
        <v>49</v>
      </c>
      <c r="AB474" t="s">
        <v>49</v>
      </c>
      <c r="AC474" t="s">
        <v>49</v>
      </c>
      <c r="AD474" t="s">
        <v>49</v>
      </c>
      <c r="AE474">
        <v>0</v>
      </c>
      <c r="AF474" s="3">
        <v>0</v>
      </c>
      <c r="AG474" t="s">
        <v>49</v>
      </c>
      <c r="AH474" t="s">
        <v>49</v>
      </c>
      <c r="AI474" t="s">
        <v>49</v>
      </c>
      <c r="AJ474" t="s">
        <v>49</v>
      </c>
      <c r="AK474" t="s">
        <v>49</v>
      </c>
      <c r="AL474" t="s">
        <v>49</v>
      </c>
      <c r="AM474" t="s">
        <v>49</v>
      </c>
      <c r="AN474" s="3">
        <v>13</v>
      </c>
      <c r="AO474" s="19">
        <v>0</v>
      </c>
      <c r="AP474" s="19">
        <v>0</v>
      </c>
      <c r="AQ474" s="19">
        <v>1</v>
      </c>
      <c r="AR474" s="19">
        <v>0.4167</v>
      </c>
      <c r="AS474" s="19">
        <v>1</v>
      </c>
      <c r="AT474" s="19">
        <v>0</v>
      </c>
      <c r="AU474" s="3">
        <v>0</v>
      </c>
      <c r="AV474" s="3">
        <v>0</v>
      </c>
      <c r="AW474" s="19">
        <v>0</v>
      </c>
      <c r="AX474" s="3">
        <v>0</v>
      </c>
      <c r="AY474" s="3">
        <v>0</v>
      </c>
    </row>
    <row r="475" spans="1:51">
      <c r="A475" s="3">
        <v>17592823</v>
      </c>
      <c r="B475" t="s">
        <v>775</v>
      </c>
      <c r="C475" s="3">
        <v>124401056</v>
      </c>
      <c r="D475" t="s">
        <v>44</v>
      </c>
      <c r="E475" t="s">
        <v>104</v>
      </c>
      <c r="F475" t="s">
        <v>65</v>
      </c>
      <c r="G475" t="s">
        <v>47</v>
      </c>
      <c r="H475" s="16">
        <v>0</v>
      </c>
      <c r="I475" s="4">
        <f>VLOOKUP(C475,[1]sheet1!$D:$I,6,0)</f>
        <v>0</v>
      </c>
      <c r="J475" s="4">
        <f>VLOOKUP(C475,[2]sheet1!$D:$I,6,0)</f>
        <v>0</v>
      </c>
      <c r="K475" s="4">
        <f>VLOOKUP(C475,[3]sheet1!$D:$I,6,0)</f>
        <v>0</v>
      </c>
      <c r="L475" s="4">
        <f>VLOOKUP(C475,[4]sheet1!$D:$I,6,0)</f>
        <v>0</v>
      </c>
      <c r="M475" s="4">
        <f>VLOOKUP(C475,[5]sheet1!$D:$I,6,0)</f>
        <v>0</v>
      </c>
      <c r="N475" s="4">
        <f>VLOOKUP(C475,[6]sheet1!$D:$I,6,0)</f>
        <v>0</v>
      </c>
      <c r="O475" s="4">
        <f>VLOOKUP(C475,[7]sheet1!$D:$I,6,0)</f>
        <v>0</v>
      </c>
      <c r="P475" s="4">
        <f>VLOOKUP(C475,[8]sheet1!$D:$I,6,0)</f>
        <v>0</v>
      </c>
      <c r="Q475" s="4">
        <f t="shared" si="7"/>
        <v>0</v>
      </c>
      <c r="R475" s="3">
        <v>0</v>
      </c>
      <c r="S475" s="3">
        <v>0</v>
      </c>
      <c r="T475" s="19">
        <v>0</v>
      </c>
      <c r="U475" s="3">
        <v>0</v>
      </c>
      <c r="V475" s="3">
        <v>0</v>
      </c>
      <c r="W475">
        <v>0</v>
      </c>
      <c r="X475" s="3">
        <v>0</v>
      </c>
      <c r="Y475">
        <v>0</v>
      </c>
      <c r="Z475" s="3">
        <v>0</v>
      </c>
      <c r="AA475" t="s">
        <v>575</v>
      </c>
      <c r="AB475" t="s">
        <v>49</v>
      </c>
      <c r="AC475">
        <v>1642.52</v>
      </c>
      <c r="AD475" t="s">
        <v>49</v>
      </c>
      <c r="AE475">
        <v>0</v>
      </c>
      <c r="AF475" s="3">
        <v>0</v>
      </c>
      <c r="AG475" t="s">
        <v>49</v>
      </c>
      <c r="AH475">
        <v>0</v>
      </c>
      <c r="AI475" t="s">
        <v>49</v>
      </c>
      <c r="AJ475" t="s">
        <v>49</v>
      </c>
      <c r="AK475" t="s">
        <v>49</v>
      </c>
      <c r="AL475" t="s">
        <v>49</v>
      </c>
      <c r="AM475" t="s">
        <v>49</v>
      </c>
      <c r="AN475" s="3">
        <v>0</v>
      </c>
      <c r="AO475" s="19">
        <v>0</v>
      </c>
      <c r="AP475" s="19">
        <v>0</v>
      </c>
      <c r="AQ475" s="19">
        <v>0</v>
      </c>
      <c r="AR475" s="19">
        <v>0</v>
      </c>
      <c r="AS475" s="19">
        <v>0</v>
      </c>
      <c r="AT475" s="19">
        <v>0</v>
      </c>
      <c r="AU475" s="3">
        <v>0</v>
      </c>
      <c r="AV475" s="3">
        <v>0</v>
      </c>
      <c r="AW475" s="19">
        <v>0</v>
      </c>
      <c r="AX475" s="3">
        <v>0</v>
      </c>
      <c r="AY475" s="3">
        <v>0</v>
      </c>
    </row>
    <row r="476" spans="1:51">
      <c r="A476" s="3">
        <v>17579224</v>
      </c>
      <c r="B476" t="s">
        <v>776</v>
      </c>
      <c r="C476" s="3">
        <v>124306142</v>
      </c>
      <c r="D476" t="s">
        <v>44</v>
      </c>
      <c r="E476" t="s">
        <v>138</v>
      </c>
      <c r="F476" t="s">
        <v>46</v>
      </c>
      <c r="G476" t="s">
        <v>47</v>
      </c>
      <c r="H476" s="16">
        <v>0</v>
      </c>
      <c r="I476" s="4">
        <f>VLOOKUP(C476,[1]sheet1!$D:$I,6,0)</f>
        <v>0</v>
      </c>
      <c r="J476" s="4">
        <f>VLOOKUP(C476,[2]sheet1!$D:$I,6,0)</f>
        <v>0</v>
      </c>
      <c r="K476" s="4">
        <f>VLOOKUP(C476,[3]sheet1!$D:$I,6,0)</f>
        <v>0</v>
      </c>
      <c r="L476" s="4">
        <f>VLOOKUP(C476,[4]sheet1!$D:$I,6,0)</f>
        <v>0</v>
      </c>
      <c r="M476" s="4">
        <f>VLOOKUP(C476,[5]sheet1!$D:$I,6,0)</f>
        <v>0</v>
      </c>
      <c r="N476" s="4">
        <f>VLOOKUP(C476,[6]sheet1!$D:$I,6,0)</f>
        <v>0</v>
      </c>
      <c r="O476" s="4">
        <f>VLOOKUP(C476,[7]sheet1!$D:$I,6,0)</f>
        <v>442</v>
      </c>
      <c r="P476" s="4">
        <f>VLOOKUP(C476,[8]sheet1!$D:$I,6,0)</f>
        <v>424</v>
      </c>
      <c r="Q476" s="15">
        <f t="shared" si="7"/>
        <v>866</v>
      </c>
      <c r="R476" s="3">
        <v>0</v>
      </c>
      <c r="S476">
        <v>319</v>
      </c>
      <c r="T476">
        <v>0</v>
      </c>
      <c r="U476" s="3">
        <v>3</v>
      </c>
      <c r="V476" s="3">
        <v>0</v>
      </c>
      <c r="W476">
        <v>0</v>
      </c>
      <c r="X476" s="3">
        <v>0</v>
      </c>
      <c r="Y476">
        <v>0</v>
      </c>
      <c r="Z476" s="3">
        <v>0</v>
      </c>
      <c r="AA476" t="s">
        <v>49</v>
      </c>
      <c r="AB476" s="3">
        <v>399</v>
      </c>
      <c r="AC476" t="s">
        <v>49</v>
      </c>
      <c r="AD476" t="s">
        <v>49</v>
      </c>
      <c r="AE476">
        <v>0</v>
      </c>
      <c r="AF476" s="3">
        <v>0</v>
      </c>
      <c r="AG476" t="s">
        <v>49</v>
      </c>
      <c r="AH476" t="s">
        <v>49</v>
      </c>
      <c r="AI476" t="s">
        <v>49</v>
      </c>
      <c r="AJ476">
        <v>334.94</v>
      </c>
      <c r="AK476" t="s">
        <v>49</v>
      </c>
      <c r="AL476">
        <v>0</v>
      </c>
      <c r="AM476" t="s">
        <v>49</v>
      </c>
      <c r="AN476" s="3">
        <v>86</v>
      </c>
      <c r="AO476" s="19">
        <v>0</v>
      </c>
      <c r="AP476" s="19">
        <v>0</v>
      </c>
      <c r="AQ476" s="19">
        <v>0.96</v>
      </c>
      <c r="AR476" s="19">
        <v>0.64</v>
      </c>
      <c r="AS476" s="19">
        <v>1</v>
      </c>
      <c r="AT476" s="19">
        <v>1</v>
      </c>
      <c r="AU476" s="3">
        <v>1</v>
      </c>
      <c r="AV476" s="3">
        <v>0</v>
      </c>
      <c r="AW476" s="19">
        <v>1</v>
      </c>
      <c r="AX476" s="3">
        <v>0</v>
      </c>
      <c r="AY476" s="3">
        <v>0</v>
      </c>
    </row>
    <row r="477" spans="1:51">
      <c r="A477" s="3">
        <v>17421484</v>
      </c>
      <c r="B477" t="s">
        <v>777</v>
      </c>
      <c r="C477" s="3">
        <v>114408263</v>
      </c>
      <c r="D477" t="s">
        <v>44</v>
      </c>
      <c r="E477" t="s">
        <v>365</v>
      </c>
      <c r="F477" t="s">
        <v>46</v>
      </c>
      <c r="G477" t="s">
        <v>47</v>
      </c>
      <c r="H477" s="16">
        <v>0</v>
      </c>
      <c r="I477" s="4">
        <f>VLOOKUP(C477,[1]sheet1!$D:$I,6,0)</f>
        <v>0</v>
      </c>
      <c r="J477" s="4">
        <f>VLOOKUP(C477,[2]sheet1!$D:$I,6,0)</f>
        <v>0</v>
      </c>
      <c r="K477" s="4">
        <f>VLOOKUP(C477,[3]sheet1!$D:$I,6,0)</f>
        <v>0</v>
      </c>
      <c r="L477" s="4">
        <f>VLOOKUP(C477,[4]sheet1!$D:$I,6,0)</f>
        <v>0</v>
      </c>
      <c r="M477" s="4">
        <f>VLOOKUP(C477,[5]sheet1!$D:$I,6,0)</f>
        <v>0</v>
      </c>
      <c r="N477" s="4">
        <f>VLOOKUP(C477,[6]sheet1!$D:$I,6,0)</f>
        <v>0</v>
      </c>
      <c r="O477" s="4">
        <f>VLOOKUP(C477,[7]sheet1!$D:$I,6,0)</f>
        <v>0</v>
      </c>
      <c r="P477" s="4">
        <f>VLOOKUP(C477,[8]sheet1!$D:$I,6,0)</f>
        <v>0</v>
      </c>
      <c r="Q477" s="4">
        <f t="shared" si="7"/>
        <v>0</v>
      </c>
      <c r="R477" s="3">
        <v>0</v>
      </c>
      <c r="S477">
        <v>52</v>
      </c>
      <c r="T477">
        <v>0</v>
      </c>
      <c r="U477" s="3">
        <v>0</v>
      </c>
      <c r="V477" s="3">
        <v>0</v>
      </c>
      <c r="W477">
        <v>0</v>
      </c>
      <c r="X477" s="3">
        <v>0</v>
      </c>
      <c r="Y477">
        <v>0</v>
      </c>
      <c r="Z477" s="3">
        <v>0</v>
      </c>
      <c r="AA477" t="s">
        <v>778</v>
      </c>
      <c r="AB477" s="3">
        <v>2199</v>
      </c>
      <c r="AC477">
        <v>1903.02</v>
      </c>
      <c r="AD477" t="s">
        <v>49</v>
      </c>
      <c r="AE477">
        <v>0</v>
      </c>
      <c r="AF477" s="3">
        <v>0</v>
      </c>
      <c r="AG477" t="s">
        <v>49</v>
      </c>
      <c r="AH477">
        <v>0</v>
      </c>
      <c r="AI477" t="s">
        <v>49</v>
      </c>
      <c r="AJ477" t="s">
        <v>49</v>
      </c>
      <c r="AK477" t="s">
        <v>49</v>
      </c>
      <c r="AL477" t="s">
        <v>49</v>
      </c>
      <c r="AM477" t="s">
        <v>49</v>
      </c>
      <c r="AN477">
        <v>52</v>
      </c>
      <c r="AO477" s="19">
        <v>0</v>
      </c>
      <c r="AP477" s="19">
        <v>0</v>
      </c>
      <c r="AQ477" s="19">
        <v>1</v>
      </c>
      <c r="AR477" s="19">
        <v>0.5</v>
      </c>
      <c r="AS477" s="19">
        <v>0</v>
      </c>
      <c r="AT477" s="19">
        <v>0</v>
      </c>
      <c r="AU477" s="3">
        <v>0</v>
      </c>
      <c r="AV477" s="3">
        <v>0</v>
      </c>
      <c r="AW477" s="19">
        <v>0</v>
      </c>
      <c r="AX477" s="3">
        <v>0</v>
      </c>
      <c r="AY477" s="3">
        <v>0</v>
      </c>
    </row>
    <row r="478" spans="1:51">
      <c r="A478" s="3">
        <v>17421175</v>
      </c>
      <c r="B478" t="s">
        <v>779</v>
      </c>
      <c r="C478" s="3">
        <v>114401077</v>
      </c>
      <c r="D478" t="s">
        <v>44</v>
      </c>
      <c r="E478" t="s">
        <v>104</v>
      </c>
      <c r="F478" t="s">
        <v>46</v>
      </c>
      <c r="G478" t="s">
        <v>47</v>
      </c>
      <c r="H478" s="16">
        <v>0</v>
      </c>
      <c r="I478" s="4">
        <f>VLOOKUP(C478,[1]sheet1!$D:$I,6,0)</f>
        <v>0</v>
      </c>
      <c r="J478" s="4">
        <f>VLOOKUP(C478,[2]sheet1!$D:$I,6,0)</f>
        <v>0</v>
      </c>
      <c r="K478" s="4">
        <f>VLOOKUP(C478,[3]sheet1!$D:$I,6,0)</f>
        <v>0</v>
      </c>
      <c r="L478" s="4">
        <f>VLOOKUP(C478,[4]sheet1!$D:$I,6,0)</f>
        <v>0</v>
      </c>
      <c r="M478" s="4">
        <f>VLOOKUP(C478,[5]sheet1!$D:$I,6,0)</f>
        <v>0</v>
      </c>
      <c r="N478" s="4">
        <f>VLOOKUP(C478,[6]sheet1!$D:$I,6,0)</f>
        <v>0</v>
      </c>
      <c r="O478" s="4">
        <f>VLOOKUP(C478,[7]sheet1!$D:$I,6,0)</f>
        <v>0</v>
      </c>
      <c r="P478" s="4">
        <f>VLOOKUP(C478,[8]sheet1!$D:$I,6,0)</f>
        <v>0</v>
      </c>
      <c r="Q478" s="4">
        <f t="shared" si="7"/>
        <v>0</v>
      </c>
      <c r="R478" s="3">
        <v>0</v>
      </c>
      <c r="S478">
        <v>97</v>
      </c>
      <c r="T478">
        <v>0</v>
      </c>
      <c r="U478" s="3">
        <v>0</v>
      </c>
      <c r="V478" s="3">
        <v>0</v>
      </c>
      <c r="W478">
        <v>0</v>
      </c>
      <c r="X478" s="3">
        <v>0</v>
      </c>
      <c r="Y478">
        <v>0</v>
      </c>
      <c r="Z478" s="3">
        <v>0</v>
      </c>
      <c r="AA478" t="s">
        <v>780</v>
      </c>
      <c r="AB478" s="3">
        <v>1071</v>
      </c>
      <c r="AC478">
        <v>1007.42</v>
      </c>
      <c r="AD478" t="s">
        <v>49</v>
      </c>
      <c r="AE478">
        <v>0</v>
      </c>
      <c r="AF478" s="3">
        <v>0</v>
      </c>
      <c r="AG478" t="s">
        <v>49</v>
      </c>
      <c r="AH478">
        <v>0</v>
      </c>
      <c r="AI478" t="s">
        <v>49</v>
      </c>
      <c r="AJ478">
        <v>922.16</v>
      </c>
      <c r="AK478" t="s">
        <v>49</v>
      </c>
      <c r="AL478">
        <v>0</v>
      </c>
      <c r="AM478" t="s">
        <v>49</v>
      </c>
      <c r="AN478" s="3">
        <v>10</v>
      </c>
      <c r="AO478" s="19">
        <v>0</v>
      </c>
      <c r="AP478" s="19">
        <v>0</v>
      </c>
      <c r="AQ478" s="19">
        <v>0.8571</v>
      </c>
      <c r="AR478" s="19">
        <v>0.5714</v>
      </c>
      <c r="AS478" s="19">
        <v>0</v>
      </c>
      <c r="AT478" s="19">
        <v>0</v>
      </c>
      <c r="AU478" s="3">
        <v>0</v>
      </c>
      <c r="AV478" s="3">
        <v>0</v>
      </c>
      <c r="AW478" s="19">
        <v>0</v>
      </c>
      <c r="AX478" s="3">
        <v>0</v>
      </c>
      <c r="AY478" s="3">
        <v>0</v>
      </c>
    </row>
    <row r="479" spans="1:51">
      <c r="A479" s="3">
        <v>17358411</v>
      </c>
      <c r="B479" t="s">
        <v>781</v>
      </c>
      <c r="C479" t="s">
        <v>782</v>
      </c>
      <c r="D479" t="s">
        <v>44</v>
      </c>
      <c r="E479" t="s">
        <v>783</v>
      </c>
      <c r="F479" t="s">
        <v>65</v>
      </c>
      <c r="G479" t="s">
        <v>47</v>
      </c>
      <c r="H479" s="16">
        <v>0</v>
      </c>
      <c r="I479" s="4">
        <f>VLOOKUP(C479,[1]sheet1!$D:$I,6,0)</f>
        <v>0</v>
      </c>
      <c r="J479" s="4">
        <f>VLOOKUP(C479,[2]sheet1!$D:$I,6,0)</f>
        <v>0</v>
      </c>
      <c r="K479" s="4">
        <f>VLOOKUP(C479,[3]sheet1!$D:$I,6,0)</f>
        <v>0</v>
      </c>
      <c r="L479" s="4">
        <f>VLOOKUP(C479,[4]sheet1!$D:$I,6,0)</f>
        <v>0</v>
      </c>
      <c r="M479" s="4">
        <f>VLOOKUP(C479,[5]sheet1!$D:$I,6,0)</f>
        <v>0</v>
      </c>
      <c r="N479" s="4">
        <f>VLOOKUP(C479,[6]sheet1!$D:$I,6,0)</f>
        <v>0</v>
      </c>
      <c r="O479" s="4">
        <f>VLOOKUP(C479,[7]sheet1!$D:$I,6,0)</f>
        <v>0</v>
      </c>
      <c r="P479" s="4">
        <f>VLOOKUP(C479,[8]sheet1!$D:$I,6,0)</f>
        <v>0</v>
      </c>
      <c r="Q479" s="4">
        <f t="shared" si="7"/>
        <v>0</v>
      </c>
      <c r="R479" s="3">
        <v>0</v>
      </c>
      <c r="S479" s="3">
        <v>2</v>
      </c>
      <c r="T479" s="19">
        <v>0</v>
      </c>
      <c r="U479" s="3">
        <v>0</v>
      </c>
      <c r="V479" s="3">
        <v>0</v>
      </c>
      <c r="W479">
        <v>0</v>
      </c>
      <c r="X479" s="3">
        <v>0</v>
      </c>
      <c r="Y479">
        <v>0</v>
      </c>
      <c r="Z479" s="3">
        <v>0</v>
      </c>
      <c r="AA479" t="s">
        <v>784</v>
      </c>
      <c r="AB479" t="s">
        <v>49</v>
      </c>
      <c r="AC479">
        <v>477.7</v>
      </c>
      <c r="AD479" t="s">
        <v>49</v>
      </c>
      <c r="AE479">
        <v>0</v>
      </c>
      <c r="AF479" s="3">
        <v>0</v>
      </c>
      <c r="AG479" t="s">
        <v>49</v>
      </c>
      <c r="AH479">
        <v>0</v>
      </c>
      <c r="AI479" t="s">
        <v>49</v>
      </c>
      <c r="AJ479" t="s">
        <v>49</v>
      </c>
      <c r="AK479" t="s">
        <v>49</v>
      </c>
      <c r="AL479" t="s">
        <v>49</v>
      </c>
      <c r="AM479" t="s">
        <v>49</v>
      </c>
      <c r="AN479" s="3">
        <v>2</v>
      </c>
      <c r="AO479" s="19">
        <v>0</v>
      </c>
      <c r="AP479" s="19">
        <v>0</v>
      </c>
      <c r="AQ479" s="19">
        <v>1</v>
      </c>
      <c r="AR479" s="19">
        <v>1</v>
      </c>
      <c r="AS479" s="19">
        <v>0</v>
      </c>
      <c r="AT479" s="19">
        <v>0</v>
      </c>
      <c r="AU479" s="3">
        <v>0</v>
      </c>
      <c r="AV479" s="3">
        <v>0</v>
      </c>
      <c r="AW479" s="19">
        <v>0</v>
      </c>
      <c r="AX479" s="3">
        <v>0</v>
      </c>
      <c r="AY479" s="3">
        <v>0</v>
      </c>
    </row>
    <row r="480" spans="1:51">
      <c r="A480" s="3">
        <v>17318994</v>
      </c>
      <c r="B480" t="s">
        <v>785</v>
      </c>
      <c r="C480" s="3">
        <v>124310204</v>
      </c>
      <c r="D480" t="s">
        <v>44</v>
      </c>
      <c r="E480" t="s">
        <v>206</v>
      </c>
      <c r="F480" t="s">
        <v>65</v>
      </c>
      <c r="G480" t="s">
        <v>47</v>
      </c>
      <c r="H480" s="16">
        <v>0</v>
      </c>
      <c r="I480" s="4">
        <f>VLOOKUP(C480,[1]sheet1!$D:$I,6,0)</f>
        <v>0</v>
      </c>
      <c r="J480" s="4">
        <f>VLOOKUP(C480,[2]sheet1!$D:$I,6,0)</f>
        <v>0</v>
      </c>
      <c r="K480" s="4">
        <f>VLOOKUP(C480,[3]sheet1!$D:$I,6,0)</f>
        <v>0</v>
      </c>
      <c r="L480" s="4">
        <f>VLOOKUP(C480,[4]sheet1!$D:$I,6,0)</f>
        <v>0</v>
      </c>
      <c r="M480" s="4">
        <f>VLOOKUP(C480,[5]sheet1!$D:$I,6,0)</f>
        <v>0</v>
      </c>
      <c r="N480" s="4">
        <f>VLOOKUP(C480,[6]sheet1!$D:$I,6,0)</f>
        <v>0</v>
      </c>
      <c r="O480" s="4">
        <f>VLOOKUP(C480,[7]sheet1!$D:$I,6,0)</f>
        <v>0</v>
      </c>
      <c r="P480" s="4">
        <f>VLOOKUP(C480,[8]sheet1!$D:$I,6,0)</f>
        <v>0</v>
      </c>
      <c r="Q480" s="4">
        <f t="shared" si="7"/>
        <v>0</v>
      </c>
      <c r="R480" s="3">
        <v>0</v>
      </c>
      <c r="S480" s="3">
        <v>0</v>
      </c>
      <c r="T480" s="19">
        <v>0</v>
      </c>
      <c r="U480" s="3">
        <v>0</v>
      </c>
      <c r="V480" s="3">
        <v>0</v>
      </c>
      <c r="W480">
        <v>0</v>
      </c>
      <c r="X480" s="3">
        <v>0</v>
      </c>
      <c r="Y480">
        <v>0</v>
      </c>
      <c r="Z480" s="3">
        <v>0</v>
      </c>
      <c r="AA480" t="s">
        <v>535</v>
      </c>
      <c r="AB480" t="s">
        <v>49</v>
      </c>
      <c r="AC480">
        <v>276.01</v>
      </c>
      <c r="AD480" t="s">
        <v>49</v>
      </c>
      <c r="AE480">
        <v>0</v>
      </c>
      <c r="AF480" s="3">
        <v>0</v>
      </c>
      <c r="AG480" t="s">
        <v>49</v>
      </c>
      <c r="AH480">
        <v>0</v>
      </c>
      <c r="AI480" t="s">
        <v>49</v>
      </c>
      <c r="AJ480" t="s">
        <v>49</v>
      </c>
      <c r="AK480" t="s">
        <v>49</v>
      </c>
      <c r="AL480" t="s">
        <v>49</v>
      </c>
      <c r="AM480" t="s">
        <v>49</v>
      </c>
      <c r="AN480" s="3">
        <v>0</v>
      </c>
      <c r="AO480" s="19">
        <v>0</v>
      </c>
      <c r="AP480" s="19">
        <v>0</v>
      </c>
      <c r="AQ480" s="19">
        <v>0</v>
      </c>
      <c r="AR480" s="19">
        <v>0</v>
      </c>
      <c r="AS480" s="19">
        <v>0</v>
      </c>
      <c r="AT480" s="19">
        <v>0</v>
      </c>
      <c r="AU480" s="3">
        <v>0</v>
      </c>
      <c r="AV480" s="3">
        <v>0</v>
      </c>
      <c r="AW480" s="19">
        <v>0</v>
      </c>
      <c r="AX480" s="3">
        <v>0</v>
      </c>
      <c r="AY480" s="3">
        <v>0</v>
      </c>
    </row>
    <row r="481" spans="1:51">
      <c r="A481" s="3">
        <v>17207765</v>
      </c>
      <c r="B481" t="s">
        <v>786</v>
      </c>
      <c r="C481" s="3">
        <v>124306144</v>
      </c>
      <c r="D481" t="s">
        <v>44</v>
      </c>
      <c r="E481" t="s">
        <v>138</v>
      </c>
      <c r="F481" t="s">
        <v>46</v>
      </c>
      <c r="G481" t="s">
        <v>47</v>
      </c>
      <c r="H481" s="16">
        <v>0</v>
      </c>
      <c r="I481" s="4">
        <f>VLOOKUP(C481,[1]sheet1!$D:$I,6,0)</f>
        <v>0</v>
      </c>
      <c r="J481" s="4">
        <f>VLOOKUP(C481,[2]sheet1!$D:$I,6,0)</f>
        <v>0</v>
      </c>
      <c r="K481" s="4">
        <f>VLOOKUP(C481,[3]sheet1!$D:$I,6,0)</f>
        <v>0</v>
      </c>
      <c r="L481" s="4">
        <f>VLOOKUP(C481,[4]sheet1!$D:$I,6,0)</f>
        <v>0</v>
      </c>
      <c r="M481" s="4">
        <f>VLOOKUP(C481,[5]sheet1!$D:$I,6,0)</f>
        <v>0</v>
      </c>
      <c r="N481" s="4">
        <f>VLOOKUP(C481,[6]sheet1!$D:$I,6,0)</f>
        <v>0</v>
      </c>
      <c r="O481" s="4">
        <f>VLOOKUP(C481,[7]sheet1!$D:$I,6,0)</f>
        <v>0</v>
      </c>
      <c r="P481" s="4">
        <f>VLOOKUP(C481,[8]sheet1!$D:$I,6,0)</f>
        <v>0</v>
      </c>
      <c r="Q481" s="15">
        <f t="shared" si="7"/>
        <v>0</v>
      </c>
      <c r="R481" s="3">
        <v>0</v>
      </c>
      <c r="S481">
        <v>74</v>
      </c>
      <c r="T481">
        <v>0</v>
      </c>
      <c r="U481" s="3">
        <v>0</v>
      </c>
      <c r="V481" s="3">
        <v>0</v>
      </c>
      <c r="W481">
        <v>0</v>
      </c>
      <c r="X481" s="3">
        <v>0</v>
      </c>
      <c r="Y481">
        <v>0</v>
      </c>
      <c r="Z481" s="3">
        <v>0</v>
      </c>
      <c r="AA481" t="s">
        <v>730</v>
      </c>
      <c r="AB481" s="3">
        <v>361</v>
      </c>
      <c r="AC481">
        <v>388.01</v>
      </c>
      <c r="AD481" t="s">
        <v>49</v>
      </c>
      <c r="AE481">
        <v>0</v>
      </c>
      <c r="AF481" s="3">
        <v>0</v>
      </c>
      <c r="AG481" t="s">
        <v>49</v>
      </c>
      <c r="AH481">
        <v>0</v>
      </c>
      <c r="AI481" t="s">
        <v>49</v>
      </c>
      <c r="AJ481">
        <v>301.88</v>
      </c>
      <c r="AK481" t="s">
        <v>49</v>
      </c>
      <c r="AL481">
        <v>0</v>
      </c>
      <c r="AM481" t="s">
        <v>49</v>
      </c>
      <c r="AN481" s="3">
        <v>4</v>
      </c>
      <c r="AO481" s="19">
        <v>0</v>
      </c>
      <c r="AP481" s="19">
        <v>0</v>
      </c>
      <c r="AQ481" s="19">
        <v>1</v>
      </c>
      <c r="AR481" s="19">
        <v>0</v>
      </c>
      <c r="AS481" s="19">
        <v>0</v>
      </c>
      <c r="AT481" s="19">
        <v>0</v>
      </c>
      <c r="AU481" s="3">
        <v>0</v>
      </c>
      <c r="AV481" s="3">
        <v>0</v>
      </c>
      <c r="AW481" s="19">
        <v>0</v>
      </c>
      <c r="AX481" s="3">
        <v>0</v>
      </c>
      <c r="AY481" s="3">
        <v>0</v>
      </c>
    </row>
    <row r="482" spans="1:51">
      <c r="A482" s="3">
        <v>17206883</v>
      </c>
      <c r="B482" t="s">
        <v>787</v>
      </c>
      <c r="C482" t="s">
        <v>788</v>
      </c>
      <c r="D482" t="s">
        <v>44</v>
      </c>
      <c r="E482" t="s">
        <v>789</v>
      </c>
      <c r="F482" t="s">
        <v>46</v>
      </c>
      <c r="G482" t="s">
        <v>47</v>
      </c>
      <c r="H482" s="16">
        <v>0</v>
      </c>
      <c r="I482" s="4">
        <f>VLOOKUP(C482,[1]sheet1!$D:$I,6,0)</f>
        <v>0</v>
      </c>
      <c r="J482" s="4">
        <f>VLOOKUP(C482,[2]sheet1!$D:$I,6,0)</f>
        <v>0</v>
      </c>
      <c r="K482" s="4">
        <f>VLOOKUP(C482,[3]sheet1!$D:$I,6,0)</f>
        <v>0</v>
      </c>
      <c r="L482" s="4">
        <f>VLOOKUP(C482,[4]sheet1!$D:$I,6,0)</f>
        <v>0</v>
      </c>
      <c r="M482" s="4">
        <f>VLOOKUP(C482,[5]sheet1!$D:$I,6,0)</f>
        <v>0</v>
      </c>
      <c r="N482" s="4">
        <f>VLOOKUP(C482,[6]sheet1!$D:$I,6,0)</f>
        <v>0</v>
      </c>
      <c r="O482" s="4">
        <f>VLOOKUP(C482,[7]sheet1!$D:$I,6,0)</f>
        <v>0</v>
      </c>
      <c r="P482" s="4">
        <f>VLOOKUP(C482,[8]sheet1!$D:$I,6,0)</f>
        <v>0</v>
      </c>
      <c r="Q482" s="4">
        <f t="shared" si="7"/>
        <v>0</v>
      </c>
      <c r="R482" s="3">
        <v>0</v>
      </c>
      <c r="S482">
        <v>0</v>
      </c>
      <c r="T482">
        <v>0</v>
      </c>
      <c r="U482" s="3">
        <v>0</v>
      </c>
      <c r="V482" s="3">
        <v>0</v>
      </c>
      <c r="W482">
        <v>0</v>
      </c>
      <c r="X482" s="3">
        <v>0</v>
      </c>
      <c r="Y482">
        <v>0</v>
      </c>
      <c r="Z482" s="3">
        <v>0</v>
      </c>
      <c r="AA482" t="s">
        <v>411</v>
      </c>
      <c r="AB482" s="3">
        <v>358</v>
      </c>
      <c r="AC482">
        <v>330.82</v>
      </c>
      <c r="AD482" t="s">
        <v>49</v>
      </c>
      <c r="AE482">
        <v>0</v>
      </c>
      <c r="AF482" s="3">
        <v>0</v>
      </c>
      <c r="AG482" t="s">
        <v>49</v>
      </c>
      <c r="AH482">
        <v>0</v>
      </c>
      <c r="AI482" t="s">
        <v>49</v>
      </c>
      <c r="AJ482">
        <v>303.85</v>
      </c>
      <c r="AK482" t="s">
        <v>49</v>
      </c>
      <c r="AL482">
        <v>0</v>
      </c>
      <c r="AM482" t="s">
        <v>49</v>
      </c>
      <c r="AN482" s="3">
        <v>0</v>
      </c>
      <c r="AO482" s="19">
        <v>0</v>
      </c>
      <c r="AP482" s="19">
        <v>0</v>
      </c>
      <c r="AQ482" s="19">
        <v>0</v>
      </c>
      <c r="AR482" s="19">
        <v>0</v>
      </c>
      <c r="AS482" s="19">
        <v>0</v>
      </c>
      <c r="AT482" s="19">
        <v>0</v>
      </c>
      <c r="AU482" s="3">
        <v>0</v>
      </c>
      <c r="AV482" s="3">
        <v>0</v>
      </c>
      <c r="AW482" s="19">
        <v>0</v>
      </c>
      <c r="AX482" s="3">
        <v>0</v>
      </c>
      <c r="AY482" s="3">
        <v>0</v>
      </c>
    </row>
    <row r="483" spans="1:51">
      <c r="A483" s="3">
        <v>17202527</v>
      </c>
      <c r="B483" t="s">
        <v>790</v>
      </c>
      <c r="C483" s="3">
        <v>114376411</v>
      </c>
      <c r="D483" t="s">
        <v>44</v>
      </c>
      <c r="E483" t="s">
        <v>330</v>
      </c>
      <c r="F483" t="s">
        <v>65</v>
      </c>
      <c r="G483" t="s">
        <v>47</v>
      </c>
      <c r="H483" s="16">
        <v>0</v>
      </c>
      <c r="I483" s="4">
        <f>VLOOKUP(C483,[1]sheet1!$D:$I,6,0)</f>
        <v>0</v>
      </c>
      <c r="J483" s="4">
        <f>VLOOKUP(C483,[2]sheet1!$D:$I,6,0)</f>
        <v>0</v>
      </c>
      <c r="K483" s="4">
        <f>VLOOKUP(C483,[3]sheet1!$D:$I,6,0)</f>
        <v>0</v>
      </c>
      <c r="L483" s="4">
        <f>VLOOKUP(C483,[4]sheet1!$D:$I,6,0)</f>
        <v>0</v>
      </c>
      <c r="M483" s="4">
        <f>VLOOKUP(C483,[5]sheet1!$D:$I,6,0)</f>
        <v>0</v>
      </c>
      <c r="N483" s="4">
        <f>VLOOKUP(C483,[6]sheet1!$D:$I,6,0)</f>
        <v>0</v>
      </c>
      <c r="O483" s="4">
        <f>VLOOKUP(C483,[7]sheet1!$D:$I,6,0)</f>
        <v>0</v>
      </c>
      <c r="P483" s="4">
        <f>VLOOKUP(C483,[8]sheet1!$D:$I,6,0)</f>
        <v>0</v>
      </c>
      <c r="Q483" s="4">
        <f t="shared" si="7"/>
        <v>0</v>
      </c>
      <c r="R483" s="3">
        <v>0</v>
      </c>
      <c r="S483" s="3">
        <v>5</v>
      </c>
      <c r="T483" s="19">
        <v>0</v>
      </c>
      <c r="U483" s="3">
        <v>0</v>
      </c>
      <c r="V483" s="3">
        <v>0</v>
      </c>
      <c r="W483">
        <v>0</v>
      </c>
      <c r="X483" s="3">
        <v>0</v>
      </c>
      <c r="Y483">
        <v>0</v>
      </c>
      <c r="Z483" s="3">
        <v>0</v>
      </c>
      <c r="AA483" t="s">
        <v>49</v>
      </c>
      <c r="AB483" t="s">
        <v>49</v>
      </c>
      <c r="AC483" t="s">
        <v>49</v>
      </c>
      <c r="AD483" t="s">
        <v>49</v>
      </c>
      <c r="AE483">
        <v>0</v>
      </c>
      <c r="AF483" s="3">
        <v>0</v>
      </c>
      <c r="AG483" t="s">
        <v>49</v>
      </c>
      <c r="AH483" t="s">
        <v>49</v>
      </c>
      <c r="AI483" t="s">
        <v>49</v>
      </c>
      <c r="AJ483" t="s">
        <v>49</v>
      </c>
      <c r="AK483" t="s">
        <v>49</v>
      </c>
      <c r="AL483" t="s">
        <v>49</v>
      </c>
      <c r="AM483" t="s">
        <v>49</v>
      </c>
      <c r="AN483" s="3">
        <v>5</v>
      </c>
      <c r="AO483" s="19">
        <v>0</v>
      </c>
      <c r="AP483" s="19">
        <v>0</v>
      </c>
      <c r="AQ483" s="19">
        <v>0.8</v>
      </c>
      <c r="AR483" s="19">
        <v>0.2</v>
      </c>
      <c r="AS483" s="19">
        <v>0</v>
      </c>
      <c r="AT483" s="19">
        <v>0</v>
      </c>
      <c r="AU483" s="3">
        <v>0</v>
      </c>
      <c r="AV483" s="3">
        <v>0</v>
      </c>
      <c r="AW483" s="19">
        <v>0</v>
      </c>
      <c r="AX483" s="3">
        <v>0</v>
      </c>
      <c r="AY483" s="3">
        <v>0</v>
      </c>
    </row>
    <row r="484" spans="1:51">
      <c r="A484" s="3">
        <v>17201499</v>
      </c>
      <c r="B484" t="s">
        <v>791</v>
      </c>
      <c r="C484" t="s">
        <v>792</v>
      </c>
      <c r="D484" t="s">
        <v>44</v>
      </c>
      <c r="E484" t="s">
        <v>365</v>
      </c>
      <c r="F484" t="s">
        <v>46</v>
      </c>
      <c r="G484" t="s">
        <v>47</v>
      </c>
      <c r="H484" s="16">
        <v>0</v>
      </c>
      <c r="I484" s="4">
        <f>VLOOKUP(C484,[1]sheet1!$D:$I,6,0)</f>
        <v>0</v>
      </c>
      <c r="J484" s="4">
        <f>VLOOKUP(C484,[2]sheet1!$D:$I,6,0)</f>
        <v>0</v>
      </c>
      <c r="K484" s="4">
        <f>VLOOKUP(C484,[3]sheet1!$D:$I,6,0)</f>
        <v>0</v>
      </c>
      <c r="L484" s="4">
        <f>VLOOKUP(C484,[4]sheet1!$D:$I,6,0)</f>
        <v>0</v>
      </c>
      <c r="M484" s="4">
        <f>VLOOKUP(C484,[5]sheet1!$D:$I,6,0)</f>
        <v>0</v>
      </c>
      <c r="N484" s="4">
        <f>VLOOKUP(C484,[6]sheet1!$D:$I,6,0)</f>
        <v>0</v>
      </c>
      <c r="O484" s="4">
        <f>VLOOKUP(C484,[7]sheet1!$D:$I,6,0)</f>
        <v>0</v>
      </c>
      <c r="P484" s="4">
        <f>VLOOKUP(C484,[8]sheet1!$D:$I,6,0)</f>
        <v>0</v>
      </c>
      <c r="Q484" s="4">
        <f t="shared" si="7"/>
        <v>0</v>
      </c>
      <c r="R484" s="3">
        <v>0</v>
      </c>
      <c r="S484">
        <v>122</v>
      </c>
      <c r="T484">
        <v>0</v>
      </c>
      <c r="U484" s="3">
        <v>0</v>
      </c>
      <c r="V484" s="3">
        <v>0</v>
      </c>
      <c r="W484">
        <v>0</v>
      </c>
      <c r="X484" s="3">
        <v>0</v>
      </c>
      <c r="Y484">
        <v>0</v>
      </c>
      <c r="Z484" s="3">
        <v>0</v>
      </c>
      <c r="AA484" t="s">
        <v>793</v>
      </c>
      <c r="AB484" s="3">
        <v>3600</v>
      </c>
      <c r="AC484">
        <v>3190.89</v>
      </c>
      <c r="AD484" t="s">
        <v>49</v>
      </c>
      <c r="AE484">
        <v>0</v>
      </c>
      <c r="AF484" s="3">
        <v>0</v>
      </c>
      <c r="AG484" t="s">
        <v>49</v>
      </c>
      <c r="AH484">
        <v>0</v>
      </c>
      <c r="AI484" t="s">
        <v>49</v>
      </c>
      <c r="AJ484" t="s">
        <v>49</v>
      </c>
      <c r="AK484" t="s">
        <v>49</v>
      </c>
      <c r="AL484" t="s">
        <v>49</v>
      </c>
      <c r="AM484" t="s">
        <v>49</v>
      </c>
      <c r="AN484" s="3">
        <v>12</v>
      </c>
      <c r="AO484" s="19">
        <v>0</v>
      </c>
      <c r="AP484" s="19">
        <v>0</v>
      </c>
      <c r="AQ484" s="19">
        <v>0.9091</v>
      </c>
      <c r="AR484" s="19">
        <v>0.4545</v>
      </c>
      <c r="AS484" s="19">
        <v>0</v>
      </c>
      <c r="AT484" s="19">
        <v>0</v>
      </c>
      <c r="AU484" s="3">
        <v>0</v>
      </c>
      <c r="AV484" s="3">
        <v>0</v>
      </c>
      <c r="AW484" s="19">
        <v>0</v>
      </c>
      <c r="AX484" s="3">
        <v>0</v>
      </c>
      <c r="AY484" s="3">
        <v>0</v>
      </c>
    </row>
    <row r="485" spans="1:51">
      <c r="A485" s="3">
        <v>17197105</v>
      </c>
      <c r="B485" t="s">
        <v>794</v>
      </c>
      <c r="C485" s="3">
        <v>114401061</v>
      </c>
      <c r="D485" t="s">
        <v>44</v>
      </c>
      <c r="E485" t="s">
        <v>104</v>
      </c>
      <c r="F485" t="s">
        <v>65</v>
      </c>
      <c r="G485" t="s">
        <v>47</v>
      </c>
      <c r="H485" s="16">
        <v>0</v>
      </c>
      <c r="I485" s="4">
        <f>VLOOKUP(C485,[1]sheet1!$D:$I,6,0)</f>
        <v>0</v>
      </c>
      <c r="J485" s="4">
        <f>VLOOKUP(C485,[2]sheet1!$D:$I,6,0)</f>
        <v>0</v>
      </c>
      <c r="K485" s="4">
        <f>VLOOKUP(C485,[3]sheet1!$D:$I,6,0)</f>
        <v>0</v>
      </c>
      <c r="L485" s="4">
        <f>VLOOKUP(C485,[4]sheet1!$D:$I,6,0)</f>
        <v>0</v>
      </c>
      <c r="M485" s="4">
        <f>VLOOKUP(C485,[5]sheet1!$D:$I,6,0)</f>
        <v>0</v>
      </c>
      <c r="N485" s="4">
        <f>VLOOKUP(C485,[6]sheet1!$D:$I,6,0)</f>
        <v>0</v>
      </c>
      <c r="O485" s="4">
        <f>VLOOKUP(C485,[7]sheet1!$D:$I,6,0)</f>
        <v>0</v>
      </c>
      <c r="P485" s="4">
        <f>VLOOKUP(C485,[8]sheet1!$D:$I,6,0)</f>
        <v>0</v>
      </c>
      <c r="Q485" s="4">
        <f t="shared" si="7"/>
        <v>0</v>
      </c>
      <c r="R485" s="3">
        <v>0</v>
      </c>
      <c r="S485" s="3">
        <v>4</v>
      </c>
      <c r="T485" s="19">
        <v>0</v>
      </c>
      <c r="U485" s="3">
        <v>0</v>
      </c>
      <c r="V485" s="3">
        <v>0</v>
      </c>
      <c r="W485">
        <v>0</v>
      </c>
      <c r="X485" s="3">
        <v>0</v>
      </c>
      <c r="Y485">
        <v>0</v>
      </c>
      <c r="Z485" s="3">
        <v>0</v>
      </c>
      <c r="AA485" t="s">
        <v>795</v>
      </c>
      <c r="AB485" t="s">
        <v>49</v>
      </c>
      <c r="AC485">
        <v>1468.52</v>
      </c>
      <c r="AD485" t="s">
        <v>49</v>
      </c>
      <c r="AE485">
        <v>0</v>
      </c>
      <c r="AF485" s="3">
        <v>0</v>
      </c>
      <c r="AG485" t="s">
        <v>49</v>
      </c>
      <c r="AH485">
        <v>0</v>
      </c>
      <c r="AI485" t="s">
        <v>49</v>
      </c>
      <c r="AJ485" t="s">
        <v>49</v>
      </c>
      <c r="AK485" t="s">
        <v>49</v>
      </c>
      <c r="AL485" t="s">
        <v>49</v>
      </c>
      <c r="AM485" t="s">
        <v>49</v>
      </c>
      <c r="AN485" s="3">
        <v>5</v>
      </c>
      <c r="AO485" s="19">
        <v>0</v>
      </c>
      <c r="AP485" s="19">
        <v>0</v>
      </c>
      <c r="AQ485" s="19">
        <v>1</v>
      </c>
      <c r="AR485" s="19">
        <v>0</v>
      </c>
      <c r="AS485" s="19">
        <v>0</v>
      </c>
      <c r="AT485" s="19">
        <v>0</v>
      </c>
      <c r="AU485" s="3">
        <v>0</v>
      </c>
      <c r="AV485" s="3">
        <v>0</v>
      </c>
      <c r="AW485" s="19">
        <v>0</v>
      </c>
      <c r="AX485" s="3">
        <v>0</v>
      </c>
      <c r="AY485" s="3">
        <v>0</v>
      </c>
    </row>
    <row r="486" spans="1:51">
      <c r="A486" s="3">
        <v>16989884</v>
      </c>
      <c r="B486" t="s">
        <v>796</v>
      </c>
      <c r="C486" s="3">
        <v>114408259</v>
      </c>
      <c r="D486" t="s">
        <v>44</v>
      </c>
      <c r="E486" t="s">
        <v>365</v>
      </c>
      <c r="F486" t="s">
        <v>46</v>
      </c>
      <c r="G486" t="s">
        <v>47</v>
      </c>
      <c r="H486" s="16">
        <v>0</v>
      </c>
      <c r="I486" s="4">
        <f>VLOOKUP(C486,[1]sheet1!$D:$I,6,0)</f>
        <v>0</v>
      </c>
      <c r="J486" s="4">
        <f>VLOOKUP(C486,[2]sheet1!$D:$I,6,0)</f>
        <v>0</v>
      </c>
      <c r="K486" s="4">
        <f>VLOOKUP(C486,[3]sheet1!$D:$I,6,0)</f>
        <v>0</v>
      </c>
      <c r="L486" s="4">
        <f>VLOOKUP(C486,[4]sheet1!$D:$I,6,0)</f>
        <v>0</v>
      </c>
      <c r="M486" s="4">
        <f>VLOOKUP(C486,[5]sheet1!$D:$I,6,0)</f>
        <v>0</v>
      </c>
      <c r="N486" s="4">
        <f>VLOOKUP(C486,[6]sheet1!$D:$I,6,0)</f>
        <v>0</v>
      </c>
      <c r="O486" s="4">
        <f>VLOOKUP(C486,[7]sheet1!$D:$I,6,0)</f>
        <v>0</v>
      </c>
      <c r="P486" s="4">
        <f>VLOOKUP(C486,[8]sheet1!$D:$I,6,0)</f>
        <v>0</v>
      </c>
      <c r="Q486" s="4">
        <f t="shared" si="7"/>
        <v>0</v>
      </c>
      <c r="R486" s="3">
        <v>0</v>
      </c>
      <c r="S486">
        <v>64</v>
      </c>
      <c r="T486">
        <v>0</v>
      </c>
      <c r="U486" s="3">
        <v>0</v>
      </c>
      <c r="V486" s="3">
        <v>0</v>
      </c>
      <c r="W486">
        <v>0</v>
      </c>
      <c r="X486" s="3">
        <v>0</v>
      </c>
      <c r="Y486">
        <v>0</v>
      </c>
      <c r="Z486" s="3">
        <v>0</v>
      </c>
      <c r="AA486" t="s">
        <v>797</v>
      </c>
      <c r="AB486" s="3">
        <v>1444</v>
      </c>
      <c r="AC486">
        <v>2077.02</v>
      </c>
      <c r="AD486" t="s">
        <v>49</v>
      </c>
      <c r="AE486">
        <v>0</v>
      </c>
      <c r="AF486" s="3">
        <v>0</v>
      </c>
      <c r="AG486" t="s">
        <v>49</v>
      </c>
      <c r="AH486">
        <v>0</v>
      </c>
      <c r="AI486" t="s">
        <v>49</v>
      </c>
      <c r="AJ486">
        <v>1246.17</v>
      </c>
      <c r="AK486" t="s">
        <v>49</v>
      </c>
      <c r="AL486">
        <v>0</v>
      </c>
      <c r="AM486" t="s">
        <v>49</v>
      </c>
      <c r="AN486">
        <v>64</v>
      </c>
      <c r="AO486" s="19">
        <v>0</v>
      </c>
      <c r="AP486" s="19">
        <v>0</v>
      </c>
      <c r="AQ486" s="19">
        <v>1</v>
      </c>
      <c r="AR486" s="19">
        <v>0</v>
      </c>
      <c r="AS486" s="19">
        <v>0</v>
      </c>
      <c r="AT486" s="19">
        <v>0</v>
      </c>
      <c r="AU486" s="3">
        <v>0</v>
      </c>
      <c r="AV486" s="3">
        <v>0</v>
      </c>
      <c r="AW486" s="19">
        <v>0</v>
      </c>
      <c r="AX486" s="3">
        <v>0</v>
      </c>
      <c r="AY486" s="3">
        <v>0</v>
      </c>
    </row>
    <row r="487" spans="1:51">
      <c r="A487" s="3">
        <v>16984399</v>
      </c>
      <c r="B487" t="s">
        <v>798</v>
      </c>
      <c r="C487" s="3">
        <v>114408257</v>
      </c>
      <c r="D487" t="s">
        <v>44</v>
      </c>
      <c r="E487" t="s">
        <v>365</v>
      </c>
      <c r="F487" t="s">
        <v>46</v>
      </c>
      <c r="G487" t="s">
        <v>47</v>
      </c>
      <c r="H487" s="16">
        <v>0</v>
      </c>
      <c r="I487" s="4">
        <f>VLOOKUP(C487,[1]sheet1!$D:$I,6,0)</f>
        <v>0</v>
      </c>
      <c r="J487" s="4">
        <f>VLOOKUP(C487,[2]sheet1!$D:$I,6,0)</f>
        <v>0</v>
      </c>
      <c r="K487" s="4">
        <f>VLOOKUP(C487,[3]sheet1!$D:$I,6,0)</f>
        <v>0</v>
      </c>
      <c r="L487" s="4">
        <f>VLOOKUP(C487,[4]sheet1!$D:$I,6,0)</f>
        <v>0</v>
      </c>
      <c r="M487" s="4">
        <f>VLOOKUP(C487,[5]sheet1!$D:$I,6,0)</f>
        <v>0</v>
      </c>
      <c r="N487" s="4">
        <f>VLOOKUP(C487,[6]sheet1!$D:$I,6,0)</f>
        <v>0</v>
      </c>
      <c r="O487" s="4">
        <f>VLOOKUP(C487,[7]sheet1!$D:$I,6,0)</f>
        <v>0</v>
      </c>
      <c r="P487" s="4">
        <f>VLOOKUP(C487,[8]sheet1!$D:$I,6,0)</f>
        <v>0</v>
      </c>
      <c r="Q487" s="4">
        <f t="shared" si="7"/>
        <v>0</v>
      </c>
      <c r="R487" s="3">
        <v>0</v>
      </c>
      <c r="S487">
        <v>104</v>
      </c>
      <c r="T487">
        <v>0</v>
      </c>
      <c r="U487" s="3">
        <v>0</v>
      </c>
      <c r="V487" s="3">
        <v>0</v>
      </c>
      <c r="W487">
        <v>0</v>
      </c>
      <c r="X487" s="3">
        <v>0</v>
      </c>
      <c r="Y487">
        <v>0</v>
      </c>
      <c r="Z487" s="3">
        <v>0</v>
      </c>
      <c r="AA487" t="s">
        <v>799</v>
      </c>
      <c r="AB487" s="3">
        <v>1688</v>
      </c>
      <c r="AC487">
        <v>1860.39</v>
      </c>
      <c r="AD487" t="s">
        <v>49</v>
      </c>
      <c r="AE487">
        <v>0</v>
      </c>
      <c r="AF487" s="3">
        <v>0</v>
      </c>
      <c r="AG487" t="s">
        <v>49</v>
      </c>
      <c r="AH487">
        <v>0</v>
      </c>
      <c r="AI487" t="s">
        <v>49</v>
      </c>
      <c r="AJ487">
        <v>1458.45</v>
      </c>
      <c r="AK487" t="s">
        <v>49</v>
      </c>
      <c r="AL487">
        <v>0</v>
      </c>
      <c r="AM487" t="s">
        <v>49</v>
      </c>
      <c r="AN487">
        <v>110</v>
      </c>
      <c r="AO487" s="19">
        <v>0</v>
      </c>
      <c r="AP487" s="19">
        <v>0</v>
      </c>
      <c r="AQ487" s="19">
        <v>0.875</v>
      </c>
      <c r="AR487" s="19">
        <v>0.75</v>
      </c>
      <c r="AS487" s="19">
        <v>0</v>
      </c>
      <c r="AT487" s="19">
        <v>0</v>
      </c>
      <c r="AU487" s="3">
        <v>0</v>
      </c>
      <c r="AV487" s="3">
        <v>0</v>
      </c>
      <c r="AW487" s="19">
        <v>0</v>
      </c>
      <c r="AX487" s="3">
        <v>0</v>
      </c>
      <c r="AY487" s="3">
        <v>0</v>
      </c>
    </row>
    <row r="488" spans="1:51">
      <c r="A488" s="3">
        <v>16873296</v>
      </c>
      <c r="B488" t="s">
        <v>800</v>
      </c>
      <c r="C488" s="3">
        <v>124301066</v>
      </c>
      <c r="D488" t="s">
        <v>44</v>
      </c>
      <c r="E488" t="s">
        <v>141</v>
      </c>
      <c r="F488" t="s">
        <v>65</v>
      </c>
      <c r="G488" t="s">
        <v>47</v>
      </c>
      <c r="H488" s="16">
        <v>0</v>
      </c>
      <c r="I488" s="4">
        <f>VLOOKUP(C488,[1]sheet1!$D:$I,6,0)</f>
        <v>0</v>
      </c>
      <c r="J488" s="4">
        <f>VLOOKUP(C488,[2]sheet1!$D:$I,6,0)</f>
        <v>0</v>
      </c>
      <c r="K488" s="4">
        <f>VLOOKUP(C488,[3]sheet1!$D:$I,6,0)</f>
        <v>0</v>
      </c>
      <c r="L488" s="4">
        <f>VLOOKUP(C488,[4]sheet1!$D:$I,6,0)</f>
        <v>0</v>
      </c>
      <c r="M488" s="4">
        <f>VLOOKUP(C488,[5]sheet1!$D:$I,6,0)</f>
        <v>0</v>
      </c>
      <c r="N488" s="4">
        <f>VLOOKUP(C488,[6]sheet1!$D:$I,6,0)</f>
        <v>0</v>
      </c>
      <c r="O488" s="4">
        <f>VLOOKUP(C488,[7]sheet1!$D:$I,6,0)</f>
        <v>0</v>
      </c>
      <c r="P488" s="4">
        <f>VLOOKUP(C488,[8]sheet1!$D:$I,6,0)</f>
        <v>0</v>
      </c>
      <c r="Q488" s="4">
        <f t="shared" si="7"/>
        <v>0</v>
      </c>
      <c r="R488" s="3">
        <v>0</v>
      </c>
      <c r="S488" s="3">
        <v>1</v>
      </c>
      <c r="T488" s="19">
        <v>0</v>
      </c>
      <c r="U488" s="3">
        <v>0</v>
      </c>
      <c r="V488" s="3">
        <v>0</v>
      </c>
      <c r="W488">
        <v>0</v>
      </c>
      <c r="X488" s="3">
        <v>0</v>
      </c>
      <c r="Y488">
        <v>0</v>
      </c>
      <c r="Z488" s="3">
        <v>0</v>
      </c>
      <c r="AA488" t="s">
        <v>274</v>
      </c>
      <c r="AB488" t="s">
        <v>49</v>
      </c>
      <c r="AC488">
        <v>762.91</v>
      </c>
      <c r="AD488" t="s">
        <v>49</v>
      </c>
      <c r="AE488">
        <v>0</v>
      </c>
      <c r="AF488" s="3">
        <v>0</v>
      </c>
      <c r="AG488" t="s">
        <v>49</v>
      </c>
      <c r="AH488">
        <v>0</v>
      </c>
      <c r="AI488" t="s">
        <v>49</v>
      </c>
      <c r="AJ488" t="s">
        <v>49</v>
      </c>
      <c r="AK488" t="s">
        <v>49</v>
      </c>
      <c r="AL488" t="s">
        <v>49</v>
      </c>
      <c r="AM488" t="s">
        <v>49</v>
      </c>
      <c r="AN488" s="3">
        <v>3</v>
      </c>
      <c r="AO488" s="19">
        <v>0</v>
      </c>
      <c r="AP488" s="19">
        <v>0</v>
      </c>
      <c r="AQ488" s="19">
        <v>1</v>
      </c>
      <c r="AR488" s="19">
        <v>1</v>
      </c>
      <c r="AS488" s="19">
        <v>0</v>
      </c>
      <c r="AT488" s="19">
        <v>0</v>
      </c>
      <c r="AU488" s="3">
        <v>0</v>
      </c>
      <c r="AV488" s="3">
        <v>0</v>
      </c>
      <c r="AW488" s="19">
        <v>0</v>
      </c>
      <c r="AX488" s="3">
        <v>0</v>
      </c>
      <c r="AY488" s="3">
        <v>0</v>
      </c>
    </row>
    <row r="489" spans="1:51">
      <c r="A489" s="3">
        <v>16855631</v>
      </c>
      <c r="B489" t="s">
        <v>801</v>
      </c>
      <c r="C489" s="3">
        <v>124408254</v>
      </c>
      <c r="D489" t="s">
        <v>44</v>
      </c>
      <c r="E489" t="s">
        <v>365</v>
      </c>
      <c r="F489" t="s">
        <v>46</v>
      </c>
      <c r="G489" t="s">
        <v>47</v>
      </c>
      <c r="H489" s="16">
        <v>0</v>
      </c>
      <c r="I489" s="4">
        <f>VLOOKUP(C489,[1]sheet1!$D:$I,6,0)</f>
        <v>0</v>
      </c>
      <c r="J489" s="4">
        <f>VLOOKUP(C489,[2]sheet1!$D:$I,6,0)</f>
        <v>0</v>
      </c>
      <c r="K489" s="4">
        <f>VLOOKUP(C489,[3]sheet1!$D:$I,6,0)</f>
        <v>0</v>
      </c>
      <c r="L489" s="4">
        <f>VLOOKUP(C489,[4]sheet1!$D:$I,6,0)</f>
        <v>0</v>
      </c>
      <c r="M489" s="4">
        <f>VLOOKUP(C489,[5]sheet1!$D:$I,6,0)</f>
        <v>0</v>
      </c>
      <c r="N489" s="4">
        <f>VLOOKUP(C489,[6]sheet1!$D:$I,6,0)</f>
        <v>0</v>
      </c>
      <c r="O489" s="4">
        <f>VLOOKUP(C489,[7]sheet1!$D:$I,6,0)</f>
        <v>0</v>
      </c>
      <c r="P489" s="4">
        <f>VLOOKUP(C489,[8]sheet1!$D:$I,6,0)</f>
        <v>0</v>
      </c>
      <c r="Q489" s="4">
        <f t="shared" si="7"/>
        <v>0</v>
      </c>
      <c r="R489" s="3">
        <v>0</v>
      </c>
      <c r="S489">
        <v>138</v>
      </c>
      <c r="T489">
        <v>0</v>
      </c>
      <c r="U489" s="3">
        <v>0</v>
      </c>
      <c r="V489" s="3">
        <v>0</v>
      </c>
      <c r="W489">
        <v>0</v>
      </c>
      <c r="X489" s="3">
        <v>0</v>
      </c>
      <c r="Y489">
        <v>0</v>
      </c>
      <c r="Z489" s="3">
        <v>0</v>
      </c>
      <c r="AA489" t="s">
        <v>802</v>
      </c>
      <c r="AB489" s="3">
        <v>1081</v>
      </c>
      <c r="AC489">
        <v>1086.09</v>
      </c>
      <c r="AD489" t="s">
        <v>49</v>
      </c>
      <c r="AE489">
        <v>0</v>
      </c>
      <c r="AF489" s="3">
        <v>0</v>
      </c>
      <c r="AG489" t="s">
        <v>49</v>
      </c>
      <c r="AH489">
        <v>0</v>
      </c>
      <c r="AI489" t="s">
        <v>49</v>
      </c>
      <c r="AJ489">
        <v>930.36</v>
      </c>
      <c r="AK489" t="s">
        <v>49</v>
      </c>
      <c r="AL489">
        <v>0</v>
      </c>
      <c r="AM489" t="s">
        <v>49</v>
      </c>
      <c r="AN489">
        <v>138</v>
      </c>
      <c r="AO489" s="19">
        <v>0</v>
      </c>
      <c r="AP489" s="19">
        <v>0</v>
      </c>
      <c r="AQ489" s="19">
        <v>1</v>
      </c>
      <c r="AR489" s="19">
        <v>0.4286</v>
      </c>
      <c r="AS489" s="19">
        <v>0</v>
      </c>
      <c r="AT489" s="19">
        <v>0</v>
      </c>
      <c r="AU489" s="3">
        <v>0</v>
      </c>
      <c r="AV489" s="3">
        <v>0</v>
      </c>
      <c r="AW489" s="19">
        <v>0</v>
      </c>
      <c r="AX489" s="3">
        <v>0</v>
      </c>
      <c r="AY489" s="3">
        <v>0</v>
      </c>
    </row>
    <row r="490" spans="1:51">
      <c r="A490" s="3">
        <v>16851393</v>
      </c>
      <c r="B490" t="s">
        <v>803</v>
      </c>
      <c r="C490" s="3">
        <v>124403128</v>
      </c>
      <c r="D490" t="s">
        <v>44</v>
      </c>
      <c r="E490" t="s">
        <v>328</v>
      </c>
      <c r="F490" t="s">
        <v>46</v>
      </c>
      <c r="G490" t="s">
        <v>47</v>
      </c>
      <c r="H490" s="16">
        <v>0</v>
      </c>
      <c r="I490" s="4">
        <f>VLOOKUP(C490,[1]sheet1!$D:$I,6,0)</f>
        <v>0</v>
      </c>
      <c r="J490" s="4">
        <f>VLOOKUP(C490,[2]sheet1!$D:$I,6,0)</f>
        <v>0</v>
      </c>
      <c r="K490" s="4">
        <f>VLOOKUP(C490,[3]sheet1!$D:$I,6,0)</f>
        <v>0</v>
      </c>
      <c r="L490" s="4">
        <f>VLOOKUP(C490,[4]sheet1!$D:$I,6,0)</f>
        <v>0</v>
      </c>
      <c r="M490" s="4">
        <f>VLOOKUP(C490,[5]sheet1!$D:$I,6,0)</f>
        <v>0</v>
      </c>
      <c r="N490" s="4">
        <f>VLOOKUP(C490,[6]sheet1!$D:$I,6,0)</f>
        <v>0</v>
      </c>
      <c r="O490" s="4">
        <f>VLOOKUP(C490,[7]sheet1!$D:$I,6,0)</f>
        <v>0</v>
      </c>
      <c r="P490" s="4">
        <f>VLOOKUP(C490,[8]sheet1!$D:$I,6,0)</f>
        <v>0</v>
      </c>
      <c r="Q490" s="4">
        <f t="shared" si="7"/>
        <v>0</v>
      </c>
      <c r="R490" s="3">
        <v>0</v>
      </c>
      <c r="S490">
        <v>97</v>
      </c>
      <c r="T490">
        <v>0</v>
      </c>
      <c r="U490" s="3">
        <v>0</v>
      </c>
      <c r="V490" s="3">
        <v>0</v>
      </c>
      <c r="W490">
        <v>0</v>
      </c>
      <c r="X490" s="3">
        <v>0</v>
      </c>
      <c r="Y490">
        <v>0</v>
      </c>
      <c r="Z490" s="3">
        <v>0</v>
      </c>
      <c r="AA490" t="s">
        <v>804</v>
      </c>
      <c r="AB490" s="3">
        <v>800</v>
      </c>
      <c r="AC490">
        <v>754.42</v>
      </c>
      <c r="AD490" t="s">
        <v>49</v>
      </c>
      <c r="AE490">
        <v>0</v>
      </c>
      <c r="AF490" s="3">
        <v>0</v>
      </c>
      <c r="AG490" t="s">
        <v>49</v>
      </c>
      <c r="AH490">
        <v>0</v>
      </c>
      <c r="AI490" t="s">
        <v>49</v>
      </c>
      <c r="AJ490">
        <v>685.69</v>
      </c>
      <c r="AK490" t="s">
        <v>49</v>
      </c>
      <c r="AL490">
        <v>0</v>
      </c>
      <c r="AM490" t="s">
        <v>49</v>
      </c>
      <c r="AN490">
        <v>127</v>
      </c>
      <c r="AO490" s="19">
        <v>0</v>
      </c>
      <c r="AP490" s="19">
        <v>0</v>
      </c>
      <c r="AQ490" s="19">
        <v>0.7143</v>
      </c>
      <c r="AR490" s="19">
        <v>0.5714</v>
      </c>
      <c r="AS490" s="19">
        <v>0</v>
      </c>
      <c r="AT490" s="19">
        <v>0</v>
      </c>
      <c r="AU490" s="3">
        <v>0</v>
      </c>
      <c r="AV490" s="3">
        <v>0</v>
      </c>
      <c r="AW490" s="19">
        <v>0</v>
      </c>
      <c r="AX490" s="3">
        <v>0</v>
      </c>
      <c r="AY490" s="3">
        <v>0</v>
      </c>
    </row>
    <row r="491" spans="1:51">
      <c r="A491" s="3">
        <v>16847210</v>
      </c>
      <c r="B491" t="s">
        <v>805</v>
      </c>
      <c r="C491" s="3">
        <v>114301071</v>
      </c>
      <c r="D491" t="s">
        <v>44</v>
      </c>
      <c r="E491" t="s">
        <v>104</v>
      </c>
      <c r="F491" t="s">
        <v>46</v>
      </c>
      <c r="G491" t="s">
        <v>47</v>
      </c>
      <c r="H491" s="16">
        <v>0</v>
      </c>
      <c r="I491" s="4">
        <f>VLOOKUP(C491,[1]sheet1!$D:$I,6,0)</f>
        <v>0</v>
      </c>
      <c r="J491" s="4">
        <f>VLOOKUP(C491,[2]sheet1!$D:$I,6,0)</f>
        <v>0</v>
      </c>
      <c r="K491" s="4">
        <f>VLOOKUP(C491,[3]sheet1!$D:$I,6,0)</f>
        <v>0</v>
      </c>
      <c r="L491" s="4">
        <f>VLOOKUP(C491,[4]sheet1!$D:$I,6,0)</f>
        <v>0</v>
      </c>
      <c r="M491" s="4">
        <f>VLOOKUP(C491,[5]sheet1!$D:$I,6,0)</f>
        <v>0</v>
      </c>
      <c r="N491" s="4">
        <f>VLOOKUP(C491,[6]sheet1!$D:$I,6,0)</f>
        <v>0</v>
      </c>
      <c r="O491" s="4">
        <f>VLOOKUP(C491,[7]sheet1!$D:$I,6,0)</f>
        <v>0</v>
      </c>
      <c r="P491" s="4">
        <f>VLOOKUP(C491,[8]sheet1!$D:$I,6,0)</f>
        <v>0</v>
      </c>
      <c r="Q491" s="4">
        <f t="shared" si="7"/>
        <v>0</v>
      </c>
      <c r="R491" s="3">
        <v>0</v>
      </c>
      <c r="S491">
        <v>0</v>
      </c>
      <c r="T491">
        <v>0</v>
      </c>
      <c r="U491" s="3">
        <v>0</v>
      </c>
      <c r="V491" s="3">
        <v>0</v>
      </c>
      <c r="W491">
        <v>0</v>
      </c>
      <c r="X491" s="3">
        <v>0</v>
      </c>
      <c r="Y491">
        <v>0</v>
      </c>
      <c r="Z491" s="3">
        <v>0</v>
      </c>
      <c r="AA491" t="s">
        <v>806</v>
      </c>
      <c r="AB491" s="3">
        <v>1399</v>
      </c>
      <c r="AC491">
        <v>1364.99</v>
      </c>
      <c r="AD491" t="s">
        <v>49</v>
      </c>
      <c r="AE491">
        <v>0</v>
      </c>
      <c r="AF491" s="3">
        <v>0</v>
      </c>
      <c r="AG491" t="s">
        <v>49</v>
      </c>
      <c r="AH491">
        <v>0</v>
      </c>
      <c r="AI491" t="s">
        <v>49</v>
      </c>
      <c r="AJ491">
        <v>1207.52</v>
      </c>
      <c r="AK491" t="s">
        <v>49</v>
      </c>
      <c r="AL491">
        <v>0</v>
      </c>
      <c r="AM491" t="s">
        <v>49</v>
      </c>
      <c r="AN491">
        <v>0</v>
      </c>
      <c r="AO491" s="19">
        <v>0</v>
      </c>
      <c r="AP491" s="19">
        <v>0</v>
      </c>
      <c r="AQ491" s="19">
        <v>0</v>
      </c>
      <c r="AR491" s="19">
        <v>0</v>
      </c>
      <c r="AS491" s="19">
        <v>0</v>
      </c>
      <c r="AT491" s="19">
        <v>0</v>
      </c>
      <c r="AU491" s="3">
        <v>0</v>
      </c>
      <c r="AV491" s="3">
        <v>0</v>
      </c>
      <c r="AW491" s="19">
        <v>0</v>
      </c>
      <c r="AX491" s="3">
        <v>0</v>
      </c>
      <c r="AY491" s="3">
        <v>0</v>
      </c>
    </row>
    <row r="492" spans="1:51">
      <c r="A492" s="3">
        <v>16845845</v>
      </c>
      <c r="B492" t="s">
        <v>807</v>
      </c>
      <c r="C492" s="3">
        <v>114408277</v>
      </c>
      <c r="D492" t="s">
        <v>44</v>
      </c>
      <c r="E492" t="s">
        <v>365</v>
      </c>
      <c r="F492" t="s">
        <v>46</v>
      </c>
      <c r="G492" t="s">
        <v>47</v>
      </c>
      <c r="H492" s="16">
        <v>0</v>
      </c>
      <c r="I492" s="4">
        <f>VLOOKUP(C492,[1]sheet1!$D:$I,6,0)</f>
        <v>0</v>
      </c>
      <c r="J492" s="4">
        <f>VLOOKUP(C492,[2]sheet1!$D:$I,6,0)</f>
        <v>0</v>
      </c>
      <c r="K492" s="4">
        <f>VLOOKUP(C492,[3]sheet1!$D:$I,6,0)</f>
        <v>1776</v>
      </c>
      <c r="L492" s="4">
        <f>VLOOKUP(C492,[4]sheet1!$D:$I,6,0)</f>
        <v>0</v>
      </c>
      <c r="M492" s="4">
        <f>VLOOKUP(C492,[5]sheet1!$D:$I,6,0)</f>
        <v>0</v>
      </c>
      <c r="N492" s="4">
        <f>VLOOKUP(C492,[6]sheet1!$D:$I,6,0)</f>
        <v>0</v>
      </c>
      <c r="O492" s="4">
        <f>VLOOKUP(C492,[7]sheet1!$D:$I,6,0)</f>
        <v>0</v>
      </c>
      <c r="P492" s="4">
        <f>VLOOKUP(C492,[8]sheet1!$D:$I,6,0)</f>
        <v>0</v>
      </c>
      <c r="Q492" s="4">
        <f t="shared" si="7"/>
        <v>1776</v>
      </c>
      <c r="R492" s="3">
        <v>0</v>
      </c>
      <c r="S492">
        <v>180</v>
      </c>
      <c r="T492">
        <v>0</v>
      </c>
      <c r="U492" s="3">
        <v>2</v>
      </c>
      <c r="V492" s="3">
        <v>0</v>
      </c>
      <c r="W492">
        <v>0</v>
      </c>
      <c r="X492" s="3">
        <v>0</v>
      </c>
      <c r="Y492">
        <v>0</v>
      </c>
      <c r="Z492" s="3">
        <v>0</v>
      </c>
      <c r="AA492" t="s">
        <v>808</v>
      </c>
      <c r="AB492" s="3">
        <v>1099</v>
      </c>
      <c r="AC492">
        <v>1207.02</v>
      </c>
      <c r="AD492" t="s">
        <v>49</v>
      </c>
      <c r="AE492">
        <v>0</v>
      </c>
      <c r="AF492" s="3">
        <v>0</v>
      </c>
      <c r="AG492" t="s">
        <v>49</v>
      </c>
      <c r="AH492">
        <v>0</v>
      </c>
      <c r="AI492" t="s">
        <v>49</v>
      </c>
      <c r="AJ492">
        <v>946.02</v>
      </c>
      <c r="AK492" t="s">
        <v>49</v>
      </c>
      <c r="AL492">
        <v>0</v>
      </c>
      <c r="AM492" t="s">
        <v>49</v>
      </c>
      <c r="AN492">
        <v>195</v>
      </c>
      <c r="AO492" s="19">
        <v>0</v>
      </c>
      <c r="AP492" s="19">
        <v>0</v>
      </c>
      <c r="AQ492" s="19">
        <v>0.9167</v>
      </c>
      <c r="AR492" s="19">
        <v>0.5417</v>
      </c>
      <c r="AS492" s="19">
        <v>0.5</v>
      </c>
      <c r="AT492" s="19">
        <v>0.5</v>
      </c>
      <c r="AU492" s="3">
        <v>0</v>
      </c>
      <c r="AV492" s="3">
        <v>0</v>
      </c>
      <c r="AW492" s="19">
        <v>0</v>
      </c>
      <c r="AX492" s="3">
        <v>0</v>
      </c>
      <c r="AY492" s="3">
        <v>0</v>
      </c>
    </row>
    <row r="493" spans="1:51">
      <c r="A493" s="3">
        <v>16842462</v>
      </c>
      <c r="B493" t="s">
        <v>809</v>
      </c>
      <c r="C493" s="3">
        <v>134401045</v>
      </c>
      <c r="D493" t="s">
        <v>44</v>
      </c>
      <c r="E493" t="s">
        <v>84</v>
      </c>
      <c r="F493" t="s">
        <v>65</v>
      </c>
      <c r="G493" t="s">
        <v>47</v>
      </c>
      <c r="H493" s="16">
        <v>0</v>
      </c>
      <c r="I493" s="4">
        <f>VLOOKUP(C493,[1]sheet1!$D:$I,6,0)</f>
        <v>0</v>
      </c>
      <c r="J493" s="4">
        <f>VLOOKUP(C493,[2]sheet1!$D:$I,6,0)</f>
        <v>0</v>
      </c>
      <c r="K493" s="4">
        <f>VLOOKUP(C493,[3]sheet1!$D:$I,6,0)</f>
        <v>0</v>
      </c>
      <c r="L493" s="4">
        <f>VLOOKUP(C493,[4]sheet1!$D:$I,6,0)</f>
        <v>0</v>
      </c>
      <c r="M493" s="4">
        <f>VLOOKUP(C493,[5]sheet1!$D:$I,6,0)</f>
        <v>0</v>
      </c>
      <c r="N493" s="4">
        <f>VLOOKUP(C493,[6]sheet1!$D:$I,6,0)</f>
        <v>0</v>
      </c>
      <c r="O493" s="4">
        <f>VLOOKUP(C493,[7]sheet1!$D:$I,6,0)</f>
        <v>0</v>
      </c>
      <c r="P493" s="4">
        <f>VLOOKUP(C493,[8]sheet1!$D:$I,6,0)</f>
        <v>0</v>
      </c>
      <c r="Q493" s="4">
        <f t="shared" si="7"/>
        <v>0</v>
      </c>
      <c r="R493" s="3">
        <v>0</v>
      </c>
      <c r="S493" s="3">
        <v>3</v>
      </c>
      <c r="T493" s="19">
        <v>0</v>
      </c>
      <c r="U493" s="3">
        <v>0</v>
      </c>
      <c r="V493" s="3">
        <v>0</v>
      </c>
      <c r="W493">
        <v>0</v>
      </c>
      <c r="X493" s="3">
        <v>0</v>
      </c>
      <c r="Y493">
        <v>0</v>
      </c>
      <c r="Z493" s="3">
        <v>0</v>
      </c>
      <c r="AA493" t="s">
        <v>810</v>
      </c>
      <c r="AB493" t="s">
        <v>49</v>
      </c>
      <c r="AC493">
        <v>635.04</v>
      </c>
      <c r="AD493" t="s">
        <v>49</v>
      </c>
      <c r="AE493">
        <v>0</v>
      </c>
      <c r="AF493" s="3">
        <v>0</v>
      </c>
      <c r="AG493" t="s">
        <v>49</v>
      </c>
      <c r="AH493">
        <v>0</v>
      </c>
      <c r="AI493" t="s">
        <v>49</v>
      </c>
      <c r="AJ493" t="s">
        <v>49</v>
      </c>
      <c r="AK493" t="s">
        <v>49</v>
      </c>
      <c r="AL493" t="s">
        <v>49</v>
      </c>
      <c r="AM493" t="s">
        <v>49</v>
      </c>
      <c r="AN493" s="3">
        <v>4</v>
      </c>
      <c r="AO493" s="19">
        <v>0</v>
      </c>
      <c r="AP493" s="19">
        <v>0</v>
      </c>
      <c r="AQ493" s="19">
        <v>1</v>
      </c>
      <c r="AR493" s="19">
        <v>0.3333</v>
      </c>
      <c r="AS493" s="19">
        <v>0</v>
      </c>
      <c r="AT493" s="19">
        <v>0</v>
      </c>
      <c r="AU493" s="3">
        <v>0</v>
      </c>
      <c r="AV493" s="3">
        <v>0</v>
      </c>
      <c r="AW493" s="19">
        <v>0</v>
      </c>
      <c r="AX493" s="3">
        <v>0</v>
      </c>
      <c r="AY493" s="3">
        <v>0</v>
      </c>
    </row>
    <row r="494" spans="1:51">
      <c r="A494" s="3">
        <v>16816040</v>
      </c>
      <c r="B494" t="s">
        <v>811</v>
      </c>
      <c r="C494" s="3">
        <v>124403126</v>
      </c>
      <c r="D494" t="s">
        <v>44</v>
      </c>
      <c r="E494" t="s">
        <v>328</v>
      </c>
      <c r="F494" t="s">
        <v>65</v>
      </c>
      <c r="G494" t="s">
        <v>47</v>
      </c>
      <c r="H494" s="16">
        <v>0</v>
      </c>
      <c r="I494" s="4">
        <f>VLOOKUP(C494,[1]sheet1!$D:$I,6,0)</f>
        <v>0</v>
      </c>
      <c r="J494" s="4">
        <f>VLOOKUP(C494,[2]sheet1!$D:$I,6,0)</f>
        <v>0</v>
      </c>
      <c r="K494" s="4">
        <f>VLOOKUP(C494,[3]sheet1!$D:$I,6,0)</f>
        <v>0</v>
      </c>
      <c r="L494" s="4">
        <f>VLOOKUP(C494,[4]sheet1!$D:$I,6,0)</f>
        <v>0</v>
      </c>
      <c r="M494" s="4">
        <f>VLOOKUP(C494,[5]sheet1!$D:$I,6,0)</f>
        <v>0</v>
      </c>
      <c r="N494" s="4">
        <f>VLOOKUP(C494,[6]sheet1!$D:$I,6,0)</f>
        <v>0</v>
      </c>
      <c r="O494" s="4">
        <f>VLOOKUP(C494,[7]sheet1!$D:$I,6,0)</f>
        <v>0</v>
      </c>
      <c r="P494" s="4">
        <f>VLOOKUP(C494,[8]sheet1!$D:$I,6,0)</f>
        <v>0</v>
      </c>
      <c r="Q494" s="4">
        <f t="shared" si="7"/>
        <v>0</v>
      </c>
      <c r="R494" s="3">
        <v>0</v>
      </c>
      <c r="S494" s="3">
        <v>2</v>
      </c>
      <c r="T494" s="19">
        <v>0</v>
      </c>
      <c r="U494" s="3">
        <v>0</v>
      </c>
      <c r="V494" s="3">
        <v>0</v>
      </c>
      <c r="W494">
        <v>0</v>
      </c>
      <c r="X494" s="3">
        <v>0</v>
      </c>
      <c r="Y494">
        <v>0</v>
      </c>
      <c r="Z494" s="3">
        <v>0</v>
      </c>
      <c r="AA494" t="s">
        <v>804</v>
      </c>
      <c r="AB494" t="s">
        <v>49</v>
      </c>
      <c r="AC494">
        <v>754.42</v>
      </c>
      <c r="AD494" t="s">
        <v>49</v>
      </c>
      <c r="AE494">
        <v>0</v>
      </c>
      <c r="AF494" s="3">
        <v>0</v>
      </c>
      <c r="AG494" t="s">
        <v>49</v>
      </c>
      <c r="AH494">
        <v>0</v>
      </c>
      <c r="AI494" t="s">
        <v>49</v>
      </c>
      <c r="AJ494" t="s">
        <v>49</v>
      </c>
      <c r="AK494" t="s">
        <v>49</v>
      </c>
      <c r="AL494" t="s">
        <v>49</v>
      </c>
      <c r="AM494" t="s">
        <v>49</v>
      </c>
      <c r="AN494" s="3">
        <v>2</v>
      </c>
      <c r="AO494" s="19">
        <v>0</v>
      </c>
      <c r="AP494" s="19">
        <v>0</v>
      </c>
      <c r="AQ494" s="19">
        <v>1</v>
      </c>
      <c r="AR494" s="19">
        <v>0</v>
      </c>
      <c r="AS494" s="19">
        <v>0</v>
      </c>
      <c r="AT494" s="19">
        <v>0</v>
      </c>
      <c r="AU494" s="3">
        <v>0</v>
      </c>
      <c r="AV494" s="3">
        <v>0</v>
      </c>
      <c r="AW494" s="19">
        <v>0</v>
      </c>
      <c r="AX494" s="3">
        <v>0</v>
      </c>
      <c r="AY494" s="3">
        <v>0</v>
      </c>
    </row>
    <row r="495" spans="1:51">
      <c r="A495" s="3">
        <v>16814691</v>
      </c>
      <c r="B495" t="s">
        <v>812</v>
      </c>
      <c r="C495" s="3">
        <v>114408273</v>
      </c>
      <c r="D495" t="s">
        <v>44</v>
      </c>
      <c r="E495" t="s">
        <v>365</v>
      </c>
      <c r="F495" t="s">
        <v>46</v>
      </c>
      <c r="G495" t="s">
        <v>47</v>
      </c>
      <c r="H495" s="16">
        <v>0</v>
      </c>
      <c r="I495" s="4">
        <f>VLOOKUP(C495,[1]sheet1!$D:$I,6,0)</f>
        <v>0</v>
      </c>
      <c r="J495" s="4">
        <f>VLOOKUP(C495,[2]sheet1!$D:$I,6,0)</f>
        <v>0</v>
      </c>
      <c r="K495" s="4">
        <f>VLOOKUP(C495,[3]sheet1!$D:$I,6,0)</f>
        <v>0</v>
      </c>
      <c r="L495" s="4">
        <f>VLOOKUP(C495,[4]sheet1!$D:$I,6,0)</f>
        <v>0</v>
      </c>
      <c r="M495" s="4">
        <f>VLOOKUP(C495,[5]sheet1!$D:$I,6,0)</f>
        <v>0</v>
      </c>
      <c r="N495" s="4">
        <f>VLOOKUP(C495,[6]sheet1!$D:$I,6,0)</f>
        <v>0</v>
      </c>
      <c r="O495" s="4">
        <f>VLOOKUP(C495,[7]sheet1!$D:$I,6,0)</f>
        <v>0</v>
      </c>
      <c r="P495" s="4">
        <f>VLOOKUP(C495,[8]sheet1!$D:$I,6,0)</f>
        <v>0</v>
      </c>
      <c r="Q495" s="4">
        <f t="shared" si="7"/>
        <v>0</v>
      </c>
      <c r="R495" s="3">
        <v>0</v>
      </c>
      <c r="S495">
        <v>138</v>
      </c>
      <c r="T495">
        <v>0</v>
      </c>
      <c r="U495" s="3">
        <v>3</v>
      </c>
      <c r="V495" s="3">
        <v>0</v>
      </c>
      <c r="W495">
        <v>0</v>
      </c>
      <c r="X495" s="3">
        <v>0</v>
      </c>
      <c r="Y495">
        <v>0</v>
      </c>
      <c r="Z495" s="3">
        <v>0</v>
      </c>
      <c r="AA495" t="s">
        <v>813</v>
      </c>
      <c r="AB495" s="3">
        <v>1250</v>
      </c>
      <c r="AC495">
        <v>1294.89</v>
      </c>
      <c r="AD495" t="s">
        <v>49</v>
      </c>
      <c r="AE495">
        <v>0</v>
      </c>
      <c r="AF495" s="3">
        <v>0</v>
      </c>
      <c r="AG495" t="s">
        <v>49</v>
      </c>
      <c r="AH495">
        <v>0</v>
      </c>
      <c r="AI495" t="s">
        <v>49</v>
      </c>
      <c r="AJ495">
        <v>1077.39</v>
      </c>
      <c r="AK495" t="s">
        <v>49</v>
      </c>
      <c r="AL495">
        <v>0</v>
      </c>
      <c r="AM495" t="s">
        <v>49</v>
      </c>
      <c r="AN495">
        <v>156</v>
      </c>
      <c r="AO495" s="19">
        <v>0</v>
      </c>
      <c r="AP495" s="19">
        <v>0</v>
      </c>
      <c r="AQ495" s="19">
        <v>0.8571</v>
      </c>
      <c r="AR495" s="19">
        <v>0.5714</v>
      </c>
      <c r="AS495" s="19">
        <v>0.6667</v>
      </c>
      <c r="AT495" s="19">
        <v>0.6667</v>
      </c>
      <c r="AU495" s="3">
        <v>0</v>
      </c>
      <c r="AV495" s="3">
        <v>0</v>
      </c>
      <c r="AW495" s="19">
        <v>0</v>
      </c>
      <c r="AX495" s="3">
        <v>0</v>
      </c>
      <c r="AY495" s="3">
        <v>0</v>
      </c>
    </row>
    <row r="496" spans="1:51">
      <c r="A496" s="3">
        <v>16787323</v>
      </c>
      <c r="B496" t="s">
        <v>814</v>
      </c>
      <c r="C496" s="3">
        <v>134408270</v>
      </c>
      <c r="D496" t="s">
        <v>44</v>
      </c>
      <c r="E496" t="s">
        <v>815</v>
      </c>
      <c r="F496" t="s">
        <v>65</v>
      </c>
      <c r="G496" t="s">
        <v>47</v>
      </c>
      <c r="H496" s="16">
        <v>0</v>
      </c>
      <c r="I496" s="4">
        <f>VLOOKUP(C496,[1]sheet1!$D:$I,6,0)</f>
        <v>0</v>
      </c>
      <c r="J496" s="4">
        <f>VLOOKUP(C496,[2]sheet1!$D:$I,6,0)</f>
        <v>0</v>
      </c>
      <c r="K496" s="4">
        <f>VLOOKUP(C496,[3]sheet1!$D:$I,6,0)</f>
        <v>0</v>
      </c>
      <c r="L496" s="4">
        <f>VLOOKUP(C496,[4]sheet1!$D:$I,6,0)</f>
        <v>0</v>
      </c>
      <c r="M496" s="4">
        <f>VLOOKUP(C496,[5]sheet1!$D:$I,6,0)</f>
        <v>0</v>
      </c>
      <c r="N496" s="4">
        <f>VLOOKUP(C496,[6]sheet1!$D:$I,6,0)</f>
        <v>0</v>
      </c>
      <c r="O496" s="4">
        <f>VLOOKUP(C496,[7]sheet1!$D:$I,6,0)</f>
        <v>0</v>
      </c>
      <c r="P496" s="4">
        <f>VLOOKUP(C496,[8]sheet1!$D:$I,6,0)</f>
        <v>0</v>
      </c>
      <c r="Q496" s="4">
        <f t="shared" si="7"/>
        <v>0</v>
      </c>
      <c r="R496" s="3">
        <v>0</v>
      </c>
      <c r="S496" s="3">
        <v>2</v>
      </c>
      <c r="T496" s="19">
        <v>0</v>
      </c>
      <c r="U496" s="3">
        <v>0</v>
      </c>
      <c r="V496" s="3">
        <v>0</v>
      </c>
      <c r="W496">
        <v>0</v>
      </c>
      <c r="X496" s="3">
        <v>0</v>
      </c>
      <c r="Y496">
        <v>0</v>
      </c>
      <c r="Z496" s="3">
        <v>0</v>
      </c>
      <c r="AA496" t="s">
        <v>816</v>
      </c>
      <c r="AB496" t="s">
        <v>49</v>
      </c>
      <c r="AC496">
        <v>712.44</v>
      </c>
      <c r="AD496" t="s">
        <v>49</v>
      </c>
      <c r="AE496">
        <v>0</v>
      </c>
      <c r="AF496" s="3">
        <v>0</v>
      </c>
      <c r="AG496" t="s">
        <v>49</v>
      </c>
      <c r="AH496">
        <v>0</v>
      </c>
      <c r="AI496" t="s">
        <v>49</v>
      </c>
      <c r="AJ496" t="s">
        <v>49</v>
      </c>
      <c r="AK496" t="s">
        <v>49</v>
      </c>
      <c r="AL496" t="s">
        <v>49</v>
      </c>
      <c r="AM496" t="s">
        <v>49</v>
      </c>
      <c r="AN496" s="3">
        <v>2</v>
      </c>
      <c r="AO496" s="19">
        <v>0</v>
      </c>
      <c r="AP496" s="19">
        <v>0</v>
      </c>
      <c r="AQ496" s="19">
        <v>1</v>
      </c>
      <c r="AR496" s="19">
        <v>0.5</v>
      </c>
      <c r="AS496" s="19">
        <v>0</v>
      </c>
      <c r="AT496" s="19">
        <v>0</v>
      </c>
      <c r="AU496" s="3">
        <v>0</v>
      </c>
      <c r="AV496" s="3">
        <v>0</v>
      </c>
      <c r="AW496" s="19">
        <v>0</v>
      </c>
      <c r="AX496" s="3">
        <v>0</v>
      </c>
      <c r="AY496" s="3">
        <v>0</v>
      </c>
    </row>
    <row r="497" spans="1:51">
      <c r="A497" s="3">
        <v>16782228</v>
      </c>
      <c r="B497" t="s">
        <v>817</v>
      </c>
      <c r="C497" t="s">
        <v>818</v>
      </c>
      <c r="D497" t="s">
        <v>44</v>
      </c>
      <c r="E497" t="s">
        <v>258</v>
      </c>
      <c r="F497" t="s">
        <v>46</v>
      </c>
      <c r="G497" t="s">
        <v>47</v>
      </c>
      <c r="H497" s="16">
        <v>0</v>
      </c>
      <c r="I497" s="4">
        <f>VLOOKUP(C497,[1]sheet1!$D:$I,6,0)</f>
        <v>0</v>
      </c>
      <c r="J497" s="4">
        <f>VLOOKUP(C497,[2]sheet1!$D:$I,6,0)</f>
        <v>0</v>
      </c>
      <c r="K497" s="4">
        <f>VLOOKUP(C497,[3]sheet1!$D:$I,6,0)</f>
        <v>0</v>
      </c>
      <c r="L497" s="4">
        <f>VLOOKUP(C497,[4]sheet1!$D:$I,6,0)</f>
        <v>0</v>
      </c>
      <c r="M497" s="4">
        <f>VLOOKUP(C497,[5]sheet1!$D:$I,6,0)</f>
        <v>0</v>
      </c>
      <c r="N497" s="4">
        <f>VLOOKUP(C497,[6]sheet1!$D:$I,6,0)</f>
        <v>0</v>
      </c>
      <c r="O497" s="4">
        <f>VLOOKUP(C497,[7]sheet1!$D:$I,6,0)</f>
        <v>0</v>
      </c>
      <c r="P497" s="4">
        <f>VLOOKUP(C497,[8]sheet1!$D:$I,6,0)</f>
        <v>0</v>
      </c>
      <c r="Q497" s="4">
        <f t="shared" si="7"/>
        <v>0</v>
      </c>
      <c r="R497" s="3">
        <v>0</v>
      </c>
      <c r="S497">
        <v>0</v>
      </c>
      <c r="T497">
        <v>0</v>
      </c>
      <c r="U497" s="3">
        <v>0</v>
      </c>
      <c r="V497" s="3">
        <v>0</v>
      </c>
      <c r="W497">
        <v>0</v>
      </c>
      <c r="X497" s="3">
        <v>0</v>
      </c>
      <c r="Y497">
        <v>0</v>
      </c>
      <c r="Z497" s="3">
        <v>0</v>
      </c>
      <c r="AA497" t="s">
        <v>797</v>
      </c>
      <c r="AB497" s="3">
        <v>1679</v>
      </c>
      <c r="AC497">
        <v>2075.64</v>
      </c>
      <c r="AD497" t="s">
        <v>49</v>
      </c>
      <c r="AE497">
        <v>0</v>
      </c>
      <c r="AF497" s="3">
        <v>0</v>
      </c>
      <c r="AG497" t="s">
        <v>49</v>
      </c>
      <c r="AH497">
        <v>0</v>
      </c>
      <c r="AI497" t="s">
        <v>49</v>
      </c>
      <c r="AJ497">
        <v>1449.24</v>
      </c>
      <c r="AK497" t="s">
        <v>49</v>
      </c>
      <c r="AL497">
        <v>0</v>
      </c>
      <c r="AM497" t="s">
        <v>49</v>
      </c>
      <c r="AN497">
        <v>0</v>
      </c>
      <c r="AO497" s="19">
        <v>0</v>
      </c>
      <c r="AP497" s="19">
        <v>0</v>
      </c>
      <c r="AQ497" s="19">
        <v>0</v>
      </c>
      <c r="AR497" s="19">
        <v>0</v>
      </c>
      <c r="AS497" s="19">
        <v>0</v>
      </c>
      <c r="AT497" s="19">
        <v>0</v>
      </c>
      <c r="AU497" s="3">
        <v>0</v>
      </c>
      <c r="AV497" s="3">
        <v>0</v>
      </c>
      <c r="AW497" s="19">
        <v>0</v>
      </c>
      <c r="AX497" s="3">
        <v>0</v>
      </c>
      <c r="AY497" s="3">
        <v>0</v>
      </c>
    </row>
    <row r="498" spans="1:51">
      <c r="A498" s="3">
        <v>16780190</v>
      </c>
      <c r="B498" t="s">
        <v>819</v>
      </c>
      <c r="C498" s="3">
        <v>124408240</v>
      </c>
      <c r="D498" t="s">
        <v>44</v>
      </c>
      <c r="E498" t="s">
        <v>365</v>
      </c>
      <c r="F498" t="s">
        <v>46</v>
      </c>
      <c r="G498" t="s">
        <v>47</v>
      </c>
      <c r="H498" s="16">
        <v>0</v>
      </c>
      <c r="I498" s="4">
        <f>VLOOKUP(C498,[1]sheet1!$D:$I,6,0)</f>
        <v>0</v>
      </c>
      <c r="J498" s="4">
        <f>VLOOKUP(C498,[2]sheet1!$D:$I,6,0)</f>
        <v>0</v>
      </c>
      <c r="K498" s="4">
        <f>VLOOKUP(C498,[3]sheet1!$D:$I,6,0)</f>
        <v>0</v>
      </c>
      <c r="L498" s="4">
        <f>VLOOKUP(C498,[4]sheet1!$D:$I,6,0)</f>
        <v>0</v>
      </c>
      <c r="M498" s="4">
        <f>VLOOKUP(C498,[5]sheet1!$D:$I,6,0)</f>
        <v>0</v>
      </c>
      <c r="N498" s="4">
        <f>VLOOKUP(C498,[6]sheet1!$D:$I,6,0)</f>
        <v>0</v>
      </c>
      <c r="O498" s="4">
        <f>VLOOKUP(C498,[7]sheet1!$D:$I,6,0)</f>
        <v>0</v>
      </c>
      <c r="P498" s="4">
        <f>VLOOKUP(C498,[8]sheet1!$D:$I,6,0)</f>
        <v>0</v>
      </c>
      <c r="Q498" s="4">
        <f t="shared" si="7"/>
        <v>0</v>
      </c>
      <c r="R498" s="3">
        <v>0</v>
      </c>
      <c r="S498">
        <v>90</v>
      </c>
      <c r="T498">
        <v>0</v>
      </c>
      <c r="U498" s="3">
        <v>0</v>
      </c>
      <c r="V498" s="3">
        <v>0</v>
      </c>
      <c r="W498">
        <v>0</v>
      </c>
      <c r="X498" s="3">
        <v>0</v>
      </c>
      <c r="Y498">
        <v>0</v>
      </c>
      <c r="Z498" s="3">
        <v>0</v>
      </c>
      <c r="AA498" t="s">
        <v>820</v>
      </c>
      <c r="AB498" s="3">
        <v>2900</v>
      </c>
      <c r="AC498">
        <v>2512.89</v>
      </c>
      <c r="AD498" t="s">
        <v>49</v>
      </c>
      <c r="AE498">
        <v>0</v>
      </c>
      <c r="AF498" s="3">
        <v>0</v>
      </c>
      <c r="AG498" t="s">
        <v>49</v>
      </c>
      <c r="AH498">
        <v>0</v>
      </c>
      <c r="AI498" t="s">
        <v>49</v>
      </c>
      <c r="AJ498" t="s">
        <v>49</v>
      </c>
      <c r="AK498" t="s">
        <v>49</v>
      </c>
      <c r="AL498" t="s">
        <v>49</v>
      </c>
      <c r="AM498" t="s">
        <v>49</v>
      </c>
      <c r="AN498">
        <v>110</v>
      </c>
      <c r="AO498" s="19">
        <v>0</v>
      </c>
      <c r="AP498" s="19">
        <v>0</v>
      </c>
      <c r="AQ498" s="19">
        <v>0.8333</v>
      </c>
      <c r="AR498" s="19">
        <v>0</v>
      </c>
      <c r="AS498" s="19">
        <v>0</v>
      </c>
      <c r="AT498" s="19">
        <v>0</v>
      </c>
      <c r="AU498" s="3">
        <v>0</v>
      </c>
      <c r="AV498" s="3">
        <v>0</v>
      </c>
      <c r="AW498" s="19">
        <v>0</v>
      </c>
      <c r="AX498" s="3">
        <v>0</v>
      </c>
      <c r="AY498" s="3">
        <v>0</v>
      </c>
    </row>
    <row r="499" spans="1:51">
      <c r="A499" s="3">
        <v>16694247</v>
      </c>
      <c r="B499" t="s">
        <v>821</v>
      </c>
      <c r="C499" t="s">
        <v>822</v>
      </c>
      <c r="D499" t="s">
        <v>44</v>
      </c>
      <c r="E499" t="s">
        <v>104</v>
      </c>
      <c r="F499" t="s">
        <v>65</v>
      </c>
      <c r="G499" t="s">
        <v>47</v>
      </c>
      <c r="H499" s="16">
        <v>0</v>
      </c>
      <c r="I499" s="4">
        <f>VLOOKUP(C499,[1]sheet1!$D:$I,6,0)</f>
        <v>0</v>
      </c>
      <c r="J499" s="4">
        <f>VLOOKUP(C499,[2]sheet1!$D:$I,6,0)</f>
        <v>0</v>
      </c>
      <c r="K499" s="4">
        <f>VLOOKUP(C499,[3]sheet1!$D:$I,6,0)</f>
        <v>0</v>
      </c>
      <c r="L499" s="4">
        <f>VLOOKUP(C499,[4]sheet1!$D:$I,6,0)</f>
        <v>0</v>
      </c>
      <c r="M499" s="4">
        <f>VLOOKUP(C499,[5]sheet1!$D:$I,6,0)</f>
        <v>0</v>
      </c>
      <c r="N499" s="4">
        <f>VLOOKUP(C499,[6]sheet1!$D:$I,6,0)</f>
        <v>0</v>
      </c>
      <c r="O499" s="4">
        <f>VLOOKUP(C499,[7]sheet1!$D:$I,6,0)</f>
        <v>0</v>
      </c>
      <c r="P499" s="4">
        <f>VLOOKUP(C499,[8]sheet1!$D:$I,6,0)</f>
        <v>0</v>
      </c>
      <c r="Q499" s="4">
        <f t="shared" si="7"/>
        <v>0</v>
      </c>
      <c r="R499" s="3">
        <v>0</v>
      </c>
      <c r="S499" s="3">
        <v>9</v>
      </c>
      <c r="T499" s="19">
        <v>0</v>
      </c>
      <c r="U499" s="3">
        <v>1</v>
      </c>
      <c r="V499" s="3">
        <v>0</v>
      </c>
      <c r="W499">
        <v>0</v>
      </c>
      <c r="X499" s="3">
        <v>0</v>
      </c>
      <c r="Y499">
        <v>0</v>
      </c>
      <c r="Z499" s="3">
        <v>0</v>
      </c>
      <c r="AA499" t="s">
        <v>823</v>
      </c>
      <c r="AB499" t="s">
        <v>49</v>
      </c>
      <c r="AC499">
        <v>1538.99</v>
      </c>
      <c r="AD499" t="s">
        <v>49</v>
      </c>
      <c r="AE499">
        <v>0</v>
      </c>
      <c r="AF499" s="3">
        <v>0</v>
      </c>
      <c r="AG499" t="s">
        <v>49</v>
      </c>
      <c r="AH499">
        <v>0</v>
      </c>
      <c r="AI499" t="s">
        <v>49</v>
      </c>
      <c r="AJ499" t="s">
        <v>49</v>
      </c>
      <c r="AK499" t="s">
        <v>49</v>
      </c>
      <c r="AL499" t="s">
        <v>49</v>
      </c>
      <c r="AM499" t="s">
        <v>49</v>
      </c>
      <c r="AN499" s="3">
        <v>10</v>
      </c>
      <c r="AO499" s="19">
        <v>0</v>
      </c>
      <c r="AP499" s="19">
        <v>0</v>
      </c>
      <c r="AQ499" s="19">
        <v>0.8889</v>
      </c>
      <c r="AR499" s="19">
        <v>0.3333</v>
      </c>
      <c r="AS499" s="19">
        <v>1</v>
      </c>
      <c r="AT499" s="19">
        <v>0</v>
      </c>
      <c r="AU499" s="3">
        <v>0</v>
      </c>
      <c r="AV499" s="3">
        <v>0</v>
      </c>
      <c r="AW499" s="19">
        <v>0</v>
      </c>
      <c r="AX499" s="3">
        <v>0</v>
      </c>
      <c r="AY499" s="3">
        <v>0</v>
      </c>
    </row>
    <row r="500" spans="1:51">
      <c r="A500" s="3">
        <v>16689118</v>
      </c>
      <c r="B500" t="s">
        <v>824</v>
      </c>
      <c r="C500" t="s">
        <v>825</v>
      </c>
      <c r="D500" t="s">
        <v>44</v>
      </c>
      <c r="E500" t="s">
        <v>258</v>
      </c>
      <c r="F500" t="s">
        <v>46</v>
      </c>
      <c r="G500" t="s">
        <v>47</v>
      </c>
      <c r="H500" s="16">
        <v>0</v>
      </c>
      <c r="I500" s="4">
        <f>VLOOKUP(C500,[1]sheet1!$D:$I,6,0)</f>
        <v>0</v>
      </c>
      <c r="J500" s="4">
        <f>VLOOKUP(C500,[2]sheet1!$D:$I,6,0)</f>
        <v>0</v>
      </c>
      <c r="K500" s="4">
        <f>VLOOKUP(C500,[3]sheet1!$D:$I,6,0)</f>
        <v>0</v>
      </c>
      <c r="L500" s="4">
        <f>VLOOKUP(C500,[4]sheet1!$D:$I,6,0)</f>
        <v>0</v>
      </c>
      <c r="M500" s="4">
        <f>VLOOKUP(C500,[5]sheet1!$D:$I,6,0)</f>
        <v>0</v>
      </c>
      <c r="N500" s="4">
        <f>VLOOKUP(C500,[6]sheet1!$D:$I,6,0)</f>
        <v>0</v>
      </c>
      <c r="O500" s="4">
        <f>VLOOKUP(C500,[7]sheet1!$D:$I,6,0)</f>
        <v>0</v>
      </c>
      <c r="P500" s="4">
        <f>VLOOKUP(C500,[8]sheet1!$D:$I,6,0)</f>
        <v>0</v>
      </c>
      <c r="Q500" s="4">
        <f t="shared" si="7"/>
        <v>0</v>
      </c>
      <c r="R500" s="3">
        <v>0</v>
      </c>
      <c r="S500">
        <v>97</v>
      </c>
      <c r="T500">
        <v>0</v>
      </c>
      <c r="U500" s="3">
        <v>0</v>
      </c>
      <c r="V500" s="3">
        <v>0</v>
      </c>
      <c r="W500">
        <v>0</v>
      </c>
      <c r="X500" s="3">
        <v>0</v>
      </c>
      <c r="Y500">
        <v>0</v>
      </c>
      <c r="Z500" s="3">
        <v>0</v>
      </c>
      <c r="AA500" t="s">
        <v>808</v>
      </c>
      <c r="AB500" s="3">
        <v>1398</v>
      </c>
      <c r="AC500">
        <v>1205.64</v>
      </c>
      <c r="AD500" t="s">
        <v>49</v>
      </c>
      <c r="AE500">
        <v>0</v>
      </c>
      <c r="AF500" s="3">
        <v>0</v>
      </c>
      <c r="AG500" t="s">
        <v>49</v>
      </c>
      <c r="AH500">
        <v>0</v>
      </c>
      <c r="AI500" t="s">
        <v>49</v>
      </c>
      <c r="AJ500">
        <v>1204.77</v>
      </c>
      <c r="AK500" t="s">
        <v>49</v>
      </c>
      <c r="AL500">
        <v>0</v>
      </c>
      <c r="AM500" t="s">
        <v>49</v>
      </c>
      <c r="AN500" s="3">
        <v>8</v>
      </c>
      <c r="AO500" s="19">
        <v>0</v>
      </c>
      <c r="AP500" s="19">
        <v>0</v>
      </c>
      <c r="AQ500" s="19">
        <v>0.8571</v>
      </c>
      <c r="AR500" s="19">
        <v>0.2857</v>
      </c>
      <c r="AS500" s="19">
        <v>0</v>
      </c>
      <c r="AT500" s="19">
        <v>0</v>
      </c>
      <c r="AU500" s="3">
        <v>0</v>
      </c>
      <c r="AV500" s="3">
        <v>0</v>
      </c>
      <c r="AW500" s="19">
        <v>0</v>
      </c>
      <c r="AX500" s="3">
        <v>0</v>
      </c>
      <c r="AY500" s="3">
        <v>0</v>
      </c>
    </row>
    <row r="501" spans="1:51">
      <c r="A501" s="3">
        <v>16685058</v>
      </c>
      <c r="B501" t="s">
        <v>826</v>
      </c>
      <c r="C501" s="3">
        <v>134301043</v>
      </c>
      <c r="D501" t="s">
        <v>44</v>
      </c>
      <c r="E501" t="s">
        <v>84</v>
      </c>
      <c r="F501" t="s">
        <v>65</v>
      </c>
      <c r="G501" t="s">
        <v>47</v>
      </c>
      <c r="H501" s="16">
        <v>0</v>
      </c>
      <c r="I501" s="4">
        <f>VLOOKUP(C501,[1]sheet1!$D:$I,6,0)</f>
        <v>372</v>
      </c>
      <c r="J501" s="4">
        <f>VLOOKUP(C501,[2]sheet1!$D:$I,6,0)</f>
        <v>372</v>
      </c>
      <c r="K501" s="4">
        <f>VLOOKUP(C501,[3]sheet1!$D:$I,6,0)</f>
        <v>0</v>
      </c>
      <c r="L501" s="4">
        <f>VLOOKUP(C501,[4]sheet1!$D:$I,6,0)</f>
        <v>372</v>
      </c>
      <c r="M501" s="4">
        <f>VLOOKUP(C501,[5]sheet1!$D:$I,6,0)</f>
        <v>0</v>
      </c>
      <c r="N501" s="4">
        <f>VLOOKUP(C501,[6]sheet1!$D:$I,6,0)</f>
        <v>0</v>
      </c>
      <c r="O501" s="4">
        <f>VLOOKUP(C501,[7]sheet1!$D:$I,6,0)</f>
        <v>0</v>
      </c>
      <c r="P501" s="4">
        <f>VLOOKUP(C501,[8]sheet1!$D:$I,6,0)</f>
        <v>0</v>
      </c>
      <c r="Q501" s="4">
        <f t="shared" si="7"/>
        <v>1116</v>
      </c>
      <c r="R501" s="3">
        <v>0</v>
      </c>
      <c r="S501" s="3">
        <v>35</v>
      </c>
      <c r="T501" s="19">
        <v>0</v>
      </c>
      <c r="U501" s="3">
        <v>0</v>
      </c>
      <c r="V501" s="3">
        <v>0</v>
      </c>
      <c r="W501">
        <v>0</v>
      </c>
      <c r="X501" s="3">
        <v>0</v>
      </c>
      <c r="Y501">
        <v>0</v>
      </c>
      <c r="Z501" s="3">
        <v>0</v>
      </c>
      <c r="AA501" t="s">
        <v>827</v>
      </c>
      <c r="AB501" t="s">
        <v>49</v>
      </c>
      <c r="AC501">
        <v>303.54</v>
      </c>
      <c r="AD501" t="s">
        <v>49</v>
      </c>
      <c r="AE501">
        <v>0</v>
      </c>
      <c r="AF501" s="3">
        <v>0</v>
      </c>
      <c r="AG501" t="s">
        <v>49</v>
      </c>
      <c r="AH501">
        <v>0</v>
      </c>
      <c r="AI501" t="s">
        <v>49</v>
      </c>
      <c r="AJ501" t="s">
        <v>49</v>
      </c>
      <c r="AK501" t="s">
        <v>49</v>
      </c>
      <c r="AL501" t="s">
        <v>49</v>
      </c>
      <c r="AM501" t="s">
        <v>49</v>
      </c>
      <c r="AN501" s="3">
        <v>40</v>
      </c>
      <c r="AO501" s="19">
        <v>0</v>
      </c>
      <c r="AP501" s="19">
        <v>0</v>
      </c>
      <c r="AQ501" s="19">
        <v>0.8571</v>
      </c>
      <c r="AR501" s="19">
        <v>0.3714</v>
      </c>
      <c r="AS501" s="19">
        <v>0</v>
      </c>
      <c r="AT501" s="19">
        <v>0</v>
      </c>
      <c r="AU501" s="3">
        <v>0</v>
      </c>
      <c r="AV501" s="3">
        <v>0</v>
      </c>
      <c r="AW501" s="19">
        <v>0</v>
      </c>
      <c r="AX501" s="3">
        <v>0</v>
      </c>
      <c r="AY501" s="3">
        <v>0</v>
      </c>
    </row>
    <row r="502" spans="1:51">
      <c r="A502" s="3">
        <v>16660209</v>
      </c>
      <c r="B502" t="s">
        <v>828</v>
      </c>
      <c r="C502" t="s">
        <v>829</v>
      </c>
      <c r="D502" t="s">
        <v>44</v>
      </c>
      <c r="E502" t="s">
        <v>461</v>
      </c>
      <c r="F502" t="s">
        <v>65</v>
      </c>
      <c r="G502" t="s">
        <v>47</v>
      </c>
      <c r="H502" s="16">
        <v>0</v>
      </c>
      <c r="I502" s="4">
        <f>VLOOKUP(C502,[1]sheet1!$D:$I,6,0)</f>
        <v>0</v>
      </c>
      <c r="J502" s="4">
        <f>VLOOKUP(C502,[2]sheet1!$D:$I,6,0)</f>
        <v>0</v>
      </c>
      <c r="K502" s="4">
        <f>VLOOKUP(C502,[3]sheet1!$D:$I,6,0)</f>
        <v>0</v>
      </c>
      <c r="L502" s="4">
        <f>VLOOKUP(C502,[4]sheet1!$D:$I,6,0)</f>
        <v>0</v>
      </c>
      <c r="M502" s="4">
        <f>VLOOKUP(C502,[5]sheet1!$D:$I,6,0)</f>
        <v>0</v>
      </c>
      <c r="N502" s="4">
        <f>VLOOKUP(C502,[6]sheet1!$D:$I,6,0)</f>
        <v>0</v>
      </c>
      <c r="O502" s="4">
        <f>VLOOKUP(C502,[7]sheet1!$D:$I,6,0)</f>
        <v>0</v>
      </c>
      <c r="P502" s="4">
        <f>VLOOKUP(C502,[8]sheet1!$D:$I,6,0)</f>
        <v>0</v>
      </c>
      <c r="Q502" s="4">
        <f t="shared" si="7"/>
        <v>0</v>
      </c>
      <c r="R502" s="3">
        <v>0</v>
      </c>
      <c r="S502" s="3">
        <v>5</v>
      </c>
      <c r="T502" s="19">
        <v>0</v>
      </c>
      <c r="U502" s="3">
        <v>0</v>
      </c>
      <c r="V502" s="3">
        <v>0</v>
      </c>
      <c r="W502">
        <v>0</v>
      </c>
      <c r="X502" s="3">
        <v>0</v>
      </c>
      <c r="Y502">
        <v>0</v>
      </c>
      <c r="Z502" s="3">
        <v>0</v>
      </c>
      <c r="AA502" t="s">
        <v>49</v>
      </c>
      <c r="AB502" t="s">
        <v>49</v>
      </c>
      <c r="AC502" t="s">
        <v>49</v>
      </c>
      <c r="AD502" t="s">
        <v>49</v>
      </c>
      <c r="AE502">
        <v>0</v>
      </c>
      <c r="AF502" s="3">
        <v>0</v>
      </c>
      <c r="AG502" t="s">
        <v>49</v>
      </c>
      <c r="AH502" t="s">
        <v>49</v>
      </c>
      <c r="AI502" t="s">
        <v>49</v>
      </c>
      <c r="AJ502" t="s">
        <v>49</v>
      </c>
      <c r="AK502" t="s">
        <v>49</v>
      </c>
      <c r="AL502" t="s">
        <v>49</v>
      </c>
      <c r="AM502" t="s">
        <v>49</v>
      </c>
      <c r="AN502" s="3">
        <v>7</v>
      </c>
      <c r="AO502" s="19">
        <v>0</v>
      </c>
      <c r="AP502" s="19">
        <v>0</v>
      </c>
      <c r="AQ502" s="19">
        <v>0.4</v>
      </c>
      <c r="AR502" s="19">
        <v>0.2</v>
      </c>
      <c r="AS502" s="19">
        <v>0</v>
      </c>
      <c r="AT502" s="19">
        <v>0</v>
      </c>
      <c r="AU502" s="3">
        <v>0</v>
      </c>
      <c r="AV502" s="3">
        <v>0</v>
      </c>
      <c r="AW502" s="19">
        <v>0</v>
      </c>
      <c r="AX502" s="3">
        <v>0</v>
      </c>
      <c r="AY502" s="3">
        <v>0</v>
      </c>
    </row>
    <row r="503" spans="1:51">
      <c r="A503" s="3">
        <v>16616496</v>
      </c>
      <c r="B503" t="s">
        <v>830</v>
      </c>
      <c r="C503" t="s">
        <v>831</v>
      </c>
      <c r="D503" t="s">
        <v>44</v>
      </c>
      <c r="E503" t="s">
        <v>117</v>
      </c>
      <c r="F503" t="s">
        <v>65</v>
      </c>
      <c r="G503" t="s">
        <v>47</v>
      </c>
      <c r="H503" s="16">
        <v>0</v>
      </c>
      <c r="I503" s="4">
        <f>VLOOKUP(C503,[1]sheet1!$D:$I,6,0)</f>
        <v>0</v>
      </c>
      <c r="J503" s="4">
        <f>VLOOKUP(C503,[2]sheet1!$D:$I,6,0)</f>
        <v>0</v>
      </c>
      <c r="K503" s="4">
        <f>VLOOKUP(C503,[3]sheet1!$D:$I,6,0)</f>
        <v>0</v>
      </c>
      <c r="L503" s="4">
        <f>VLOOKUP(C503,[4]sheet1!$D:$I,6,0)</f>
        <v>0</v>
      </c>
      <c r="M503" s="4">
        <f>VLOOKUP(C503,[5]sheet1!$D:$I,6,0)</f>
        <v>0</v>
      </c>
      <c r="N503" s="4">
        <f>VLOOKUP(C503,[6]sheet1!$D:$I,6,0)</f>
        <v>0</v>
      </c>
      <c r="O503" s="4">
        <f>VLOOKUP(C503,[7]sheet1!$D:$I,6,0)</f>
        <v>0</v>
      </c>
      <c r="P503" s="4">
        <f>VLOOKUP(C503,[8]sheet1!$D:$I,6,0)</f>
        <v>0</v>
      </c>
      <c r="Q503" s="4">
        <f t="shared" si="7"/>
        <v>0</v>
      </c>
      <c r="R503" s="3">
        <v>0</v>
      </c>
      <c r="S503" s="3">
        <v>5</v>
      </c>
      <c r="T503" s="19">
        <v>0</v>
      </c>
      <c r="U503" s="3">
        <v>0</v>
      </c>
      <c r="V503" s="3">
        <v>0</v>
      </c>
      <c r="W503">
        <v>0</v>
      </c>
      <c r="X503" s="3">
        <v>0</v>
      </c>
      <c r="Y503">
        <v>0</v>
      </c>
      <c r="Z503" s="3">
        <v>0</v>
      </c>
      <c r="AA503" t="s">
        <v>49</v>
      </c>
      <c r="AB503" t="s">
        <v>49</v>
      </c>
      <c r="AC503" t="s">
        <v>49</v>
      </c>
      <c r="AD503" t="s">
        <v>49</v>
      </c>
      <c r="AE503">
        <v>0</v>
      </c>
      <c r="AF503" s="3">
        <v>0</v>
      </c>
      <c r="AG503" t="s">
        <v>49</v>
      </c>
      <c r="AH503" t="s">
        <v>49</v>
      </c>
      <c r="AI503" t="s">
        <v>49</v>
      </c>
      <c r="AJ503" t="s">
        <v>49</v>
      </c>
      <c r="AK503" t="s">
        <v>49</v>
      </c>
      <c r="AL503" t="s">
        <v>49</v>
      </c>
      <c r="AM503" t="s">
        <v>49</v>
      </c>
      <c r="AN503" s="3">
        <v>6</v>
      </c>
      <c r="AO503" s="19">
        <v>0</v>
      </c>
      <c r="AP503" s="19">
        <v>0</v>
      </c>
      <c r="AQ503" s="19">
        <v>0.6</v>
      </c>
      <c r="AR503" s="19">
        <v>0.2</v>
      </c>
      <c r="AS503" s="19">
        <v>0</v>
      </c>
      <c r="AT503" s="19">
        <v>0</v>
      </c>
      <c r="AU503" s="3">
        <v>0</v>
      </c>
      <c r="AV503" s="3">
        <v>0</v>
      </c>
      <c r="AW503" s="19">
        <v>0</v>
      </c>
      <c r="AX503" s="3">
        <v>0</v>
      </c>
      <c r="AY503" s="3">
        <v>0</v>
      </c>
    </row>
    <row r="504" spans="1:51">
      <c r="A504" s="3">
        <v>16614574</v>
      </c>
      <c r="B504" t="s">
        <v>832</v>
      </c>
      <c r="C504" t="s">
        <v>833</v>
      </c>
      <c r="D504" t="s">
        <v>44</v>
      </c>
      <c r="E504" t="s">
        <v>206</v>
      </c>
      <c r="F504" t="s">
        <v>46</v>
      </c>
      <c r="G504" t="s">
        <v>47</v>
      </c>
      <c r="H504" s="16">
        <v>0</v>
      </c>
      <c r="I504" s="4">
        <f>VLOOKUP(C504,[1]sheet1!$D:$I,6,0)</f>
        <v>0</v>
      </c>
      <c r="J504" s="4">
        <f>VLOOKUP(C504,[2]sheet1!$D:$I,6,0)</f>
        <v>0</v>
      </c>
      <c r="K504" s="4">
        <f>VLOOKUP(C504,[3]sheet1!$D:$I,6,0)</f>
        <v>0</v>
      </c>
      <c r="L504" s="4">
        <f>VLOOKUP(C504,[4]sheet1!$D:$I,6,0)</f>
        <v>0</v>
      </c>
      <c r="M504" s="4">
        <f>VLOOKUP(C504,[5]sheet1!$D:$I,6,0)</f>
        <v>0</v>
      </c>
      <c r="N504" s="4">
        <f>VLOOKUP(C504,[6]sheet1!$D:$I,6,0)</f>
        <v>0</v>
      </c>
      <c r="O504" s="4">
        <f>VLOOKUP(C504,[7]sheet1!$D:$I,6,0)</f>
        <v>351</v>
      </c>
      <c r="P504" s="4">
        <f>VLOOKUP(C504,[8]sheet1!$D:$I,6,0)</f>
        <v>0</v>
      </c>
      <c r="Q504" s="4">
        <f t="shared" si="7"/>
        <v>351</v>
      </c>
      <c r="R504" s="3">
        <v>0</v>
      </c>
      <c r="S504">
        <v>52</v>
      </c>
      <c r="T504">
        <v>0</v>
      </c>
      <c r="U504" s="3">
        <v>0</v>
      </c>
      <c r="V504" s="3">
        <v>0</v>
      </c>
      <c r="W504">
        <v>0</v>
      </c>
      <c r="X504" s="3">
        <v>0</v>
      </c>
      <c r="Y504">
        <v>0</v>
      </c>
      <c r="Z504" s="3">
        <v>0</v>
      </c>
      <c r="AA504" t="s">
        <v>261</v>
      </c>
      <c r="AB504" s="3">
        <v>358</v>
      </c>
      <c r="AC504">
        <v>328.21</v>
      </c>
      <c r="AD504" t="s">
        <v>49</v>
      </c>
      <c r="AE504">
        <v>0</v>
      </c>
      <c r="AF504" s="3">
        <v>0</v>
      </c>
      <c r="AG504" t="s">
        <v>49</v>
      </c>
      <c r="AH504">
        <v>0</v>
      </c>
      <c r="AI504" t="s">
        <v>49</v>
      </c>
      <c r="AJ504">
        <v>300.37</v>
      </c>
      <c r="AK504" t="s">
        <v>49</v>
      </c>
      <c r="AL504">
        <v>0</v>
      </c>
      <c r="AM504" t="s">
        <v>49</v>
      </c>
      <c r="AN504" s="3">
        <v>2</v>
      </c>
      <c r="AO504" s="19">
        <v>0</v>
      </c>
      <c r="AP504" s="19">
        <v>0</v>
      </c>
      <c r="AQ504" s="19">
        <v>0.5</v>
      </c>
      <c r="AR504" s="19">
        <v>0</v>
      </c>
      <c r="AS504" s="19">
        <v>0</v>
      </c>
      <c r="AT504" s="19">
        <v>0</v>
      </c>
      <c r="AU504" s="3">
        <v>0</v>
      </c>
      <c r="AV504" s="3">
        <v>0</v>
      </c>
      <c r="AW504" s="19">
        <v>0</v>
      </c>
      <c r="AX504" s="3">
        <v>0</v>
      </c>
      <c r="AY504" s="3">
        <v>0</v>
      </c>
    </row>
    <row r="505" spans="1:51">
      <c r="A505" s="3">
        <v>16586425</v>
      </c>
      <c r="B505" t="s">
        <v>834</v>
      </c>
      <c r="C505" s="3">
        <v>134409343</v>
      </c>
      <c r="D505" t="s">
        <v>44</v>
      </c>
      <c r="E505" t="s">
        <v>667</v>
      </c>
      <c r="F505" t="s">
        <v>65</v>
      </c>
      <c r="G505" t="s">
        <v>47</v>
      </c>
      <c r="H505" s="16">
        <v>0</v>
      </c>
      <c r="I505" s="4">
        <f>VLOOKUP(C505,[1]sheet1!$D:$I,6,0)</f>
        <v>0</v>
      </c>
      <c r="J505" s="4">
        <f>VLOOKUP(C505,[2]sheet1!$D:$I,6,0)</f>
        <v>0</v>
      </c>
      <c r="K505" s="4">
        <f>VLOOKUP(C505,[3]sheet1!$D:$I,6,0)</f>
        <v>0</v>
      </c>
      <c r="L505" s="4">
        <f>VLOOKUP(C505,[4]sheet1!$D:$I,6,0)</f>
        <v>0</v>
      </c>
      <c r="M505" s="4">
        <f>VLOOKUP(C505,[5]sheet1!$D:$I,6,0)</f>
        <v>0</v>
      </c>
      <c r="N505" s="4">
        <f>VLOOKUP(C505,[6]sheet1!$D:$I,6,0)</f>
        <v>0</v>
      </c>
      <c r="O505" s="4">
        <f>VLOOKUP(C505,[7]sheet1!$D:$I,6,0)</f>
        <v>0</v>
      </c>
      <c r="P505" s="4">
        <f>VLOOKUP(C505,[8]sheet1!$D:$I,6,0)</f>
        <v>0</v>
      </c>
      <c r="Q505" s="4">
        <f t="shared" si="7"/>
        <v>0</v>
      </c>
      <c r="R505" s="3">
        <v>0</v>
      </c>
      <c r="S505" s="3">
        <v>1</v>
      </c>
      <c r="T505" s="19">
        <v>0</v>
      </c>
      <c r="U505" s="3">
        <v>0</v>
      </c>
      <c r="V505" s="3">
        <v>0</v>
      </c>
      <c r="W505">
        <v>0</v>
      </c>
      <c r="X505" s="3">
        <v>0</v>
      </c>
      <c r="Y505">
        <v>0</v>
      </c>
      <c r="Z505" s="3">
        <v>0</v>
      </c>
      <c r="AA505" t="s">
        <v>835</v>
      </c>
      <c r="AB505" t="s">
        <v>49</v>
      </c>
      <c r="AC505">
        <v>253.34</v>
      </c>
      <c r="AD505" t="s">
        <v>49</v>
      </c>
      <c r="AE505">
        <v>0</v>
      </c>
      <c r="AF505" s="3">
        <v>0</v>
      </c>
      <c r="AG505" t="s">
        <v>49</v>
      </c>
      <c r="AH505">
        <v>0</v>
      </c>
      <c r="AI505" t="s">
        <v>49</v>
      </c>
      <c r="AJ505" t="s">
        <v>49</v>
      </c>
      <c r="AK505" t="s">
        <v>49</v>
      </c>
      <c r="AL505" t="s">
        <v>49</v>
      </c>
      <c r="AM505" t="s">
        <v>49</v>
      </c>
      <c r="AN505" s="3">
        <v>1</v>
      </c>
      <c r="AO505" s="19">
        <v>0</v>
      </c>
      <c r="AP505" s="19">
        <v>0</v>
      </c>
      <c r="AQ505" s="19">
        <v>0</v>
      </c>
      <c r="AR505" s="19">
        <v>0</v>
      </c>
      <c r="AS505" s="19">
        <v>0</v>
      </c>
      <c r="AT505" s="19">
        <v>0</v>
      </c>
      <c r="AU505" s="3">
        <v>0</v>
      </c>
      <c r="AV505" s="3">
        <v>0</v>
      </c>
      <c r="AW505" s="19">
        <v>0</v>
      </c>
      <c r="AX505" s="3">
        <v>0</v>
      </c>
      <c r="AY505" s="3">
        <v>0</v>
      </c>
    </row>
    <row r="506" spans="1:51">
      <c r="A506" s="3">
        <v>16584071</v>
      </c>
      <c r="B506" t="s">
        <v>836</v>
      </c>
      <c r="C506" s="3">
        <v>114311235</v>
      </c>
      <c r="D506" t="s">
        <v>44</v>
      </c>
      <c r="E506" t="s">
        <v>277</v>
      </c>
      <c r="F506" t="s">
        <v>65</v>
      </c>
      <c r="G506" t="s">
        <v>47</v>
      </c>
      <c r="H506" s="16">
        <v>0</v>
      </c>
      <c r="I506" s="4">
        <f>VLOOKUP(C506,[1]sheet1!$D:$I,6,0)</f>
        <v>0</v>
      </c>
      <c r="J506" s="4">
        <f>VLOOKUP(C506,[2]sheet1!$D:$I,6,0)</f>
        <v>0</v>
      </c>
      <c r="K506" s="4">
        <f>VLOOKUP(C506,[3]sheet1!$D:$I,6,0)</f>
        <v>0</v>
      </c>
      <c r="L506" s="4">
        <f>VLOOKUP(C506,[4]sheet1!$D:$I,6,0)</f>
        <v>0</v>
      </c>
      <c r="M506" s="4">
        <f>VLOOKUP(C506,[5]sheet1!$D:$I,6,0)</f>
        <v>0</v>
      </c>
      <c r="N506" s="4">
        <f>VLOOKUP(C506,[6]sheet1!$D:$I,6,0)</f>
        <v>0</v>
      </c>
      <c r="O506" s="4">
        <f>VLOOKUP(C506,[7]sheet1!$D:$I,6,0)</f>
        <v>0</v>
      </c>
      <c r="P506" s="4">
        <f>VLOOKUP(C506,[8]sheet1!$D:$I,6,0)</f>
        <v>0</v>
      </c>
      <c r="Q506" s="4">
        <f t="shared" si="7"/>
        <v>0</v>
      </c>
      <c r="R506" s="3">
        <v>0</v>
      </c>
      <c r="S506" s="3">
        <v>3</v>
      </c>
      <c r="T506" s="19">
        <v>0</v>
      </c>
      <c r="U506" s="3">
        <v>0</v>
      </c>
      <c r="V506" s="3">
        <v>0</v>
      </c>
      <c r="W506">
        <v>0</v>
      </c>
      <c r="X506" s="3">
        <v>0</v>
      </c>
      <c r="Y506">
        <v>0</v>
      </c>
      <c r="Z506" s="3">
        <v>0</v>
      </c>
      <c r="AA506" t="s">
        <v>49</v>
      </c>
      <c r="AB506" t="s">
        <v>49</v>
      </c>
      <c r="AC506" t="s">
        <v>49</v>
      </c>
      <c r="AD506" t="s">
        <v>49</v>
      </c>
      <c r="AE506">
        <v>0</v>
      </c>
      <c r="AF506" s="3">
        <v>0</v>
      </c>
      <c r="AG506" t="s">
        <v>49</v>
      </c>
      <c r="AH506" t="s">
        <v>49</v>
      </c>
      <c r="AI506" t="s">
        <v>49</v>
      </c>
      <c r="AJ506" t="s">
        <v>49</v>
      </c>
      <c r="AK506" t="s">
        <v>49</v>
      </c>
      <c r="AL506" t="s">
        <v>49</v>
      </c>
      <c r="AM506" t="s">
        <v>49</v>
      </c>
      <c r="AN506" s="3">
        <v>3</v>
      </c>
      <c r="AO506" s="19">
        <v>0</v>
      </c>
      <c r="AP506" s="19">
        <v>0</v>
      </c>
      <c r="AQ506" s="19">
        <v>1</v>
      </c>
      <c r="AR506" s="19">
        <v>0.6667</v>
      </c>
      <c r="AS506" s="19">
        <v>0</v>
      </c>
      <c r="AT506" s="19">
        <v>0</v>
      </c>
      <c r="AU506" s="3">
        <v>0</v>
      </c>
      <c r="AV506" s="3">
        <v>0</v>
      </c>
      <c r="AW506" s="19">
        <v>0</v>
      </c>
      <c r="AX506" s="3">
        <v>0</v>
      </c>
      <c r="AY506" s="3">
        <v>0</v>
      </c>
    </row>
    <row r="507" spans="1:51">
      <c r="A507" s="3">
        <v>16582685</v>
      </c>
      <c r="B507" t="s">
        <v>837</v>
      </c>
      <c r="C507" s="3">
        <v>134301049</v>
      </c>
      <c r="D507" t="s">
        <v>44</v>
      </c>
      <c r="E507" t="s">
        <v>84</v>
      </c>
      <c r="F507" t="s">
        <v>65</v>
      </c>
      <c r="G507" t="s">
        <v>47</v>
      </c>
      <c r="H507" s="16">
        <v>0</v>
      </c>
      <c r="I507" s="4">
        <f>VLOOKUP(C507,[1]sheet1!$D:$I,6,0)</f>
        <v>0</v>
      </c>
      <c r="J507" s="4">
        <f>VLOOKUP(C507,[2]sheet1!$D:$I,6,0)</f>
        <v>0</v>
      </c>
      <c r="K507" s="4">
        <f>VLOOKUP(C507,[3]sheet1!$D:$I,6,0)</f>
        <v>0</v>
      </c>
      <c r="L507" s="4">
        <f>VLOOKUP(C507,[4]sheet1!$D:$I,6,0)</f>
        <v>1416</v>
      </c>
      <c r="M507" s="4">
        <f>VLOOKUP(C507,[5]sheet1!$D:$I,6,0)</f>
        <v>0</v>
      </c>
      <c r="N507" s="4">
        <f>VLOOKUP(C507,[6]sheet1!$D:$I,6,0)</f>
        <v>0</v>
      </c>
      <c r="O507" s="4">
        <f>VLOOKUP(C507,[7]sheet1!$D:$I,6,0)</f>
        <v>0</v>
      </c>
      <c r="P507" s="4">
        <f>VLOOKUP(C507,[8]sheet1!$D:$I,6,0)</f>
        <v>0</v>
      </c>
      <c r="Q507" s="4">
        <f t="shared" si="7"/>
        <v>1416</v>
      </c>
      <c r="R507" s="3">
        <v>0</v>
      </c>
      <c r="S507" s="3">
        <v>1</v>
      </c>
      <c r="T507" s="19">
        <v>0</v>
      </c>
      <c r="U507" s="3">
        <v>0</v>
      </c>
      <c r="V507" s="3">
        <v>0</v>
      </c>
      <c r="W507">
        <v>0</v>
      </c>
      <c r="X507" s="3">
        <v>0</v>
      </c>
      <c r="Y507">
        <v>0</v>
      </c>
      <c r="Z507" s="3">
        <v>0</v>
      </c>
      <c r="AA507" t="s">
        <v>423</v>
      </c>
      <c r="AB507" t="s">
        <v>49</v>
      </c>
      <c r="AC507">
        <v>370.69</v>
      </c>
      <c r="AD507" t="s">
        <v>49</v>
      </c>
      <c r="AE507">
        <v>0</v>
      </c>
      <c r="AF507" s="3">
        <v>0</v>
      </c>
      <c r="AG507" t="s">
        <v>49</v>
      </c>
      <c r="AH507">
        <v>0</v>
      </c>
      <c r="AI507" t="s">
        <v>49</v>
      </c>
      <c r="AJ507" t="s">
        <v>49</v>
      </c>
      <c r="AK507" t="s">
        <v>49</v>
      </c>
      <c r="AL507" t="s">
        <v>49</v>
      </c>
      <c r="AM507" t="s">
        <v>49</v>
      </c>
      <c r="AN507" s="3">
        <v>1</v>
      </c>
      <c r="AO507" s="19">
        <v>0</v>
      </c>
      <c r="AP507" s="19">
        <v>0</v>
      </c>
      <c r="AQ507" s="19">
        <v>1</v>
      </c>
      <c r="AR507" s="19">
        <v>1</v>
      </c>
      <c r="AS507" s="19">
        <v>0</v>
      </c>
      <c r="AT507" s="19">
        <v>0</v>
      </c>
      <c r="AU507" s="3">
        <v>0</v>
      </c>
      <c r="AV507" s="3">
        <v>0</v>
      </c>
      <c r="AW507" s="19">
        <v>0</v>
      </c>
      <c r="AX507" s="3">
        <v>0</v>
      </c>
      <c r="AY507" s="3">
        <v>0</v>
      </c>
    </row>
    <row r="508" spans="1:51">
      <c r="A508" s="3">
        <v>16581321</v>
      </c>
      <c r="B508" t="s">
        <v>838</v>
      </c>
      <c r="C508" s="3">
        <v>134408267</v>
      </c>
      <c r="D508" t="s">
        <v>44</v>
      </c>
      <c r="E508" t="s">
        <v>815</v>
      </c>
      <c r="F508" t="s">
        <v>65</v>
      </c>
      <c r="G508" t="s">
        <v>47</v>
      </c>
      <c r="H508" s="16">
        <v>0</v>
      </c>
      <c r="I508" s="4">
        <f>VLOOKUP(C508,[1]sheet1!$D:$I,6,0)</f>
        <v>0</v>
      </c>
      <c r="J508" s="4">
        <f>VLOOKUP(C508,[2]sheet1!$D:$I,6,0)</f>
        <v>0</v>
      </c>
      <c r="K508" s="4">
        <f>VLOOKUP(C508,[3]sheet1!$D:$I,6,0)</f>
        <v>0</v>
      </c>
      <c r="L508" s="4">
        <f>VLOOKUP(C508,[4]sheet1!$D:$I,6,0)</f>
        <v>0</v>
      </c>
      <c r="M508" s="4">
        <f>VLOOKUP(C508,[5]sheet1!$D:$I,6,0)</f>
        <v>0</v>
      </c>
      <c r="N508" s="4">
        <f>VLOOKUP(C508,[6]sheet1!$D:$I,6,0)</f>
        <v>0</v>
      </c>
      <c r="O508" s="4">
        <f>VLOOKUP(C508,[7]sheet1!$D:$I,6,0)</f>
        <v>0</v>
      </c>
      <c r="P508" s="4">
        <f>VLOOKUP(C508,[8]sheet1!$D:$I,6,0)</f>
        <v>0</v>
      </c>
      <c r="Q508" s="4">
        <f t="shared" si="7"/>
        <v>0</v>
      </c>
      <c r="R508" s="3">
        <v>0</v>
      </c>
      <c r="S508" s="3">
        <v>5</v>
      </c>
      <c r="T508" s="19">
        <v>0</v>
      </c>
      <c r="U508" s="3">
        <v>2</v>
      </c>
      <c r="V508" s="3">
        <v>0</v>
      </c>
      <c r="W508">
        <v>0</v>
      </c>
      <c r="X508" s="3">
        <v>0</v>
      </c>
      <c r="Y508">
        <v>0</v>
      </c>
      <c r="Z508" s="3">
        <v>0</v>
      </c>
      <c r="AA508" t="s">
        <v>701</v>
      </c>
      <c r="AB508" t="s">
        <v>49</v>
      </c>
      <c r="AC508">
        <v>516.94</v>
      </c>
      <c r="AD508" t="s">
        <v>49</v>
      </c>
      <c r="AE508">
        <v>0</v>
      </c>
      <c r="AF508" s="3">
        <v>0</v>
      </c>
      <c r="AG508" t="s">
        <v>49</v>
      </c>
      <c r="AH508">
        <v>0</v>
      </c>
      <c r="AI508" t="s">
        <v>49</v>
      </c>
      <c r="AJ508" t="s">
        <v>49</v>
      </c>
      <c r="AK508" t="s">
        <v>49</v>
      </c>
      <c r="AL508" t="s">
        <v>49</v>
      </c>
      <c r="AM508" t="s">
        <v>49</v>
      </c>
      <c r="AN508" s="3">
        <v>7</v>
      </c>
      <c r="AO508" s="19">
        <v>0</v>
      </c>
      <c r="AP508" s="19">
        <v>0</v>
      </c>
      <c r="AQ508" s="19">
        <v>0.8</v>
      </c>
      <c r="AR508" s="19">
        <v>0.6</v>
      </c>
      <c r="AS508" s="19">
        <v>1</v>
      </c>
      <c r="AT508" s="19">
        <v>0.5</v>
      </c>
      <c r="AU508" s="3">
        <v>0</v>
      </c>
      <c r="AV508" s="3">
        <v>0</v>
      </c>
      <c r="AW508" s="19">
        <v>0</v>
      </c>
      <c r="AX508" s="3">
        <v>0</v>
      </c>
      <c r="AY508" s="3">
        <v>0</v>
      </c>
    </row>
    <row r="509" spans="1:51">
      <c r="A509" s="3">
        <v>16577597</v>
      </c>
      <c r="B509" t="s">
        <v>839</v>
      </c>
      <c r="C509" s="3">
        <v>134306146</v>
      </c>
      <c r="D509" t="s">
        <v>44</v>
      </c>
      <c r="E509" t="s">
        <v>442</v>
      </c>
      <c r="F509" t="s">
        <v>46</v>
      </c>
      <c r="G509" t="s">
        <v>47</v>
      </c>
      <c r="H509" s="16">
        <v>0</v>
      </c>
      <c r="I509" s="4">
        <f>VLOOKUP(C509,[1]sheet1!$D:$I,6,0)</f>
        <v>0</v>
      </c>
      <c r="J509" s="4">
        <f>VLOOKUP(C509,[2]sheet1!$D:$I,6,0)</f>
        <v>0</v>
      </c>
      <c r="K509" s="4">
        <f>VLOOKUP(C509,[3]sheet1!$D:$I,6,0)</f>
        <v>0</v>
      </c>
      <c r="L509" s="4">
        <f>VLOOKUP(C509,[4]sheet1!$D:$I,6,0)</f>
        <v>0</v>
      </c>
      <c r="M509" s="4">
        <f>VLOOKUP(C509,[5]sheet1!$D:$I,6,0)</f>
        <v>0</v>
      </c>
      <c r="N509" s="4">
        <f>VLOOKUP(C509,[6]sheet1!$D:$I,6,0)</f>
        <v>0</v>
      </c>
      <c r="O509" s="4">
        <f>VLOOKUP(C509,[7]sheet1!$D:$I,6,0)</f>
        <v>0</v>
      </c>
      <c r="P509" s="4">
        <f>VLOOKUP(C509,[8]sheet1!$D:$I,6,0)</f>
        <v>0</v>
      </c>
      <c r="Q509" s="4">
        <f t="shared" si="7"/>
        <v>0</v>
      </c>
      <c r="R509" s="3">
        <v>0</v>
      </c>
      <c r="S509">
        <v>224</v>
      </c>
      <c r="T509">
        <v>0</v>
      </c>
      <c r="U509" s="3">
        <v>1</v>
      </c>
      <c r="V509" s="3">
        <v>0</v>
      </c>
      <c r="W509">
        <v>0</v>
      </c>
      <c r="X509" s="3">
        <v>0</v>
      </c>
      <c r="Y509">
        <v>0</v>
      </c>
      <c r="Z509" s="3">
        <v>0</v>
      </c>
      <c r="AA509" t="s">
        <v>58</v>
      </c>
      <c r="AB509" s="3">
        <v>219</v>
      </c>
      <c r="AC509">
        <v>176.29</v>
      </c>
      <c r="AD509" t="s">
        <v>49</v>
      </c>
      <c r="AE509">
        <v>0</v>
      </c>
      <c r="AF509" s="3">
        <v>0</v>
      </c>
      <c r="AG509" t="s">
        <v>49</v>
      </c>
      <c r="AH509">
        <v>0</v>
      </c>
      <c r="AI509" t="s">
        <v>49</v>
      </c>
      <c r="AJ509" t="s">
        <v>49</v>
      </c>
      <c r="AK509" t="s">
        <v>49</v>
      </c>
      <c r="AL509" t="s">
        <v>49</v>
      </c>
      <c r="AM509" t="s">
        <v>49</v>
      </c>
      <c r="AN509" s="3">
        <v>38</v>
      </c>
      <c r="AO509" s="19">
        <v>0</v>
      </c>
      <c r="AP509" s="19">
        <v>0</v>
      </c>
      <c r="AQ509" s="19">
        <v>0.8108</v>
      </c>
      <c r="AR509" s="19">
        <v>0.2703</v>
      </c>
      <c r="AS509" s="19">
        <v>1</v>
      </c>
      <c r="AT509" s="19">
        <v>0</v>
      </c>
      <c r="AU509" s="3">
        <v>0</v>
      </c>
      <c r="AV509" s="3">
        <v>0</v>
      </c>
      <c r="AW509" s="19">
        <v>0</v>
      </c>
      <c r="AX509" s="3">
        <v>0</v>
      </c>
      <c r="AY509" s="3">
        <v>0</v>
      </c>
    </row>
    <row r="510" spans="1:51">
      <c r="A510" s="3">
        <v>16576197</v>
      </c>
      <c r="B510" t="s">
        <v>840</v>
      </c>
      <c r="C510" s="3">
        <v>114408265</v>
      </c>
      <c r="D510" t="s">
        <v>44</v>
      </c>
      <c r="E510" t="s">
        <v>365</v>
      </c>
      <c r="F510" t="s">
        <v>46</v>
      </c>
      <c r="G510" t="s">
        <v>47</v>
      </c>
      <c r="H510" s="16">
        <v>0</v>
      </c>
      <c r="I510" s="4">
        <f>VLOOKUP(C510,[1]sheet1!$D:$I,6,0)</f>
        <v>0</v>
      </c>
      <c r="J510" s="4">
        <f>VLOOKUP(C510,[2]sheet1!$D:$I,6,0)</f>
        <v>0</v>
      </c>
      <c r="K510" s="4">
        <f>VLOOKUP(C510,[3]sheet1!$D:$I,6,0)</f>
        <v>0</v>
      </c>
      <c r="L510" s="4">
        <f>VLOOKUP(C510,[4]sheet1!$D:$I,6,0)</f>
        <v>0</v>
      </c>
      <c r="M510" s="4">
        <f>VLOOKUP(C510,[5]sheet1!$D:$I,6,0)</f>
        <v>0</v>
      </c>
      <c r="N510" s="4">
        <f>VLOOKUP(C510,[6]sheet1!$D:$I,6,0)</f>
        <v>0</v>
      </c>
      <c r="O510" s="4">
        <f>VLOOKUP(C510,[7]sheet1!$D:$I,6,0)</f>
        <v>0</v>
      </c>
      <c r="P510" s="4">
        <f>VLOOKUP(C510,[8]sheet1!$D:$I,6,0)</f>
        <v>0</v>
      </c>
      <c r="Q510" s="4">
        <f t="shared" si="7"/>
        <v>0</v>
      </c>
      <c r="R510" s="3">
        <v>0</v>
      </c>
      <c r="S510">
        <v>133</v>
      </c>
      <c r="T510">
        <v>0</v>
      </c>
      <c r="U510" s="3">
        <v>2</v>
      </c>
      <c r="V510" s="3">
        <v>0</v>
      </c>
      <c r="W510">
        <v>0</v>
      </c>
      <c r="X510" s="3">
        <v>0</v>
      </c>
      <c r="Y510">
        <v>0</v>
      </c>
      <c r="Z510" s="3">
        <v>0</v>
      </c>
      <c r="AA510" t="s">
        <v>841</v>
      </c>
      <c r="AB510" s="3">
        <v>980</v>
      </c>
      <c r="AC510">
        <v>1025.19</v>
      </c>
      <c r="AD510" t="s">
        <v>49</v>
      </c>
      <c r="AE510">
        <v>0</v>
      </c>
      <c r="AF510" s="3">
        <v>0</v>
      </c>
      <c r="AG510" t="s">
        <v>49</v>
      </c>
      <c r="AH510">
        <v>0</v>
      </c>
      <c r="AI510" t="s">
        <v>49</v>
      </c>
      <c r="AJ510">
        <v>842.49</v>
      </c>
      <c r="AK510" t="s">
        <v>49</v>
      </c>
      <c r="AL510">
        <v>0</v>
      </c>
      <c r="AM510" t="s">
        <v>49</v>
      </c>
      <c r="AN510">
        <v>133</v>
      </c>
      <c r="AO510" s="19">
        <v>0</v>
      </c>
      <c r="AP510" s="19">
        <v>0</v>
      </c>
      <c r="AQ510" s="19">
        <v>0.8462</v>
      </c>
      <c r="AR510" s="19">
        <v>0.5385</v>
      </c>
      <c r="AS510" s="19">
        <v>1</v>
      </c>
      <c r="AT510" s="19">
        <v>0.5</v>
      </c>
      <c r="AU510" s="3">
        <v>0</v>
      </c>
      <c r="AV510" s="3">
        <v>0</v>
      </c>
      <c r="AW510" s="19">
        <v>0</v>
      </c>
      <c r="AX510" s="3">
        <v>0</v>
      </c>
      <c r="AY510" s="3">
        <v>0</v>
      </c>
    </row>
    <row r="511" spans="1:51">
      <c r="A511" s="3">
        <v>16574398</v>
      </c>
      <c r="B511" t="s">
        <v>842</v>
      </c>
      <c r="C511" s="3">
        <v>114319017</v>
      </c>
      <c r="D511" t="s">
        <v>44</v>
      </c>
      <c r="E511" t="s">
        <v>100</v>
      </c>
      <c r="F511" t="s">
        <v>65</v>
      </c>
      <c r="G511" t="s">
        <v>47</v>
      </c>
      <c r="H511" s="16">
        <v>0</v>
      </c>
      <c r="I511" s="4">
        <f>VLOOKUP(C511,[1]sheet1!$D:$I,6,0)</f>
        <v>0</v>
      </c>
      <c r="J511" s="4">
        <f>VLOOKUP(C511,[2]sheet1!$D:$I,6,0)</f>
        <v>0</v>
      </c>
      <c r="K511" s="4">
        <f>VLOOKUP(C511,[3]sheet1!$D:$I,6,0)</f>
        <v>0</v>
      </c>
      <c r="L511" s="4">
        <f>VLOOKUP(C511,[4]sheet1!$D:$I,6,0)</f>
        <v>0</v>
      </c>
      <c r="M511" s="4">
        <f>VLOOKUP(C511,[5]sheet1!$D:$I,6,0)</f>
        <v>0</v>
      </c>
      <c r="N511" s="4">
        <f>VLOOKUP(C511,[6]sheet1!$D:$I,6,0)</f>
        <v>0</v>
      </c>
      <c r="O511" s="4">
        <f>VLOOKUP(C511,[7]sheet1!$D:$I,6,0)</f>
        <v>0</v>
      </c>
      <c r="P511" s="4">
        <f>VLOOKUP(C511,[8]sheet1!$D:$I,6,0)</f>
        <v>0</v>
      </c>
      <c r="Q511" s="4">
        <f t="shared" si="7"/>
        <v>0</v>
      </c>
      <c r="R511" s="3">
        <v>0</v>
      </c>
      <c r="S511" s="3">
        <v>20</v>
      </c>
      <c r="T511" s="19">
        <v>0</v>
      </c>
      <c r="U511" s="3">
        <v>1</v>
      </c>
      <c r="V511" s="3">
        <v>0</v>
      </c>
      <c r="W511">
        <v>0</v>
      </c>
      <c r="X511" s="3">
        <v>0</v>
      </c>
      <c r="Y511">
        <v>0</v>
      </c>
      <c r="Z511" s="3">
        <v>0</v>
      </c>
      <c r="AA511" t="s">
        <v>223</v>
      </c>
      <c r="AB511" t="s">
        <v>49</v>
      </c>
      <c r="AC511">
        <v>512.03</v>
      </c>
      <c r="AD511" t="s">
        <v>49</v>
      </c>
      <c r="AE511">
        <v>0</v>
      </c>
      <c r="AF511" s="3">
        <v>0</v>
      </c>
      <c r="AG511" t="s">
        <v>49</v>
      </c>
      <c r="AH511">
        <v>0</v>
      </c>
      <c r="AI511" t="s">
        <v>49</v>
      </c>
      <c r="AJ511" t="s">
        <v>49</v>
      </c>
      <c r="AK511" t="s">
        <v>49</v>
      </c>
      <c r="AL511" t="s">
        <v>49</v>
      </c>
      <c r="AM511" t="s">
        <v>49</v>
      </c>
      <c r="AN511" s="3">
        <v>20</v>
      </c>
      <c r="AO511" s="19">
        <v>0</v>
      </c>
      <c r="AP511" s="19">
        <v>0</v>
      </c>
      <c r="AQ511" s="19">
        <v>0.7</v>
      </c>
      <c r="AR511" s="19">
        <v>0.25</v>
      </c>
      <c r="AS511" s="19">
        <v>1</v>
      </c>
      <c r="AT511" s="19">
        <v>1</v>
      </c>
      <c r="AU511" s="3">
        <v>0</v>
      </c>
      <c r="AV511" s="3">
        <v>0</v>
      </c>
      <c r="AW511" s="19">
        <v>0</v>
      </c>
      <c r="AX511" s="3">
        <v>0</v>
      </c>
      <c r="AY511" s="3">
        <v>0</v>
      </c>
    </row>
    <row r="512" spans="1:51">
      <c r="A512" s="3">
        <v>16569561</v>
      </c>
      <c r="B512" t="s">
        <v>843</v>
      </c>
      <c r="C512" t="s">
        <v>844</v>
      </c>
      <c r="D512" t="s">
        <v>44</v>
      </c>
      <c r="E512" t="s">
        <v>258</v>
      </c>
      <c r="F512" t="s">
        <v>46</v>
      </c>
      <c r="G512" t="s">
        <v>47</v>
      </c>
      <c r="H512" s="16">
        <v>0</v>
      </c>
      <c r="I512" s="4">
        <f>VLOOKUP(C512,[1]sheet1!$D:$I,6,0)</f>
        <v>0</v>
      </c>
      <c r="J512" s="4">
        <f>VLOOKUP(C512,[2]sheet1!$D:$I,6,0)</f>
        <v>0</v>
      </c>
      <c r="K512" s="4">
        <f>VLOOKUP(C512,[3]sheet1!$D:$I,6,0)</f>
        <v>0</v>
      </c>
      <c r="L512" s="4">
        <f>VLOOKUP(C512,[4]sheet1!$D:$I,6,0)</f>
        <v>0</v>
      </c>
      <c r="M512" s="4">
        <f>VLOOKUP(C512,[5]sheet1!$D:$I,6,0)</f>
        <v>0</v>
      </c>
      <c r="N512" s="4">
        <f>VLOOKUP(C512,[6]sheet1!$D:$I,6,0)</f>
        <v>0</v>
      </c>
      <c r="O512" s="4">
        <f>VLOOKUP(C512,[7]sheet1!$D:$I,6,0)</f>
        <v>0</v>
      </c>
      <c r="P512" s="4">
        <f>VLOOKUP(C512,[8]sheet1!$D:$I,6,0)</f>
        <v>0</v>
      </c>
      <c r="Q512" s="4">
        <f t="shared" si="7"/>
        <v>0</v>
      </c>
      <c r="R512" s="3">
        <v>0</v>
      </c>
      <c r="S512">
        <v>97</v>
      </c>
      <c r="T512">
        <v>0</v>
      </c>
      <c r="U512" s="3">
        <v>1</v>
      </c>
      <c r="V512" s="3">
        <v>0</v>
      </c>
      <c r="W512">
        <v>0</v>
      </c>
      <c r="X512" s="3">
        <v>0</v>
      </c>
      <c r="Y512">
        <v>0</v>
      </c>
      <c r="Z512" s="3">
        <v>0</v>
      </c>
      <c r="AA512" t="s">
        <v>845</v>
      </c>
      <c r="AB512" s="3">
        <v>1070</v>
      </c>
      <c r="AC512">
        <v>1337.01</v>
      </c>
      <c r="AD512" t="s">
        <v>49</v>
      </c>
      <c r="AE512">
        <v>0</v>
      </c>
      <c r="AF512" s="3">
        <v>0</v>
      </c>
      <c r="AG512" t="s">
        <v>49</v>
      </c>
      <c r="AH512">
        <v>0</v>
      </c>
      <c r="AI512" t="s">
        <v>49</v>
      </c>
      <c r="AJ512">
        <v>919.41</v>
      </c>
      <c r="AK512" t="s">
        <v>49</v>
      </c>
      <c r="AL512">
        <v>0</v>
      </c>
      <c r="AM512" t="s">
        <v>49</v>
      </c>
      <c r="AN512">
        <v>97</v>
      </c>
      <c r="AO512" s="19">
        <v>0</v>
      </c>
      <c r="AP512" s="19">
        <v>0</v>
      </c>
      <c r="AQ512" s="19">
        <v>0.5714</v>
      </c>
      <c r="AR512" s="19">
        <v>0.2857</v>
      </c>
      <c r="AS512" s="19">
        <v>0</v>
      </c>
      <c r="AT512" s="19">
        <v>0</v>
      </c>
      <c r="AU512" s="3">
        <v>0</v>
      </c>
      <c r="AV512" s="3">
        <v>0</v>
      </c>
      <c r="AW512" s="19">
        <v>0</v>
      </c>
      <c r="AX512" s="3">
        <v>0</v>
      </c>
      <c r="AY512" s="3">
        <v>0</v>
      </c>
    </row>
    <row r="513" spans="1:51">
      <c r="A513" s="3">
        <v>16568519</v>
      </c>
      <c r="B513" t="s">
        <v>846</v>
      </c>
      <c r="C513" s="3">
        <v>114408255</v>
      </c>
      <c r="D513" t="s">
        <v>44</v>
      </c>
      <c r="E513" t="s">
        <v>365</v>
      </c>
      <c r="F513" t="s">
        <v>46</v>
      </c>
      <c r="G513" t="s">
        <v>47</v>
      </c>
      <c r="H513" s="16">
        <v>0</v>
      </c>
      <c r="I513" s="4">
        <f>VLOOKUP(C513,[1]sheet1!$D:$I,6,0)</f>
        <v>0</v>
      </c>
      <c r="J513" s="4">
        <f>VLOOKUP(C513,[2]sheet1!$D:$I,6,0)</f>
        <v>0</v>
      </c>
      <c r="K513" s="4">
        <f>VLOOKUP(C513,[3]sheet1!$D:$I,6,0)</f>
        <v>0</v>
      </c>
      <c r="L513" s="4">
        <f>VLOOKUP(C513,[4]sheet1!$D:$I,6,0)</f>
        <v>0</v>
      </c>
      <c r="M513" s="4">
        <f>VLOOKUP(C513,[5]sheet1!$D:$I,6,0)</f>
        <v>0</v>
      </c>
      <c r="N513" s="4">
        <f>VLOOKUP(C513,[6]sheet1!$D:$I,6,0)</f>
        <v>0</v>
      </c>
      <c r="O513" s="4">
        <f>VLOOKUP(C513,[7]sheet1!$D:$I,6,0)</f>
        <v>0</v>
      </c>
      <c r="P513" s="4">
        <f>VLOOKUP(C513,[8]sheet1!$D:$I,6,0)</f>
        <v>0</v>
      </c>
      <c r="Q513" s="4">
        <f t="shared" si="7"/>
        <v>0</v>
      </c>
      <c r="R513" s="3">
        <v>0</v>
      </c>
      <c r="S513">
        <v>195</v>
      </c>
      <c r="T513">
        <v>0</v>
      </c>
      <c r="U513" s="3">
        <v>0</v>
      </c>
      <c r="V513" s="3">
        <v>0</v>
      </c>
      <c r="W513">
        <v>0</v>
      </c>
      <c r="X513" s="3">
        <v>0</v>
      </c>
      <c r="Y513">
        <v>0</v>
      </c>
      <c r="Z513" s="3">
        <v>0</v>
      </c>
      <c r="AA513" t="s">
        <v>845</v>
      </c>
      <c r="AB513" s="3">
        <v>1066</v>
      </c>
      <c r="AC513">
        <v>1338.39</v>
      </c>
      <c r="AD513" t="s">
        <v>49</v>
      </c>
      <c r="AE513">
        <v>0</v>
      </c>
      <c r="AF513" s="3">
        <v>0</v>
      </c>
      <c r="AG513" t="s">
        <v>49</v>
      </c>
      <c r="AH513">
        <v>0</v>
      </c>
      <c r="AI513" t="s">
        <v>49</v>
      </c>
      <c r="AJ513">
        <v>917.31</v>
      </c>
      <c r="AK513" t="s">
        <v>49</v>
      </c>
      <c r="AL513">
        <v>0</v>
      </c>
      <c r="AM513" t="s">
        <v>49</v>
      </c>
      <c r="AN513">
        <v>221</v>
      </c>
      <c r="AO513" s="19">
        <v>0</v>
      </c>
      <c r="AP513" s="19">
        <v>0</v>
      </c>
      <c r="AQ513" s="19">
        <v>0.7143</v>
      </c>
      <c r="AR513" s="19">
        <v>0.3571</v>
      </c>
      <c r="AS513" s="19">
        <v>0</v>
      </c>
      <c r="AT513" s="19">
        <v>0</v>
      </c>
      <c r="AU513" s="3">
        <v>0</v>
      </c>
      <c r="AV513" s="3">
        <v>0</v>
      </c>
      <c r="AW513" s="19">
        <v>0</v>
      </c>
      <c r="AX513" s="3">
        <v>0</v>
      </c>
      <c r="AY513" s="3">
        <v>0</v>
      </c>
    </row>
    <row r="514" spans="1:51">
      <c r="A514" s="3">
        <v>16485411</v>
      </c>
      <c r="B514" t="s">
        <v>847</v>
      </c>
      <c r="C514" s="3">
        <v>124408258</v>
      </c>
      <c r="D514" t="s">
        <v>44</v>
      </c>
      <c r="E514" t="s">
        <v>258</v>
      </c>
      <c r="F514" t="s">
        <v>46</v>
      </c>
      <c r="G514" t="s">
        <v>47</v>
      </c>
      <c r="H514" s="16">
        <v>0</v>
      </c>
      <c r="I514" s="4">
        <f>VLOOKUP(C514,[1]sheet1!$D:$I,6,0)</f>
        <v>0</v>
      </c>
      <c r="J514" s="4">
        <f>VLOOKUP(C514,[2]sheet1!$D:$I,6,0)</f>
        <v>0</v>
      </c>
      <c r="K514" s="4">
        <f>VLOOKUP(C514,[3]sheet1!$D:$I,6,0)</f>
        <v>0</v>
      </c>
      <c r="L514" s="4">
        <f>VLOOKUP(C514,[4]sheet1!$D:$I,6,0)</f>
        <v>0</v>
      </c>
      <c r="M514" s="4">
        <f>VLOOKUP(C514,[5]sheet1!$D:$I,6,0)</f>
        <v>0</v>
      </c>
      <c r="N514" s="4">
        <f>VLOOKUP(C514,[6]sheet1!$D:$I,6,0)</f>
        <v>0</v>
      </c>
      <c r="O514" s="4">
        <f>VLOOKUP(C514,[7]sheet1!$D:$I,6,0)</f>
        <v>0</v>
      </c>
      <c r="P514" s="4">
        <f>VLOOKUP(C514,[8]sheet1!$D:$I,6,0)</f>
        <v>0</v>
      </c>
      <c r="Q514" s="4">
        <f t="shared" si="7"/>
        <v>0</v>
      </c>
      <c r="R514" s="3">
        <v>0</v>
      </c>
      <c r="S514">
        <v>156</v>
      </c>
      <c r="T514">
        <v>0</v>
      </c>
      <c r="U514" s="3">
        <v>1</v>
      </c>
      <c r="V514" s="3">
        <v>0</v>
      </c>
      <c r="W514">
        <v>0</v>
      </c>
      <c r="X514" s="3">
        <v>0</v>
      </c>
      <c r="Y514">
        <v>0</v>
      </c>
      <c r="Z514" s="3">
        <v>0</v>
      </c>
      <c r="AA514" t="s">
        <v>848</v>
      </c>
      <c r="AB514" s="3">
        <v>1592</v>
      </c>
      <c r="AC514">
        <v>1859.01</v>
      </c>
      <c r="AD514" t="s">
        <v>49</v>
      </c>
      <c r="AE514">
        <v>0</v>
      </c>
      <c r="AF514" s="3">
        <v>0</v>
      </c>
      <c r="AG514" t="s">
        <v>49</v>
      </c>
      <c r="AH514">
        <v>0</v>
      </c>
      <c r="AI514" t="s">
        <v>49</v>
      </c>
      <c r="AJ514">
        <v>1373.55</v>
      </c>
      <c r="AK514" t="s">
        <v>49</v>
      </c>
      <c r="AL514">
        <v>0</v>
      </c>
      <c r="AM514" t="s">
        <v>49</v>
      </c>
      <c r="AN514">
        <v>176</v>
      </c>
      <c r="AO514" s="19">
        <v>0</v>
      </c>
      <c r="AP514" s="19">
        <v>0</v>
      </c>
      <c r="AQ514" s="19">
        <v>0.7778</v>
      </c>
      <c r="AR514" s="19">
        <v>0.3889</v>
      </c>
      <c r="AS514" s="19">
        <v>1</v>
      </c>
      <c r="AT514" s="19">
        <v>1</v>
      </c>
      <c r="AU514" s="3">
        <v>0</v>
      </c>
      <c r="AV514" s="3">
        <v>0</v>
      </c>
      <c r="AW514" s="19">
        <v>0</v>
      </c>
      <c r="AX514" s="3">
        <v>0</v>
      </c>
      <c r="AY514" s="3">
        <v>0</v>
      </c>
    </row>
    <row r="515" spans="1:51">
      <c r="A515" s="3">
        <v>16267356</v>
      </c>
      <c r="B515" t="s">
        <v>849</v>
      </c>
      <c r="C515" s="3">
        <v>114401069</v>
      </c>
      <c r="D515" t="s">
        <v>44</v>
      </c>
      <c r="E515" t="s">
        <v>104</v>
      </c>
      <c r="F515" t="s">
        <v>65</v>
      </c>
      <c r="G515" t="s">
        <v>47</v>
      </c>
      <c r="H515" s="16">
        <v>0</v>
      </c>
      <c r="I515" s="4">
        <f>VLOOKUP(C515,[1]sheet1!$D:$I,6,0)</f>
        <v>0</v>
      </c>
      <c r="J515" s="4">
        <f>VLOOKUP(C515,[2]sheet1!$D:$I,6,0)</f>
        <v>1930</v>
      </c>
      <c r="K515" s="4">
        <f>VLOOKUP(C515,[3]sheet1!$D:$I,6,0)</f>
        <v>0</v>
      </c>
      <c r="L515" s="4">
        <f>VLOOKUP(C515,[4]sheet1!$D:$I,6,0)</f>
        <v>0</v>
      </c>
      <c r="M515" s="4">
        <f>VLOOKUP(C515,[5]sheet1!$D:$I,6,0)</f>
        <v>0</v>
      </c>
      <c r="N515" s="4">
        <f>VLOOKUP(C515,[6]sheet1!$D:$I,6,0)</f>
        <v>0</v>
      </c>
      <c r="O515" s="4">
        <f>VLOOKUP(C515,[7]sheet1!$D:$I,6,0)</f>
        <v>0</v>
      </c>
      <c r="P515" s="4">
        <f>VLOOKUP(C515,[8]sheet1!$D:$I,6,0)</f>
        <v>0</v>
      </c>
      <c r="Q515" s="4">
        <f t="shared" ref="Q515:Q578" si="8">SUM(H515:P515)</f>
        <v>1930</v>
      </c>
      <c r="R515" s="3">
        <v>0</v>
      </c>
      <c r="S515" s="3">
        <v>1</v>
      </c>
      <c r="T515" s="19">
        <v>0</v>
      </c>
      <c r="U515" s="3">
        <v>0</v>
      </c>
      <c r="V515" s="3">
        <v>0</v>
      </c>
      <c r="W515">
        <v>0</v>
      </c>
      <c r="X515" s="3">
        <v>0</v>
      </c>
      <c r="Y515">
        <v>0</v>
      </c>
      <c r="Z515" s="3">
        <v>0</v>
      </c>
      <c r="AA515" t="s">
        <v>575</v>
      </c>
      <c r="AB515" t="s">
        <v>49</v>
      </c>
      <c r="AC515">
        <v>1642.52</v>
      </c>
      <c r="AD515" t="s">
        <v>49</v>
      </c>
      <c r="AE515">
        <v>0</v>
      </c>
      <c r="AF515" s="3">
        <v>0</v>
      </c>
      <c r="AG515" t="s">
        <v>49</v>
      </c>
      <c r="AH515">
        <v>0</v>
      </c>
      <c r="AI515" t="s">
        <v>49</v>
      </c>
      <c r="AJ515" t="s">
        <v>49</v>
      </c>
      <c r="AK515" t="s">
        <v>49</v>
      </c>
      <c r="AL515" t="s">
        <v>49</v>
      </c>
      <c r="AM515" t="s">
        <v>49</v>
      </c>
      <c r="AN515" s="3">
        <v>1</v>
      </c>
      <c r="AO515" s="19">
        <v>0</v>
      </c>
      <c r="AP515" s="19">
        <v>0</v>
      </c>
      <c r="AQ515" s="19">
        <v>1</v>
      </c>
      <c r="AR515" s="19">
        <v>1</v>
      </c>
      <c r="AS515" s="19">
        <v>0</v>
      </c>
      <c r="AT515" s="19">
        <v>0</v>
      </c>
      <c r="AU515" s="3">
        <v>0</v>
      </c>
      <c r="AV515" s="3">
        <v>0</v>
      </c>
      <c r="AW515" s="19">
        <v>0</v>
      </c>
      <c r="AX515" s="3">
        <v>0</v>
      </c>
      <c r="AY515" s="3">
        <v>0</v>
      </c>
    </row>
    <row r="516" spans="1:51">
      <c r="A516" s="3">
        <v>16251081</v>
      </c>
      <c r="B516" t="s">
        <v>850</v>
      </c>
      <c r="C516" s="3">
        <v>114301015</v>
      </c>
      <c r="D516" t="s">
        <v>44</v>
      </c>
      <c r="E516" t="s">
        <v>104</v>
      </c>
      <c r="F516" t="s">
        <v>46</v>
      </c>
      <c r="G516" t="s">
        <v>47</v>
      </c>
      <c r="H516" s="16">
        <v>0</v>
      </c>
      <c r="I516" s="4">
        <f>VLOOKUP(C516,[1]sheet1!$D:$I,6,0)</f>
        <v>0</v>
      </c>
      <c r="J516" s="4">
        <f>VLOOKUP(C516,[2]sheet1!$D:$I,6,0)</f>
        <v>0</v>
      </c>
      <c r="K516" s="4">
        <f>VLOOKUP(C516,[3]sheet1!$D:$I,6,0)</f>
        <v>0</v>
      </c>
      <c r="L516" s="4">
        <f>VLOOKUP(C516,[4]sheet1!$D:$I,6,0)</f>
        <v>0</v>
      </c>
      <c r="M516" s="4">
        <f>VLOOKUP(C516,[5]sheet1!$D:$I,6,0)</f>
        <v>0</v>
      </c>
      <c r="N516" s="4">
        <f>VLOOKUP(C516,[6]sheet1!$D:$I,6,0)</f>
        <v>0</v>
      </c>
      <c r="O516" s="4">
        <f>VLOOKUP(C516,[7]sheet1!$D:$I,6,0)</f>
        <v>0</v>
      </c>
      <c r="P516" s="4">
        <f>VLOOKUP(C516,[8]sheet1!$D:$I,6,0)</f>
        <v>0</v>
      </c>
      <c r="Q516" s="4">
        <f t="shared" si="8"/>
        <v>0</v>
      </c>
      <c r="R516" s="3">
        <v>0</v>
      </c>
      <c r="S516">
        <v>37</v>
      </c>
      <c r="T516">
        <v>0</v>
      </c>
      <c r="U516" s="3">
        <v>0</v>
      </c>
      <c r="V516" s="3">
        <v>0</v>
      </c>
      <c r="W516">
        <v>0</v>
      </c>
      <c r="X516" s="3">
        <v>0</v>
      </c>
      <c r="Y516">
        <v>0</v>
      </c>
      <c r="Z516" s="3">
        <v>0</v>
      </c>
      <c r="AA516" t="s">
        <v>851</v>
      </c>
      <c r="AB516" s="3">
        <v>423</v>
      </c>
      <c r="AC516">
        <v>721.19</v>
      </c>
      <c r="AD516" t="s">
        <v>49</v>
      </c>
      <c r="AE516">
        <v>0</v>
      </c>
      <c r="AF516" s="3">
        <v>0</v>
      </c>
      <c r="AG516" t="s">
        <v>49</v>
      </c>
      <c r="AH516">
        <v>0</v>
      </c>
      <c r="AI516" t="s">
        <v>49</v>
      </c>
      <c r="AJ516">
        <v>358.4</v>
      </c>
      <c r="AK516" t="s">
        <v>49</v>
      </c>
      <c r="AL516">
        <v>0</v>
      </c>
      <c r="AM516" t="s">
        <v>49</v>
      </c>
      <c r="AN516">
        <v>37</v>
      </c>
      <c r="AO516" s="19">
        <v>0</v>
      </c>
      <c r="AP516" s="19">
        <v>0</v>
      </c>
      <c r="AQ516" s="19">
        <v>1</v>
      </c>
      <c r="AR516" s="19">
        <v>1</v>
      </c>
      <c r="AS516" s="19">
        <v>0</v>
      </c>
      <c r="AT516" s="19">
        <v>0</v>
      </c>
      <c r="AU516" s="3">
        <v>0</v>
      </c>
      <c r="AV516" s="3">
        <v>0</v>
      </c>
      <c r="AW516" s="19">
        <v>0</v>
      </c>
      <c r="AX516" s="3">
        <v>0</v>
      </c>
      <c r="AY516" s="3">
        <v>0</v>
      </c>
    </row>
    <row r="517" spans="1:51">
      <c r="A517" s="3">
        <v>16152934</v>
      </c>
      <c r="B517" t="s">
        <v>852</v>
      </c>
      <c r="C517" s="3">
        <v>124311236</v>
      </c>
      <c r="D517" t="s">
        <v>44</v>
      </c>
      <c r="E517" t="s">
        <v>198</v>
      </c>
      <c r="F517" t="s">
        <v>65</v>
      </c>
      <c r="G517" t="s">
        <v>47</v>
      </c>
      <c r="H517" s="16">
        <v>0</v>
      </c>
      <c r="I517" s="4">
        <f>VLOOKUP(C517,[1]sheet1!$D:$I,6,0)</f>
        <v>0</v>
      </c>
      <c r="J517" s="4">
        <f>VLOOKUP(C517,[2]sheet1!$D:$I,6,0)</f>
        <v>0</v>
      </c>
      <c r="K517" s="4">
        <f>VLOOKUP(C517,[3]sheet1!$D:$I,6,0)</f>
        <v>0</v>
      </c>
      <c r="L517" s="4">
        <f>VLOOKUP(C517,[4]sheet1!$D:$I,6,0)</f>
        <v>0</v>
      </c>
      <c r="M517" s="4">
        <f>VLOOKUP(C517,[5]sheet1!$D:$I,6,0)</f>
        <v>0</v>
      </c>
      <c r="N517" s="4">
        <f>VLOOKUP(C517,[6]sheet1!$D:$I,6,0)</f>
        <v>0</v>
      </c>
      <c r="O517" s="4">
        <f>VLOOKUP(C517,[7]sheet1!$D:$I,6,0)</f>
        <v>0</v>
      </c>
      <c r="P517" s="4">
        <f>VLOOKUP(C517,[8]sheet1!$D:$I,6,0)</f>
        <v>0</v>
      </c>
      <c r="Q517" s="4">
        <f t="shared" si="8"/>
        <v>0</v>
      </c>
      <c r="R517" s="3">
        <v>0</v>
      </c>
      <c r="S517" s="3">
        <v>3</v>
      </c>
      <c r="T517" s="19">
        <v>0</v>
      </c>
      <c r="U517" s="3">
        <v>0</v>
      </c>
      <c r="V517" s="3">
        <v>0</v>
      </c>
      <c r="W517">
        <v>0</v>
      </c>
      <c r="X517" s="3">
        <v>0</v>
      </c>
      <c r="Y517">
        <v>0</v>
      </c>
      <c r="Z517" s="3">
        <v>0</v>
      </c>
      <c r="AA517" t="s">
        <v>49</v>
      </c>
      <c r="AB517" t="s">
        <v>49</v>
      </c>
      <c r="AC517" t="s">
        <v>49</v>
      </c>
      <c r="AD517" t="s">
        <v>49</v>
      </c>
      <c r="AE517">
        <v>0</v>
      </c>
      <c r="AF517" s="3">
        <v>0</v>
      </c>
      <c r="AG517" t="s">
        <v>49</v>
      </c>
      <c r="AH517" t="s">
        <v>49</v>
      </c>
      <c r="AI517" t="s">
        <v>49</v>
      </c>
      <c r="AJ517" t="s">
        <v>49</v>
      </c>
      <c r="AK517" t="s">
        <v>49</v>
      </c>
      <c r="AL517" t="s">
        <v>49</v>
      </c>
      <c r="AM517" t="s">
        <v>49</v>
      </c>
      <c r="AN517" s="3">
        <v>4</v>
      </c>
      <c r="AO517" s="19">
        <v>0</v>
      </c>
      <c r="AP517" s="19">
        <v>0</v>
      </c>
      <c r="AQ517" s="19">
        <v>0.6667</v>
      </c>
      <c r="AR517" s="19">
        <v>0.3333</v>
      </c>
      <c r="AS517" s="19">
        <v>0</v>
      </c>
      <c r="AT517" s="19">
        <v>0</v>
      </c>
      <c r="AU517" s="3">
        <v>0</v>
      </c>
      <c r="AV517" s="3">
        <v>0</v>
      </c>
      <c r="AW517" s="19">
        <v>0</v>
      </c>
      <c r="AX517" s="3">
        <v>0</v>
      </c>
      <c r="AY517" s="3">
        <v>0</v>
      </c>
    </row>
    <row r="518" spans="1:51">
      <c r="A518" s="3">
        <v>16150626</v>
      </c>
      <c r="B518" t="s">
        <v>853</v>
      </c>
      <c r="C518" s="3">
        <v>114408251</v>
      </c>
      <c r="D518" t="s">
        <v>44</v>
      </c>
      <c r="E518" t="s">
        <v>365</v>
      </c>
      <c r="F518" t="s">
        <v>65</v>
      </c>
      <c r="G518" t="s">
        <v>47</v>
      </c>
      <c r="H518" s="16">
        <v>0</v>
      </c>
      <c r="I518" s="4">
        <f>VLOOKUP(C518,[1]sheet1!$D:$I,6,0)</f>
        <v>0</v>
      </c>
      <c r="J518" s="4">
        <f>VLOOKUP(C518,[2]sheet1!$D:$I,6,0)</f>
        <v>0</v>
      </c>
      <c r="K518" s="4">
        <f>VLOOKUP(C518,[3]sheet1!$D:$I,6,0)</f>
        <v>0</v>
      </c>
      <c r="L518" s="4">
        <f>VLOOKUP(C518,[4]sheet1!$D:$I,6,0)</f>
        <v>0</v>
      </c>
      <c r="M518" s="4">
        <f>VLOOKUP(C518,[5]sheet1!$D:$I,6,0)</f>
        <v>0</v>
      </c>
      <c r="N518" s="4">
        <f>VLOOKUP(C518,[6]sheet1!$D:$I,6,0)</f>
        <v>0</v>
      </c>
      <c r="O518" s="4">
        <f>VLOOKUP(C518,[7]sheet1!$D:$I,6,0)</f>
        <v>0</v>
      </c>
      <c r="P518" s="4">
        <f>VLOOKUP(C518,[8]sheet1!$D:$I,6,0)</f>
        <v>0</v>
      </c>
      <c r="Q518" s="4">
        <f t="shared" si="8"/>
        <v>0</v>
      </c>
      <c r="R518" s="3">
        <v>0</v>
      </c>
      <c r="S518" s="3">
        <v>11</v>
      </c>
      <c r="T518" s="19">
        <v>0</v>
      </c>
      <c r="U518" s="3">
        <v>2</v>
      </c>
      <c r="V518" s="3">
        <v>0</v>
      </c>
      <c r="W518">
        <v>0</v>
      </c>
      <c r="X518" s="3">
        <v>0</v>
      </c>
      <c r="Y518">
        <v>0</v>
      </c>
      <c r="Z518" s="3">
        <v>0</v>
      </c>
      <c r="AA518" t="s">
        <v>49</v>
      </c>
      <c r="AB518" t="s">
        <v>49</v>
      </c>
      <c r="AC518" t="s">
        <v>49</v>
      </c>
      <c r="AD518" t="s">
        <v>49</v>
      </c>
      <c r="AE518">
        <v>0</v>
      </c>
      <c r="AF518" s="3">
        <v>0</v>
      </c>
      <c r="AG518" t="s">
        <v>49</v>
      </c>
      <c r="AH518" t="s">
        <v>49</v>
      </c>
      <c r="AI518" t="s">
        <v>49</v>
      </c>
      <c r="AJ518" t="s">
        <v>49</v>
      </c>
      <c r="AK518" t="s">
        <v>49</v>
      </c>
      <c r="AL518" t="s">
        <v>49</v>
      </c>
      <c r="AM518" t="s">
        <v>49</v>
      </c>
      <c r="AN518" s="3">
        <v>19</v>
      </c>
      <c r="AO518" s="19">
        <v>0</v>
      </c>
      <c r="AP518" s="19">
        <v>0</v>
      </c>
      <c r="AQ518" s="19">
        <v>0.9091</v>
      </c>
      <c r="AR518" s="19">
        <v>0.6364</v>
      </c>
      <c r="AS518" s="19">
        <v>1</v>
      </c>
      <c r="AT518" s="19">
        <v>1</v>
      </c>
      <c r="AU518" s="3">
        <v>0</v>
      </c>
      <c r="AV518" s="3">
        <v>0</v>
      </c>
      <c r="AW518" s="19">
        <v>0</v>
      </c>
      <c r="AX518" s="3">
        <v>0</v>
      </c>
      <c r="AY518" s="3">
        <v>0</v>
      </c>
    </row>
    <row r="519" spans="1:51">
      <c r="A519" s="3">
        <v>16148211</v>
      </c>
      <c r="B519" t="s">
        <v>854</v>
      </c>
      <c r="C519" t="s">
        <v>855</v>
      </c>
      <c r="D519" t="s">
        <v>44</v>
      </c>
      <c r="E519" t="s">
        <v>258</v>
      </c>
      <c r="F519" t="s">
        <v>65</v>
      </c>
      <c r="G519" t="s">
        <v>47</v>
      </c>
      <c r="H519" s="16">
        <v>0</v>
      </c>
      <c r="I519" s="4">
        <f>VLOOKUP(C519,[1]sheet1!$D:$I,6,0)</f>
        <v>0</v>
      </c>
      <c r="J519" s="4">
        <f>VLOOKUP(C519,[2]sheet1!$D:$I,6,0)</f>
        <v>0</v>
      </c>
      <c r="K519" s="4">
        <f>VLOOKUP(C519,[3]sheet1!$D:$I,6,0)</f>
        <v>0</v>
      </c>
      <c r="L519" s="4">
        <f>VLOOKUP(C519,[4]sheet1!$D:$I,6,0)</f>
        <v>0</v>
      </c>
      <c r="M519" s="4">
        <f>VLOOKUP(C519,[5]sheet1!$D:$I,6,0)</f>
        <v>0</v>
      </c>
      <c r="N519" s="4">
        <f>VLOOKUP(C519,[6]sheet1!$D:$I,6,0)</f>
        <v>0</v>
      </c>
      <c r="O519" s="4">
        <f>VLOOKUP(C519,[7]sheet1!$D:$I,6,0)</f>
        <v>0</v>
      </c>
      <c r="P519" s="4">
        <f>VLOOKUP(C519,[8]sheet1!$D:$I,6,0)</f>
        <v>0</v>
      </c>
      <c r="Q519" s="4">
        <f t="shared" si="8"/>
        <v>0</v>
      </c>
      <c r="R519" s="3">
        <v>0</v>
      </c>
      <c r="S519" s="3">
        <v>15</v>
      </c>
      <c r="T519" s="19">
        <v>0</v>
      </c>
      <c r="U519" s="3">
        <v>1</v>
      </c>
      <c r="V519" s="3">
        <v>0</v>
      </c>
      <c r="W519">
        <v>0</v>
      </c>
      <c r="X519" s="3">
        <v>0</v>
      </c>
      <c r="Y519">
        <v>0</v>
      </c>
      <c r="Z519" s="3">
        <v>0</v>
      </c>
      <c r="AA519" t="s">
        <v>816</v>
      </c>
      <c r="AB519" t="s">
        <v>49</v>
      </c>
      <c r="AC519">
        <v>728.01</v>
      </c>
      <c r="AD519" t="s">
        <v>49</v>
      </c>
      <c r="AE519">
        <v>0</v>
      </c>
      <c r="AF519" s="3">
        <v>0</v>
      </c>
      <c r="AG519" t="s">
        <v>49</v>
      </c>
      <c r="AH519">
        <v>0</v>
      </c>
      <c r="AI519" t="s">
        <v>49</v>
      </c>
      <c r="AJ519" t="s">
        <v>49</v>
      </c>
      <c r="AK519" t="s">
        <v>49</v>
      </c>
      <c r="AL519" t="s">
        <v>49</v>
      </c>
      <c r="AM519" t="s">
        <v>49</v>
      </c>
      <c r="AN519" s="3">
        <v>16</v>
      </c>
      <c r="AO519" s="19">
        <v>0</v>
      </c>
      <c r="AP519" s="19">
        <v>0</v>
      </c>
      <c r="AQ519" s="19">
        <v>0.9333</v>
      </c>
      <c r="AR519" s="19">
        <v>0.8</v>
      </c>
      <c r="AS519" s="19">
        <v>0</v>
      </c>
      <c r="AT519" s="19">
        <v>1</v>
      </c>
      <c r="AU519" s="3">
        <v>0</v>
      </c>
      <c r="AV519" s="3">
        <v>0</v>
      </c>
      <c r="AW519" s="19">
        <v>0</v>
      </c>
      <c r="AX519" s="3">
        <v>0</v>
      </c>
      <c r="AY519" s="3">
        <v>0</v>
      </c>
    </row>
    <row r="520" spans="1:51">
      <c r="A520" s="3">
        <v>16140674</v>
      </c>
      <c r="B520" t="s">
        <v>856</v>
      </c>
      <c r="C520" s="3">
        <v>114409341</v>
      </c>
      <c r="D520" t="s">
        <v>44</v>
      </c>
      <c r="E520" t="s">
        <v>857</v>
      </c>
      <c r="F520" t="s">
        <v>46</v>
      </c>
      <c r="G520" t="s">
        <v>47</v>
      </c>
      <c r="H520" s="16">
        <v>0</v>
      </c>
      <c r="I520" s="4">
        <f>VLOOKUP(C520,[1]sheet1!$D:$I,6,0)</f>
        <v>0</v>
      </c>
      <c r="J520" s="4">
        <f>VLOOKUP(C520,[2]sheet1!$D:$I,6,0)</f>
        <v>0</v>
      </c>
      <c r="K520" s="4">
        <f>VLOOKUP(C520,[3]sheet1!$D:$I,6,0)</f>
        <v>0</v>
      </c>
      <c r="L520" s="4">
        <f>VLOOKUP(C520,[4]sheet1!$D:$I,6,0)</f>
        <v>0</v>
      </c>
      <c r="M520" s="4">
        <f>VLOOKUP(C520,[5]sheet1!$D:$I,6,0)</f>
        <v>0</v>
      </c>
      <c r="N520" s="4">
        <f>VLOOKUP(C520,[6]sheet1!$D:$I,6,0)</f>
        <v>432</v>
      </c>
      <c r="O520" s="4">
        <f>VLOOKUP(C520,[7]sheet1!$D:$I,6,0)</f>
        <v>0</v>
      </c>
      <c r="P520" s="4">
        <f>VLOOKUP(C520,[8]sheet1!$D:$I,6,0)</f>
        <v>0</v>
      </c>
      <c r="Q520" s="4">
        <f t="shared" si="8"/>
        <v>432</v>
      </c>
      <c r="R520" s="3">
        <v>0</v>
      </c>
      <c r="S520">
        <v>37</v>
      </c>
      <c r="T520">
        <v>0</v>
      </c>
      <c r="U520" s="3">
        <v>0</v>
      </c>
      <c r="V520" s="3">
        <v>0</v>
      </c>
      <c r="W520">
        <v>0</v>
      </c>
      <c r="X520" s="3">
        <v>0</v>
      </c>
      <c r="Y520">
        <v>0</v>
      </c>
      <c r="Z520" s="3">
        <v>0</v>
      </c>
      <c r="AA520" t="s">
        <v>858</v>
      </c>
      <c r="AB520" s="3">
        <v>381</v>
      </c>
      <c r="AC520">
        <v>366.49</v>
      </c>
      <c r="AD520" t="s">
        <v>49</v>
      </c>
      <c r="AE520">
        <v>0</v>
      </c>
      <c r="AF520" s="3">
        <v>0</v>
      </c>
      <c r="AG520" t="s">
        <v>49</v>
      </c>
      <c r="AH520">
        <v>0</v>
      </c>
      <c r="AI520" t="s">
        <v>49</v>
      </c>
      <c r="AJ520">
        <v>323.86</v>
      </c>
      <c r="AK520" t="s">
        <v>49</v>
      </c>
      <c r="AL520">
        <v>0</v>
      </c>
      <c r="AM520" t="s">
        <v>49</v>
      </c>
      <c r="AN520">
        <v>52</v>
      </c>
      <c r="AO520" s="19">
        <v>0</v>
      </c>
      <c r="AP520" s="19">
        <v>0</v>
      </c>
      <c r="AQ520" s="19">
        <v>0</v>
      </c>
      <c r="AR520" s="19">
        <v>0</v>
      </c>
      <c r="AS520" s="19">
        <v>0</v>
      </c>
      <c r="AT520" s="19">
        <v>0</v>
      </c>
      <c r="AU520" s="3">
        <v>0</v>
      </c>
      <c r="AV520" s="3">
        <v>0</v>
      </c>
      <c r="AW520" s="19">
        <v>0</v>
      </c>
      <c r="AX520" s="3">
        <v>0</v>
      </c>
      <c r="AY520" s="3">
        <v>0</v>
      </c>
    </row>
    <row r="521" spans="1:51">
      <c r="A521" s="3">
        <v>16137423</v>
      </c>
      <c r="B521" t="s">
        <v>859</v>
      </c>
      <c r="C521" s="3">
        <v>124304118</v>
      </c>
      <c r="D521" t="s">
        <v>44</v>
      </c>
      <c r="E521" t="s">
        <v>860</v>
      </c>
      <c r="F521" t="s">
        <v>46</v>
      </c>
      <c r="G521" t="s">
        <v>47</v>
      </c>
      <c r="H521" s="16">
        <v>0</v>
      </c>
      <c r="I521" s="4">
        <f>VLOOKUP(C521,[1]sheet1!$D:$I,6,0)</f>
        <v>0</v>
      </c>
      <c r="J521" s="4">
        <f>VLOOKUP(C521,[2]sheet1!$D:$I,6,0)</f>
        <v>0</v>
      </c>
      <c r="K521" s="4">
        <f>VLOOKUP(C521,[3]sheet1!$D:$I,6,0)</f>
        <v>0</v>
      </c>
      <c r="L521" s="4">
        <f>VLOOKUP(C521,[4]sheet1!$D:$I,6,0)</f>
        <v>0</v>
      </c>
      <c r="M521" s="4">
        <f>VLOOKUP(C521,[5]sheet1!$D:$I,6,0)</f>
        <v>0</v>
      </c>
      <c r="N521" s="4">
        <f>VLOOKUP(C521,[6]sheet1!$D:$I,6,0)</f>
        <v>0</v>
      </c>
      <c r="O521" s="4">
        <f>VLOOKUP(C521,[7]sheet1!$D:$I,6,0)</f>
        <v>0</v>
      </c>
      <c r="P521" s="4">
        <f>VLOOKUP(C521,[8]sheet1!$D:$I,6,0)</f>
        <v>0</v>
      </c>
      <c r="Q521" s="4">
        <f t="shared" si="8"/>
        <v>0</v>
      </c>
      <c r="R521" s="3">
        <v>0</v>
      </c>
      <c r="S521">
        <v>104</v>
      </c>
      <c r="T521">
        <v>0</v>
      </c>
      <c r="U521" s="3">
        <v>1</v>
      </c>
      <c r="V521" s="3">
        <v>0</v>
      </c>
      <c r="W521">
        <v>0</v>
      </c>
      <c r="X521" s="3">
        <v>0</v>
      </c>
      <c r="Y521">
        <v>0</v>
      </c>
      <c r="Z521" s="3">
        <v>0</v>
      </c>
      <c r="AA521" t="s">
        <v>411</v>
      </c>
      <c r="AB521" s="3">
        <v>389</v>
      </c>
      <c r="AC521">
        <v>327.82</v>
      </c>
      <c r="AD521" t="s">
        <v>49</v>
      </c>
      <c r="AE521">
        <v>0</v>
      </c>
      <c r="AF521" s="3">
        <v>0</v>
      </c>
      <c r="AG521" t="s">
        <v>49</v>
      </c>
      <c r="AH521">
        <v>0</v>
      </c>
      <c r="AI521" t="s">
        <v>49</v>
      </c>
      <c r="AJ521" t="s">
        <v>49</v>
      </c>
      <c r="AK521" t="s">
        <v>49</v>
      </c>
      <c r="AL521" t="s">
        <v>49</v>
      </c>
      <c r="AM521" t="s">
        <v>49</v>
      </c>
      <c r="AN521">
        <v>104</v>
      </c>
      <c r="AO521" s="19">
        <v>0</v>
      </c>
      <c r="AP521" s="19">
        <v>0</v>
      </c>
      <c r="AQ521" s="19">
        <v>0.75</v>
      </c>
      <c r="AR521" s="19">
        <v>0.125</v>
      </c>
      <c r="AS521" s="19">
        <v>1</v>
      </c>
      <c r="AT521" s="19">
        <v>0</v>
      </c>
      <c r="AU521" s="3">
        <v>0</v>
      </c>
      <c r="AV521" s="3">
        <v>0</v>
      </c>
      <c r="AW521" s="19">
        <v>0</v>
      </c>
      <c r="AX521" s="3">
        <v>0</v>
      </c>
      <c r="AY521" s="3">
        <v>0</v>
      </c>
    </row>
    <row r="522" spans="1:51">
      <c r="A522" s="3">
        <v>16114907</v>
      </c>
      <c r="B522" t="s">
        <v>861</v>
      </c>
      <c r="C522" t="s">
        <v>862</v>
      </c>
      <c r="D522" t="s">
        <v>44</v>
      </c>
      <c r="E522" t="s">
        <v>860</v>
      </c>
      <c r="F522" t="s">
        <v>46</v>
      </c>
      <c r="G522" t="s">
        <v>47</v>
      </c>
      <c r="H522" s="16">
        <v>0</v>
      </c>
      <c r="I522" s="4">
        <f>VLOOKUP(C522,[1]sheet1!$D:$I,6,0)</f>
        <v>0</v>
      </c>
      <c r="J522" s="4">
        <f>VLOOKUP(C522,[2]sheet1!$D:$I,6,0)</f>
        <v>0</v>
      </c>
      <c r="K522" s="4">
        <f>VLOOKUP(C522,[3]sheet1!$D:$I,6,0)</f>
        <v>0</v>
      </c>
      <c r="L522" s="4">
        <f>VLOOKUP(C522,[4]sheet1!$D:$I,6,0)</f>
        <v>0</v>
      </c>
      <c r="M522" s="4">
        <f>VLOOKUP(C522,[5]sheet1!$D:$I,6,0)</f>
        <v>0</v>
      </c>
      <c r="N522" s="4">
        <f>VLOOKUP(C522,[6]sheet1!$D:$I,6,0)</f>
        <v>0</v>
      </c>
      <c r="O522" s="4">
        <f>VLOOKUP(C522,[7]sheet1!$D:$I,6,0)</f>
        <v>0</v>
      </c>
      <c r="P522" s="4">
        <f>VLOOKUP(C522,[8]sheet1!$D:$I,6,0)</f>
        <v>0</v>
      </c>
      <c r="Q522" s="4">
        <f t="shared" si="8"/>
        <v>0</v>
      </c>
      <c r="R522" s="3">
        <v>0</v>
      </c>
      <c r="S522">
        <v>122</v>
      </c>
      <c r="T522">
        <v>0</v>
      </c>
      <c r="U522" s="3">
        <v>0</v>
      </c>
      <c r="V522" s="3">
        <v>0</v>
      </c>
      <c r="W522">
        <v>0</v>
      </c>
      <c r="X522" s="3">
        <v>0</v>
      </c>
      <c r="Y522">
        <v>0</v>
      </c>
      <c r="Z522" s="3">
        <v>0</v>
      </c>
      <c r="AA522" t="s">
        <v>244</v>
      </c>
      <c r="AB522" s="3">
        <v>549</v>
      </c>
      <c r="AC522">
        <v>562.72</v>
      </c>
      <c r="AD522" t="s">
        <v>49</v>
      </c>
      <c r="AE522">
        <v>0</v>
      </c>
      <c r="AF522" s="3">
        <v>0</v>
      </c>
      <c r="AG522" t="s">
        <v>49</v>
      </c>
      <c r="AH522">
        <v>0</v>
      </c>
      <c r="AI522" t="s">
        <v>49</v>
      </c>
      <c r="AJ522">
        <v>467.02</v>
      </c>
      <c r="AK522" t="s">
        <v>49</v>
      </c>
      <c r="AL522">
        <v>0</v>
      </c>
      <c r="AM522" t="s">
        <v>49</v>
      </c>
      <c r="AN522">
        <v>142</v>
      </c>
      <c r="AO522" s="19">
        <v>0</v>
      </c>
      <c r="AP522" s="19">
        <v>0</v>
      </c>
      <c r="AQ522" s="19">
        <v>0.9091</v>
      </c>
      <c r="AR522" s="19">
        <v>0.6364</v>
      </c>
      <c r="AS522" s="19">
        <v>0</v>
      </c>
      <c r="AT522" s="19">
        <v>0</v>
      </c>
      <c r="AU522" s="3">
        <v>0</v>
      </c>
      <c r="AV522" s="3">
        <v>0</v>
      </c>
      <c r="AW522" s="19">
        <v>0</v>
      </c>
      <c r="AX522" s="3">
        <v>0</v>
      </c>
      <c r="AY522" s="3">
        <v>0</v>
      </c>
    </row>
    <row r="523" spans="1:51">
      <c r="A523" s="3">
        <v>15975316</v>
      </c>
      <c r="B523" t="s">
        <v>863</v>
      </c>
      <c r="C523" s="3">
        <v>114301079</v>
      </c>
      <c r="D523" t="s">
        <v>44</v>
      </c>
      <c r="E523" t="s">
        <v>104</v>
      </c>
      <c r="F523" t="s">
        <v>46</v>
      </c>
      <c r="G523" t="s">
        <v>47</v>
      </c>
      <c r="H523" s="16">
        <v>0</v>
      </c>
      <c r="I523" s="4">
        <f>VLOOKUP(C523,[1]sheet1!$D:$I,6,0)</f>
        <v>0</v>
      </c>
      <c r="J523" s="4">
        <f>VLOOKUP(C523,[2]sheet1!$D:$I,6,0)</f>
        <v>0</v>
      </c>
      <c r="K523" s="4">
        <f>VLOOKUP(C523,[3]sheet1!$D:$I,6,0)</f>
        <v>0</v>
      </c>
      <c r="L523" s="4">
        <f>VLOOKUP(C523,[4]sheet1!$D:$I,6,0)</f>
        <v>977</v>
      </c>
      <c r="M523" s="4">
        <f>VLOOKUP(C523,[5]sheet1!$D:$I,6,0)</f>
        <v>972</v>
      </c>
      <c r="N523" s="4">
        <f>VLOOKUP(C523,[6]sheet1!$D:$I,6,0)</f>
        <v>0</v>
      </c>
      <c r="O523" s="4">
        <f>VLOOKUP(C523,[7]sheet1!$D:$I,6,0)</f>
        <v>0</v>
      </c>
      <c r="P523" s="4">
        <f>VLOOKUP(C523,[8]sheet1!$D:$I,6,0)</f>
        <v>892</v>
      </c>
      <c r="Q523" s="4">
        <f t="shared" si="8"/>
        <v>2841</v>
      </c>
      <c r="R523" s="3">
        <v>0</v>
      </c>
      <c r="S523">
        <v>208</v>
      </c>
      <c r="T523">
        <v>0</v>
      </c>
      <c r="U523" s="3">
        <v>2</v>
      </c>
      <c r="V523" s="3">
        <v>0</v>
      </c>
      <c r="W523">
        <v>0</v>
      </c>
      <c r="X523" s="3">
        <v>0</v>
      </c>
      <c r="Y523">
        <v>0</v>
      </c>
      <c r="Z523" s="3">
        <v>0</v>
      </c>
      <c r="AA523" t="s">
        <v>603</v>
      </c>
      <c r="AB523" s="3">
        <v>764</v>
      </c>
      <c r="AC523">
        <v>772.52</v>
      </c>
      <c r="AD523" t="s">
        <v>49</v>
      </c>
      <c r="AE523">
        <v>0</v>
      </c>
      <c r="AF523" s="3">
        <v>0</v>
      </c>
      <c r="AG523" t="s">
        <v>49</v>
      </c>
      <c r="AH523">
        <v>0</v>
      </c>
      <c r="AI523" t="s">
        <v>49</v>
      </c>
      <c r="AJ523">
        <v>655.07</v>
      </c>
      <c r="AK523" t="s">
        <v>49</v>
      </c>
      <c r="AL523">
        <v>0</v>
      </c>
      <c r="AM523" t="s">
        <v>49</v>
      </c>
      <c r="AN523" s="3">
        <v>42</v>
      </c>
      <c r="AO523" s="19">
        <v>0</v>
      </c>
      <c r="AP523" s="19">
        <v>0</v>
      </c>
      <c r="AQ523" s="19">
        <v>0.7812</v>
      </c>
      <c r="AR523" s="19">
        <v>0.5625</v>
      </c>
      <c r="AS523" s="19">
        <v>1</v>
      </c>
      <c r="AT523" s="19">
        <v>1</v>
      </c>
      <c r="AU523" s="3">
        <v>0</v>
      </c>
      <c r="AV523" s="3">
        <v>0</v>
      </c>
      <c r="AW523" s="19">
        <v>0</v>
      </c>
      <c r="AX523" s="3">
        <v>0</v>
      </c>
      <c r="AY523" s="3">
        <v>0</v>
      </c>
    </row>
    <row r="524" spans="1:51">
      <c r="A524" s="3">
        <v>15972406</v>
      </c>
      <c r="B524" t="s">
        <v>864</v>
      </c>
      <c r="C524" t="s">
        <v>865</v>
      </c>
      <c r="D524" t="s">
        <v>44</v>
      </c>
      <c r="E524" t="s">
        <v>100</v>
      </c>
      <c r="F524" t="s">
        <v>65</v>
      </c>
      <c r="G524" t="s">
        <v>47</v>
      </c>
      <c r="H524" s="16">
        <v>0</v>
      </c>
      <c r="I524" s="4">
        <f>VLOOKUP(C524,[1]sheet1!$D:$I,6,0)</f>
        <v>0</v>
      </c>
      <c r="J524" s="4">
        <f>VLOOKUP(C524,[2]sheet1!$D:$I,6,0)</f>
        <v>0</v>
      </c>
      <c r="K524" s="4">
        <f>VLOOKUP(C524,[3]sheet1!$D:$I,6,0)</f>
        <v>0</v>
      </c>
      <c r="L524" s="4">
        <f>VLOOKUP(C524,[4]sheet1!$D:$I,6,0)</f>
        <v>0</v>
      </c>
      <c r="M524" s="4">
        <f>VLOOKUP(C524,[5]sheet1!$D:$I,6,0)</f>
        <v>790</v>
      </c>
      <c r="N524" s="4">
        <f>VLOOKUP(C524,[6]sheet1!$D:$I,6,0)</f>
        <v>0</v>
      </c>
      <c r="O524" s="4">
        <f>VLOOKUP(C524,[7]sheet1!$D:$I,6,0)</f>
        <v>0</v>
      </c>
      <c r="P524" s="4">
        <f>VLOOKUP(C524,[8]sheet1!$D:$I,6,0)</f>
        <v>0</v>
      </c>
      <c r="Q524" s="4">
        <f t="shared" si="8"/>
        <v>790</v>
      </c>
      <c r="R524" s="3">
        <v>0</v>
      </c>
      <c r="S524" s="3">
        <v>82</v>
      </c>
      <c r="T524" s="19">
        <v>0</v>
      </c>
      <c r="U524" s="3">
        <v>2</v>
      </c>
      <c r="V524" s="3">
        <v>0</v>
      </c>
      <c r="W524">
        <v>0</v>
      </c>
      <c r="X524" s="3">
        <v>0</v>
      </c>
      <c r="Y524">
        <v>0</v>
      </c>
      <c r="Z524" s="3">
        <v>0</v>
      </c>
      <c r="AA524" t="s">
        <v>810</v>
      </c>
      <c r="AB524" t="s">
        <v>49</v>
      </c>
      <c r="AC524">
        <v>652.1</v>
      </c>
      <c r="AD524" t="s">
        <v>49</v>
      </c>
      <c r="AE524">
        <v>0</v>
      </c>
      <c r="AF524" s="3">
        <v>0</v>
      </c>
      <c r="AG524" t="s">
        <v>49</v>
      </c>
      <c r="AH524">
        <v>0</v>
      </c>
      <c r="AI524" t="s">
        <v>49</v>
      </c>
      <c r="AJ524" t="s">
        <v>49</v>
      </c>
      <c r="AK524" t="s">
        <v>49</v>
      </c>
      <c r="AL524" t="s">
        <v>49</v>
      </c>
      <c r="AM524" t="s">
        <v>49</v>
      </c>
      <c r="AN524" s="3">
        <v>100</v>
      </c>
      <c r="AO524" s="19">
        <v>0</v>
      </c>
      <c r="AP524" s="19">
        <v>0</v>
      </c>
      <c r="AQ524" s="19">
        <v>0.878</v>
      </c>
      <c r="AR524" s="19">
        <v>0.2439</v>
      </c>
      <c r="AS524" s="19">
        <v>1</v>
      </c>
      <c r="AT524" s="19">
        <v>0.5</v>
      </c>
      <c r="AU524" s="3">
        <v>0</v>
      </c>
      <c r="AV524" s="3">
        <v>0</v>
      </c>
      <c r="AW524" s="19">
        <v>0</v>
      </c>
      <c r="AX524" s="3">
        <v>0</v>
      </c>
      <c r="AY524" s="3">
        <v>0</v>
      </c>
    </row>
    <row r="525" spans="1:51">
      <c r="A525" s="3">
        <v>15968677</v>
      </c>
      <c r="B525" t="s">
        <v>866</v>
      </c>
      <c r="C525" t="s">
        <v>867</v>
      </c>
      <c r="D525" t="s">
        <v>44</v>
      </c>
      <c r="E525" t="s">
        <v>206</v>
      </c>
      <c r="F525" t="s">
        <v>65</v>
      </c>
      <c r="G525" t="s">
        <v>47</v>
      </c>
      <c r="H525" s="16">
        <v>0</v>
      </c>
      <c r="I525" s="4">
        <f>VLOOKUP(C525,[1]sheet1!$D:$I,6,0)</f>
        <v>0</v>
      </c>
      <c r="J525" s="4">
        <f>VLOOKUP(C525,[2]sheet1!$D:$I,6,0)</f>
        <v>0</v>
      </c>
      <c r="K525" s="4">
        <f>VLOOKUP(C525,[3]sheet1!$D:$I,6,0)</f>
        <v>0</v>
      </c>
      <c r="L525" s="4">
        <f>VLOOKUP(C525,[4]sheet1!$D:$I,6,0)</f>
        <v>0</v>
      </c>
      <c r="M525" s="4">
        <f>VLOOKUP(C525,[5]sheet1!$D:$I,6,0)</f>
        <v>0</v>
      </c>
      <c r="N525" s="4">
        <f>VLOOKUP(C525,[6]sheet1!$D:$I,6,0)</f>
        <v>0</v>
      </c>
      <c r="O525" s="4">
        <f>VLOOKUP(C525,[7]sheet1!$D:$I,6,0)</f>
        <v>0</v>
      </c>
      <c r="P525" s="4">
        <f>VLOOKUP(C525,[8]sheet1!$D:$I,6,0)</f>
        <v>0</v>
      </c>
      <c r="Q525" s="4">
        <f t="shared" si="8"/>
        <v>0</v>
      </c>
      <c r="R525" s="3">
        <v>0</v>
      </c>
      <c r="S525" s="3">
        <v>2</v>
      </c>
      <c r="T525" s="19">
        <v>0</v>
      </c>
      <c r="U525" s="3">
        <v>0</v>
      </c>
      <c r="V525" s="3">
        <v>0</v>
      </c>
      <c r="W525">
        <v>0</v>
      </c>
      <c r="X525" s="3">
        <v>0</v>
      </c>
      <c r="Y525">
        <v>0</v>
      </c>
      <c r="Z525" s="3">
        <v>0</v>
      </c>
      <c r="AA525" t="s">
        <v>49</v>
      </c>
      <c r="AB525" t="s">
        <v>49</v>
      </c>
      <c r="AC525" t="s">
        <v>49</v>
      </c>
      <c r="AD525" t="s">
        <v>49</v>
      </c>
      <c r="AE525">
        <v>0</v>
      </c>
      <c r="AF525" s="3">
        <v>0</v>
      </c>
      <c r="AG525" t="s">
        <v>49</v>
      </c>
      <c r="AH525" t="s">
        <v>49</v>
      </c>
      <c r="AI525" t="s">
        <v>49</v>
      </c>
      <c r="AJ525" t="s">
        <v>49</v>
      </c>
      <c r="AK525" t="s">
        <v>49</v>
      </c>
      <c r="AL525" t="s">
        <v>49</v>
      </c>
      <c r="AM525" t="s">
        <v>49</v>
      </c>
      <c r="AN525" s="3">
        <v>2</v>
      </c>
      <c r="AO525" s="19">
        <v>0</v>
      </c>
      <c r="AP525" s="19">
        <v>0</v>
      </c>
      <c r="AQ525" s="19">
        <v>1</v>
      </c>
      <c r="AR525" s="19">
        <v>0.5</v>
      </c>
      <c r="AS525" s="19">
        <v>0</v>
      </c>
      <c r="AT525" s="19">
        <v>0</v>
      </c>
      <c r="AU525" s="3">
        <v>0</v>
      </c>
      <c r="AV525" s="3">
        <v>0</v>
      </c>
      <c r="AW525" s="19">
        <v>0</v>
      </c>
      <c r="AX525" s="3">
        <v>0</v>
      </c>
      <c r="AY525" s="3">
        <v>0</v>
      </c>
    </row>
    <row r="526" spans="1:51">
      <c r="A526" s="3">
        <v>15935614</v>
      </c>
      <c r="B526" t="s">
        <v>868</v>
      </c>
      <c r="C526" s="3">
        <v>114351091</v>
      </c>
      <c r="D526" t="s">
        <v>44</v>
      </c>
      <c r="E526" t="s">
        <v>143</v>
      </c>
      <c r="F526" t="s">
        <v>46</v>
      </c>
      <c r="G526" t="s">
        <v>47</v>
      </c>
      <c r="H526" s="16">
        <v>0</v>
      </c>
      <c r="I526" s="4">
        <f>VLOOKUP(C526,[1]sheet1!$D:$I,6,0)</f>
        <v>0</v>
      </c>
      <c r="J526" s="4">
        <f>VLOOKUP(C526,[2]sheet1!$D:$I,6,0)</f>
        <v>0</v>
      </c>
      <c r="K526" s="4">
        <f>VLOOKUP(C526,[3]sheet1!$D:$I,6,0)</f>
        <v>0</v>
      </c>
      <c r="L526" s="4">
        <f>VLOOKUP(C526,[4]sheet1!$D:$I,6,0)</f>
        <v>0</v>
      </c>
      <c r="M526" s="4">
        <f>VLOOKUP(C526,[5]sheet1!$D:$I,6,0)</f>
        <v>0</v>
      </c>
      <c r="N526" s="4">
        <f>VLOOKUP(C526,[6]sheet1!$D:$I,6,0)</f>
        <v>0</v>
      </c>
      <c r="O526" s="4">
        <f>VLOOKUP(C526,[7]sheet1!$D:$I,6,0)</f>
        <v>709</v>
      </c>
      <c r="P526" s="4">
        <f>VLOOKUP(C526,[8]sheet1!$D:$I,6,0)</f>
        <v>0</v>
      </c>
      <c r="Q526" s="15">
        <f t="shared" si="8"/>
        <v>709</v>
      </c>
      <c r="R526" s="3">
        <v>0</v>
      </c>
      <c r="S526">
        <v>52</v>
      </c>
      <c r="T526">
        <v>0</v>
      </c>
      <c r="U526" s="3">
        <v>0</v>
      </c>
      <c r="V526" s="3">
        <v>0</v>
      </c>
      <c r="W526">
        <v>0</v>
      </c>
      <c r="X526" s="3">
        <v>0</v>
      </c>
      <c r="Y526">
        <v>0</v>
      </c>
      <c r="Z526" s="3">
        <v>0</v>
      </c>
      <c r="AA526" t="s">
        <v>827</v>
      </c>
      <c r="AB526" s="3">
        <v>340</v>
      </c>
      <c r="AC526">
        <v>311.69</v>
      </c>
      <c r="AD526" t="s">
        <v>49</v>
      </c>
      <c r="AE526">
        <v>0</v>
      </c>
      <c r="AF526" s="3">
        <v>0</v>
      </c>
      <c r="AG526" t="s">
        <v>49</v>
      </c>
      <c r="AH526">
        <v>0</v>
      </c>
      <c r="AI526" t="s">
        <v>49</v>
      </c>
      <c r="AJ526">
        <v>285.59</v>
      </c>
      <c r="AK526" t="s">
        <v>49</v>
      </c>
      <c r="AL526">
        <v>0</v>
      </c>
      <c r="AM526" t="s">
        <v>49</v>
      </c>
      <c r="AN526" s="3">
        <v>3</v>
      </c>
      <c r="AO526" s="19">
        <v>0</v>
      </c>
      <c r="AP526" s="19">
        <v>0</v>
      </c>
      <c r="AQ526" s="19">
        <v>1</v>
      </c>
      <c r="AR526" s="19">
        <v>0.5</v>
      </c>
      <c r="AS526" s="19">
        <v>0</v>
      </c>
      <c r="AT526" s="19">
        <v>0</v>
      </c>
      <c r="AU526" s="3">
        <v>0</v>
      </c>
      <c r="AV526" s="3">
        <v>0</v>
      </c>
      <c r="AW526" s="19">
        <v>0</v>
      </c>
      <c r="AX526" s="3">
        <v>0</v>
      </c>
      <c r="AY526" s="3">
        <v>0</v>
      </c>
    </row>
    <row r="527" spans="1:51">
      <c r="A527" s="3">
        <v>15935608</v>
      </c>
      <c r="B527" t="s">
        <v>869</v>
      </c>
      <c r="C527" s="3">
        <v>124310184</v>
      </c>
      <c r="D527" t="s">
        <v>44</v>
      </c>
      <c r="E527" t="s">
        <v>404</v>
      </c>
      <c r="F527" t="s">
        <v>65</v>
      </c>
      <c r="G527" t="s">
        <v>47</v>
      </c>
      <c r="H527" s="16">
        <v>0</v>
      </c>
      <c r="I527" s="4">
        <f>VLOOKUP(C527,[1]sheet1!$D:$I,6,0)</f>
        <v>0</v>
      </c>
      <c r="J527" s="4">
        <f>VLOOKUP(C527,[2]sheet1!$D:$I,6,0)</f>
        <v>0</v>
      </c>
      <c r="K527" s="4">
        <f>VLOOKUP(C527,[3]sheet1!$D:$I,6,0)</f>
        <v>0</v>
      </c>
      <c r="L527" s="4">
        <f>VLOOKUP(C527,[4]sheet1!$D:$I,6,0)</f>
        <v>0</v>
      </c>
      <c r="M527" s="4">
        <f>VLOOKUP(C527,[5]sheet1!$D:$I,6,0)</f>
        <v>0</v>
      </c>
      <c r="N527" s="4">
        <f>VLOOKUP(C527,[6]sheet1!$D:$I,6,0)</f>
        <v>0</v>
      </c>
      <c r="O527" s="4">
        <f>VLOOKUP(C527,[7]sheet1!$D:$I,6,0)</f>
        <v>0</v>
      </c>
      <c r="P527" s="4">
        <f>VLOOKUP(C527,[8]sheet1!$D:$I,6,0)</f>
        <v>0</v>
      </c>
      <c r="Q527" s="4">
        <f t="shared" si="8"/>
        <v>0</v>
      </c>
      <c r="R527" s="3">
        <v>0</v>
      </c>
      <c r="S527" s="3">
        <v>62</v>
      </c>
      <c r="T527" s="19">
        <v>0</v>
      </c>
      <c r="U527" s="3">
        <v>0</v>
      </c>
      <c r="V527" s="3">
        <v>0</v>
      </c>
      <c r="W527">
        <v>0</v>
      </c>
      <c r="X527" s="3">
        <v>0</v>
      </c>
      <c r="Y527">
        <v>0</v>
      </c>
      <c r="Z527" s="3">
        <v>0</v>
      </c>
      <c r="AA527" t="s">
        <v>49</v>
      </c>
      <c r="AB527" t="s">
        <v>49</v>
      </c>
      <c r="AC527" t="s">
        <v>49</v>
      </c>
      <c r="AD527" t="s">
        <v>49</v>
      </c>
      <c r="AE527">
        <v>0</v>
      </c>
      <c r="AF527" s="3">
        <v>0</v>
      </c>
      <c r="AG527" t="s">
        <v>49</v>
      </c>
      <c r="AH527" t="s">
        <v>49</v>
      </c>
      <c r="AI527" t="s">
        <v>49</v>
      </c>
      <c r="AJ527" t="s">
        <v>49</v>
      </c>
      <c r="AK527" t="s">
        <v>49</v>
      </c>
      <c r="AL527" t="s">
        <v>49</v>
      </c>
      <c r="AM527" t="s">
        <v>49</v>
      </c>
      <c r="AN527" s="3">
        <v>66</v>
      </c>
      <c r="AO527" s="19">
        <v>0</v>
      </c>
      <c r="AP527" s="19">
        <v>0</v>
      </c>
      <c r="AQ527" s="19">
        <v>1</v>
      </c>
      <c r="AR527" s="19">
        <v>0.9194</v>
      </c>
      <c r="AS527" s="19">
        <v>0</v>
      </c>
      <c r="AT527" s="19">
        <v>0</v>
      </c>
      <c r="AU527" s="3">
        <v>0</v>
      </c>
      <c r="AV527" s="3">
        <v>0</v>
      </c>
      <c r="AW527" s="19">
        <v>0</v>
      </c>
      <c r="AX527" s="3">
        <v>0</v>
      </c>
      <c r="AY527" s="3">
        <v>0</v>
      </c>
    </row>
    <row r="528" spans="1:51">
      <c r="A528" s="3">
        <v>15931213</v>
      </c>
      <c r="B528" t="s">
        <v>870</v>
      </c>
      <c r="C528" s="3">
        <v>124377366</v>
      </c>
      <c r="D528" t="s">
        <v>44</v>
      </c>
      <c r="E528" t="s">
        <v>871</v>
      </c>
      <c r="F528" t="s">
        <v>65</v>
      </c>
      <c r="G528" t="s">
        <v>47</v>
      </c>
      <c r="H528" s="16">
        <v>0</v>
      </c>
      <c r="I528" s="4">
        <f>VLOOKUP(C528,[1]sheet1!$D:$I,6,0)</f>
        <v>0</v>
      </c>
      <c r="J528" s="4">
        <f>VLOOKUP(C528,[2]sheet1!$D:$I,6,0)</f>
        <v>0</v>
      </c>
      <c r="K528" s="4">
        <f>VLOOKUP(C528,[3]sheet1!$D:$I,6,0)</f>
        <v>0</v>
      </c>
      <c r="L528" s="4">
        <f>VLOOKUP(C528,[4]sheet1!$D:$I,6,0)</f>
        <v>0</v>
      </c>
      <c r="M528" s="4">
        <f>VLOOKUP(C528,[5]sheet1!$D:$I,6,0)</f>
        <v>0</v>
      </c>
      <c r="N528" s="4">
        <f>VLOOKUP(C528,[6]sheet1!$D:$I,6,0)</f>
        <v>0</v>
      </c>
      <c r="O528" s="4">
        <f>VLOOKUP(C528,[7]sheet1!$D:$I,6,0)</f>
        <v>0</v>
      </c>
      <c r="P528" s="4">
        <f>VLOOKUP(C528,[8]sheet1!$D:$I,6,0)</f>
        <v>0</v>
      </c>
      <c r="Q528" s="4">
        <f t="shared" si="8"/>
        <v>0</v>
      </c>
      <c r="R528" s="3">
        <v>0</v>
      </c>
      <c r="S528" s="3">
        <v>2</v>
      </c>
      <c r="T528" s="19">
        <v>0</v>
      </c>
      <c r="U528" s="3">
        <v>0</v>
      </c>
      <c r="V528" s="3">
        <v>0</v>
      </c>
      <c r="W528">
        <v>0</v>
      </c>
      <c r="X528" s="3">
        <v>0</v>
      </c>
      <c r="Y528">
        <v>0</v>
      </c>
      <c r="Z528" s="3">
        <v>0</v>
      </c>
      <c r="AA528" t="s">
        <v>411</v>
      </c>
      <c r="AB528" t="s">
        <v>49</v>
      </c>
      <c r="AC528">
        <v>332.04</v>
      </c>
      <c r="AD528" t="s">
        <v>49</v>
      </c>
      <c r="AE528">
        <v>0</v>
      </c>
      <c r="AF528" s="3">
        <v>0</v>
      </c>
      <c r="AG528" t="s">
        <v>49</v>
      </c>
      <c r="AH528">
        <v>0</v>
      </c>
      <c r="AI528" t="s">
        <v>49</v>
      </c>
      <c r="AJ528" t="s">
        <v>49</v>
      </c>
      <c r="AK528" t="s">
        <v>49</v>
      </c>
      <c r="AL528" t="s">
        <v>49</v>
      </c>
      <c r="AM528" t="s">
        <v>49</v>
      </c>
      <c r="AN528" s="3">
        <v>2</v>
      </c>
      <c r="AO528" s="19">
        <v>0</v>
      </c>
      <c r="AP528" s="19">
        <v>0</v>
      </c>
      <c r="AQ528" s="19">
        <v>1</v>
      </c>
      <c r="AR528" s="19">
        <v>0.5</v>
      </c>
      <c r="AS528" s="19">
        <v>0</v>
      </c>
      <c r="AT528" s="19">
        <v>0</v>
      </c>
      <c r="AU528" s="3">
        <v>0</v>
      </c>
      <c r="AV528" s="3">
        <v>0</v>
      </c>
      <c r="AW528" s="19">
        <v>0</v>
      </c>
      <c r="AX528" s="3">
        <v>0</v>
      </c>
      <c r="AY528" s="3">
        <v>0</v>
      </c>
    </row>
    <row r="529" spans="1:51">
      <c r="A529" s="3">
        <v>15929441</v>
      </c>
      <c r="B529" t="s">
        <v>872</v>
      </c>
      <c r="C529" s="3">
        <v>114315395</v>
      </c>
      <c r="D529" t="s">
        <v>44</v>
      </c>
      <c r="E529" t="s">
        <v>873</v>
      </c>
      <c r="F529" t="s">
        <v>65</v>
      </c>
      <c r="G529" t="s">
        <v>47</v>
      </c>
      <c r="H529" s="16">
        <v>0</v>
      </c>
      <c r="I529" s="4">
        <f>VLOOKUP(C529,[1]sheet1!$D:$I,6,0)</f>
        <v>0</v>
      </c>
      <c r="J529" s="4">
        <f>VLOOKUP(C529,[2]sheet1!$D:$I,6,0)</f>
        <v>0</v>
      </c>
      <c r="K529" s="4">
        <f>VLOOKUP(C529,[3]sheet1!$D:$I,6,0)</f>
        <v>0</v>
      </c>
      <c r="L529" s="4">
        <f>VLOOKUP(C529,[4]sheet1!$D:$I,6,0)</f>
        <v>0</v>
      </c>
      <c r="M529" s="4">
        <f>VLOOKUP(C529,[5]sheet1!$D:$I,6,0)</f>
        <v>0</v>
      </c>
      <c r="N529" s="4">
        <f>VLOOKUP(C529,[6]sheet1!$D:$I,6,0)</f>
        <v>0</v>
      </c>
      <c r="O529" s="4">
        <f>VLOOKUP(C529,[7]sheet1!$D:$I,6,0)</f>
        <v>0</v>
      </c>
      <c r="P529" s="4">
        <f>VLOOKUP(C529,[8]sheet1!$D:$I,6,0)</f>
        <v>0</v>
      </c>
      <c r="Q529" s="4">
        <f t="shared" si="8"/>
        <v>0</v>
      </c>
      <c r="R529" s="3">
        <v>0</v>
      </c>
      <c r="S529" s="3">
        <v>3</v>
      </c>
      <c r="T529" s="19">
        <v>0</v>
      </c>
      <c r="U529" s="3">
        <v>0</v>
      </c>
      <c r="V529" s="3">
        <v>0</v>
      </c>
      <c r="W529">
        <v>0</v>
      </c>
      <c r="X529" s="3">
        <v>0</v>
      </c>
      <c r="Y529">
        <v>0</v>
      </c>
      <c r="Z529" s="3">
        <v>0</v>
      </c>
      <c r="AA529" t="s">
        <v>101</v>
      </c>
      <c r="AB529" t="s">
        <v>49</v>
      </c>
      <c r="AC529">
        <v>469.19</v>
      </c>
      <c r="AD529" t="s">
        <v>49</v>
      </c>
      <c r="AE529">
        <v>0</v>
      </c>
      <c r="AF529" s="3">
        <v>0</v>
      </c>
      <c r="AG529" t="s">
        <v>49</v>
      </c>
      <c r="AH529">
        <v>0</v>
      </c>
      <c r="AI529" t="s">
        <v>49</v>
      </c>
      <c r="AJ529" t="s">
        <v>49</v>
      </c>
      <c r="AK529" t="s">
        <v>49</v>
      </c>
      <c r="AL529" t="s">
        <v>49</v>
      </c>
      <c r="AM529" t="s">
        <v>49</v>
      </c>
      <c r="AN529" s="3">
        <v>3</v>
      </c>
      <c r="AO529" s="19">
        <v>0</v>
      </c>
      <c r="AP529" s="19">
        <v>0</v>
      </c>
      <c r="AQ529" s="19">
        <v>0.6667</v>
      </c>
      <c r="AR529" s="19">
        <v>0</v>
      </c>
      <c r="AS529" s="19">
        <v>0</v>
      </c>
      <c r="AT529" s="19">
        <v>0</v>
      </c>
      <c r="AU529" s="3">
        <v>0</v>
      </c>
      <c r="AV529" s="3">
        <v>0</v>
      </c>
      <c r="AW529" s="19">
        <v>0</v>
      </c>
      <c r="AX529" s="3">
        <v>0</v>
      </c>
      <c r="AY529" s="3">
        <v>0</v>
      </c>
    </row>
    <row r="530" spans="1:51">
      <c r="A530" s="3">
        <v>15927737</v>
      </c>
      <c r="B530" t="s">
        <v>874</v>
      </c>
      <c r="C530" s="3">
        <v>164334001</v>
      </c>
      <c r="D530" t="s">
        <v>44</v>
      </c>
      <c r="E530" t="s">
        <v>773</v>
      </c>
      <c r="F530" t="s">
        <v>65</v>
      </c>
      <c r="G530" t="s">
        <v>47</v>
      </c>
      <c r="H530" s="16">
        <v>0</v>
      </c>
      <c r="I530" s="4">
        <f>VLOOKUP(C530,[1]sheet1!$D:$I,6,0)</f>
        <v>0</v>
      </c>
      <c r="J530" s="4">
        <f>VLOOKUP(C530,[2]sheet1!$D:$I,6,0)</f>
        <v>0</v>
      </c>
      <c r="K530" s="4">
        <f>VLOOKUP(C530,[3]sheet1!$D:$I,6,0)</f>
        <v>0</v>
      </c>
      <c r="L530" s="4">
        <f>VLOOKUP(C530,[4]sheet1!$D:$I,6,0)</f>
        <v>0</v>
      </c>
      <c r="M530" s="4">
        <f>VLOOKUP(C530,[5]sheet1!$D:$I,6,0)</f>
        <v>0</v>
      </c>
      <c r="N530" s="4">
        <f>VLOOKUP(C530,[6]sheet1!$D:$I,6,0)</f>
        <v>0</v>
      </c>
      <c r="O530" s="4">
        <f>VLOOKUP(C530,[7]sheet1!$D:$I,6,0)</f>
        <v>0</v>
      </c>
      <c r="P530" s="4">
        <f>VLOOKUP(C530,[8]sheet1!$D:$I,6,0)</f>
        <v>0</v>
      </c>
      <c r="Q530" s="4">
        <f t="shared" si="8"/>
        <v>0</v>
      </c>
      <c r="R530" s="3">
        <v>0</v>
      </c>
      <c r="S530" s="3">
        <v>3</v>
      </c>
      <c r="T530" s="19">
        <v>0</v>
      </c>
      <c r="U530" s="3">
        <v>0</v>
      </c>
      <c r="V530" s="3">
        <v>0</v>
      </c>
      <c r="W530">
        <v>0</v>
      </c>
      <c r="X530" s="3">
        <v>0</v>
      </c>
      <c r="Y530">
        <v>0</v>
      </c>
      <c r="Z530" s="3">
        <v>0</v>
      </c>
      <c r="AA530" t="s">
        <v>93</v>
      </c>
      <c r="AB530" t="s">
        <v>49</v>
      </c>
      <c r="AC530">
        <v>77.27</v>
      </c>
      <c r="AD530" t="s">
        <v>49</v>
      </c>
      <c r="AE530">
        <v>0</v>
      </c>
      <c r="AF530" s="3">
        <v>0</v>
      </c>
      <c r="AG530" t="s">
        <v>49</v>
      </c>
      <c r="AH530">
        <v>0</v>
      </c>
      <c r="AI530" t="s">
        <v>49</v>
      </c>
      <c r="AJ530" t="s">
        <v>49</v>
      </c>
      <c r="AK530" t="s">
        <v>49</v>
      </c>
      <c r="AL530" t="s">
        <v>49</v>
      </c>
      <c r="AM530" t="s">
        <v>49</v>
      </c>
      <c r="AN530" s="3">
        <v>3</v>
      </c>
      <c r="AO530" s="19">
        <v>0</v>
      </c>
      <c r="AP530" s="19">
        <v>0</v>
      </c>
      <c r="AQ530" s="19">
        <v>0.6667</v>
      </c>
      <c r="AR530" s="19">
        <v>0.3333</v>
      </c>
      <c r="AS530" s="19">
        <v>0</v>
      </c>
      <c r="AT530" s="19">
        <v>0</v>
      </c>
      <c r="AU530" s="3">
        <v>0</v>
      </c>
      <c r="AV530" s="3">
        <v>0</v>
      </c>
      <c r="AW530" s="19">
        <v>0</v>
      </c>
      <c r="AX530" s="3">
        <v>0</v>
      </c>
      <c r="AY530" s="3">
        <v>0</v>
      </c>
    </row>
    <row r="531" spans="1:51">
      <c r="A531" s="3">
        <v>15923449</v>
      </c>
      <c r="B531" t="s">
        <v>875</v>
      </c>
      <c r="C531" s="3">
        <v>124315398</v>
      </c>
      <c r="D531" t="s">
        <v>44</v>
      </c>
      <c r="E531" t="s">
        <v>461</v>
      </c>
      <c r="F531" t="s">
        <v>46</v>
      </c>
      <c r="G531" t="s">
        <v>47</v>
      </c>
      <c r="H531" s="16">
        <v>0</v>
      </c>
      <c r="I531" s="4">
        <f>VLOOKUP(C531,[1]sheet1!$D:$I,6,0)</f>
        <v>0</v>
      </c>
      <c r="J531" s="4">
        <f>VLOOKUP(C531,[2]sheet1!$D:$I,6,0)</f>
        <v>0</v>
      </c>
      <c r="K531" s="4">
        <f>VLOOKUP(C531,[3]sheet1!$D:$I,6,0)</f>
        <v>0</v>
      </c>
      <c r="L531" s="4">
        <f>VLOOKUP(C531,[4]sheet1!$D:$I,6,0)</f>
        <v>0</v>
      </c>
      <c r="M531" s="4">
        <f>VLOOKUP(C531,[5]sheet1!$D:$I,6,0)</f>
        <v>0</v>
      </c>
      <c r="N531" s="4">
        <f>VLOOKUP(C531,[6]sheet1!$D:$I,6,0)</f>
        <v>0</v>
      </c>
      <c r="O531" s="4">
        <f>VLOOKUP(C531,[7]sheet1!$D:$I,6,0)</f>
        <v>0</v>
      </c>
      <c r="P531" s="4">
        <f>VLOOKUP(C531,[8]sheet1!$D:$I,6,0)</f>
        <v>0</v>
      </c>
      <c r="Q531" s="4">
        <f t="shared" si="8"/>
        <v>0</v>
      </c>
      <c r="R531" s="3">
        <v>0</v>
      </c>
      <c r="S531">
        <v>97</v>
      </c>
      <c r="T531">
        <v>0</v>
      </c>
      <c r="U531" s="3">
        <v>0</v>
      </c>
      <c r="V531" s="3">
        <v>0</v>
      </c>
      <c r="W531">
        <v>0</v>
      </c>
      <c r="X531" s="3">
        <v>0</v>
      </c>
      <c r="Y531">
        <v>0</v>
      </c>
      <c r="Z531" s="3">
        <v>0</v>
      </c>
      <c r="AA531" t="s">
        <v>223</v>
      </c>
      <c r="AB531" s="3">
        <v>335</v>
      </c>
      <c r="AC531">
        <v>512.44</v>
      </c>
      <c r="AD531" t="s">
        <v>49</v>
      </c>
      <c r="AE531">
        <v>0</v>
      </c>
      <c r="AF531" s="3">
        <v>0</v>
      </c>
      <c r="AG531" t="s">
        <v>49</v>
      </c>
      <c r="AH531">
        <v>0</v>
      </c>
      <c r="AI531" t="s">
        <v>49</v>
      </c>
      <c r="AJ531">
        <v>282.76</v>
      </c>
      <c r="AK531" t="s">
        <v>49</v>
      </c>
      <c r="AL531">
        <v>0</v>
      </c>
      <c r="AM531" t="s">
        <v>49</v>
      </c>
      <c r="AN531" s="3">
        <v>8</v>
      </c>
      <c r="AO531" s="19">
        <v>0</v>
      </c>
      <c r="AP531" s="19">
        <v>0</v>
      </c>
      <c r="AQ531" s="19">
        <v>0.4286</v>
      </c>
      <c r="AR531" s="19">
        <v>0.1429</v>
      </c>
      <c r="AS531" s="19">
        <v>0</v>
      </c>
      <c r="AT531" s="19">
        <v>0</v>
      </c>
      <c r="AU531" s="3">
        <v>0</v>
      </c>
      <c r="AV531" s="3">
        <v>0</v>
      </c>
      <c r="AW531" s="19">
        <v>0</v>
      </c>
      <c r="AX531" s="3">
        <v>0</v>
      </c>
      <c r="AY531" s="3">
        <v>0</v>
      </c>
    </row>
    <row r="532" spans="1:51">
      <c r="A532" s="3">
        <v>15869895</v>
      </c>
      <c r="B532" t="s">
        <v>876</v>
      </c>
      <c r="C532" s="3">
        <v>124301080</v>
      </c>
      <c r="D532" t="s">
        <v>44</v>
      </c>
      <c r="E532" t="s">
        <v>141</v>
      </c>
      <c r="F532" t="s">
        <v>46</v>
      </c>
      <c r="G532" t="s">
        <v>47</v>
      </c>
      <c r="H532" s="16">
        <v>0</v>
      </c>
      <c r="I532" s="4">
        <f>VLOOKUP(C532,[1]sheet1!$D:$I,6,0)</f>
        <v>0</v>
      </c>
      <c r="J532" s="4">
        <f>VLOOKUP(C532,[2]sheet1!$D:$I,6,0)</f>
        <v>0</v>
      </c>
      <c r="K532" s="4">
        <f>VLOOKUP(C532,[3]sheet1!$D:$I,6,0)</f>
        <v>0</v>
      </c>
      <c r="L532" s="4">
        <f>VLOOKUP(C532,[4]sheet1!$D:$I,6,0)</f>
        <v>0</v>
      </c>
      <c r="M532" s="4">
        <f>VLOOKUP(C532,[5]sheet1!$D:$I,6,0)</f>
        <v>0</v>
      </c>
      <c r="N532" s="4">
        <f>VLOOKUP(C532,[6]sheet1!$D:$I,6,0)</f>
        <v>0</v>
      </c>
      <c r="O532" s="4">
        <f>VLOOKUP(C532,[7]sheet1!$D:$I,6,0)</f>
        <v>0</v>
      </c>
      <c r="P532" s="4">
        <f>VLOOKUP(C532,[8]sheet1!$D:$I,6,0)</f>
        <v>0</v>
      </c>
      <c r="Q532" s="4">
        <f t="shared" si="8"/>
        <v>0</v>
      </c>
      <c r="R532" s="3">
        <v>0</v>
      </c>
      <c r="S532">
        <v>104</v>
      </c>
      <c r="T532">
        <v>0</v>
      </c>
      <c r="U532" s="3">
        <v>0</v>
      </c>
      <c r="V532" s="3">
        <v>0</v>
      </c>
      <c r="W532">
        <v>0</v>
      </c>
      <c r="X532" s="3">
        <v>0</v>
      </c>
      <c r="Y532">
        <v>0</v>
      </c>
      <c r="Z532" s="3">
        <v>0</v>
      </c>
      <c r="AA532" t="s">
        <v>603</v>
      </c>
      <c r="AB532" s="3">
        <v>837</v>
      </c>
      <c r="AC532">
        <v>770.74</v>
      </c>
      <c r="AD532" t="s">
        <v>49</v>
      </c>
      <c r="AE532">
        <v>0</v>
      </c>
      <c r="AF532" s="3">
        <v>0</v>
      </c>
      <c r="AG532" t="s">
        <v>49</v>
      </c>
      <c r="AH532">
        <v>0</v>
      </c>
      <c r="AI532" t="s">
        <v>49</v>
      </c>
      <c r="AJ532">
        <v>716.8</v>
      </c>
      <c r="AK532" t="s">
        <v>49</v>
      </c>
      <c r="AL532">
        <v>0</v>
      </c>
      <c r="AM532" t="s">
        <v>49</v>
      </c>
      <c r="AN532" s="3">
        <v>11</v>
      </c>
      <c r="AO532" s="19">
        <v>0</v>
      </c>
      <c r="AP532" s="19">
        <v>0</v>
      </c>
      <c r="AQ532" s="19">
        <v>0.5</v>
      </c>
      <c r="AR532" s="19">
        <v>0.625</v>
      </c>
      <c r="AS532" s="19">
        <v>0</v>
      </c>
      <c r="AT532" s="19">
        <v>0</v>
      </c>
      <c r="AU532" s="3">
        <v>0</v>
      </c>
      <c r="AV532" s="3">
        <v>0</v>
      </c>
      <c r="AW532" s="19">
        <v>0</v>
      </c>
      <c r="AX532" s="3">
        <v>0</v>
      </c>
      <c r="AY532" s="3">
        <v>0</v>
      </c>
    </row>
    <row r="533" spans="1:51">
      <c r="A533" s="3">
        <v>15856887</v>
      </c>
      <c r="B533" t="s">
        <v>877</v>
      </c>
      <c r="C533" t="s">
        <v>878</v>
      </c>
      <c r="D533" t="s">
        <v>44</v>
      </c>
      <c r="E533" t="s">
        <v>138</v>
      </c>
      <c r="F533" t="s">
        <v>46</v>
      </c>
      <c r="G533" t="s">
        <v>47</v>
      </c>
      <c r="H533" s="16">
        <v>0</v>
      </c>
      <c r="I533" s="4">
        <f>VLOOKUP(C533,[1]sheet1!$D:$I,6,0)</f>
        <v>0</v>
      </c>
      <c r="J533" s="4">
        <f>VLOOKUP(C533,[2]sheet1!$D:$I,6,0)</f>
        <v>0</v>
      </c>
      <c r="K533" s="4">
        <f>VLOOKUP(C533,[3]sheet1!$D:$I,6,0)</f>
        <v>0</v>
      </c>
      <c r="L533" s="4">
        <f>VLOOKUP(C533,[4]sheet1!$D:$I,6,0)</f>
        <v>0</v>
      </c>
      <c r="M533" s="4">
        <f>VLOOKUP(C533,[5]sheet1!$D:$I,6,0)</f>
        <v>0</v>
      </c>
      <c r="N533" s="4">
        <f>VLOOKUP(C533,[6]sheet1!$D:$I,6,0)</f>
        <v>0</v>
      </c>
      <c r="O533" s="4">
        <f>VLOOKUP(C533,[7]sheet1!$D:$I,6,0)</f>
        <v>0</v>
      </c>
      <c r="P533" s="4">
        <f>VLOOKUP(C533,[8]sheet1!$D:$I,6,0)</f>
        <v>0</v>
      </c>
      <c r="Q533" s="15">
        <f t="shared" si="8"/>
        <v>0</v>
      </c>
      <c r="R533" s="3">
        <v>0</v>
      </c>
      <c r="S533">
        <v>64</v>
      </c>
      <c r="T533">
        <v>0</v>
      </c>
      <c r="U533" s="3">
        <v>0</v>
      </c>
      <c r="V533" s="3">
        <v>0</v>
      </c>
      <c r="W533">
        <v>0</v>
      </c>
      <c r="X533" s="3">
        <v>0</v>
      </c>
      <c r="Y533">
        <v>0</v>
      </c>
      <c r="Z533" s="3">
        <v>0</v>
      </c>
      <c r="AA533" t="s">
        <v>420</v>
      </c>
      <c r="AB533" s="3">
        <v>539</v>
      </c>
      <c r="AC533">
        <v>491.54</v>
      </c>
      <c r="AD533" t="s">
        <v>49</v>
      </c>
      <c r="AE533">
        <v>0</v>
      </c>
      <c r="AF533" s="3">
        <v>0</v>
      </c>
      <c r="AG533" t="s">
        <v>49</v>
      </c>
      <c r="AH533">
        <v>0</v>
      </c>
      <c r="AI533" t="s">
        <v>49</v>
      </c>
      <c r="AJ533">
        <v>456.74</v>
      </c>
      <c r="AK533" t="s">
        <v>49</v>
      </c>
      <c r="AL533">
        <v>0</v>
      </c>
      <c r="AM533" t="s">
        <v>49</v>
      </c>
      <c r="AN533" s="3">
        <v>7</v>
      </c>
      <c r="AO533" s="19">
        <v>0</v>
      </c>
      <c r="AP533" s="19">
        <v>0</v>
      </c>
      <c r="AQ533" s="19">
        <v>0.6667</v>
      </c>
      <c r="AR533" s="19">
        <v>0.6667</v>
      </c>
      <c r="AS533" s="19">
        <v>0</v>
      </c>
      <c r="AT533" s="19">
        <v>0</v>
      </c>
      <c r="AU533" s="3">
        <v>0</v>
      </c>
      <c r="AV533" s="3">
        <v>0</v>
      </c>
      <c r="AW533" s="19">
        <v>0</v>
      </c>
      <c r="AX533" s="3">
        <v>0</v>
      </c>
      <c r="AY533" s="3">
        <v>0</v>
      </c>
    </row>
    <row r="534" spans="1:51">
      <c r="A534" s="3">
        <v>15855924</v>
      </c>
      <c r="B534" t="s">
        <v>879</v>
      </c>
      <c r="C534" s="3">
        <v>124311234</v>
      </c>
      <c r="D534" t="s">
        <v>44</v>
      </c>
      <c r="E534" t="s">
        <v>198</v>
      </c>
      <c r="F534" t="s">
        <v>46</v>
      </c>
      <c r="G534" t="s">
        <v>47</v>
      </c>
      <c r="H534" s="16">
        <v>0</v>
      </c>
      <c r="I534" s="4">
        <f>VLOOKUP(C534,[1]sheet1!$D:$I,6,0)</f>
        <v>0</v>
      </c>
      <c r="J534" s="4">
        <f>VLOOKUP(C534,[2]sheet1!$D:$I,6,0)</f>
        <v>272</v>
      </c>
      <c r="K534" s="4">
        <f>VLOOKUP(C534,[3]sheet1!$D:$I,6,0)</f>
        <v>0</v>
      </c>
      <c r="L534" s="4">
        <f>VLOOKUP(C534,[4]sheet1!$D:$I,6,0)</f>
        <v>272</v>
      </c>
      <c r="M534" s="4">
        <f>VLOOKUP(C534,[5]sheet1!$D:$I,6,0)</f>
        <v>0</v>
      </c>
      <c r="N534" s="4">
        <f>VLOOKUP(C534,[6]sheet1!$D:$I,6,0)</f>
        <v>0</v>
      </c>
      <c r="O534" s="4">
        <f>VLOOKUP(C534,[7]sheet1!$D:$I,6,0)</f>
        <v>0</v>
      </c>
      <c r="P534" s="4">
        <f>VLOOKUP(C534,[8]sheet1!$D:$I,6,0)</f>
        <v>254</v>
      </c>
      <c r="Q534" s="4">
        <f t="shared" si="8"/>
        <v>798</v>
      </c>
      <c r="R534" s="3">
        <v>0</v>
      </c>
      <c r="S534">
        <v>110</v>
      </c>
      <c r="T534">
        <v>0</v>
      </c>
      <c r="U534" s="3">
        <v>3</v>
      </c>
      <c r="V534" s="3">
        <v>0</v>
      </c>
      <c r="W534">
        <v>0</v>
      </c>
      <c r="X534" s="3">
        <v>0</v>
      </c>
      <c r="Y534">
        <v>0</v>
      </c>
      <c r="Z534" s="3">
        <v>0</v>
      </c>
      <c r="AA534" t="s">
        <v>175</v>
      </c>
      <c r="AB534" s="3">
        <v>290</v>
      </c>
      <c r="AC534">
        <v>242.61</v>
      </c>
      <c r="AD534" t="s">
        <v>49</v>
      </c>
      <c r="AE534">
        <v>0</v>
      </c>
      <c r="AF534" s="3">
        <v>0</v>
      </c>
      <c r="AG534" t="s">
        <v>49</v>
      </c>
      <c r="AH534">
        <v>0</v>
      </c>
      <c r="AI534" t="s">
        <v>49</v>
      </c>
      <c r="AJ534" t="s">
        <v>49</v>
      </c>
      <c r="AK534" t="s">
        <v>49</v>
      </c>
      <c r="AL534" t="s">
        <v>49</v>
      </c>
      <c r="AM534" t="s">
        <v>49</v>
      </c>
      <c r="AN534" s="3">
        <v>13</v>
      </c>
      <c r="AO534" s="19">
        <v>0</v>
      </c>
      <c r="AP534" s="19">
        <v>0</v>
      </c>
      <c r="AQ534" s="19">
        <v>0.7778</v>
      </c>
      <c r="AR534" s="19">
        <v>0.6667</v>
      </c>
      <c r="AS534" s="19">
        <v>1</v>
      </c>
      <c r="AT534" s="19">
        <v>1</v>
      </c>
      <c r="AU534" s="3">
        <v>0</v>
      </c>
      <c r="AV534" s="3">
        <v>0</v>
      </c>
      <c r="AW534" s="19">
        <v>0</v>
      </c>
      <c r="AX534" s="3">
        <v>0</v>
      </c>
      <c r="AY534" s="3">
        <v>0</v>
      </c>
    </row>
    <row r="535" spans="1:51">
      <c r="A535" s="3">
        <v>15851242</v>
      </c>
      <c r="B535" t="s">
        <v>880</v>
      </c>
      <c r="C535" s="3">
        <v>124408246</v>
      </c>
      <c r="D535" t="s">
        <v>44</v>
      </c>
      <c r="E535" t="s">
        <v>258</v>
      </c>
      <c r="F535" t="s">
        <v>46</v>
      </c>
      <c r="G535" t="s">
        <v>47</v>
      </c>
      <c r="H535" s="16">
        <v>0</v>
      </c>
      <c r="I535" s="4">
        <f>VLOOKUP(C535,[1]sheet1!$D:$I,6,0)</f>
        <v>0</v>
      </c>
      <c r="J535" s="4">
        <f>VLOOKUP(C535,[2]sheet1!$D:$I,6,0)</f>
        <v>0</v>
      </c>
      <c r="K535" s="4">
        <f>VLOOKUP(C535,[3]sheet1!$D:$I,6,0)</f>
        <v>0</v>
      </c>
      <c r="L535" s="4">
        <f>VLOOKUP(C535,[4]sheet1!$D:$I,6,0)</f>
        <v>0</v>
      </c>
      <c r="M535" s="4">
        <f>VLOOKUP(C535,[5]sheet1!$D:$I,6,0)</f>
        <v>0</v>
      </c>
      <c r="N535" s="4">
        <f>VLOOKUP(C535,[6]sheet1!$D:$I,6,0)</f>
        <v>0</v>
      </c>
      <c r="O535" s="4">
        <f>VLOOKUP(C535,[7]sheet1!$D:$I,6,0)</f>
        <v>0</v>
      </c>
      <c r="P535" s="4">
        <f>VLOOKUP(C535,[8]sheet1!$D:$I,6,0)</f>
        <v>0</v>
      </c>
      <c r="Q535" s="4">
        <f t="shared" si="8"/>
        <v>0</v>
      </c>
      <c r="R535" s="3">
        <v>0</v>
      </c>
      <c r="S535">
        <v>201</v>
      </c>
      <c r="T535">
        <v>0</v>
      </c>
      <c r="U535" s="3">
        <v>1</v>
      </c>
      <c r="V535" s="3">
        <v>0</v>
      </c>
      <c r="W535">
        <v>0</v>
      </c>
      <c r="X535" s="3">
        <v>0</v>
      </c>
      <c r="Y535">
        <v>0</v>
      </c>
      <c r="Z535" s="3">
        <v>0</v>
      </c>
      <c r="AA535" t="s">
        <v>881</v>
      </c>
      <c r="AB535" s="3">
        <v>1279</v>
      </c>
      <c r="AC535">
        <v>1424.01</v>
      </c>
      <c r="AD535" t="s">
        <v>49</v>
      </c>
      <c r="AE535">
        <v>0</v>
      </c>
      <c r="AF535" s="3">
        <v>0</v>
      </c>
      <c r="AG535" t="s">
        <v>49</v>
      </c>
      <c r="AH535">
        <v>0</v>
      </c>
      <c r="AI535" t="s">
        <v>49</v>
      </c>
      <c r="AJ535">
        <v>1101.24</v>
      </c>
      <c r="AK535" t="s">
        <v>49</v>
      </c>
      <c r="AL535">
        <v>0</v>
      </c>
      <c r="AM535" t="s">
        <v>49</v>
      </c>
      <c r="AN535" s="3">
        <v>38</v>
      </c>
      <c r="AO535" s="19">
        <v>0</v>
      </c>
      <c r="AP535" s="19">
        <v>0</v>
      </c>
      <c r="AQ535" s="19">
        <v>0.9</v>
      </c>
      <c r="AR535" s="19">
        <v>0.3667</v>
      </c>
      <c r="AS535" s="19">
        <v>1</v>
      </c>
      <c r="AT535" s="19">
        <v>0</v>
      </c>
      <c r="AU535" s="3">
        <v>0</v>
      </c>
      <c r="AV535" s="3">
        <v>0</v>
      </c>
      <c r="AW535" s="19">
        <v>0</v>
      </c>
      <c r="AX535" s="3">
        <v>0</v>
      </c>
      <c r="AY535" s="3">
        <v>0</v>
      </c>
    </row>
    <row r="536" spans="1:51">
      <c r="A536" s="3">
        <v>15847052</v>
      </c>
      <c r="B536" t="s">
        <v>882</v>
      </c>
      <c r="C536" t="s">
        <v>883</v>
      </c>
      <c r="D536" t="s">
        <v>44</v>
      </c>
      <c r="E536" t="s">
        <v>104</v>
      </c>
      <c r="F536" t="s">
        <v>46</v>
      </c>
      <c r="G536" t="s">
        <v>47</v>
      </c>
      <c r="H536" s="16">
        <v>0</v>
      </c>
      <c r="I536" s="4">
        <f>VLOOKUP(C536,[1]sheet1!$D:$I,6,0)</f>
        <v>0</v>
      </c>
      <c r="J536" s="4">
        <f>VLOOKUP(C536,[2]sheet1!$D:$I,6,0)</f>
        <v>0</v>
      </c>
      <c r="K536" s="4">
        <f>VLOOKUP(C536,[3]sheet1!$D:$I,6,0)</f>
        <v>0</v>
      </c>
      <c r="L536" s="4">
        <f>VLOOKUP(C536,[4]sheet1!$D:$I,6,0)</f>
        <v>0</v>
      </c>
      <c r="M536" s="4">
        <f>VLOOKUP(C536,[5]sheet1!$D:$I,6,0)</f>
        <v>0</v>
      </c>
      <c r="N536" s="4">
        <f>VLOOKUP(C536,[6]sheet1!$D:$I,6,0)</f>
        <v>0</v>
      </c>
      <c r="O536" s="4">
        <f>VLOOKUP(C536,[7]sheet1!$D:$I,6,0)</f>
        <v>0</v>
      </c>
      <c r="P536" s="4">
        <f>VLOOKUP(C536,[8]sheet1!$D:$I,6,0)</f>
        <v>0</v>
      </c>
      <c r="Q536" s="4">
        <f t="shared" si="8"/>
        <v>0</v>
      </c>
      <c r="R536" s="3">
        <v>0</v>
      </c>
      <c r="S536">
        <v>74</v>
      </c>
      <c r="T536">
        <v>0</v>
      </c>
      <c r="U536" s="3">
        <v>1</v>
      </c>
      <c r="V536" s="3">
        <v>0</v>
      </c>
      <c r="W536">
        <v>0</v>
      </c>
      <c r="X536" s="3">
        <v>0</v>
      </c>
      <c r="Y536">
        <v>0</v>
      </c>
      <c r="Z536" s="3">
        <v>0</v>
      </c>
      <c r="AA536" t="s">
        <v>884</v>
      </c>
      <c r="AB536" s="3">
        <v>1290</v>
      </c>
      <c r="AC536">
        <v>1112.69</v>
      </c>
      <c r="AD536" t="s">
        <v>49</v>
      </c>
      <c r="AE536">
        <v>0</v>
      </c>
      <c r="AF536" s="3">
        <v>0</v>
      </c>
      <c r="AG536" t="s">
        <v>49</v>
      </c>
      <c r="AH536">
        <v>0</v>
      </c>
      <c r="AI536" t="s">
        <v>49</v>
      </c>
      <c r="AJ536" t="s">
        <v>49</v>
      </c>
      <c r="AK536" t="s">
        <v>49</v>
      </c>
      <c r="AL536" t="s">
        <v>49</v>
      </c>
      <c r="AM536" t="s">
        <v>49</v>
      </c>
      <c r="AN536">
        <v>74</v>
      </c>
      <c r="AO536" s="19">
        <v>0</v>
      </c>
      <c r="AP536" s="19">
        <v>0</v>
      </c>
      <c r="AQ536" s="19">
        <v>0.75</v>
      </c>
      <c r="AR536" s="19">
        <v>0.25</v>
      </c>
      <c r="AS536" s="19">
        <v>1</v>
      </c>
      <c r="AT536" s="19">
        <v>1</v>
      </c>
      <c r="AU536" s="3">
        <v>0</v>
      </c>
      <c r="AV536" s="3">
        <v>0</v>
      </c>
      <c r="AW536" s="19">
        <v>0</v>
      </c>
      <c r="AX536" s="3">
        <v>0</v>
      </c>
      <c r="AY536" s="3">
        <v>0</v>
      </c>
    </row>
    <row r="537" spans="1:51">
      <c r="A537" s="3">
        <v>15827251</v>
      </c>
      <c r="B537" t="s">
        <v>885</v>
      </c>
      <c r="C537" s="3">
        <v>114408249</v>
      </c>
      <c r="D537" t="s">
        <v>44</v>
      </c>
      <c r="E537" t="s">
        <v>365</v>
      </c>
      <c r="F537" t="s">
        <v>46</v>
      </c>
      <c r="G537" t="s">
        <v>47</v>
      </c>
      <c r="H537" s="16">
        <v>0</v>
      </c>
      <c r="I537" s="4">
        <f>VLOOKUP(C537,[1]sheet1!$D:$I,6,0)</f>
        <v>0</v>
      </c>
      <c r="J537" s="4">
        <f>VLOOKUP(C537,[2]sheet1!$D:$I,6,0)</f>
        <v>0</v>
      </c>
      <c r="K537" s="4">
        <f>VLOOKUP(C537,[3]sheet1!$D:$I,6,0)</f>
        <v>0</v>
      </c>
      <c r="L537" s="4">
        <f>VLOOKUP(C537,[4]sheet1!$D:$I,6,0)</f>
        <v>0</v>
      </c>
      <c r="M537" s="4">
        <f>VLOOKUP(C537,[5]sheet1!$D:$I,6,0)</f>
        <v>0</v>
      </c>
      <c r="N537" s="4">
        <f>VLOOKUP(C537,[6]sheet1!$D:$I,6,0)</f>
        <v>0</v>
      </c>
      <c r="O537" s="4">
        <f>VLOOKUP(C537,[7]sheet1!$D:$I,6,0)</f>
        <v>0</v>
      </c>
      <c r="P537" s="4">
        <f>VLOOKUP(C537,[8]sheet1!$D:$I,6,0)</f>
        <v>0</v>
      </c>
      <c r="Q537" s="4">
        <f t="shared" si="8"/>
        <v>0</v>
      </c>
      <c r="R537" s="3">
        <v>0</v>
      </c>
      <c r="S537">
        <v>176</v>
      </c>
      <c r="T537">
        <v>0</v>
      </c>
      <c r="U537" s="3">
        <v>0</v>
      </c>
      <c r="V537" s="3">
        <v>0</v>
      </c>
      <c r="W537">
        <v>0</v>
      </c>
      <c r="X537" s="3">
        <v>0</v>
      </c>
      <c r="Y537">
        <v>0</v>
      </c>
      <c r="Z537" s="3">
        <v>0</v>
      </c>
      <c r="AA537" t="s">
        <v>816</v>
      </c>
      <c r="AB537" s="3">
        <v>850</v>
      </c>
      <c r="AC537">
        <v>729.39</v>
      </c>
      <c r="AD537" t="s">
        <v>49</v>
      </c>
      <c r="AE537">
        <v>0</v>
      </c>
      <c r="AF537" s="3">
        <v>0</v>
      </c>
      <c r="AG537" t="s">
        <v>49</v>
      </c>
      <c r="AH537">
        <v>0</v>
      </c>
      <c r="AI537" t="s">
        <v>49</v>
      </c>
      <c r="AJ537" t="s">
        <v>49</v>
      </c>
      <c r="AK537" t="s">
        <v>49</v>
      </c>
      <c r="AL537" t="s">
        <v>49</v>
      </c>
      <c r="AM537" t="s">
        <v>49</v>
      </c>
      <c r="AN537">
        <v>191</v>
      </c>
      <c r="AO537" s="19">
        <v>0</v>
      </c>
      <c r="AP537" s="19">
        <v>0</v>
      </c>
      <c r="AQ537" s="19">
        <v>0.8261</v>
      </c>
      <c r="AR537" s="19">
        <v>0.5217</v>
      </c>
      <c r="AS537" s="19">
        <v>0</v>
      </c>
      <c r="AT537" s="19">
        <v>0</v>
      </c>
      <c r="AU537" s="3">
        <v>0</v>
      </c>
      <c r="AV537" s="3">
        <v>0</v>
      </c>
      <c r="AW537" s="19">
        <v>0</v>
      </c>
      <c r="AX537" s="3">
        <v>0</v>
      </c>
      <c r="AY537" s="3">
        <v>0</v>
      </c>
    </row>
    <row r="538" spans="1:51">
      <c r="A538" s="3">
        <v>15825027</v>
      </c>
      <c r="B538" t="s">
        <v>886</v>
      </c>
      <c r="C538" t="s">
        <v>887</v>
      </c>
      <c r="D538" t="s">
        <v>44</v>
      </c>
      <c r="E538" t="s">
        <v>100</v>
      </c>
      <c r="F538" t="s">
        <v>65</v>
      </c>
      <c r="G538" t="s">
        <v>47</v>
      </c>
      <c r="H538" s="16">
        <v>0</v>
      </c>
      <c r="I538" s="4">
        <f>VLOOKUP(C538,[1]sheet1!$D:$I,6,0)</f>
        <v>0</v>
      </c>
      <c r="J538" s="4">
        <f>VLOOKUP(C538,[2]sheet1!$D:$I,6,0)</f>
        <v>0</v>
      </c>
      <c r="K538" s="4">
        <f>VLOOKUP(C538,[3]sheet1!$D:$I,6,0)</f>
        <v>790</v>
      </c>
      <c r="L538" s="4">
        <f>VLOOKUP(C538,[4]sheet1!$D:$I,6,0)</f>
        <v>0</v>
      </c>
      <c r="M538" s="4">
        <f>VLOOKUP(C538,[5]sheet1!$D:$I,6,0)</f>
        <v>0</v>
      </c>
      <c r="N538" s="4">
        <f>VLOOKUP(C538,[6]sheet1!$D:$I,6,0)</f>
        <v>0</v>
      </c>
      <c r="O538" s="4">
        <f>VLOOKUP(C538,[7]sheet1!$D:$I,6,0)</f>
        <v>0</v>
      </c>
      <c r="P538" s="4">
        <f>VLOOKUP(C538,[8]sheet1!$D:$I,6,0)</f>
        <v>0</v>
      </c>
      <c r="Q538" s="4">
        <f t="shared" si="8"/>
        <v>790</v>
      </c>
      <c r="R538" s="3">
        <v>0</v>
      </c>
      <c r="S538" s="3">
        <v>28</v>
      </c>
      <c r="T538" s="19">
        <v>0</v>
      </c>
      <c r="U538" s="3">
        <v>2</v>
      </c>
      <c r="V538" s="3">
        <v>0</v>
      </c>
      <c r="W538">
        <v>0</v>
      </c>
      <c r="X538" s="3">
        <v>0</v>
      </c>
      <c r="Y538">
        <v>0</v>
      </c>
      <c r="Z538" s="3">
        <v>0</v>
      </c>
      <c r="AA538" t="s">
        <v>49</v>
      </c>
      <c r="AB538" t="s">
        <v>49</v>
      </c>
      <c r="AC538" t="s">
        <v>49</v>
      </c>
      <c r="AD538" t="s">
        <v>49</v>
      </c>
      <c r="AE538">
        <v>0</v>
      </c>
      <c r="AF538" s="3">
        <v>0</v>
      </c>
      <c r="AG538" t="s">
        <v>49</v>
      </c>
      <c r="AH538" t="s">
        <v>49</v>
      </c>
      <c r="AI538" t="s">
        <v>49</v>
      </c>
      <c r="AJ538" t="s">
        <v>49</v>
      </c>
      <c r="AK538" t="s">
        <v>49</v>
      </c>
      <c r="AL538" t="s">
        <v>49</v>
      </c>
      <c r="AM538" t="s">
        <v>49</v>
      </c>
      <c r="AN538" s="3">
        <v>36</v>
      </c>
      <c r="AO538" s="19">
        <v>0</v>
      </c>
      <c r="AP538" s="19">
        <v>0</v>
      </c>
      <c r="AQ538" s="19">
        <v>0.8571</v>
      </c>
      <c r="AR538" s="19">
        <v>0.4643</v>
      </c>
      <c r="AS538" s="19">
        <v>1</v>
      </c>
      <c r="AT538" s="19">
        <v>1</v>
      </c>
      <c r="AU538" s="3">
        <v>0</v>
      </c>
      <c r="AV538" s="3">
        <v>0</v>
      </c>
      <c r="AW538" s="19">
        <v>0</v>
      </c>
      <c r="AX538" s="3">
        <v>0</v>
      </c>
      <c r="AY538" s="3">
        <v>0</v>
      </c>
    </row>
    <row r="539" spans="1:51">
      <c r="A539" s="3">
        <v>15793023</v>
      </c>
      <c r="B539" t="s">
        <v>888</v>
      </c>
      <c r="C539" s="3">
        <v>124318426</v>
      </c>
      <c r="D539" t="s">
        <v>44</v>
      </c>
      <c r="E539" t="s">
        <v>114</v>
      </c>
      <c r="F539" t="s">
        <v>65</v>
      </c>
      <c r="G539" t="s">
        <v>356</v>
      </c>
      <c r="H539" s="16">
        <v>0</v>
      </c>
      <c r="I539" s="4">
        <f>VLOOKUP(C539,[1]sheet1!$D:$I,6,0)</f>
        <v>0</v>
      </c>
      <c r="J539" s="4">
        <f>VLOOKUP(C539,[2]sheet1!$D:$I,6,0)</f>
        <v>0</v>
      </c>
      <c r="K539" s="4">
        <f>VLOOKUP(C539,[3]sheet1!$D:$I,6,0)</f>
        <v>0</v>
      </c>
      <c r="L539" s="4">
        <f>VLOOKUP(C539,[4]sheet1!$D:$I,6,0)</f>
        <v>0</v>
      </c>
      <c r="M539" s="4">
        <f>VLOOKUP(C539,[5]sheet1!$D:$I,6,0)</f>
        <v>0</v>
      </c>
      <c r="N539" s="4">
        <f>VLOOKUP(C539,[6]sheet1!$D:$I,6,0)</f>
        <v>0</v>
      </c>
      <c r="O539" s="4">
        <f>VLOOKUP(C539,[7]sheet1!$D:$I,6,0)</f>
        <v>0</v>
      </c>
      <c r="P539" s="4">
        <f>VLOOKUP(C539,[8]sheet1!$D:$I,6,0)</f>
        <v>0</v>
      </c>
      <c r="Q539" s="4">
        <f t="shared" si="8"/>
        <v>0</v>
      </c>
      <c r="R539" s="3">
        <v>0</v>
      </c>
      <c r="S539" s="3">
        <v>1</v>
      </c>
      <c r="T539" s="19">
        <v>0</v>
      </c>
      <c r="U539" s="3">
        <v>0</v>
      </c>
      <c r="V539" s="3">
        <v>0</v>
      </c>
      <c r="W539">
        <v>0</v>
      </c>
      <c r="X539" s="3">
        <v>0</v>
      </c>
      <c r="Y539">
        <v>0</v>
      </c>
      <c r="Z539" s="3">
        <v>0</v>
      </c>
      <c r="AA539" t="s">
        <v>49</v>
      </c>
      <c r="AB539" t="s">
        <v>49</v>
      </c>
      <c r="AC539" t="s">
        <v>49</v>
      </c>
      <c r="AD539" t="s">
        <v>49</v>
      </c>
      <c r="AE539">
        <v>0</v>
      </c>
      <c r="AF539" s="3">
        <v>0</v>
      </c>
      <c r="AG539" t="s">
        <v>49</v>
      </c>
      <c r="AH539" t="s">
        <v>49</v>
      </c>
      <c r="AI539" t="s">
        <v>49</v>
      </c>
      <c r="AJ539" t="s">
        <v>49</v>
      </c>
      <c r="AK539" t="s">
        <v>49</v>
      </c>
      <c r="AL539" t="s">
        <v>49</v>
      </c>
      <c r="AM539" t="s">
        <v>49</v>
      </c>
      <c r="AN539" s="3">
        <v>1</v>
      </c>
      <c r="AO539" s="19">
        <v>0</v>
      </c>
      <c r="AP539" s="19">
        <v>0</v>
      </c>
      <c r="AQ539" s="19">
        <v>0</v>
      </c>
      <c r="AR539" s="19">
        <v>0</v>
      </c>
      <c r="AS539" s="19">
        <v>0</v>
      </c>
      <c r="AT539" s="19">
        <v>0</v>
      </c>
      <c r="AU539" s="3">
        <v>0</v>
      </c>
      <c r="AV539" s="3">
        <v>0</v>
      </c>
      <c r="AW539" s="19">
        <v>0</v>
      </c>
      <c r="AX539" s="3">
        <v>0</v>
      </c>
      <c r="AY539" s="3">
        <v>0</v>
      </c>
    </row>
    <row r="540" spans="1:51">
      <c r="A540" s="3">
        <v>15778480</v>
      </c>
      <c r="B540" t="s">
        <v>889</v>
      </c>
      <c r="C540" s="3">
        <v>124408244</v>
      </c>
      <c r="D540" t="s">
        <v>44</v>
      </c>
      <c r="E540" t="s">
        <v>365</v>
      </c>
      <c r="F540" t="s">
        <v>46</v>
      </c>
      <c r="G540" t="s">
        <v>47</v>
      </c>
      <c r="H540" s="16">
        <v>0</v>
      </c>
      <c r="I540" s="4">
        <f>VLOOKUP(C540,[1]sheet1!$D:$I,6,0)</f>
        <v>0</v>
      </c>
      <c r="J540" s="4">
        <f>VLOOKUP(C540,[2]sheet1!$D:$I,6,0)</f>
        <v>0</v>
      </c>
      <c r="K540" s="4">
        <f>VLOOKUP(C540,[3]sheet1!$D:$I,6,0)</f>
        <v>0</v>
      </c>
      <c r="L540" s="4">
        <f>VLOOKUP(C540,[4]sheet1!$D:$I,6,0)</f>
        <v>0</v>
      </c>
      <c r="M540" s="4">
        <f>VLOOKUP(C540,[5]sheet1!$D:$I,6,0)</f>
        <v>0</v>
      </c>
      <c r="N540" s="4">
        <f>VLOOKUP(C540,[6]sheet1!$D:$I,6,0)</f>
        <v>0</v>
      </c>
      <c r="O540" s="4">
        <f>VLOOKUP(C540,[7]sheet1!$D:$I,6,0)</f>
        <v>0</v>
      </c>
      <c r="P540" s="4">
        <f>VLOOKUP(C540,[8]sheet1!$D:$I,6,0)</f>
        <v>0</v>
      </c>
      <c r="Q540" s="4">
        <f t="shared" si="8"/>
        <v>0</v>
      </c>
      <c r="R540" s="3">
        <v>0</v>
      </c>
      <c r="S540">
        <v>37</v>
      </c>
      <c r="T540">
        <v>0</v>
      </c>
      <c r="U540" s="3">
        <v>0</v>
      </c>
      <c r="V540" s="3">
        <v>0</v>
      </c>
      <c r="W540">
        <v>0</v>
      </c>
      <c r="X540" s="3">
        <v>0</v>
      </c>
      <c r="Y540">
        <v>0</v>
      </c>
      <c r="Z540" s="3">
        <v>0</v>
      </c>
      <c r="AA540" t="s">
        <v>261</v>
      </c>
      <c r="AB540" t="s">
        <v>49</v>
      </c>
      <c r="AC540">
        <v>329.19</v>
      </c>
      <c r="AD540" t="s">
        <v>49</v>
      </c>
      <c r="AE540">
        <v>0</v>
      </c>
      <c r="AF540" s="3">
        <v>0</v>
      </c>
      <c r="AG540" t="s">
        <v>49</v>
      </c>
      <c r="AH540">
        <v>0</v>
      </c>
      <c r="AI540" t="s">
        <v>49</v>
      </c>
      <c r="AJ540" t="s">
        <v>49</v>
      </c>
      <c r="AK540" t="s">
        <v>49</v>
      </c>
      <c r="AL540" t="s">
        <v>49</v>
      </c>
      <c r="AM540" t="s">
        <v>49</v>
      </c>
      <c r="AN540">
        <v>37</v>
      </c>
      <c r="AO540" s="19">
        <v>0</v>
      </c>
      <c r="AP540" s="19">
        <v>0</v>
      </c>
      <c r="AQ540" s="19">
        <v>1</v>
      </c>
      <c r="AR540" s="19">
        <v>1</v>
      </c>
      <c r="AS540" s="19">
        <v>0</v>
      </c>
      <c r="AT540" s="19">
        <v>0</v>
      </c>
      <c r="AU540" s="3">
        <v>0</v>
      </c>
      <c r="AV540" s="3">
        <v>0</v>
      </c>
      <c r="AW540" s="19">
        <v>0</v>
      </c>
      <c r="AX540" s="3">
        <v>0</v>
      </c>
      <c r="AY540" s="3">
        <v>0</v>
      </c>
    </row>
    <row r="541" spans="1:51">
      <c r="A541" s="3">
        <v>15769426</v>
      </c>
      <c r="B541" t="s">
        <v>890</v>
      </c>
      <c r="C541" s="3">
        <v>114306151</v>
      </c>
      <c r="D541" t="s">
        <v>44</v>
      </c>
      <c r="E541" t="s">
        <v>143</v>
      </c>
      <c r="F541" t="s">
        <v>46</v>
      </c>
      <c r="G541" t="s">
        <v>47</v>
      </c>
      <c r="H541" s="16">
        <v>0</v>
      </c>
      <c r="I541" s="4">
        <f>VLOOKUP(C541,[1]sheet1!$D:$I,6,0)</f>
        <v>0</v>
      </c>
      <c r="J541" s="4">
        <f>VLOOKUP(C541,[2]sheet1!$D:$I,6,0)</f>
        <v>632</v>
      </c>
      <c r="K541" s="4">
        <f>VLOOKUP(C541,[3]sheet1!$D:$I,6,0)</f>
        <v>0</v>
      </c>
      <c r="L541" s="4">
        <f>VLOOKUP(C541,[4]sheet1!$D:$I,6,0)</f>
        <v>0</v>
      </c>
      <c r="M541" s="4">
        <f>VLOOKUP(C541,[5]sheet1!$D:$I,6,0)</f>
        <v>0</v>
      </c>
      <c r="N541" s="4">
        <f>VLOOKUP(C541,[6]sheet1!$D:$I,6,0)</f>
        <v>0</v>
      </c>
      <c r="O541" s="4">
        <f>VLOOKUP(C541,[7]sheet1!$D:$I,6,0)</f>
        <v>0</v>
      </c>
      <c r="P541" s="4">
        <f>VLOOKUP(C541,[8]sheet1!$D:$I,6,0)</f>
        <v>574</v>
      </c>
      <c r="Q541" s="15">
        <f t="shared" si="8"/>
        <v>1206</v>
      </c>
      <c r="R541" s="3">
        <v>0</v>
      </c>
      <c r="S541">
        <v>138</v>
      </c>
      <c r="T541">
        <v>0</v>
      </c>
      <c r="U541" s="3">
        <v>0</v>
      </c>
      <c r="V541" s="3">
        <v>0</v>
      </c>
      <c r="W541">
        <v>0</v>
      </c>
      <c r="X541" s="3">
        <v>0</v>
      </c>
      <c r="Y541">
        <v>0</v>
      </c>
      <c r="Z541" s="3">
        <v>0</v>
      </c>
      <c r="AA541" t="s">
        <v>420</v>
      </c>
      <c r="AB541" s="3">
        <v>493</v>
      </c>
      <c r="AC541">
        <v>493.52</v>
      </c>
      <c r="AD541" t="s">
        <v>49</v>
      </c>
      <c r="AE541">
        <v>0</v>
      </c>
      <c r="AF541" s="3">
        <v>0</v>
      </c>
      <c r="AG541" t="s">
        <v>49</v>
      </c>
      <c r="AH541">
        <v>0</v>
      </c>
      <c r="AI541" t="s">
        <v>49</v>
      </c>
      <c r="AJ541">
        <v>418.7</v>
      </c>
      <c r="AK541" t="s">
        <v>49</v>
      </c>
      <c r="AL541">
        <v>0</v>
      </c>
      <c r="AM541" t="s">
        <v>49</v>
      </c>
      <c r="AN541" s="3">
        <v>16</v>
      </c>
      <c r="AO541" s="19">
        <v>0</v>
      </c>
      <c r="AP541" s="19">
        <v>0</v>
      </c>
      <c r="AQ541" s="19">
        <v>0.8571</v>
      </c>
      <c r="AR541" s="19">
        <v>0.2857</v>
      </c>
      <c r="AS541" s="19">
        <v>0</v>
      </c>
      <c r="AT541" s="19">
        <v>0</v>
      </c>
      <c r="AU541" s="3">
        <v>0</v>
      </c>
      <c r="AV541" s="3">
        <v>0</v>
      </c>
      <c r="AW541" s="19">
        <v>0</v>
      </c>
      <c r="AX541" s="3">
        <v>0</v>
      </c>
      <c r="AY541" s="3">
        <v>0</v>
      </c>
    </row>
    <row r="542" spans="1:51">
      <c r="A542" s="3">
        <v>15768311</v>
      </c>
      <c r="B542" t="s">
        <v>891</v>
      </c>
      <c r="C542" s="3">
        <v>124401042</v>
      </c>
      <c r="D542" t="s">
        <v>44</v>
      </c>
      <c r="E542" t="s">
        <v>141</v>
      </c>
      <c r="F542" t="s">
        <v>46</v>
      </c>
      <c r="G542" t="s">
        <v>47</v>
      </c>
      <c r="H542" s="16">
        <v>0</v>
      </c>
      <c r="I542" s="4">
        <f>VLOOKUP(C542,[1]sheet1!$D:$I,6,0)</f>
        <v>0</v>
      </c>
      <c r="J542" s="4">
        <f>VLOOKUP(C542,[2]sheet1!$D:$I,6,0)</f>
        <v>0</v>
      </c>
      <c r="K542" s="4">
        <f>VLOOKUP(C542,[3]sheet1!$D:$I,6,0)</f>
        <v>0</v>
      </c>
      <c r="L542" s="4">
        <f>VLOOKUP(C542,[4]sheet1!$D:$I,6,0)</f>
        <v>0</v>
      </c>
      <c r="M542" s="4">
        <f>VLOOKUP(C542,[5]sheet1!$D:$I,6,0)</f>
        <v>0</v>
      </c>
      <c r="N542" s="4">
        <f>VLOOKUP(C542,[6]sheet1!$D:$I,6,0)</f>
        <v>972</v>
      </c>
      <c r="O542" s="4">
        <f>VLOOKUP(C542,[7]sheet1!$D:$I,6,0)</f>
        <v>892</v>
      </c>
      <c r="P542" s="4">
        <f>VLOOKUP(C542,[8]sheet1!$D:$I,6,0)</f>
        <v>0</v>
      </c>
      <c r="Q542" s="4">
        <f t="shared" si="8"/>
        <v>1864</v>
      </c>
      <c r="R542" s="3">
        <v>0</v>
      </c>
      <c r="S542">
        <v>665</v>
      </c>
      <c r="T542">
        <v>0</v>
      </c>
      <c r="U542" s="3">
        <v>17</v>
      </c>
      <c r="V542" s="3">
        <v>0</v>
      </c>
      <c r="W542">
        <v>0</v>
      </c>
      <c r="X542" s="3">
        <v>0</v>
      </c>
      <c r="Y542">
        <v>0</v>
      </c>
      <c r="Z542" s="3">
        <v>0</v>
      </c>
      <c r="AA542" t="s">
        <v>892</v>
      </c>
      <c r="AB542" s="3">
        <v>682</v>
      </c>
      <c r="AC542">
        <v>823.81</v>
      </c>
      <c r="AD542" t="s">
        <v>49</v>
      </c>
      <c r="AE542">
        <v>0</v>
      </c>
      <c r="AF542" s="3">
        <v>0</v>
      </c>
      <c r="AG542" t="s">
        <v>49</v>
      </c>
      <c r="AH542">
        <v>0</v>
      </c>
      <c r="AI542" t="s">
        <v>49</v>
      </c>
      <c r="AJ542">
        <v>581.95</v>
      </c>
      <c r="AK542" t="s">
        <v>49</v>
      </c>
      <c r="AL542">
        <v>0</v>
      </c>
      <c r="AM542" t="s">
        <v>49</v>
      </c>
      <c r="AN542" s="3">
        <v>352</v>
      </c>
      <c r="AO542" s="19">
        <v>0</v>
      </c>
      <c r="AP542" s="19">
        <v>0</v>
      </c>
      <c r="AQ542" s="19">
        <v>0.9572</v>
      </c>
      <c r="AR542" s="19">
        <v>0.6269</v>
      </c>
      <c r="AS542" s="19">
        <v>0.9412</v>
      </c>
      <c r="AT542" s="19">
        <v>0.7059</v>
      </c>
      <c r="AU542" s="3">
        <v>0</v>
      </c>
      <c r="AV542" s="3">
        <v>0</v>
      </c>
      <c r="AW542" s="19">
        <v>0</v>
      </c>
      <c r="AX542" s="3">
        <v>0</v>
      </c>
      <c r="AY542" s="3">
        <v>0</v>
      </c>
    </row>
    <row r="543" spans="1:51">
      <c r="A543" s="3">
        <v>15766423</v>
      </c>
      <c r="B543" t="s">
        <v>893</v>
      </c>
      <c r="C543" s="3">
        <v>114401041</v>
      </c>
      <c r="D543" t="s">
        <v>44</v>
      </c>
      <c r="E543" t="s">
        <v>104</v>
      </c>
      <c r="F543" t="s">
        <v>46</v>
      </c>
      <c r="G543" t="s">
        <v>47</v>
      </c>
      <c r="H543" s="16">
        <v>0</v>
      </c>
      <c r="I543" s="4">
        <f>VLOOKUP(C543,[1]sheet1!$D:$I,6,0)</f>
        <v>910</v>
      </c>
      <c r="J543" s="4">
        <f>VLOOKUP(C543,[2]sheet1!$D:$I,6,0)</f>
        <v>4542</v>
      </c>
      <c r="K543" s="4">
        <f>VLOOKUP(C543,[3]sheet1!$D:$I,6,0)</f>
        <v>1830</v>
      </c>
      <c r="L543" s="4">
        <f>VLOOKUP(C543,[4]sheet1!$D:$I,6,0)</f>
        <v>910</v>
      </c>
      <c r="M543" s="4">
        <f>VLOOKUP(C543,[5]sheet1!$D:$I,6,0)</f>
        <v>0</v>
      </c>
      <c r="N543" s="4">
        <f>VLOOKUP(C543,[6]sheet1!$D:$I,6,0)</f>
        <v>0</v>
      </c>
      <c r="O543" s="4">
        <f>VLOOKUP(C543,[7]sheet1!$D:$I,6,0)</f>
        <v>2903</v>
      </c>
      <c r="P543" s="4">
        <f>VLOOKUP(C543,[8]sheet1!$D:$I,6,0)</f>
        <v>1781</v>
      </c>
      <c r="Q543" s="4">
        <f t="shared" si="8"/>
        <v>12876</v>
      </c>
      <c r="R543" s="3">
        <v>0</v>
      </c>
      <c r="S543">
        <v>508</v>
      </c>
      <c r="T543">
        <v>0</v>
      </c>
      <c r="U543" s="3">
        <v>10</v>
      </c>
      <c r="V543" s="3">
        <v>0</v>
      </c>
      <c r="W543">
        <v>0</v>
      </c>
      <c r="X543" s="3">
        <v>0</v>
      </c>
      <c r="Y543">
        <v>0</v>
      </c>
      <c r="Z543" s="3">
        <v>0</v>
      </c>
      <c r="AA543" t="s">
        <v>892</v>
      </c>
      <c r="AB543" s="3">
        <v>789</v>
      </c>
      <c r="AC543">
        <v>825.59</v>
      </c>
      <c r="AD543" t="s">
        <v>49</v>
      </c>
      <c r="AE543">
        <v>0</v>
      </c>
      <c r="AF543" s="3">
        <v>0</v>
      </c>
      <c r="AG543" t="s">
        <v>49</v>
      </c>
      <c r="AH543">
        <v>0</v>
      </c>
      <c r="AI543" t="s">
        <v>49</v>
      </c>
      <c r="AJ543">
        <v>676.82</v>
      </c>
      <c r="AK543" t="s">
        <v>49</v>
      </c>
      <c r="AL543">
        <v>0</v>
      </c>
      <c r="AM543" t="s">
        <v>49</v>
      </c>
      <c r="AN543" s="3">
        <v>254</v>
      </c>
      <c r="AO543" s="19">
        <v>0</v>
      </c>
      <c r="AP543" s="19">
        <v>0</v>
      </c>
      <c r="AQ543" s="19">
        <v>0.801</v>
      </c>
      <c r="AR543" s="19">
        <v>0.3927</v>
      </c>
      <c r="AS543" s="19">
        <v>0.4</v>
      </c>
      <c r="AT543" s="19">
        <v>0.4</v>
      </c>
      <c r="AU543" s="3">
        <v>0</v>
      </c>
      <c r="AV543" s="3">
        <v>0</v>
      </c>
      <c r="AW543" s="19">
        <v>0</v>
      </c>
      <c r="AX543" s="3">
        <v>0</v>
      </c>
      <c r="AY543" s="3">
        <v>0</v>
      </c>
    </row>
    <row r="544" spans="1:51">
      <c r="A544" s="3">
        <v>15761114</v>
      </c>
      <c r="B544" t="s">
        <v>894</v>
      </c>
      <c r="C544" t="s">
        <v>895</v>
      </c>
      <c r="D544" t="s">
        <v>44</v>
      </c>
      <c r="E544" t="s">
        <v>45</v>
      </c>
      <c r="F544" t="s">
        <v>65</v>
      </c>
      <c r="G544" t="s">
        <v>47</v>
      </c>
      <c r="H544" s="16">
        <v>0</v>
      </c>
      <c r="I544" s="4">
        <f>VLOOKUP(C544,[1]sheet1!$D:$I,6,0)</f>
        <v>0</v>
      </c>
      <c r="J544" s="4">
        <f>VLOOKUP(C544,[2]sheet1!$D:$I,6,0)</f>
        <v>0</v>
      </c>
      <c r="K544" s="4">
        <f>VLOOKUP(C544,[3]sheet1!$D:$I,6,0)</f>
        <v>0</v>
      </c>
      <c r="L544" s="4">
        <f>VLOOKUP(C544,[4]sheet1!$D:$I,6,0)</f>
        <v>177</v>
      </c>
      <c r="M544" s="4">
        <f>VLOOKUP(C544,[5]sheet1!$D:$I,6,0)</f>
        <v>177</v>
      </c>
      <c r="N544" s="4">
        <f>VLOOKUP(C544,[6]sheet1!$D:$I,6,0)</f>
        <v>0</v>
      </c>
      <c r="O544" s="4">
        <f>VLOOKUP(C544,[7]sheet1!$D:$I,6,0)</f>
        <v>0</v>
      </c>
      <c r="P544" s="4">
        <f>VLOOKUP(C544,[8]sheet1!$D:$I,6,0)</f>
        <v>0</v>
      </c>
      <c r="Q544" s="4">
        <f t="shared" si="8"/>
        <v>354</v>
      </c>
      <c r="R544" s="3">
        <v>0</v>
      </c>
      <c r="S544" s="3">
        <v>95</v>
      </c>
      <c r="T544" s="19">
        <v>0</v>
      </c>
      <c r="U544" s="3">
        <v>0</v>
      </c>
      <c r="V544" s="3">
        <v>0</v>
      </c>
      <c r="W544">
        <v>0</v>
      </c>
      <c r="X544" s="3">
        <v>0</v>
      </c>
      <c r="Y544">
        <v>0</v>
      </c>
      <c r="Z544" s="3">
        <v>0</v>
      </c>
      <c r="AA544" t="s">
        <v>49</v>
      </c>
      <c r="AB544" t="s">
        <v>49</v>
      </c>
      <c r="AC544" t="s">
        <v>49</v>
      </c>
      <c r="AD544" t="s">
        <v>49</v>
      </c>
      <c r="AE544">
        <v>0</v>
      </c>
      <c r="AF544" s="3">
        <v>0</v>
      </c>
      <c r="AG544" t="s">
        <v>49</v>
      </c>
      <c r="AH544" t="s">
        <v>49</v>
      </c>
      <c r="AI544" t="s">
        <v>49</v>
      </c>
      <c r="AJ544" t="s">
        <v>49</v>
      </c>
      <c r="AK544" t="s">
        <v>49</v>
      </c>
      <c r="AL544" t="s">
        <v>49</v>
      </c>
      <c r="AM544" t="s">
        <v>49</v>
      </c>
      <c r="AN544" s="3">
        <v>107</v>
      </c>
      <c r="AO544" s="19">
        <v>0</v>
      </c>
      <c r="AP544" s="19">
        <v>0</v>
      </c>
      <c r="AQ544" s="19">
        <v>0.6842</v>
      </c>
      <c r="AR544" s="19">
        <v>0.1263</v>
      </c>
      <c r="AS544" s="19">
        <v>0</v>
      </c>
      <c r="AT544" s="19">
        <v>0</v>
      </c>
      <c r="AU544" s="3">
        <v>0</v>
      </c>
      <c r="AV544" s="3">
        <v>0</v>
      </c>
      <c r="AW544" s="19">
        <v>0</v>
      </c>
      <c r="AX544" s="3">
        <v>0</v>
      </c>
      <c r="AY544" s="3">
        <v>0</v>
      </c>
    </row>
    <row r="545" spans="1:51">
      <c r="A545" s="3">
        <v>15753868</v>
      </c>
      <c r="B545" t="s">
        <v>896</v>
      </c>
      <c r="C545" s="3">
        <v>124376410</v>
      </c>
      <c r="D545" t="s">
        <v>44</v>
      </c>
      <c r="E545" t="s">
        <v>330</v>
      </c>
      <c r="F545" t="s">
        <v>46</v>
      </c>
      <c r="G545" t="s">
        <v>47</v>
      </c>
      <c r="H545" s="16">
        <v>0</v>
      </c>
      <c r="I545" s="4">
        <f>VLOOKUP(C545,[1]sheet1!$D:$I,6,0)</f>
        <v>0</v>
      </c>
      <c r="J545" s="4">
        <f>VLOOKUP(C545,[2]sheet1!$D:$I,6,0)</f>
        <v>0</v>
      </c>
      <c r="K545" s="4">
        <f>VLOOKUP(C545,[3]sheet1!$D:$I,6,0)</f>
        <v>0</v>
      </c>
      <c r="L545" s="4">
        <f>VLOOKUP(C545,[4]sheet1!$D:$I,6,0)</f>
        <v>0</v>
      </c>
      <c r="M545" s="4">
        <f>VLOOKUP(C545,[5]sheet1!$D:$I,6,0)</f>
        <v>0</v>
      </c>
      <c r="N545" s="4">
        <f>VLOOKUP(C545,[6]sheet1!$D:$I,6,0)</f>
        <v>0</v>
      </c>
      <c r="O545" s="4">
        <f>VLOOKUP(C545,[7]sheet1!$D:$I,6,0)</f>
        <v>0</v>
      </c>
      <c r="P545" s="4">
        <f>VLOOKUP(C545,[8]sheet1!$D:$I,6,0)</f>
        <v>0</v>
      </c>
      <c r="Q545" s="4">
        <f t="shared" si="8"/>
        <v>0</v>
      </c>
      <c r="R545" s="3">
        <v>0</v>
      </c>
      <c r="S545">
        <v>64</v>
      </c>
      <c r="T545">
        <v>0</v>
      </c>
      <c r="U545" s="3">
        <v>0</v>
      </c>
      <c r="V545" s="3">
        <v>0</v>
      </c>
      <c r="W545">
        <v>0</v>
      </c>
      <c r="X545" s="3">
        <v>0</v>
      </c>
      <c r="Y545">
        <v>0</v>
      </c>
      <c r="Z545" s="3">
        <v>0</v>
      </c>
      <c r="AA545" t="s">
        <v>897</v>
      </c>
      <c r="AB545" s="3">
        <v>799</v>
      </c>
      <c r="AC545">
        <v>816.69</v>
      </c>
      <c r="AD545" t="s">
        <v>49</v>
      </c>
      <c r="AE545">
        <v>0</v>
      </c>
      <c r="AF545" s="3">
        <v>0</v>
      </c>
      <c r="AG545" t="s">
        <v>49</v>
      </c>
      <c r="AH545">
        <v>0</v>
      </c>
      <c r="AI545" t="s">
        <v>49</v>
      </c>
      <c r="AJ545">
        <v>685.32</v>
      </c>
      <c r="AK545" t="s">
        <v>49</v>
      </c>
      <c r="AL545">
        <v>0</v>
      </c>
      <c r="AM545" t="s">
        <v>49</v>
      </c>
      <c r="AN545">
        <v>74</v>
      </c>
      <c r="AO545" s="19">
        <v>0</v>
      </c>
      <c r="AP545" s="19">
        <v>0</v>
      </c>
      <c r="AQ545" s="19">
        <v>0.6667</v>
      </c>
      <c r="AR545" s="19">
        <v>0</v>
      </c>
      <c r="AS545" s="19">
        <v>0</v>
      </c>
      <c r="AT545" s="19">
        <v>0</v>
      </c>
      <c r="AU545" s="3">
        <v>0</v>
      </c>
      <c r="AV545" s="3">
        <v>0</v>
      </c>
      <c r="AW545" s="19">
        <v>0</v>
      </c>
      <c r="AX545" s="3">
        <v>0</v>
      </c>
      <c r="AY545" s="3">
        <v>0</v>
      </c>
    </row>
    <row r="546" spans="1:51">
      <c r="A546" s="3">
        <v>15751507</v>
      </c>
      <c r="B546" t="s">
        <v>898</v>
      </c>
      <c r="C546" s="3">
        <v>124419012</v>
      </c>
      <c r="D546" t="s">
        <v>44</v>
      </c>
      <c r="E546" t="s">
        <v>100</v>
      </c>
      <c r="F546" t="s">
        <v>65</v>
      </c>
      <c r="G546" t="s">
        <v>47</v>
      </c>
      <c r="H546" s="16">
        <v>0</v>
      </c>
      <c r="I546" s="4">
        <f>VLOOKUP(C546,[1]sheet1!$D:$I,6,0)</f>
        <v>0</v>
      </c>
      <c r="J546" s="4">
        <f>VLOOKUP(C546,[2]sheet1!$D:$I,6,0)</f>
        <v>0</v>
      </c>
      <c r="K546" s="4">
        <f>VLOOKUP(C546,[3]sheet1!$D:$I,6,0)</f>
        <v>0</v>
      </c>
      <c r="L546" s="4">
        <f>VLOOKUP(C546,[4]sheet1!$D:$I,6,0)</f>
        <v>0</v>
      </c>
      <c r="M546" s="4">
        <f>VLOOKUP(C546,[5]sheet1!$D:$I,6,0)</f>
        <v>0</v>
      </c>
      <c r="N546" s="4">
        <f>VLOOKUP(C546,[6]sheet1!$D:$I,6,0)</f>
        <v>0</v>
      </c>
      <c r="O546" s="4">
        <f>VLOOKUP(C546,[7]sheet1!$D:$I,6,0)</f>
        <v>0</v>
      </c>
      <c r="P546" s="4">
        <f>VLOOKUP(C546,[8]sheet1!$D:$I,6,0)</f>
        <v>0</v>
      </c>
      <c r="Q546" s="4">
        <f t="shared" si="8"/>
        <v>0</v>
      </c>
      <c r="R546" s="3">
        <v>0</v>
      </c>
      <c r="S546" s="3">
        <v>2</v>
      </c>
      <c r="T546" s="19">
        <v>0</v>
      </c>
      <c r="U546" s="3">
        <v>0</v>
      </c>
      <c r="V546" s="3">
        <v>0</v>
      </c>
      <c r="W546">
        <v>0</v>
      </c>
      <c r="X546" s="3">
        <v>0</v>
      </c>
      <c r="Y546">
        <v>0</v>
      </c>
      <c r="Z546" s="3">
        <v>0</v>
      </c>
      <c r="AA546" t="s">
        <v>899</v>
      </c>
      <c r="AB546" t="s">
        <v>49</v>
      </c>
      <c r="AC546">
        <v>634.7</v>
      </c>
      <c r="AD546" t="s">
        <v>49</v>
      </c>
      <c r="AE546">
        <v>0</v>
      </c>
      <c r="AF546" s="3">
        <v>0</v>
      </c>
      <c r="AG546" t="s">
        <v>49</v>
      </c>
      <c r="AH546">
        <v>0</v>
      </c>
      <c r="AI546" t="s">
        <v>49</v>
      </c>
      <c r="AJ546" t="s">
        <v>49</v>
      </c>
      <c r="AK546" t="s">
        <v>49</v>
      </c>
      <c r="AL546" t="s">
        <v>49</v>
      </c>
      <c r="AM546" t="s">
        <v>49</v>
      </c>
      <c r="AN546" s="3">
        <v>2</v>
      </c>
      <c r="AO546" s="19">
        <v>0</v>
      </c>
      <c r="AP546" s="19">
        <v>0</v>
      </c>
      <c r="AQ546" s="19">
        <v>0</v>
      </c>
      <c r="AR546" s="19">
        <v>0</v>
      </c>
      <c r="AS546" s="19">
        <v>0</v>
      </c>
      <c r="AT546" s="19">
        <v>0</v>
      </c>
      <c r="AU546" s="3">
        <v>0</v>
      </c>
      <c r="AV546" s="3">
        <v>0</v>
      </c>
      <c r="AW546" s="19">
        <v>0</v>
      </c>
      <c r="AX546" s="3">
        <v>0</v>
      </c>
      <c r="AY546" s="3">
        <v>0</v>
      </c>
    </row>
    <row r="547" spans="1:51">
      <c r="A547" s="3">
        <v>15750648</v>
      </c>
      <c r="B547" t="s">
        <v>900</v>
      </c>
      <c r="C547" s="3">
        <v>114419011</v>
      </c>
      <c r="D547" t="s">
        <v>44</v>
      </c>
      <c r="E547" t="s">
        <v>100</v>
      </c>
      <c r="F547" t="s">
        <v>65</v>
      </c>
      <c r="G547" t="s">
        <v>47</v>
      </c>
      <c r="H547" s="16">
        <v>0</v>
      </c>
      <c r="I547" s="4">
        <f>VLOOKUP(C547,[1]sheet1!$D:$I,6,0)</f>
        <v>0</v>
      </c>
      <c r="J547" s="4">
        <f>VLOOKUP(C547,[2]sheet1!$D:$I,6,0)</f>
        <v>0</v>
      </c>
      <c r="K547" s="4">
        <f>VLOOKUP(C547,[3]sheet1!$D:$I,6,0)</f>
        <v>0</v>
      </c>
      <c r="L547" s="4">
        <f>VLOOKUP(C547,[4]sheet1!$D:$I,6,0)</f>
        <v>0</v>
      </c>
      <c r="M547" s="4">
        <f>VLOOKUP(C547,[5]sheet1!$D:$I,6,0)</f>
        <v>0</v>
      </c>
      <c r="N547" s="4">
        <f>VLOOKUP(C547,[6]sheet1!$D:$I,6,0)</f>
        <v>0</v>
      </c>
      <c r="O547" s="4">
        <f>VLOOKUP(C547,[7]sheet1!$D:$I,6,0)</f>
        <v>0</v>
      </c>
      <c r="P547" s="4">
        <f>VLOOKUP(C547,[8]sheet1!$D:$I,6,0)</f>
        <v>0</v>
      </c>
      <c r="Q547" s="4">
        <f t="shared" si="8"/>
        <v>0</v>
      </c>
      <c r="R547" s="3">
        <v>0</v>
      </c>
      <c r="S547" s="3">
        <v>23</v>
      </c>
      <c r="T547" s="19">
        <v>0</v>
      </c>
      <c r="U547" s="3">
        <v>0</v>
      </c>
      <c r="V547" s="3">
        <v>0</v>
      </c>
      <c r="W547">
        <v>0</v>
      </c>
      <c r="X547" s="3">
        <v>0</v>
      </c>
      <c r="Y547">
        <v>0</v>
      </c>
      <c r="Z547" s="3">
        <v>0</v>
      </c>
      <c r="AA547" t="s">
        <v>899</v>
      </c>
      <c r="AB547" t="s">
        <v>49</v>
      </c>
      <c r="AC547">
        <v>634.7</v>
      </c>
      <c r="AD547" t="s">
        <v>49</v>
      </c>
      <c r="AE547">
        <v>0</v>
      </c>
      <c r="AF547" s="3">
        <v>0</v>
      </c>
      <c r="AG547" t="s">
        <v>49</v>
      </c>
      <c r="AH547">
        <v>0</v>
      </c>
      <c r="AI547" t="s">
        <v>49</v>
      </c>
      <c r="AJ547" t="s">
        <v>49</v>
      </c>
      <c r="AK547" t="s">
        <v>49</v>
      </c>
      <c r="AL547" t="s">
        <v>49</v>
      </c>
      <c r="AM547" t="s">
        <v>49</v>
      </c>
      <c r="AN547" s="3">
        <v>24</v>
      </c>
      <c r="AO547" s="19">
        <v>0</v>
      </c>
      <c r="AP547" s="19">
        <v>0</v>
      </c>
      <c r="AQ547" s="19">
        <v>0.6957</v>
      </c>
      <c r="AR547" s="19">
        <v>0.1739</v>
      </c>
      <c r="AS547" s="19">
        <v>0</v>
      </c>
      <c r="AT547" s="19">
        <v>0</v>
      </c>
      <c r="AU547" s="3">
        <v>0</v>
      </c>
      <c r="AV547" s="3">
        <v>0</v>
      </c>
      <c r="AW547" s="19">
        <v>0</v>
      </c>
      <c r="AX547" s="3">
        <v>0</v>
      </c>
      <c r="AY547" s="3">
        <v>0</v>
      </c>
    </row>
    <row r="548" spans="1:51">
      <c r="A548" s="3">
        <v>15704126</v>
      </c>
      <c r="B548" t="s">
        <v>901</v>
      </c>
      <c r="C548" s="3">
        <v>114408241</v>
      </c>
      <c r="D548" t="s">
        <v>44</v>
      </c>
      <c r="E548" t="s">
        <v>601</v>
      </c>
      <c r="F548" t="s">
        <v>46</v>
      </c>
      <c r="G548" t="s">
        <v>47</v>
      </c>
      <c r="H548" s="16">
        <v>0</v>
      </c>
      <c r="I548" s="4">
        <f>VLOOKUP(C548,[1]sheet1!$D:$I,6,0)</f>
        <v>0</v>
      </c>
      <c r="J548" s="4">
        <f>VLOOKUP(C548,[2]sheet1!$D:$I,6,0)</f>
        <v>0</v>
      </c>
      <c r="K548" s="4">
        <f>VLOOKUP(C548,[3]sheet1!$D:$I,6,0)</f>
        <v>0</v>
      </c>
      <c r="L548" s="4">
        <f>VLOOKUP(C548,[4]sheet1!$D:$I,6,0)</f>
        <v>0</v>
      </c>
      <c r="M548" s="4">
        <f>VLOOKUP(C548,[5]sheet1!$D:$I,6,0)</f>
        <v>0</v>
      </c>
      <c r="N548" s="4">
        <f>VLOOKUP(C548,[6]sheet1!$D:$I,6,0)</f>
        <v>0</v>
      </c>
      <c r="O548" s="4">
        <f>VLOOKUP(C548,[7]sheet1!$D:$I,6,0)</f>
        <v>0</v>
      </c>
      <c r="P548" s="4">
        <f>VLOOKUP(C548,[8]sheet1!$D:$I,6,0)</f>
        <v>0</v>
      </c>
      <c r="Q548" s="4">
        <f t="shared" si="8"/>
        <v>0</v>
      </c>
      <c r="R548" s="3">
        <v>0</v>
      </c>
      <c r="S548">
        <v>122</v>
      </c>
      <c r="T548">
        <v>0</v>
      </c>
      <c r="U548" s="3">
        <v>1</v>
      </c>
      <c r="V548" s="3">
        <v>0</v>
      </c>
      <c r="W548">
        <v>0</v>
      </c>
      <c r="X548" s="3">
        <v>0</v>
      </c>
      <c r="Y548">
        <v>0</v>
      </c>
      <c r="Z548" s="3">
        <v>0</v>
      </c>
      <c r="AA548" t="s">
        <v>423</v>
      </c>
      <c r="AB548" s="3">
        <v>399</v>
      </c>
      <c r="AC548">
        <v>380.12</v>
      </c>
      <c r="AD548" t="s">
        <v>49</v>
      </c>
      <c r="AE548">
        <v>0</v>
      </c>
      <c r="AF548" s="3">
        <v>0</v>
      </c>
      <c r="AG548" t="s">
        <v>49</v>
      </c>
      <c r="AH548">
        <v>0</v>
      </c>
      <c r="AI548" t="s">
        <v>49</v>
      </c>
      <c r="AJ548">
        <v>336.62</v>
      </c>
      <c r="AK548" t="s">
        <v>49</v>
      </c>
      <c r="AL548">
        <v>0</v>
      </c>
      <c r="AM548" t="s">
        <v>49</v>
      </c>
      <c r="AN548">
        <v>133</v>
      </c>
      <c r="AO548" s="19">
        <v>0</v>
      </c>
      <c r="AP548" s="19">
        <v>0</v>
      </c>
      <c r="AQ548" s="19">
        <v>0.8182</v>
      </c>
      <c r="AR548" s="19">
        <v>0.3636</v>
      </c>
      <c r="AS548" s="19">
        <v>1</v>
      </c>
      <c r="AT548" s="19">
        <v>0</v>
      </c>
      <c r="AU548" s="3">
        <v>0</v>
      </c>
      <c r="AV548" s="3">
        <v>0</v>
      </c>
      <c r="AW548" s="19">
        <v>0</v>
      </c>
      <c r="AX548" s="3">
        <v>0</v>
      </c>
      <c r="AY548" s="3">
        <v>0</v>
      </c>
    </row>
    <row r="549" spans="1:51">
      <c r="A549" s="3">
        <v>15696200</v>
      </c>
      <c r="B549" t="s">
        <v>902</v>
      </c>
      <c r="C549" s="3">
        <v>134408269</v>
      </c>
      <c r="D549" t="s">
        <v>44</v>
      </c>
      <c r="E549" t="s">
        <v>815</v>
      </c>
      <c r="F549" t="s">
        <v>65</v>
      </c>
      <c r="G549" t="s">
        <v>47</v>
      </c>
      <c r="H549" s="16">
        <v>0</v>
      </c>
      <c r="I549" s="4">
        <f>VLOOKUP(C549,[1]sheet1!$D:$I,6,0)</f>
        <v>0</v>
      </c>
      <c r="J549" s="4">
        <f>VLOOKUP(C549,[2]sheet1!$D:$I,6,0)</f>
        <v>0</v>
      </c>
      <c r="K549" s="4">
        <f>VLOOKUP(C549,[3]sheet1!$D:$I,6,0)</f>
        <v>0</v>
      </c>
      <c r="L549" s="4">
        <f>VLOOKUP(C549,[4]sheet1!$D:$I,6,0)</f>
        <v>0</v>
      </c>
      <c r="M549" s="4">
        <f>VLOOKUP(C549,[5]sheet1!$D:$I,6,0)</f>
        <v>0</v>
      </c>
      <c r="N549" s="4">
        <f>VLOOKUP(C549,[6]sheet1!$D:$I,6,0)</f>
        <v>0</v>
      </c>
      <c r="O549" s="4">
        <f>VLOOKUP(C549,[7]sheet1!$D:$I,6,0)</f>
        <v>0</v>
      </c>
      <c r="P549" s="4">
        <f>VLOOKUP(C549,[8]sheet1!$D:$I,6,0)</f>
        <v>0</v>
      </c>
      <c r="Q549" s="4">
        <f t="shared" si="8"/>
        <v>0</v>
      </c>
      <c r="R549" s="3">
        <v>0</v>
      </c>
      <c r="S549" s="3">
        <v>14</v>
      </c>
      <c r="T549" s="19">
        <v>0</v>
      </c>
      <c r="U549" s="3">
        <v>0</v>
      </c>
      <c r="V549" s="3">
        <v>0</v>
      </c>
      <c r="W549">
        <v>0</v>
      </c>
      <c r="X549" s="3">
        <v>0</v>
      </c>
      <c r="Y549">
        <v>0</v>
      </c>
      <c r="Z549" s="3">
        <v>0</v>
      </c>
      <c r="AA549" t="s">
        <v>420</v>
      </c>
      <c r="AB549" t="s">
        <v>49</v>
      </c>
      <c r="AC549">
        <v>482.09</v>
      </c>
      <c r="AD549" t="s">
        <v>49</v>
      </c>
      <c r="AE549">
        <v>0</v>
      </c>
      <c r="AF549" s="3">
        <v>0</v>
      </c>
      <c r="AG549" t="s">
        <v>49</v>
      </c>
      <c r="AH549">
        <v>0</v>
      </c>
      <c r="AI549" t="s">
        <v>49</v>
      </c>
      <c r="AJ549" t="s">
        <v>49</v>
      </c>
      <c r="AK549" t="s">
        <v>49</v>
      </c>
      <c r="AL549" t="s">
        <v>49</v>
      </c>
      <c r="AM549" t="s">
        <v>49</v>
      </c>
      <c r="AN549" s="3">
        <v>14</v>
      </c>
      <c r="AO549" s="19">
        <v>0</v>
      </c>
      <c r="AP549" s="19">
        <v>0</v>
      </c>
      <c r="AQ549" s="19">
        <v>0.7143</v>
      </c>
      <c r="AR549" s="19">
        <v>0.5</v>
      </c>
      <c r="AS549" s="19">
        <v>0</v>
      </c>
      <c r="AT549" s="19">
        <v>0</v>
      </c>
      <c r="AU549" s="3">
        <v>0</v>
      </c>
      <c r="AV549" s="3">
        <v>0</v>
      </c>
      <c r="AW549" s="19">
        <v>0</v>
      </c>
      <c r="AX549" s="3">
        <v>0</v>
      </c>
      <c r="AY549" s="3">
        <v>0</v>
      </c>
    </row>
    <row r="550" spans="1:51">
      <c r="A550" s="3">
        <v>15685247</v>
      </c>
      <c r="B550" t="s">
        <v>903</v>
      </c>
      <c r="C550" s="3">
        <v>114408245</v>
      </c>
      <c r="D550" t="s">
        <v>44</v>
      </c>
      <c r="E550" t="s">
        <v>601</v>
      </c>
      <c r="F550" t="s">
        <v>46</v>
      </c>
      <c r="G550" t="s">
        <v>47</v>
      </c>
      <c r="H550" s="16">
        <v>0</v>
      </c>
      <c r="I550" s="4">
        <f>VLOOKUP(C550,[1]sheet1!$D:$I,6,0)</f>
        <v>0</v>
      </c>
      <c r="J550" s="4">
        <f>VLOOKUP(C550,[2]sheet1!$D:$I,6,0)</f>
        <v>0</v>
      </c>
      <c r="K550" s="4">
        <f>VLOOKUP(C550,[3]sheet1!$D:$I,6,0)</f>
        <v>0</v>
      </c>
      <c r="L550" s="4">
        <f>VLOOKUP(C550,[4]sheet1!$D:$I,6,0)</f>
        <v>0</v>
      </c>
      <c r="M550" s="4">
        <f>VLOOKUP(C550,[5]sheet1!$D:$I,6,0)</f>
        <v>0</v>
      </c>
      <c r="N550" s="4">
        <f>VLOOKUP(C550,[6]sheet1!$D:$I,6,0)</f>
        <v>0</v>
      </c>
      <c r="O550" s="4">
        <f>VLOOKUP(C550,[7]sheet1!$D:$I,6,0)</f>
        <v>0</v>
      </c>
      <c r="P550" s="4">
        <f>VLOOKUP(C550,[8]sheet1!$D:$I,6,0)</f>
        <v>0</v>
      </c>
      <c r="Q550" s="4">
        <f t="shared" si="8"/>
        <v>0</v>
      </c>
      <c r="R550" s="3">
        <v>0</v>
      </c>
      <c r="S550">
        <v>82</v>
      </c>
      <c r="T550">
        <v>0</v>
      </c>
      <c r="U550" s="3">
        <v>0</v>
      </c>
      <c r="V550" s="3">
        <v>0</v>
      </c>
      <c r="W550">
        <v>0</v>
      </c>
      <c r="X550" s="3">
        <v>0</v>
      </c>
      <c r="Y550">
        <v>0</v>
      </c>
      <c r="Z550" s="3">
        <v>0</v>
      </c>
      <c r="AA550" t="s">
        <v>904</v>
      </c>
      <c r="AB550" s="3">
        <v>770</v>
      </c>
      <c r="AC550">
        <v>659.39</v>
      </c>
      <c r="AD550" t="s">
        <v>49</v>
      </c>
      <c r="AE550">
        <v>0</v>
      </c>
      <c r="AF550" s="3">
        <v>0</v>
      </c>
      <c r="AG550" t="s">
        <v>49</v>
      </c>
      <c r="AH550">
        <v>0</v>
      </c>
      <c r="AI550" t="s">
        <v>49</v>
      </c>
      <c r="AJ550" t="s">
        <v>49</v>
      </c>
      <c r="AK550" t="s">
        <v>49</v>
      </c>
      <c r="AL550" t="s">
        <v>49</v>
      </c>
      <c r="AM550" t="s">
        <v>49</v>
      </c>
      <c r="AN550">
        <v>82</v>
      </c>
      <c r="AO550" s="19">
        <v>0</v>
      </c>
      <c r="AP550" s="19">
        <v>0</v>
      </c>
      <c r="AQ550" s="19">
        <v>0.8</v>
      </c>
      <c r="AR550" s="19">
        <v>0.8</v>
      </c>
      <c r="AS550" s="19">
        <v>0</v>
      </c>
      <c r="AT550" s="19">
        <v>0</v>
      </c>
      <c r="AU550" s="3">
        <v>0</v>
      </c>
      <c r="AV550" s="3">
        <v>0</v>
      </c>
      <c r="AW550" s="19">
        <v>0</v>
      </c>
      <c r="AX550" s="3">
        <v>0</v>
      </c>
      <c r="AY550" s="3">
        <v>0</v>
      </c>
    </row>
    <row r="551" spans="1:51">
      <c r="A551" s="3">
        <v>15622860</v>
      </c>
      <c r="B551" t="s">
        <v>905</v>
      </c>
      <c r="C551" s="3">
        <v>124376130</v>
      </c>
      <c r="D551" t="s">
        <v>44</v>
      </c>
      <c r="E551" t="s">
        <v>906</v>
      </c>
      <c r="F551" t="s">
        <v>46</v>
      </c>
      <c r="G551" t="s">
        <v>47</v>
      </c>
      <c r="H551" s="16">
        <v>0</v>
      </c>
      <c r="I551" s="4">
        <f>VLOOKUP(C551,[1]sheet1!$D:$I,6,0)</f>
        <v>0</v>
      </c>
      <c r="J551" s="4">
        <f>VLOOKUP(C551,[2]sheet1!$D:$I,6,0)</f>
        <v>0</v>
      </c>
      <c r="K551" s="4">
        <f>VLOOKUP(C551,[3]sheet1!$D:$I,6,0)</f>
        <v>0</v>
      </c>
      <c r="L551" s="4">
        <f>VLOOKUP(C551,[4]sheet1!$D:$I,6,0)</f>
        <v>0</v>
      </c>
      <c r="M551" s="4">
        <f>VLOOKUP(C551,[5]sheet1!$D:$I,6,0)</f>
        <v>0</v>
      </c>
      <c r="N551" s="4">
        <f>VLOOKUP(C551,[6]sheet1!$D:$I,6,0)</f>
        <v>0</v>
      </c>
      <c r="O551" s="4">
        <f>VLOOKUP(C551,[7]sheet1!$D:$I,6,0)</f>
        <v>0</v>
      </c>
      <c r="P551" s="4">
        <f>VLOOKUP(C551,[8]sheet1!$D:$I,6,0)</f>
        <v>0</v>
      </c>
      <c r="Q551" s="4">
        <f t="shared" si="8"/>
        <v>0</v>
      </c>
      <c r="R551" s="3">
        <v>0</v>
      </c>
      <c r="S551">
        <v>90</v>
      </c>
      <c r="T551">
        <v>0</v>
      </c>
      <c r="U551" s="3">
        <v>1</v>
      </c>
      <c r="V551" s="3">
        <v>0</v>
      </c>
      <c r="W551">
        <v>0</v>
      </c>
      <c r="X551" s="3">
        <v>0</v>
      </c>
      <c r="Y551">
        <v>0</v>
      </c>
      <c r="Z551" s="3">
        <v>0</v>
      </c>
      <c r="AA551" t="s">
        <v>274</v>
      </c>
      <c r="AB551" s="3">
        <v>890</v>
      </c>
      <c r="AC551">
        <v>762.71</v>
      </c>
      <c r="AD551" t="s">
        <v>49</v>
      </c>
      <c r="AE551">
        <v>0</v>
      </c>
      <c r="AF551" s="3">
        <v>0</v>
      </c>
      <c r="AG551" t="s">
        <v>49</v>
      </c>
      <c r="AH551">
        <v>0</v>
      </c>
      <c r="AI551" t="s">
        <v>49</v>
      </c>
      <c r="AJ551" t="s">
        <v>49</v>
      </c>
      <c r="AK551" t="s">
        <v>49</v>
      </c>
      <c r="AL551" t="s">
        <v>49</v>
      </c>
      <c r="AM551" t="s">
        <v>49</v>
      </c>
      <c r="AN551">
        <v>90</v>
      </c>
      <c r="AO551" s="19">
        <v>0</v>
      </c>
      <c r="AP551" s="19">
        <v>0</v>
      </c>
      <c r="AQ551" s="19">
        <v>0.5</v>
      </c>
      <c r="AR551" s="19">
        <v>0.1667</v>
      </c>
      <c r="AS551" s="19">
        <v>0</v>
      </c>
      <c r="AT551" s="19">
        <v>0</v>
      </c>
      <c r="AU551" s="3">
        <v>0</v>
      </c>
      <c r="AV551" s="3">
        <v>0</v>
      </c>
      <c r="AW551" s="19">
        <v>0</v>
      </c>
      <c r="AX551" s="3">
        <v>0</v>
      </c>
      <c r="AY551" s="3">
        <v>0</v>
      </c>
    </row>
    <row r="552" spans="1:51">
      <c r="A552" s="3">
        <v>15615754</v>
      </c>
      <c r="B552" t="s">
        <v>907</v>
      </c>
      <c r="C552" s="3">
        <v>114310189</v>
      </c>
      <c r="D552" t="s">
        <v>44</v>
      </c>
      <c r="E552" t="s">
        <v>117</v>
      </c>
      <c r="F552" t="s">
        <v>65</v>
      </c>
      <c r="G552" t="s">
        <v>47</v>
      </c>
      <c r="H552" s="16">
        <v>0</v>
      </c>
      <c r="I552" s="4">
        <f>VLOOKUP(C552,[1]sheet1!$D:$I,6,0)</f>
        <v>0</v>
      </c>
      <c r="J552" s="4">
        <f>VLOOKUP(C552,[2]sheet1!$D:$I,6,0)</f>
        <v>0</v>
      </c>
      <c r="K552" s="4">
        <f>VLOOKUP(C552,[3]sheet1!$D:$I,6,0)</f>
        <v>0</v>
      </c>
      <c r="L552" s="4">
        <f>VLOOKUP(C552,[4]sheet1!$D:$I,6,0)</f>
        <v>0</v>
      </c>
      <c r="M552" s="4">
        <f>VLOOKUP(C552,[5]sheet1!$D:$I,6,0)</f>
        <v>0</v>
      </c>
      <c r="N552" s="4">
        <f>VLOOKUP(C552,[6]sheet1!$D:$I,6,0)</f>
        <v>0</v>
      </c>
      <c r="O552" s="4">
        <f>VLOOKUP(C552,[7]sheet1!$D:$I,6,0)</f>
        <v>0</v>
      </c>
      <c r="P552" s="4">
        <f>VLOOKUP(C552,[8]sheet1!$D:$I,6,0)</f>
        <v>0</v>
      </c>
      <c r="Q552" s="4">
        <f t="shared" si="8"/>
        <v>0</v>
      </c>
      <c r="R552" s="3">
        <v>0</v>
      </c>
      <c r="S552" s="3">
        <v>26</v>
      </c>
      <c r="T552" s="19">
        <v>0</v>
      </c>
      <c r="U552" s="3">
        <v>1</v>
      </c>
      <c r="V552" s="3">
        <v>0</v>
      </c>
      <c r="W552">
        <v>0</v>
      </c>
      <c r="X552" s="3">
        <v>0</v>
      </c>
      <c r="Y552">
        <v>0</v>
      </c>
      <c r="Z552" s="3">
        <v>0</v>
      </c>
      <c r="AA552" t="s">
        <v>908</v>
      </c>
      <c r="AB552" t="s">
        <v>49</v>
      </c>
      <c r="AC552">
        <v>225.09</v>
      </c>
      <c r="AD552" t="s">
        <v>49</v>
      </c>
      <c r="AE552">
        <v>0</v>
      </c>
      <c r="AF552" s="3">
        <v>0</v>
      </c>
      <c r="AG552" t="s">
        <v>49</v>
      </c>
      <c r="AH552">
        <v>0</v>
      </c>
      <c r="AI552" t="s">
        <v>49</v>
      </c>
      <c r="AJ552" t="s">
        <v>49</v>
      </c>
      <c r="AK552" t="s">
        <v>49</v>
      </c>
      <c r="AL552" t="s">
        <v>49</v>
      </c>
      <c r="AM552" t="s">
        <v>49</v>
      </c>
      <c r="AN552" s="3">
        <v>29</v>
      </c>
      <c r="AO552" s="19">
        <v>0</v>
      </c>
      <c r="AP552" s="19">
        <v>0</v>
      </c>
      <c r="AQ552" s="19">
        <v>0.6154</v>
      </c>
      <c r="AR552" s="19">
        <v>0.3462</v>
      </c>
      <c r="AS552" s="19">
        <v>1</v>
      </c>
      <c r="AT552" s="19">
        <v>0</v>
      </c>
      <c r="AU552" s="3">
        <v>0</v>
      </c>
      <c r="AV552" s="3">
        <v>0</v>
      </c>
      <c r="AW552" s="19">
        <v>0</v>
      </c>
      <c r="AX552" s="3">
        <v>0</v>
      </c>
      <c r="AY552" s="3">
        <v>0</v>
      </c>
    </row>
    <row r="553" spans="1:51">
      <c r="A553" s="3">
        <v>15569692</v>
      </c>
      <c r="B553" t="s">
        <v>909</v>
      </c>
      <c r="C553" s="3">
        <v>124420014</v>
      </c>
      <c r="D553" t="s">
        <v>44</v>
      </c>
      <c r="E553" t="s">
        <v>910</v>
      </c>
      <c r="F553" t="s">
        <v>65</v>
      </c>
      <c r="G553" t="s">
        <v>47</v>
      </c>
      <c r="H553" s="16">
        <v>0</v>
      </c>
      <c r="I553" s="4">
        <f>VLOOKUP(C553,[1]sheet1!$D:$I,6,0)</f>
        <v>0</v>
      </c>
      <c r="J553" s="4">
        <f>VLOOKUP(C553,[2]sheet1!$D:$I,6,0)</f>
        <v>0</v>
      </c>
      <c r="K553" s="4">
        <f>VLOOKUP(C553,[3]sheet1!$D:$I,6,0)</f>
        <v>0</v>
      </c>
      <c r="L553" s="4">
        <f>VLOOKUP(C553,[4]sheet1!$D:$I,6,0)</f>
        <v>0</v>
      </c>
      <c r="M553" s="4">
        <f>VLOOKUP(C553,[5]sheet1!$D:$I,6,0)</f>
        <v>0</v>
      </c>
      <c r="N553" s="4">
        <f>VLOOKUP(C553,[6]sheet1!$D:$I,6,0)</f>
        <v>0</v>
      </c>
      <c r="O553" s="4">
        <f>VLOOKUP(C553,[7]sheet1!$D:$I,6,0)</f>
        <v>0</v>
      </c>
      <c r="P553" s="4">
        <f>VLOOKUP(C553,[8]sheet1!$D:$I,6,0)</f>
        <v>0</v>
      </c>
      <c r="Q553" s="4">
        <f t="shared" si="8"/>
        <v>0</v>
      </c>
      <c r="R553" s="3">
        <v>0</v>
      </c>
      <c r="S553" s="3">
        <v>6</v>
      </c>
      <c r="T553" s="19">
        <v>0</v>
      </c>
      <c r="U553" s="3">
        <v>0</v>
      </c>
      <c r="V553" s="3">
        <v>0</v>
      </c>
      <c r="W553">
        <v>0</v>
      </c>
      <c r="X553" s="3">
        <v>0</v>
      </c>
      <c r="Y553">
        <v>0</v>
      </c>
      <c r="Z553" s="3">
        <v>0</v>
      </c>
      <c r="AA553" t="s">
        <v>261</v>
      </c>
      <c r="AB553" t="s">
        <v>49</v>
      </c>
      <c r="AC553">
        <v>330.8</v>
      </c>
      <c r="AD553" t="s">
        <v>49</v>
      </c>
      <c r="AE553">
        <v>0</v>
      </c>
      <c r="AF553" s="3">
        <v>0</v>
      </c>
      <c r="AG553" t="s">
        <v>49</v>
      </c>
      <c r="AH553">
        <v>0</v>
      </c>
      <c r="AI553" t="s">
        <v>49</v>
      </c>
      <c r="AJ553" t="s">
        <v>49</v>
      </c>
      <c r="AK553" t="s">
        <v>49</v>
      </c>
      <c r="AL553" t="s">
        <v>49</v>
      </c>
      <c r="AM553" t="s">
        <v>49</v>
      </c>
      <c r="AN553" s="3">
        <v>6</v>
      </c>
      <c r="AO553" s="19">
        <v>0</v>
      </c>
      <c r="AP553" s="19">
        <v>0</v>
      </c>
      <c r="AQ553" s="19">
        <v>1</v>
      </c>
      <c r="AR553" s="19">
        <v>0.5</v>
      </c>
      <c r="AS553" s="19">
        <v>0</v>
      </c>
      <c r="AT553" s="19">
        <v>0</v>
      </c>
      <c r="AU553" s="3">
        <v>0</v>
      </c>
      <c r="AV553" s="3">
        <v>0</v>
      </c>
      <c r="AW553" s="19">
        <v>0</v>
      </c>
      <c r="AX553" s="3">
        <v>0</v>
      </c>
      <c r="AY553" s="3">
        <v>0</v>
      </c>
    </row>
    <row r="554" spans="1:51">
      <c r="A554" s="3">
        <v>15555336</v>
      </c>
      <c r="B554" t="s">
        <v>911</v>
      </c>
      <c r="C554" s="3">
        <v>124315394</v>
      </c>
      <c r="D554" t="s">
        <v>44</v>
      </c>
      <c r="E554" t="s">
        <v>461</v>
      </c>
      <c r="F554" t="s">
        <v>65</v>
      </c>
      <c r="G554" t="s">
        <v>47</v>
      </c>
      <c r="H554" s="16">
        <v>0</v>
      </c>
      <c r="I554" s="4">
        <f>VLOOKUP(C554,[1]sheet1!$D:$I,6,0)</f>
        <v>0</v>
      </c>
      <c r="J554" s="4">
        <f>VLOOKUP(C554,[2]sheet1!$D:$I,6,0)</f>
        <v>0</v>
      </c>
      <c r="K554" s="4">
        <f>VLOOKUP(C554,[3]sheet1!$D:$I,6,0)</f>
        <v>0</v>
      </c>
      <c r="L554" s="4">
        <f>VLOOKUP(C554,[4]sheet1!$D:$I,6,0)</f>
        <v>0</v>
      </c>
      <c r="M554" s="4">
        <f>VLOOKUP(C554,[5]sheet1!$D:$I,6,0)</f>
        <v>0</v>
      </c>
      <c r="N554" s="4">
        <f>VLOOKUP(C554,[6]sheet1!$D:$I,6,0)</f>
        <v>0</v>
      </c>
      <c r="O554" s="4">
        <f>VLOOKUP(C554,[7]sheet1!$D:$I,6,0)</f>
        <v>0</v>
      </c>
      <c r="P554" s="4">
        <f>VLOOKUP(C554,[8]sheet1!$D:$I,6,0)</f>
        <v>0</v>
      </c>
      <c r="Q554" s="4">
        <f t="shared" si="8"/>
        <v>0</v>
      </c>
      <c r="R554" s="3">
        <v>0</v>
      </c>
      <c r="S554" s="3">
        <v>0</v>
      </c>
      <c r="T554" s="19">
        <v>0</v>
      </c>
      <c r="U554" s="3">
        <v>0</v>
      </c>
      <c r="V554" s="3">
        <v>0</v>
      </c>
      <c r="W554">
        <v>0</v>
      </c>
      <c r="X554" s="3">
        <v>0</v>
      </c>
      <c r="Y554">
        <v>0</v>
      </c>
      <c r="Z554" s="3">
        <v>0</v>
      </c>
      <c r="AA554" t="s">
        <v>908</v>
      </c>
      <c r="AB554" t="s">
        <v>49</v>
      </c>
      <c r="AC554">
        <v>226.21</v>
      </c>
      <c r="AD554" t="s">
        <v>49</v>
      </c>
      <c r="AE554">
        <v>0</v>
      </c>
      <c r="AF554" s="3">
        <v>0</v>
      </c>
      <c r="AG554" t="s">
        <v>49</v>
      </c>
      <c r="AH554">
        <v>0</v>
      </c>
      <c r="AI554" t="s">
        <v>49</v>
      </c>
      <c r="AJ554" t="s">
        <v>49</v>
      </c>
      <c r="AK554" t="s">
        <v>49</v>
      </c>
      <c r="AL554" t="s">
        <v>49</v>
      </c>
      <c r="AM554" t="s">
        <v>49</v>
      </c>
      <c r="AN554" s="3">
        <v>0</v>
      </c>
      <c r="AO554" s="19">
        <v>0</v>
      </c>
      <c r="AP554" s="19">
        <v>0</v>
      </c>
      <c r="AQ554" s="19">
        <v>0</v>
      </c>
      <c r="AR554" s="19">
        <v>0</v>
      </c>
      <c r="AS554" s="19">
        <v>0</v>
      </c>
      <c r="AT554" s="19">
        <v>0</v>
      </c>
      <c r="AU554" s="3">
        <v>0</v>
      </c>
      <c r="AV554" s="3">
        <v>0</v>
      </c>
      <c r="AW554" s="19">
        <v>0</v>
      </c>
      <c r="AX554" s="3">
        <v>0</v>
      </c>
      <c r="AY554" s="3">
        <v>0</v>
      </c>
    </row>
    <row r="555" spans="1:51">
      <c r="A555" s="3">
        <v>15535793</v>
      </c>
      <c r="B555" t="s">
        <v>912</v>
      </c>
      <c r="C555" s="3">
        <v>124307170</v>
      </c>
      <c r="D555" t="s">
        <v>44</v>
      </c>
      <c r="E555" t="s">
        <v>290</v>
      </c>
      <c r="F555" t="s">
        <v>46</v>
      </c>
      <c r="G555" t="s">
        <v>47</v>
      </c>
      <c r="H555" s="16">
        <v>0</v>
      </c>
      <c r="I555" s="4">
        <f>VLOOKUP(C555,[1]sheet1!$D:$I,6,0)</f>
        <v>0</v>
      </c>
      <c r="J555" s="4">
        <f>VLOOKUP(C555,[2]sheet1!$D:$I,6,0)</f>
        <v>0</v>
      </c>
      <c r="K555" s="4">
        <f>VLOOKUP(C555,[3]sheet1!$D:$I,6,0)</f>
        <v>0</v>
      </c>
      <c r="L555" s="4">
        <f>VLOOKUP(C555,[4]sheet1!$D:$I,6,0)</f>
        <v>0</v>
      </c>
      <c r="M555" s="4">
        <f>VLOOKUP(C555,[5]sheet1!$D:$I,6,0)</f>
        <v>0</v>
      </c>
      <c r="N555" s="4">
        <f>VLOOKUP(C555,[6]sheet1!$D:$I,6,0)</f>
        <v>0</v>
      </c>
      <c r="O555" s="4">
        <f>VLOOKUP(C555,[7]sheet1!$D:$I,6,0)</f>
        <v>0</v>
      </c>
      <c r="P555" s="4">
        <f>VLOOKUP(C555,[8]sheet1!$D:$I,6,0)</f>
        <v>0</v>
      </c>
      <c r="Q555" s="15">
        <f t="shared" si="8"/>
        <v>0</v>
      </c>
      <c r="R555" s="3">
        <v>0</v>
      </c>
      <c r="S555">
        <v>37</v>
      </c>
      <c r="T555">
        <v>0</v>
      </c>
      <c r="U555" s="3">
        <v>0</v>
      </c>
      <c r="V555" s="3">
        <v>0</v>
      </c>
      <c r="W555">
        <v>0</v>
      </c>
      <c r="X555" s="3">
        <v>0</v>
      </c>
      <c r="Y555">
        <v>0</v>
      </c>
      <c r="Z555" s="3">
        <v>0</v>
      </c>
      <c r="AA555" t="s">
        <v>101</v>
      </c>
      <c r="AB555" s="3">
        <v>550</v>
      </c>
      <c r="AC555">
        <v>467.11</v>
      </c>
      <c r="AD555" t="s">
        <v>49</v>
      </c>
      <c r="AE555">
        <v>0</v>
      </c>
      <c r="AF555" s="3">
        <v>0</v>
      </c>
      <c r="AG555" t="s">
        <v>49</v>
      </c>
      <c r="AH555">
        <v>0</v>
      </c>
      <c r="AI555" t="s">
        <v>49</v>
      </c>
      <c r="AJ555" t="s">
        <v>49</v>
      </c>
      <c r="AK555" t="s">
        <v>49</v>
      </c>
      <c r="AL555" t="s">
        <v>49</v>
      </c>
      <c r="AM555" t="s">
        <v>49</v>
      </c>
      <c r="AN555">
        <v>37</v>
      </c>
      <c r="AO555" s="19">
        <v>0</v>
      </c>
      <c r="AP555" s="19">
        <v>0</v>
      </c>
      <c r="AQ555" s="19">
        <v>1</v>
      </c>
      <c r="AR555" s="19">
        <v>0</v>
      </c>
      <c r="AS555" s="19">
        <v>0</v>
      </c>
      <c r="AT555" s="19">
        <v>0</v>
      </c>
      <c r="AU555" s="3">
        <v>0</v>
      </c>
      <c r="AV555" s="3">
        <v>0</v>
      </c>
      <c r="AW555" s="19">
        <v>0</v>
      </c>
      <c r="AX555" s="3">
        <v>0</v>
      </c>
      <c r="AY555" s="3">
        <v>0</v>
      </c>
    </row>
    <row r="556" spans="1:51">
      <c r="A556" s="3">
        <v>15515666</v>
      </c>
      <c r="B556" t="s">
        <v>913</v>
      </c>
      <c r="C556" s="3">
        <v>124419008</v>
      </c>
      <c r="D556" t="s">
        <v>44</v>
      </c>
      <c r="E556" t="s">
        <v>100</v>
      </c>
      <c r="F556" t="s">
        <v>65</v>
      </c>
      <c r="G556" t="s">
        <v>47</v>
      </c>
      <c r="H556" s="16">
        <v>0</v>
      </c>
      <c r="I556" s="4">
        <f>VLOOKUP(C556,[1]sheet1!$D:$I,6,0)</f>
        <v>0</v>
      </c>
      <c r="J556" s="4">
        <f>VLOOKUP(C556,[2]sheet1!$D:$I,6,0)</f>
        <v>0</v>
      </c>
      <c r="K556" s="4">
        <f>VLOOKUP(C556,[3]sheet1!$D:$I,6,0)</f>
        <v>432</v>
      </c>
      <c r="L556" s="4">
        <f>VLOOKUP(C556,[4]sheet1!$D:$I,6,0)</f>
        <v>2172</v>
      </c>
      <c r="M556" s="4">
        <f>VLOOKUP(C556,[5]sheet1!$D:$I,6,0)</f>
        <v>437</v>
      </c>
      <c r="N556" s="4">
        <f>VLOOKUP(C556,[6]sheet1!$D:$I,6,0)</f>
        <v>903</v>
      </c>
      <c r="O556" s="4">
        <f>VLOOKUP(C556,[7]sheet1!$D:$I,6,0)</f>
        <v>442</v>
      </c>
      <c r="P556" s="4">
        <f>VLOOKUP(C556,[8]sheet1!$D:$I,6,0)</f>
        <v>917</v>
      </c>
      <c r="Q556" s="4">
        <f t="shared" si="8"/>
        <v>5303</v>
      </c>
      <c r="R556" s="3">
        <v>0</v>
      </c>
      <c r="S556" s="3">
        <v>79</v>
      </c>
      <c r="T556" s="19">
        <v>0</v>
      </c>
      <c r="U556" s="3">
        <v>3</v>
      </c>
      <c r="V556" s="3">
        <v>0</v>
      </c>
      <c r="W556">
        <v>0</v>
      </c>
      <c r="X556" s="3">
        <v>0</v>
      </c>
      <c r="Y556">
        <v>0</v>
      </c>
      <c r="Z556" s="3">
        <v>0</v>
      </c>
      <c r="AA556" t="s">
        <v>223</v>
      </c>
      <c r="AB556" t="s">
        <v>49</v>
      </c>
      <c r="AC556">
        <v>512.03</v>
      </c>
      <c r="AD556" t="s">
        <v>49</v>
      </c>
      <c r="AE556">
        <v>0</v>
      </c>
      <c r="AF556" s="3">
        <v>0</v>
      </c>
      <c r="AG556" t="s">
        <v>49</v>
      </c>
      <c r="AH556">
        <v>0</v>
      </c>
      <c r="AI556" t="s">
        <v>49</v>
      </c>
      <c r="AJ556" t="s">
        <v>49</v>
      </c>
      <c r="AK556" t="s">
        <v>49</v>
      </c>
      <c r="AL556" t="s">
        <v>49</v>
      </c>
      <c r="AM556" t="s">
        <v>49</v>
      </c>
      <c r="AN556" s="3">
        <v>93</v>
      </c>
      <c r="AO556" s="19">
        <v>0</v>
      </c>
      <c r="AP556" s="19">
        <v>0</v>
      </c>
      <c r="AQ556" s="19">
        <v>0.8354</v>
      </c>
      <c r="AR556" s="19">
        <v>0.5823</v>
      </c>
      <c r="AS556" s="19">
        <v>1</v>
      </c>
      <c r="AT556" s="19">
        <v>1</v>
      </c>
      <c r="AU556" s="3">
        <v>0</v>
      </c>
      <c r="AV556" s="3">
        <v>0</v>
      </c>
      <c r="AW556" s="19">
        <v>0</v>
      </c>
      <c r="AX556" s="3">
        <v>0</v>
      </c>
      <c r="AY556" s="3">
        <v>0</v>
      </c>
    </row>
    <row r="557" spans="1:51">
      <c r="A557" s="3">
        <v>15489164</v>
      </c>
      <c r="B557" t="s">
        <v>914</v>
      </c>
      <c r="C557" s="3">
        <v>114315393</v>
      </c>
      <c r="D557" t="s">
        <v>44</v>
      </c>
      <c r="E557" t="s">
        <v>54</v>
      </c>
      <c r="F557" t="s">
        <v>46</v>
      </c>
      <c r="G557" t="s">
        <v>47</v>
      </c>
      <c r="H557" s="16">
        <v>0</v>
      </c>
      <c r="I557" s="4">
        <f>VLOOKUP(C557,[1]sheet1!$D:$I,6,0)</f>
        <v>0</v>
      </c>
      <c r="J557" s="4">
        <f>VLOOKUP(C557,[2]sheet1!$D:$I,6,0)</f>
        <v>0</v>
      </c>
      <c r="K557" s="4">
        <f>VLOOKUP(C557,[3]sheet1!$D:$I,6,0)</f>
        <v>0</v>
      </c>
      <c r="L557" s="4">
        <f>VLOOKUP(C557,[4]sheet1!$D:$I,6,0)</f>
        <v>0</v>
      </c>
      <c r="M557" s="4">
        <f>VLOOKUP(C557,[5]sheet1!$D:$I,6,0)</f>
        <v>0</v>
      </c>
      <c r="N557" s="4">
        <f>VLOOKUP(C557,[6]sheet1!$D:$I,6,0)</f>
        <v>0</v>
      </c>
      <c r="O557" s="4">
        <f>VLOOKUP(C557,[7]sheet1!$D:$I,6,0)</f>
        <v>0</v>
      </c>
      <c r="P557" s="4">
        <f>VLOOKUP(C557,[8]sheet1!$D:$I,6,0)</f>
        <v>0</v>
      </c>
      <c r="Q557" s="4">
        <f t="shared" si="8"/>
        <v>0</v>
      </c>
      <c r="R557" s="3">
        <v>0</v>
      </c>
      <c r="S557">
        <v>0</v>
      </c>
      <c r="T557">
        <v>0</v>
      </c>
      <c r="U557" s="3">
        <v>0</v>
      </c>
      <c r="V557" s="3">
        <v>0</v>
      </c>
      <c r="W557">
        <v>0</v>
      </c>
      <c r="X557" s="3">
        <v>0</v>
      </c>
      <c r="Y557">
        <v>0</v>
      </c>
      <c r="Z557" s="3">
        <v>0</v>
      </c>
      <c r="AA557" t="s">
        <v>908</v>
      </c>
      <c r="AB557" s="3">
        <v>156</v>
      </c>
      <c r="AC557">
        <v>227.69</v>
      </c>
      <c r="AD557" t="s">
        <v>49</v>
      </c>
      <c r="AE557">
        <v>0</v>
      </c>
      <c r="AF557" s="3">
        <v>0</v>
      </c>
      <c r="AG557" t="s">
        <v>49</v>
      </c>
      <c r="AH557">
        <v>0</v>
      </c>
      <c r="AI557" t="s">
        <v>49</v>
      </c>
      <c r="AJ557">
        <v>128.51</v>
      </c>
      <c r="AK557" t="s">
        <v>49</v>
      </c>
      <c r="AL557">
        <v>0</v>
      </c>
      <c r="AM557" t="s">
        <v>49</v>
      </c>
      <c r="AN557" s="3">
        <v>0</v>
      </c>
      <c r="AO557" s="19">
        <v>0</v>
      </c>
      <c r="AP557" s="19">
        <v>0</v>
      </c>
      <c r="AQ557" s="19">
        <v>0</v>
      </c>
      <c r="AR557" s="19">
        <v>0</v>
      </c>
      <c r="AS557" s="19">
        <v>0</v>
      </c>
      <c r="AT557" s="19">
        <v>0</v>
      </c>
      <c r="AU557" s="3">
        <v>0</v>
      </c>
      <c r="AV557" s="3">
        <v>0</v>
      </c>
      <c r="AW557" s="19">
        <v>0</v>
      </c>
      <c r="AX557" s="3">
        <v>0</v>
      </c>
      <c r="AY557" s="3">
        <v>0</v>
      </c>
    </row>
    <row r="558" spans="1:51">
      <c r="A558" s="3">
        <v>15342505</v>
      </c>
      <c r="B558" t="s">
        <v>915</v>
      </c>
      <c r="C558" s="3">
        <v>124318424</v>
      </c>
      <c r="D558" t="s">
        <v>44</v>
      </c>
      <c r="E558" t="s">
        <v>114</v>
      </c>
      <c r="F558" t="s">
        <v>65</v>
      </c>
      <c r="G558" t="s">
        <v>47</v>
      </c>
      <c r="H558" s="16">
        <v>0</v>
      </c>
      <c r="I558" s="4">
        <f>VLOOKUP(C558,[1]sheet1!$D:$I,6,0)</f>
        <v>0</v>
      </c>
      <c r="J558" s="4">
        <f>VLOOKUP(C558,[2]sheet1!$D:$I,6,0)</f>
        <v>0</v>
      </c>
      <c r="K558" s="4">
        <f>VLOOKUP(C558,[3]sheet1!$D:$I,6,0)</f>
        <v>0</v>
      </c>
      <c r="L558" s="4">
        <f>VLOOKUP(C558,[4]sheet1!$D:$I,6,0)</f>
        <v>0</v>
      </c>
      <c r="M558" s="4">
        <f>VLOOKUP(C558,[5]sheet1!$D:$I,6,0)</f>
        <v>0</v>
      </c>
      <c r="N558" s="4">
        <f>VLOOKUP(C558,[6]sheet1!$D:$I,6,0)</f>
        <v>0</v>
      </c>
      <c r="O558" s="4">
        <f>VLOOKUP(C558,[7]sheet1!$D:$I,6,0)</f>
        <v>0</v>
      </c>
      <c r="P558" s="4">
        <f>VLOOKUP(C558,[8]sheet1!$D:$I,6,0)</f>
        <v>0</v>
      </c>
      <c r="Q558" s="4">
        <f t="shared" si="8"/>
        <v>0</v>
      </c>
      <c r="R558" s="3">
        <v>0</v>
      </c>
      <c r="S558" s="3">
        <v>1</v>
      </c>
      <c r="T558" s="19">
        <v>0</v>
      </c>
      <c r="U558" s="3">
        <v>0</v>
      </c>
      <c r="V558" s="3">
        <v>0</v>
      </c>
      <c r="W558">
        <v>0</v>
      </c>
      <c r="X558" s="3">
        <v>0</v>
      </c>
      <c r="Y558">
        <v>0</v>
      </c>
      <c r="Z558" s="3">
        <v>0</v>
      </c>
      <c r="AA558" t="s">
        <v>312</v>
      </c>
      <c r="AB558" t="s">
        <v>49</v>
      </c>
      <c r="AC558">
        <v>558.61</v>
      </c>
      <c r="AD558" t="s">
        <v>49</v>
      </c>
      <c r="AE558">
        <v>0</v>
      </c>
      <c r="AF558" s="3">
        <v>0</v>
      </c>
      <c r="AG558" t="s">
        <v>49</v>
      </c>
      <c r="AH558">
        <v>0</v>
      </c>
      <c r="AI558" t="s">
        <v>49</v>
      </c>
      <c r="AJ558" t="s">
        <v>49</v>
      </c>
      <c r="AK558" t="s">
        <v>49</v>
      </c>
      <c r="AL558" t="s">
        <v>49</v>
      </c>
      <c r="AM558" t="s">
        <v>49</v>
      </c>
      <c r="AN558" s="3">
        <v>1</v>
      </c>
      <c r="AO558" s="19">
        <v>0</v>
      </c>
      <c r="AP558" s="19">
        <v>0</v>
      </c>
      <c r="AQ558" s="19">
        <v>1</v>
      </c>
      <c r="AR558" s="19">
        <v>0</v>
      </c>
      <c r="AS558" s="19">
        <v>0</v>
      </c>
      <c r="AT558" s="19">
        <v>0</v>
      </c>
      <c r="AU558" s="3">
        <v>0</v>
      </c>
      <c r="AV558" s="3">
        <v>0</v>
      </c>
      <c r="AW558" s="19">
        <v>0</v>
      </c>
      <c r="AX558" s="3">
        <v>0</v>
      </c>
      <c r="AY558" s="3">
        <v>0</v>
      </c>
    </row>
    <row r="559" spans="1:51">
      <c r="A559" s="3">
        <v>15320955</v>
      </c>
      <c r="B559" t="s">
        <v>916</v>
      </c>
      <c r="C559" s="3">
        <v>134307173</v>
      </c>
      <c r="D559" t="s">
        <v>44</v>
      </c>
      <c r="E559" t="s">
        <v>667</v>
      </c>
      <c r="F559" t="s">
        <v>65</v>
      </c>
      <c r="G559" t="s">
        <v>47</v>
      </c>
      <c r="H559" s="16">
        <v>0</v>
      </c>
      <c r="I559" s="4">
        <f>VLOOKUP(C559,[1]sheet1!$D:$I,6,0)</f>
        <v>0</v>
      </c>
      <c r="J559" s="4">
        <f>VLOOKUP(C559,[2]sheet1!$D:$I,6,0)</f>
        <v>0</v>
      </c>
      <c r="K559" s="4">
        <f>VLOOKUP(C559,[3]sheet1!$D:$I,6,0)</f>
        <v>0</v>
      </c>
      <c r="L559" s="4">
        <f>VLOOKUP(C559,[4]sheet1!$D:$I,6,0)</f>
        <v>0</v>
      </c>
      <c r="M559" s="4">
        <f>VLOOKUP(C559,[5]sheet1!$D:$I,6,0)</f>
        <v>0</v>
      </c>
      <c r="N559" s="4">
        <f>VLOOKUP(C559,[6]sheet1!$D:$I,6,0)</f>
        <v>0</v>
      </c>
      <c r="O559" s="4">
        <f>VLOOKUP(C559,[7]sheet1!$D:$I,6,0)</f>
        <v>0</v>
      </c>
      <c r="P559" s="4">
        <f>VLOOKUP(C559,[8]sheet1!$D:$I,6,0)</f>
        <v>0</v>
      </c>
      <c r="Q559" s="4">
        <f t="shared" si="8"/>
        <v>0</v>
      </c>
      <c r="R559" s="3">
        <v>0</v>
      </c>
      <c r="S559" s="3">
        <v>15</v>
      </c>
      <c r="T559" s="19">
        <v>0</v>
      </c>
      <c r="U559" s="3">
        <v>0</v>
      </c>
      <c r="V559" s="3">
        <v>0</v>
      </c>
      <c r="W559">
        <v>0</v>
      </c>
      <c r="X559" s="3">
        <v>0</v>
      </c>
      <c r="Y559">
        <v>0</v>
      </c>
      <c r="Z559" s="3">
        <v>0</v>
      </c>
      <c r="AA559" t="s">
        <v>167</v>
      </c>
      <c r="AB559" t="s">
        <v>49</v>
      </c>
      <c r="AC559">
        <v>116.49</v>
      </c>
      <c r="AD559" t="s">
        <v>49</v>
      </c>
      <c r="AE559">
        <v>0</v>
      </c>
      <c r="AF559" s="3">
        <v>0</v>
      </c>
      <c r="AG559" t="s">
        <v>49</v>
      </c>
      <c r="AH559">
        <v>0</v>
      </c>
      <c r="AI559" t="s">
        <v>49</v>
      </c>
      <c r="AJ559" t="s">
        <v>49</v>
      </c>
      <c r="AK559" t="s">
        <v>49</v>
      </c>
      <c r="AL559" t="s">
        <v>49</v>
      </c>
      <c r="AM559" t="s">
        <v>49</v>
      </c>
      <c r="AN559" s="3">
        <v>15</v>
      </c>
      <c r="AO559" s="19">
        <v>0</v>
      </c>
      <c r="AP559" s="19">
        <v>0</v>
      </c>
      <c r="AQ559" s="19">
        <v>0.6667</v>
      </c>
      <c r="AR559" s="19">
        <v>0.0667</v>
      </c>
      <c r="AS559" s="19">
        <v>0</v>
      </c>
      <c r="AT559" s="19">
        <v>0</v>
      </c>
      <c r="AU559" s="3">
        <v>0</v>
      </c>
      <c r="AV559" s="3">
        <v>0</v>
      </c>
      <c r="AW559" s="19">
        <v>0</v>
      </c>
      <c r="AX559" s="3">
        <v>0</v>
      </c>
      <c r="AY559" s="3">
        <v>0</v>
      </c>
    </row>
    <row r="560" spans="1:51">
      <c r="A560" s="3">
        <v>15303668</v>
      </c>
      <c r="B560" t="s">
        <v>917</v>
      </c>
      <c r="C560" s="3">
        <v>134310199</v>
      </c>
      <c r="D560" t="s">
        <v>44</v>
      </c>
      <c r="E560" t="s">
        <v>453</v>
      </c>
      <c r="F560" t="s">
        <v>65</v>
      </c>
      <c r="G560" t="s">
        <v>47</v>
      </c>
      <c r="H560" s="16">
        <v>0</v>
      </c>
      <c r="I560" s="4">
        <f>VLOOKUP(C560,[1]sheet1!$D:$I,6,0)</f>
        <v>0</v>
      </c>
      <c r="J560" s="4">
        <f>VLOOKUP(C560,[2]sheet1!$D:$I,6,0)</f>
        <v>0</v>
      </c>
      <c r="K560" s="4">
        <f>VLOOKUP(C560,[3]sheet1!$D:$I,6,0)</f>
        <v>0</v>
      </c>
      <c r="L560" s="4">
        <f>VLOOKUP(C560,[4]sheet1!$D:$I,6,0)</f>
        <v>0</v>
      </c>
      <c r="M560" s="4">
        <f>VLOOKUP(C560,[5]sheet1!$D:$I,6,0)</f>
        <v>0</v>
      </c>
      <c r="N560" s="4">
        <f>VLOOKUP(C560,[6]sheet1!$D:$I,6,0)</f>
        <v>0</v>
      </c>
      <c r="O560" s="4">
        <f>VLOOKUP(C560,[7]sheet1!$D:$I,6,0)</f>
        <v>0</v>
      </c>
      <c r="P560" s="4">
        <f>VLOOKUP(C560,[8]sheet1!$D:$I,6,0)</f>
        <v>0</v>
      </c>
      <c r="Q560" s="4">
        <f t="shared" si="8"/>
        <v>0</v>
      </c>
      <c r="R560" s="3">
        <v>0</v>
      </c>
      <c r="S560" s="3">
        <v>5</v>
      </c>
      <c r="T560" s="19">
        <v>0</v>
      </c>
      <c r="U560" s="3">
        <v>0</v>
      </c>
      <c r="V560" s="3">
        <v>0</v>
      </c>
      <c r="W560">
        <v>0</v>
      </c>
      <c r="X560" s="3">
        <v>0</v>
      </c>
      <c r="Y560">
        <v>0</v>
      </c>
      <c r="Z560" s="3">
        <v>0</v>
      </c>
      <c r="AA560" t="s">
        <v>181</v>
      </c>
      <c r="AB560" t="s">
        <v>49</v>
      </c>
      <c r="AC560">
        <v>91.39</v>
      </c>
      <c r="AD560" t="s">
        <v>49</v>
      </c>
      <c r="AE560">
        <v>0</v>
      </c>
      <c r="AF560" s="3">
        <v>0</v>
      </c>
      <c r="AG560" t="s">
        <v>49</v>
      </c>
      <c r="AH560">
        <v>0</v>
      </c>
      <c r="AI560" t="s">
        <v>49</v>
      </c>
      <c r="AJ560" t="s">
        <v>49</v>
      </c>
      <c r="AK560" t="s">
        <v>49</v>
      </c>
      <c r="AL560" t="s">
        <v>49</v>
      </c>
      <c r="AM560" t="s">
        <v>49</v>
      </c>
      <c r="AN560" s="3">
        <v>5</v>
      </c>
      <c r="AO560" s="19">
        <v>0</v>
      </c>
      <c r="AP560" s="19">
        <v>0</v>
      </c>
      <c r="AQ560" s="19">
        <v>0.8</v>
      </c>
      <c r="AR560" s="19">
        <v>0.4</v>
      </c>
      <c r="AS560" s="19">
        <v>0</v>
      </c>
      <c r="AT560" s="19">
        <v>0</v>
      </c>
      <c r="AU560" s="3">
        <v>0</v>
      </c>
      <c r="AV560" s="3">
        <v>0</v>
      </c>
      <c r="AW560" s="19">
        <v>0</v>
      </c>
      <c r="AX560" s="3">
        <v>0</v>
      </c>
      <c r="AY560" s="3">
        <v>0</v>
      </c>
    </row>
    <row r="561" spans="1:51">
      <c r="A561" s="3">
        <v>15300321</v>
      </c>
      <c r="B561" t="s">
        <v>918</v>
      </c>
      <c r="C561" s="3">
        <v>124307162</v>
      </c>
      <c r="D561" t="s">
        <v>44</v>
      </c>
      <c r="E561" t="s">
        <v>290</v>
      </c>
      <c r="F561" t="s">
        <v>46</v>
      </c>
      <c r="G561" t="s">
        <v>47</v>
      </c>
      <c r="H561" s="16">
        <v>0</v>
      </c>
      <c r="I561" s="4">
        <f>VLOOKUP(C561,[1]sheet1!$D:$I,6,0)</f>
        <v>0</v>
      </c>
      <c r="J561" s="4">
        <f>VLOOKUP(C561,[2]sheet1!$D:$I,6,0)</f>
        <v>0</v>
      </c>
      <c r="K561" s="4">
        <f>VLOOKUP(C561,[3]sheet1!$D:$I,6,0)</f>
        <v>0</v>
      </c>
      <c r="L561" s="4">
        <f>VLOOKUP(C561,[4]sheet1!$D:$I,6,0)</f>
        <v>0</v>
      </c>
      <c r="M561" s="4">
        <f>VLOOKUP(C561,[5]sheet1!$D:$I,6,0)</f>
        <v>0</v>
      </c>
      <c r="N561" s="4">
        <f>VLOOKUP(C561,[6]sheet1!$D:$I,6,0)</f>
        <v>0</v>
      </c>
      <c r="O561" s="4">
        <f>VLOOKUP(C561,[7]sheet1!$D:$I,6,0)</f>
        <v>0</v>
      </c>
      <c r="P561" s="4">
        <f>VLOOKUP(C561,[8]sheet1!$D:$I,6,0)</f>
        <v>0</v>
      </c>
      <c r="Q561" s="15">
        <f t="shared" si="8"/>
        <v>0</v>
      </c>
      <c r="R561" s="3">
        <v>0</v>
      </c>
      <c r="S561">
        <v>0</v>
      </c>
      <c r="T561">
        <v>0</v>
      </c>
      <c r="U561" s="3">
        <v>0</v>
      </c>
      <c r="V561" s="3">
        <v>0</v>
      </c>
      <c r="W561">
        <v>0</v>
      </c>
      <c r="X561" s="3">
        <v>0</v>
      </c>
      <c r="Y561">
        <v>0</v>
      </c>
      <c r="Z561" s="3">
        <v>0</v>
      </c>
      <c r="AA561" t="s">
        <v>156</v>
      </c>
      <c r="AB561" s="3">
        <v>313</v>
      </c>
      <c r="AC561">
        <v>293.11</v>
      </c>
      <c r="AD561" t="s">
        <v>49</v>
      </c>
      <c r="AE561">
        <v>0</v>
      </c>
      <c r="AF561" s="3">
        <v>0</v>
      </c>
      <c r="AG561" t="s">
        <v>49</v>
      </c>
      <c r="AH561">
        <v>0</v>
      </c>
      <c r="AI561" t="s">
        <v>49</v>
      </c>
      <c r="AJ561">
        <v>260.92</v>
      </c>
      <c r="AK561" t="s">
        <v>49</v>
      </c>
      <c r="AL561">
        <v>0</v>
      </c>
      <c r="AM561" t="s">
        <v>49</v>
      </c>
      <c r="AN561" s="3">
        <v>0</v>
      </c>
      <c r="AO561" s="19">
        <v>0</v>
      </c>
      <c r="AP561" s="19">
        <v>0</v>
      </c>
      <c r="AQ561" s="19">
        <v>0</v>
      </c>
      <c r="AR561" s="19">
        <v>0</v>
      </c>
      <c r="AS561" s="19">
        <v>0</v>
      </c>
      <c r="AT561" s="19">
        <v>0</v>
      </c>
      <c r="AU561" s="3">
        <v>0</v>
      </c>
      <c r="AV561" s="3">
        <v>0</v>
      </c>
      <c r="AW561" s="19">
        <v>0</v>
      </c>
      <c r="AX561" s="3">
        <v>0</v>
      </c>
      <c r="AY561" s="3">
        <v>0</v>
      </c>
    </row>
    <row r="562" spans="1:51">
      <c r="A562" s="3">
        <v>15299364</v>
      </c>
      <c r="B562" t="s">
        <v>919</v>
      </c>
      <c r="C562" s="3">
        <v>114376129</v>
      </c>
      <c r="D562" t="s">
        <v>44</v>
      </c>
      <c r="E562" t="s">
        <v>330</v>
      </c>
      <c r="F562" t="s">
        <v>46</v>
      </c>
      <c r="G562" t="s">
        <v>47</v>
      </c>
      <c r="H562" s="16">
        <v>0</v>
      </c>
      <c r="I562" s="4">
        <f>VLOOKUP(C562,[1]sheet1!$D:$I,6,0)</f>
        <v>0</v>
      </c>
      <c r="J562" s="4">
        <f>VLOOKUP(C562,[2]sheet1!$D:$I,6,0)</f>
        <v>0</v>
      </c>
      <c r="K562" s="4">
        <f>VLOOKUP(C562,[3]sheet1!$D:$I,6,0)</f>
        <v>0</v>
      </c>
      <c r="L562" s="4">
        <f>VLOOKUP(C562,[4]sheet1!$D:$I,6,0)</f>
        <v>0</v>
      </c>
      <c r="M562" s="4">
        <f>VLOOKUP(C562,[5]sheet1!$D:$I,6,0)</f>
        <v>0</v>
      </c>
      <c r="N562" s="4">
        <f>VLOOKUP(C562,[6]sheet1!$D:$I,6,0)</f>
        <v>0</v>
      </c>
      <c r="O562" s="4">
        <f>VLOOKUP(C562,[7]sheet1!$D:$I,6,0)</f>
        <v>0</v>
      </c>
      <c r="P562" s="4">
        <f>VLOOKUP(C562,[8]sheet1!$D:$I,6,0)</f>
        <v>711</v>
      </c>
      <c r="Q562" s="4">
        <f t="shared" si="8"/>
        <v>711</v>
      </c>
      <c r="R562" s="3">
        <v>0</v>
      </c>
      <c r="S562">
        <v>152</v>
      </c>
      <c r="T562">
        <v>0</v>
      </c>
      <c r="U562" s="3">
        <v>0</v>
      </c>
      <c r="V562" s="3">
        <v>0</v>
      </c>
      <c r="W562">
        <v>0</v>
      </c>
      <c r="X562" s="3">
        <v>0</v>
      </c>
      <c r="Y562">
        <v>0</v>
      </c>
      <c r="Z562" s="3">
        <v>0</v>
      </c>
      <c r="AA562" t="s">
        <v>920</v>
      </c>
      <c r="AB562" s="3">
        <v>635</v>
      </c>
      <c r="AC562">
        <v>677.49</v>
      </c>
      <c r="AD562" t="s">
        <v>49</v>
      </c>
      <c r="AE562">
        <v>0</v>
      </c>
      <c r="AF562" s="3">
        <v>0</v>
      </c>
      <c r="AG562" t="s">
        <v>49</v>
      </c>
      <c r="AH562">
        <v>0</v>
      </c>
      <c r="AI562" t="s">
        <v>49</v>
      </c>
      <c r="AJ562">
        <v>542.64</v>
      </c>
      <c r="AK562" t="s">
        <v>49</v>
      </c>
      <c r="AL562">
        <v>0</v>
      </c>
      <c r="AM562" t="s">
        <v>49</v>
      </c>
      <c r="AN562" s="3">
        <v>30</v>
      </c>
      <c r="AO562" s="19">
        <v>0</v>
      </c>
      <c r="AP562" s="19">
        <v>0</v>
      </c>
      <c r="AQ562" s="19">
        <v>0.5882</v>
      </c>
      <c r="AR562" s="19">
        <v>0.1765</v>
      </c>
      <c r="AS562" s="19">
        <v>0</v>
      </c>
      <c r="AT562" s="19">
        <v>0</v>
      </c>
      <c r="AU562" s="3">
        <v>0</v>
      </c>
      <c r="AV562" s="3">
        <v>0</v>
      </c>
      <c r="AW562" s="19">
        <v>0</v>
      </c>
      <c r="AX562" s="3">
        <v>0</v>
      </c>
      <c r="AY562" s="3">
        <v>0</v>
      </c>
    </row>
    <row r="563" spans="1:51">
      <c r="A563" s="3">
        <v>15287101</v>
      </c>
      <c r="B563" t="s">
        <v>921</v>
      </c>
      <c r="C563" s="3">
        <v>114301065</v>
      </c>
      <c r="D563" t="s">
        <v>44</v>
      </c>
      <c r="E563" t="s">
        <v>104</v>
      </c>
      <c r="F563" t="s">
        <v>65</v>
      </c>
      <c r="G563" t="s">
        <v>47</v>
      </c>
      <c r="H563" s="16">
        <v>0</v>
      </c>
      <c r="I563" s="4">
        <f>VLOOKUP(C563,[1]sheet1!$D:$I,6,0)</f>
        <v>0</v>
      </c>
      <c r="J563" s="4">
        <f>VLOOKUP(C563,[2]sheet1!$D:$I,6,0)</f>
        <v>0</v>
      </c>
      <c r="K563" s="4">
        <f>VLOOKUP(C563,[3]sheet1!$D:$I,6,0)</f>
        <v>0</v>
      </c>
      <c r="L563" s="4">
        <f>VLOOKUP(C563,[4]sheet1!$D:$I,6,0)</f>
        <v>0</v>
      </c>
      <c r="M563" s="4">
        <f>VLOOKUP(C563,[5]sheet1!$D:$I,6,0)</f>
        <v>0</v>
      </c>
      <c r="N563" s="4">
        <f>VLOOKUP(C563,[6]sheet1!$D:$I,6,0)</f>
        <v>0</v>
      </c>
      <c r="O563" s="4">
        <f>VLOOKUP(C563,[7]sheet1!$D:$I,6,0)</f>
        <v>0</v>
      </c>
      <c r="P563" s="4">
        <f>VLOOKUP(C563,[8]sheet1!$D:$I,6,0)</f>
        <v>0</v>
      </c>
      <c r="Q563" s="4">
        <f t="shared" si="8"/>
        <v>0</v>
      </c>
      <c r="R563" s="3">
        <v>0</v>
      </c>
      <c r="S563" s="3">
        <v>16</v>
      </c>
      <c r="T563" s="19">
        <v>0</v>
      </c>
      <c r="U563" s="3">
        <v>0</v>
      </c>
      <c r="V563" s="3">
        <v>0</v>
      </c>
      <c r="W563">
        <v>0</v>
      </c>
      <c r="X563" s="3">
        <v>0</v>
      </c>
      <c r="Y563">
        <v>0</v>
      </c>
      <c r="Z563" s="3">
        <v>0</v>
      </c>
      <c r="AA563" t="s">
        <v>274</v>
      </c>
      <c r="AB563" t="s">
        <v>49</v>
      </c>
      <c r="AC563">
        <v>764.69</v>
      </c>
      <c r="AD563" t="s">
        <v>49</v>
      </c>
      <c r="AE563">
        <v>0</v>
      </c>
      <c r="AF563" s="3">
        <v>0</v>
      </c>
      <c r="AG563" t="s">
        <v>49</v>
      </c>
      <c r="AH563">
        <v>0</v>
      </c>
      <c r="AI563" t="s">
        <v>49</v>
      </c>
      <c r="AJ563" t="s">
        <v>49</v>
      </c>
      <c r="AK563" t="s">
        <v>49</v>
      </c>
      <c r="AL563" t="s">
        <v>49</v>
      </c>
      <c r="AM563" t="s">
        <v>49</v>
      </c>
      <c r="AN563" s="3">
        <v>19</v>
      </c>
      <c r="AO563" s="19">
        <v>0</v>
      </c>
      <c r="AP563" s="19">
        <v>0</v>
      </c>
      <c r="AQ563" s="19">
        <v>0.9375</v>
      </c>
      <c r="AR563" s="19">
        <v>0.5625</v>
      </c>
      <c r="AS563" s="19">
        <v>0</v>
      </c>
      <c r="AT563" s="19">
        <v>0</v>
      </c>
      <c r="AU563" s="3">
        <v>0</v>
      </c>
      <c r="AV563" s="3">
        <v>0</v>
      </c>
      <c r="AW563" s="19">
        <v>0</v>
      </c>
      <c r="AX563" s="3">
        <v>0</v>
      </c>
      <c r="AY563" s="3">
        <v>0</v>
      </c>
    </row>
    <row r="564" spans="1:51">
      <c r="A564" s="3">
        <v>15273061</v>
      </c>
      <c r="B564" t="s">
        <v>922</v>
      </c>
      <c r="C564" s="3">
        <v>134310200</v>
      </c>
      <c r="D564" t="s">
        <v>44</v>
      </c>
      <c r="E564" t="s">
        <v>442</v>
      </c>
      <c r="F564" t="s">
        <v>65</v>
      </c>
      <c r="G564" t="s">
        <v>47</v>
      </c>
      <c r="H564" s="16">
        <v>0</v>
      </c>
      <c r="I564" s="4">
        <f>VLOOKUP(C564,[1]sheet1!$D:$I,6,0)</f>
        <v>0</v>
      </c>
      <c r="J564" s="4">
        <f>VLOOKUP(C564,[2]sheet1!$D:$I,6,0)</f>
        <v>0</v>
      </c>
      <c r="K564" s="4">
        <f>VLOOKUP(C564,[3]sheet1!$D:$I,6,0)</f>
        <v>0</v>
      </c>
      <c r="L564" s="4">
        <f>VLOOKUP(C564,[4]sheet1!$D:$I,6,0)</f>
        <v>0</v>
      </c>
      <c r="M564" s="4">
        <f>VLOOKUP(C564,[5]sheet1!$D:$I,6,0)</f>
        <v>0</v>
      </c>
      <c r="N564" s="4">
        <f>VLOOKUP(C564,[6]sheet1!$D:$I,6,0)</f>
        <v>0</v>
      </c>
      <c r="O564" s="4">
        <f>VLOOKUP(C564,[7]sheet1!$D:$I,6,0)</f>
        <v>0</v>
      </c>
      <c r="P564" s="4">
        <f>VLOOKUP(C564,[8]sheet1!$D:$I,6,0)</f>
        <v>0</v>
      </c>
      <c r="Q564" s="4">
        <f t="shared" si="8"/>
        <v>0</v>
      </c>
      <c r="R564" s="3">
        <v>0</v>
      </c>
      <c r="S564" s="3">
        <v>8</v>
      </c>
      <c r="T564" s="19">
        <v>0</v>
      </c>
      <c r="U564" s="3">
        <v>0</v>
      </c>
      <c r="V564" s="3">
        <v>0</v>
      </c>
      <c r="W564">
        <v>0</v>
      </c>
      <c r="X564" s="3">
        <v>0</v>
      </c>
      <c r="Y564">
        <v>0</v>
      </c>
      <c r="Z564" s="3">
        <v>0</v>
      </c>
      <c r="AA564" t="s">
        <v>167</v>
      </c>
      <c r="AB564" t="s">
        <v>49</v>
      </c>
      <c r="AC564">
        <v>116.79</v>
      </c>
      <c r="AD564" t="s">
        <v>49</v>
      </c>
      <c r="AE564">
        <v>0</v>
      </c>
      <c r="AF564" s="3">
        <v>0</v>
      </c>
      <c r="AG564" t="s">
        <v>49</v>
      </c>
      <c r="AH564">
        <v>0</v>
      </c>
      <c r="AI564" t="s">
        <v>49</v>
      </c>
      <c r="AJ564" t="s">
        <v>49</v>
      </c>
      <c r="AK564" t="s">
        <v>49</v>
      </c>
      <c r="AL564" t="s">
        <v>49</v>
      </c>
      <c r="AM564" t="s">
        <v>49</v>
      </c>
      <c r="AN564" s="3">
        <v>9</v>
      </c>
      <c r="AO564" s="19">
        <v>0</v>
      </c>
      <c r="AP564" s="19">
        <v>0</v>
      </c>
      <c r="AQ564" s="19">
        <v>0.875</v>
      </c>
      <c r="AR564" s="19">
        <v>0.125</v>
      </c>
      <c r="AS564" s="19">
        <v>0</v>
      </c>
      <c r="AT564" s="19">
        <v>0</v>
      </c>
      <c r="AU564" s="3">
        <v>0</v>
      </c>
      <c r="AV564" s="3">
        <v>0</v>
      </c>
      <c r="AW564" s="19">
        <v>0</v>
      </c>
      <c r="AX564" s="3">
        <v>0</v>
      </c>
      <c r="AY564" s="3">
        <v>0</v>
      </c>
    </row>
    <row r="565" spans="1:51">
      <c r="A565" s="3">
        <v>15269733</v>
      </c>
      <c r="B565" t="s">
        <v>923</v>
      </c>
      <c r="C565" s="3">
        <v>114307175</v>
      </c>
      <c r="D565" t="s">
        <v>44</v>
      </c>
      <c r="E565" t="s">
        <v>185</v>
      </c>
      <c r="F565" t="s">
        <v>46</v>
      </c>
      <c r="G565" t="s">
        <v>47</v>
      </c>
      <c r="H565" s="16">
        <v>0</v>
      </c>
      <c r="I565" s="4">
        <f>VLOOKUP(C565,[1]sheet1!$D:$I,6,0)</f>
        <v>0</v>
      </c>
      <c r="J565" s="4">
        <f>VLOOKUP(C565,[2]sheet1!$D:$I,6,0)</f>
        <v>0</v>
      </c>
      <c r="K565" s="4">
        <f>VLOOKUP(C565,[3]sheet1!$D:$I,6,0)</f>
        <v>0</v>
      </c>
      <c r="L565" s="4">
        <f>VLOOKUP(C565,[4]sheet1!$D:$I,6,0)</f>
        <v>0</v>
      </c>
      <c r="M565" s="4">
        <f>VLOOKUP(C565,[5]sheet1!$D:$I,6,0)</f>
        <v>0</v>
      </c>
      <c r="N565" s="4">
        <f>VLOOKUP(C565,[6]sheet1!$D:$I,6,0)</f>
        <v>0</v>
      </c>
      <c r="O565" s="4">
        <f>VLOOKUP(C565,[7]sheet1!$D:$I,6,0)</f>
        <v>0</v>
      </c>
      <c r="P565" s="4">
        <f>VLOOKUP(C565,[8]sheet1!$D:$I,6,0)</f>
        <v>0</v>
      </c>
      <c r="Q565" s="15">
        <f t="shared" si="8"/>
        <v>0</v>
      </c>
      <c r="R565" s="3">
        <v>0</v>
      </c>
      <c r="S565">
        <v>52</v>
      </c>
      <c r="T565">
        <v>0</v>
      </c>
      <c r="U565" s="3">
        <v>0</v>
      </c>
      <c r="V565" s="3">
        <v>0</v>
      </c>
      <c r="W565">
        <v>0</v>
      </c>
      <c r="X565" s="3">
        <v>0</v>
      </c>
      <c r="Y565">
        <v>0</v>
      </c>
      <c r="Z565" s="3">
        <v>0</v>
      </c>
      <c r="AA565" t="s">
        <v>261</v>
      </c>
      <c r="AB565" s="3">
        <v>277</v>
      </c>
      <c r="AC565">
        <v>329.39</v>
      </c>
      <c r="AD565" t="s">
        <v>49</v>
      </c>
      <c r="AE565">
        <v>0</v>
      </c>
      <c r="AF565" s="3">
        <v>0</v>
      </c>
      <c r="AG565" t="s">
        <v>49</v>
      </c>
      <c r="AH565">
        <v>0</v>
      </c>
      <c r="AI565" t="s">
        <v>49</v>
      </c>
      <c r="AJ565">
        <v>231.08</v>
      </c>
      <c r="AK565" t="s">
        <v>49</v>
      </c>
      <c r="AL565">
        <v>0</v>
      </c>
      <c r="AM565" t="s">
        <v>49</v>
      </c>
      <c r="AN565">
        <v>52</v>
      </c>
      <c r="AO565" s="19">
        <v>0</v>
      </c>
      <c r="AP565" s="19">
        <v>0</v>
      </c>
      <c r="AQ565" s="19">
        <v>0.5</v>
      </c>
      <c r="AR565" s="19">
        <v>0</v>
      </c>
      <c r="AS565" s="19">
        <v>0</v>
      </c>
      <c r="AT565" s="19">
        <v>0</v>
      </c>
      <c r="AU565" s="3">
        <v>0</v>
      </c>
      <c r="AV565" s="3">
        <v>0</v>
      </c>
      <c r="AW565" s="19">
        <v>0</v>
      </c>
      <c r="AX565" s="3">
        <v>0</v>
      </c>
      <c r="AY565" s="3">
        <v>0</v>
      </c>
    </row>
    <row r="566" spans="1:51">
      <c r="A566" s="3">
        <v>15267745</v>
      </c>
      <c r="B566" t="s">
        <v>924</v>
      </c>
      <c r="C566" s="3">
        <v>114310201</v>
      </c>
      <c r="D566" t="s">
        <v>44</v>
      </c>
      <c r="E566" t="s">
        <v>117</v>
      </c>
      <c r="F566" t="s">
        <v>46</v>
      </c>
      <c r="G566" t="s">
        <v>47</v>
      </c>
      <c r="H566" s="16">
        <v>0</v>
      </c>
      <c r="I566" s="4">
        <f>VLOOKUP(C566,[1]sheet1!$D:$I,6,0)</f>
        <v>0</v>
      </c>
      <c r="J566" s="4">
        <f>VLOOKUP(C566,[2]sheet1!$D:$I,6,0)</f>
        <v>0</v>
      </c>
      <c r="K566" s="4">
        <f>VLOOKUP(C566,[3]sheet1!$D:$I,6,0)</f>
        <v>272</v>
      </c>
      <c r="L566" s="4">
        <f>VLOOKUP(C566,[4]sheet1!$D:$I,6,0)</f>
        <v>0</v>
      </c>
      <c r="M566" s="4">
        <f>VLOOKUP(C566,[5]sheet1!$D:$I,6,0)</f>
        <v>0</v>
      </c>
      <c r="N566" s="4">
        <f>VLOOKUP(C566,[6]sheet1!$D:$I,6,0)</f>
        <v>0</v>
      </c>
      <c r="O566" s="4">
        <f>VLOOKUP(C566,[7]sheet1!$D:$I,6,0)</f>
        <v>0</v>
      </c>
      <c r="P566" s="4">
        <f>VLOOKUP(C566,[8]sheet1!$D:$I,6,0)</f>
        <v>0</v>
      </c>
      <c r="Q566" s="4">
        <f t="shared" si="8"/>
        <v>272</v>
      </c>
      <c r="R566" s="3">
        <v>0</v>
      </c>
      <c r="S566">
        <v>104</v>
      </c>
      <c r="T566">
        <v>0</v>
      </c>
      <c r="U566" s="3">
        <v>0</v>
      </c>
      <c r="V566" s="3">
        <v>0</v>
      </c>
      <c r="W566">
        <v>0</v>
      </c>
      <c r="X566" s="3">
        <v>0</v>
      </c>
      <c r="Y566">
        <v>0</v>
      </c>
      <c r="Z566" s="3">
        <v>0</v>
      </c>
      <c r="AA566" t="s">
        <v>908</v>
      </c>
      <c r="AB566" s="3">
        <v>270</v>
      </c>
      <c r="AC566">
        <v>225.09</v>
      </c>
      <c r="AD566" t="s">
        <v>49</v>
      </c>
      <c r="AE566">
        <v>0</v>
      </c>
      <c r="AF566" s="3">
        <v>0</v>
      </c>
      <c r="AG566" t="s">
        <v>49</v>
      </c>
      <c r="AH566">
        <v>0</v>
      </c>
      <c r="AI566" t="s">
        <v>49</v>
      </c>
      <c r="AJ566" t="s">
        <v>49</v>
      </c>
      <c r="AK566" t="s">
        <v>49</v>
      </c>
      <c r="AL566" t="s">
        <v>49</v>
      </c>
      <c r="AM566" t="s">
        <v>49</v>
      </c>
      <c r="AN566" s="3">
        <v>8</v>
      </c>
      <c r="AO566" s="19">
        <v>0</v>
      </c>
      <c r="AP566" s="19">
        <v>0</v>
      </c>
      <c r="AQ566" s="19">
        <v>0.5</v>
      </c>
      <c r="AR566" s="19">
        <v>0.25</v>
      </c>
      <c r="AS566" s="19">
        <v>0</v>
      </c>
      <c r="AT566" s="19">
        <v>0</v>
      </c>
      <c r="AU566" s="3">
        <v>0</v>
      </c>
      <c r="AV566" s="3">
        <v>0</v>
      </c>
      <c r="AW566" s="19">
        <v>0</v>
      </c>
      <c r="AX566" s="3">
        <v>0</v>
      </c>
      <c r="AY566" s="3">
        <v>0</v>
      </c>
    </row>
    <row r="567" spans="1:51">
      <c r="A567" s="3">
        <v>15050409</v>
      </c>
      <c r="B567" t="s">
        <v>925</v>
      </c>
      <c r="C567" s="3">
        <v>11340305</v>
      </c>
      <c r="D567" t="s">
        <v>44</v>
      </c>
      <c r="E567" t="s">
        <v>330</v>
      </c>
      <c r="F567" t="s">
        <v>46</v>
      </c>
      <c r="G567" t="s">
        <v>47</v>
      </c>
      <c r="H567" s="16">
        <v>0</v>
      </c>
      <c r="I567" s="4">
        <f>VLOOKUP(C567,[1]sheet1!$D:$I,6,0)</f>
        <v>0</v>
      </c>
      <c r="J567" s="4">
        <f>VLOOKUP(C567,[2]sheet1!$D:$I,6,0)</f>
        <v>0</v>
      </c>
      <c r="K567" s="4">
        <f>VLOOKUP(C567,[3]sheet1!$D:$I,6,0)</f>
        <v>0</v>
      </c>
      <c r="L567" s="4">
        <f>VLOOKUP(C567,[4]sheet1!$D:$I,6,0)</f>
        <v>0</v>
      </c>
      <c r="M567" s="4">
        <f>VLOOKUP(C567,[5]sheet1!$D:$I,6,0)</f>
        <v>0</v>
      </c>
      <c r="N567" s="4">
        <f>VLOOKUP(C567,[6]sheet1!$D:$I,6,0)</f>
        <v>0</v>
      </c>
      <c r="O567" s="4">
        <f>VLOOKUP(C567,[7]sheet1!$D:$I,6,0)</f>
        <v>0</v>
      </c>
      <c r="P567" s="4">
        <f>VLOOKUP(C567,[8]sheet1!$D:$I,6,0)</f>
        <v>1208</v>
      </c>
      <c r="Q567" s="4">
        <f t="shared" si="8"/>
        <v>1208</v>
      </c>
      <c r="R567" s="3">
        <v>0</v>
      </c>
      <c r="S567">
        <v>110</v>
      </c>
      <c r="T567">
        <v>0</v>
      </c>
      <c r="U567" s="3">
        <v>3</v>
      </c>
      <c r="V567" s="3">
        <v>0</v>
      </c>
      <c r="W567">
        <v>0</v>
      </c>
      <c r="X567" s="3">
        <v>0</v>
      </c>
      <c r="Y567">
        <v>0</v>
      </c>
      <c r="Z567" s="3">
        <v>0</v>
      </c>
      <c r="AA567" t="s">
        <v>112</v>
      </c>
      <c r="AB567" s="3">
        <v>618</v>
      </c>
      <c r="AC567">
        <v>598.32</v>
      </c>
      <c r="AD567" t="s">
        <v>49</v>
      </c>
      <c r="AE567">
        <v>0</v>
      </c>
      <c r="AF567" s="3">
        <v>0</v>
      </c>
      <c r="AG567" t="s">
        <v>49</v>
      </c>
      <c r="AH567">
        <v>0</v>
      </c>
      <c r="AI567" t="s">
        <v>49</v>
      </c>
      <c r="AJ567">
        <v>527.85</v>
      </c>
      <c r="AK567" t="s">
        <v>49</v>
      </c>
      <c r="AL567">
        <v>0</v>
      </c>
      <c r="AM567" t="s">
        <v>49</v>
      </c>
      <c r="AN567" s="3">
        <v>18</v>
      </c>
      <c r="AO567" s="19">
        <v>0</v>
      </c>
      <c r="AP567" s="19">
        <v>0</v>
      </c>
      <c r="AQ567" s="19">
        <v>0.6667</v>
      </c>
      <c r="AR567" s="19">
        <v>0.2222</v>
      </c>
      <c r="AS567" s="19">
        <v>1</v>
      </c>
      <c r="AT567" s="19">
        <v>0</v>
      </c>
      <c r="AU567" s="3">
        <v>0</v>
      </c>
      <c r="AV567" s="3">
        <v>0</v>
      </c>
      <c r="AW567" s="19">
        <v>0</v>
      </c>
      <c r="AX567" s="3">
        <v>0</v>
      </c>
      <c r="AY567" s="3">
        <v>0</v>
      </c>
    </row>
    <row r="568" spans="1:51">
      <c r="A568" s="3">
        <v>15011011</v>
      </c>
      <c r="B568" t="s">
        <v>926</v>
      </c>
      <c r="C568" s="3">
        <v>114315385</v>
      </c>
      <c r="D568" t="s">
        <v>44</v>
      </c>
      <c r="E568" t="s">
        <v>54</v>
      </c>
      <c r="F568" t="s">
        <v>46</v>
      </c>
      <c r="G568" t="s">
        <v>47</v>
      </c>
      <c r="H568" s="16">
        <v>0</v>
      </c>
      <c r="I568" s="4">
        <f>VLOOKUP(C568,[1]sheet1!$D:$I,6,0)</f>
        <v>0</v>
      </c>
      <c r="J568" s="4">
        <f>VLOOKUP(C568,[2]sheet1!$D:$I,6,0)</f>
        <v>0</v>
      </c>
      <c r="K568" s="4">
        <f>VLOOKUP(C568,[3]sheet1!$D:$I,6,0)</f>
        <v>0</v>
      </c>
      <c r="L568" s="4">
        <f>VLOOKUP(C568,[4]sheet1!$D:$I,6,0)</f>
        <v>0</v>
      </c>
      <c r="M568" s="4">
        <f>VLOOKUP(C568,[5]sheet1!$D:$I,6,0)</f>
        <v>0</v>
      </c>
      <c r="N568" s="4">
        <f>VLOOKUP(C568,[6]sheet1!$D:$I,6,0)</f>
        <v>0</v>
      </c>
      <c r="O568" s="4">
        <f>VLOOKUP(C568,[7]sheet1!$D:$I,6,0)</f>
        <v>0</v>
      </c>
      <c r="P568" s="4">
        <f>VLOOKUP(C568,[8]sheet1!$D:$I,6,0)</f>
        <v>0</v>
      </c>
      <c r="Q568" s="4">
        <f t="shared" si="8"/>
        <v>0</v>
      </c>
      <c r="R568" s="3">
        <v>0</v>
      </c>
      <c r="S568">
        <v>208</v>
      </c>
      <c r="T568">
        <v>0</v>
      </c>
      <c r="U568" s="3">
        <v>1</v>
      </c>
      <c r="V568" s="3">
        <v>0</v>
      </c>
      <c r="W568">
        <v>0</v>
      </c>
      <c r="X568" s="3">
        <v>0</v>
      </c>
      <c r="Y568">
        <v>0</v>
      </c>
      <c r="Z568" s="3">
        <v>0</v>
      </c>
      <c r="AA568" t="s">
        <v>70</v>
      </c>
      <c r="AB568" s="3">
        <v>174</v>
      </c>
      <c r="AC568">
        <v>209.42</v>
      </c>
      <c r="AD568" t="s">
        <v>49</v>
      </c>
      <c r="AE568">
        <v>0</v>
      </c>
      <c r="AF568" s="3">
        <v>0</v>
      </c>
      <c r="AG568" t="s">
        <v>49</v>
      </c>
      <c r="AH568">
        <v>0</v>
      </c>
      <c r="AI568" t="s">
        <v>49</v>
      </c>
      <c r="AJ568">
        <v>144.17</v>
      </c>
      <c r="AK568" t="s">
        <v>49</v>
      </c>
      <c r="AL568">
        <v>0</v>
      </c>
      <c r="AM568" t="s">
        <v>49</v>
      </c>
      <c r="AN568" s="3">
        <v>46</v>
      </c>
      <c r="AO568" s="19">
        <v>0</v>
      </c>
      <c r="AP568" s="19">
        <v>0</v>
      </c>
      <c r="AQ568" s="19">
        <v>0.7188</v>
      </c>
      <c r="AR568" s="19">
        <v>0.375</v>
      </c>
      <c r="AS568" s="19">
        <v>1</v>
      </c>
      <c r="AT568" s="19">
        <v>1</v>
      </c>
      <c r="AU568" s="3">
        <v>0</v>
      </c>
      <c r="AV568" s="3">
        <v>0</v>
      </c>
      <c r="AW568" s="19">
        <v>0</v>
      </c>
      <c r="AX568" s="3">
        <v>0</v>
      </c>
      <c r="AY568" s="3">
        <v>0</v>
      </c>
    </row>
    <row r="569" spans="1:51">
      <c r="A569" s="3">
        <v>15004395</v>
      </c>
      <c r="B569" t="s">
        <v>927</v>
      </c>
      <c r="C569" s="3">
        <v>124315390</v>
      </c>
      <c r="D569" t="s">
        <v>44</v>
      </c>
      <c r="E569" t="s">
        <v>873</v>
      </c>
      <c r="F569" t="s">
        <v>65</v>
      </c>
      <c r="G569" t="s">
        <v>47</v>
      </c>
      <c r="H569" s="16">
        <v>0</v>
      </c>
      <c r="I569" s="4">
        <f>VLOOKUP(C569,[1]sheet1!$D:$I,6,0)</f>
        <v>0</v>
      </c>
      <c r="J569" s="4">
        <f>VLOOKUP(C569,[2]sheet1!$D:$I,6,0)</f>
        <v>0</v>
      </c>
      <c r="K569" s="4">
        <f>VLOOKUP(C569,[3]sheet1!$D:$I,6,0)</f>
        <v>0</v>
      </c>
      <c r="L569" s="4">
        <f>VLOOKUP(C569,[4]sheet1!$D:$I,6,0)</f>
        <v>0</v>
      </c>
      <c r="M569" s="4">
        <f>VLOOKUP(C569,[5]sheet1!$D:$I,6,0)</f>
        <v>0</v>
      </c>
      <c r="N569" s="4">
        <f>VLOOKUP(C569,[6]sheet1!$D:$I,6,0)</f>
        <v>0</v>
      </c>
      <c r="O569" s="4">
        <f>VLOOKUP(C569,[7]sheet1!$D:$I,6,0)</f>
        <v>0</v>
      </c>
      <c r="P569" s="4">
        <f>VLOOKUP(C569,[8]sheet1!$D:$I,6,0)</f>
        <v>0</v>
      </c>
      <c r="Q569" s="4">
        <f t="shared" si="8"/>
        <v>0</v>
      </c>
      <c r="R569" s="3">
        <v>0</v>
      </c>
      <c r="S569" s="3">
        <v>1</v>
      </c>
      <c r="T569" s="19">
        <v>0</v>
      </c>
      <c r="U569" s="3">
        <v>0</v>
      </c>
      <c r="V569" s="3">
        <v>0</v>
      </c>
      <c r="W569">
        <v>0</v>
      </c>
      <c r="X569" s="3">
        <v>0</v>
      </c>
      <c r="Y569">
        <v>0</v>
      </c>
      <c r="Z569" s="3">
        <v>0</v>
      </c>
      <c r="AA569" t="s">
        <v>139</v>
      </c>
      <c r="AB569" t="s">
        <v>49</v>
      </c>
      <c r="AC569">
        <v>311.72</v>
      </c>
      <c r="AD569" t="s">
        <v>49</v>
      </c>
      <c r="AE569">
        <v>0</v>
      </c>
      <c r="AF569" s="3">
        <v>0</v>
      </c>
      <c r="AG569" t="s">
        <v>49</v>
      </c>
      <c r="AH569">
        <v>0</v>
      </c>
      <c r="AI569" t="s">
        <v>49</v>
      </c>
      <c r="AJ569" t="s">
        <v>49</v>
      </c>
      <c r="AK569" t="s">
        <v>49</v>
      </c>
      <c r="AL569" t="s">
        <v>49</v>
      </c>
      <c r="AM569" t="s">
        <v>49</v>
      </c>
      <c r="AN569" s="3">
        <v>1</v>
      </c>
      <c r="AO569" s="19">
        <v>0</v>
      </c>
      <c r="AP569" s="19">
        <v>0</v>
      </c>
      <c r="AQ569" s="19">
        <v>0</v>
      </c>
      <c r="AR569" s="19">
        <v>0</v>
      </c>
      <c r="AS569" s="19">
        <v>0</v>
      </c>
      <c r="AT569" s="19">
        <v>0</v>
      </c>
      <c r="AU569" s="3">
        <v>0</v>
      </c>
      <c r="AV569" s="3">
        <v>0</v>
      </c>
      <c r="AW569" s="19">
        <v>0</v>
      </c>
      <c r="AX569" s="3">
        <v>0</v>
      </c>
      <c r="AY569" s="3">
        <v>0</v>
      </c>
    </row>
    <row r="570" spans="1:51">
      <c r="A570" s="3">
        <v>15002630</v>
      </c>
      <c r="B570" t="s">
        <v>928</v>
      </c>
      <c r="C570" s="3">
        <v>114314377</v>
      </c>
      <c r="D570" t="s">
        <v>44</v>
      </c>
      <c r="E570" t="s">
        <v>185</v>
      </c>
      <c r="F570" t="s">
        <v>46</v>
      </c>
      <c r="G570" t="s">
        <v>47</v>
      </c>
      <c r="H570" s="16">
        <v>0</v>
      </c>
      <c r="I570" s="4">
        <f>VLOOKUP(C570,[1]sheet1!$D:$I,6,0)</f>
        <v>0</v>
      </c>
      <c r="J570" s="4">
        <f>VLOOKUP(C570,[2]sheet1!$D:$I,6,0)</f>
        <v>0</v>
      </c>
      <c r="K570" s="4">
        <f>VLOOKUP(C570,[3]sheet1!$D:$I,6,0)</f>
        <v>0</v>
      </c>
      <c r="L570" s="4">
        <f>VLOOKUP(C570,[4]sheet1!$D:$I,6,0)</f>
        <v>0</v>
      </c>
      <c r="M570" s="4">
        <f>VLOOKUP(C570,[5]sheet1!$D:$I,6,0)</f>
        <v>0</v>
      </c>
      <c r="N570" s="4">
        <f>VLOOKUP(C570,[6]sheet1!$D:$I,6,0)</f>
        <v>0</v>
      </c>
      <c r="O570" s="4">
        <f>VLOOKUP(C570,[7]sheet1!$D:$I,6,0)</f>
        <v>0</v>
      </c>
      <c r="P570" s="4">
        <f>VLOOKUP(C570,[8]sheet1!$D:$I,6,0)</f>
        <v>264</v>
      </c>
      <c r="Q570" s="15">
        <f t="shared" si="8"/>
        <v>264</v>
      </c>
      <c r="R570" s="3">
        <v>0</v>
      </c>
      <c r="S570">
        <v>147</v>
      </c>
      <c r="T570">
        <v>0</v>
      </c>
      <c r="U570" s="3">
        <v>0</v>
      </c>
      <c r="V570" s="3">
        <v>0</v>
      </c>
      <c r="W570">
        <v>0</v>
      </c>
      <c r="X570" s="3">
        <v>0</v>
      </c>
      <c r="Y570">
        <v>0</v>
      </c>
      <c r="Z570" s="3">
        <v>0</v>
      </c>
      <c r="AA570" t="s">
        <v>175</v>
      </c>
      <c r="AB570" s="3">
        <v>290</v>
      </c>
      <c r="AC570">
        <v>242.39</v>
      </c>
      <c r="AD570" t="s">
        <v>49</v>
      </c>
      <c r="AE570">
        <v>0</v>
      </c>
      <c r="AF570" s="3">
        <v>0</v>
      </c>
      <c r="AG570" t="s">
        <v>49</v>
      </c>
      <c r="AH570">
        <v>0</v>
      </c>
      <c r="AI570" t="s">
        <v>49</v>
      </c>
      <c r="AJ570" t="s">
        <v>49</v>
      </c>
      <c r="AK570" t="s">
        <v>49</v>
      </c>
      <c r="AL570" t="s">
        <v>49</v>
      </c>
      <c r="AM570" t="s">
        <v>49</v>
      </c>
      <c r="AN570" s="3">
        <v>16</v>
      </c>
      <c r="AO570" s="19">
        <v>0</v>
      </c>
      <c r="AP570" s="19">
        <v>0</v>
      </c>
      <c r="AQ570" s="19">
        <v>0.75</v>
      </c>
      <c r="AR570" s="19">
        <v>0.25</v>
      </c>
      <c r="AS570" s="19">
        <v>0</v>
      </c>
      <c r="AT570" s="19">
        <v>0</v>
      </c>
      <c r="AU570" s="3">
        <v>0</v>
      </c>
      <c r="AV570" s="3">
        <v>0</v>
      </c>
      <c r="AW570" s="19">
        <v>0</v>
      </c>
      <c r="AX570" s="3">
        <v>0</v>
      </c>
      <c r="AY570" s="3">
        <v>0</v>
      </c>
    </row>
    <row r="571" spans="1:51">
      <c r="A571" s="3">
        <v>15000649</v>
      </c>
      <c r="B571" t="s">
        <v>929</v>
      </c>
      <c r="C571" s="3">
        <v>124315386</v>
      </c>
      <c r="D571" t="s">
        <v>44</v>
      </c>
      <c r="E571" t="s">
        <v>461</v>
      </c>
      <c r="F571" t="s">
        <v>65</v>
      </c>
      <c r="G571" t="s">
        <v>47</v>
      </c>
      <c r="H571" s="16">
        <v>0</v>
      </c>
      <c r="I571" s="4">
        <f>VLOOKUP(C571,[1]sheet1!$D:$I,6,0)</f>
        <v>0</v>
      </c>
      <c r="J571" s="4">
        <f>VLOOKUP(C571,[2]sheet1!$D:$I,6,0)</f>
        <v>0</v>
      </c>
      <c r="K571" s="4">
        <f>VLOOKUP(C571,[3]sheet1!$D:$I,6,0)</f>
        <v>0</v>
      </c>
      <c r="L571" s="4">
        <f>VLOOKUP(C571,[4]sheet1!$D:$I,6,0)</f>
        <v>0</v>
      </c>
      <c r="M571" s="4">
        <f>VLOOKUP(C571,[5]sheet1!$D:$I,6,0)</f>
        <v>0</v>
      </c>
      <c r="N571" s="4">
        <f>VLOOKUP(C571,[6]sheet1!$D:$I,6,0)</f>
        <v>0</v>
      </c>
      <c r="O571" s="4">
        <f>VLOOKUP(C571,[7]sheet1!$D:$I,6,0)</f>
        <v>0</v>
      </c>
      <c r="P571" s="4">
        <f>VLOOKUP(C571,[8]sheet1!$D:$I,6,0)</f>
        <v>0</v>
      </c>
      <c r="Q571" s="4">
        <f t="shared" si="8"/>
        <v>0</v>
      </c>
      <c r="R571" s="3">
        <v>0</v>
      </c>
      <c r="S571" s="3">
        <v>7</v>
      </c>
      <c r="T571" s="19">
        <v>0</v>
      </c>
      <c r="U571" s="3">
        <v>1</v>
      </c>
      <c r="V571" s="3">
        <v>0</v>
      </c>
      <c r="W571">
        <v>0</v>
      </c>
      <c r="X571" s="3">
        <v>0</v>
      </c>
      <c r="Y571">
        <v>0</v>
      </c>
      <c r="Z571" s="3">
        <v>0</v>
      </c>
      <c r="AA571" t="s">
        <v>70</v>
      </c>
      <c r="AB571" t="s">
        <v>49</v>
      </c>
      <c r="AC571">
        <v>207.94</v>
      </c>
      <c r="AD571" t="s">
        <v>49</v>
      </c>
      <c r="AE571">
        <v>0</v>
      </c>
      <c r="AF571" s="3">
        <v>0</v>
      </c>
      <c r="AG571" t="s">
        <v>49</v>
      </c>
      <c r="AH571">
        <v>0</v>
      </c>
      <c r="AI571" t="s">
        <v>49</v>
      </c>
      <c r="AJ571" t="s">
        <v>49</v>
      </c>
      <c r="AK571" t="s">
        <v>49</v>
      </c>
      <c r="AL571" t="s">
        <v>49</v>
      </c>
      <c r="AM571" t="s">
        <v>49</v>
      </c>
      <c r="AN571" s="3">
        <v>7</v>
      </c>
      <c r="AO571" s="19">
        <v>0</v>
      </c>
      <c r="AP571" s="19">
        <v>0</v>
      </c>
      <c r="AQ571" s="19">
        <v>1</v>
      </c>
      <c r="AR571" s="19">
        <v>0.1429</v>
      </c>
      <c r="AS571" s="19">
        <v>1</v>
      </c>
      <c r="AT571" s="19">
        <v>1</v>
      </c>
      <c r="AU571" s="3">
        <v>0</v>
      </c>
      <c r="AV571" s="3">
        <v>0</v>
      </c>
      <c r="AW571" s="19">
        <v>0</v>
      </c>
      <c r="AX571" s="3">
        <v>0</v>
      </c>
      <c r="AY571" s="3">
        <v>0</v>
      </c>
    </row>
    <row r="572" spans="1:51">
      <c r="A572" s="3">
        <v>14989260</v>
      </c>
      <c r="B572" t="s">
        <v>930</v>
      </c>
      <c r="C572" s="3">
        <v>134301031</v>
      </c>
      <c r="D572" t="s">
        <v>44</v>
      </c>
      <c r="E572" t="s">
        <v>84</v>
      </c>
      <c r="F572" t="s">
        <v>65</v>
      </c>
      <c r="G572" t="s">
        <v>47</v>
      </c>
      <c r="H572" s="16">
        <v>0</v>
      </c>
      <c r="I572" s="4">
        <f>VLOOKUP(C572,[1]sheet1!$D:$I,6,0)</f>
        <v>0</v>
      </c>
      <c r="J572" s="4">
        <f>VLOOKUP(C572,[2]sheet1!$D:$I,6,0)</f>
        <v>0</v>
      </c>
      <c r="K572" s="4">
        <f>VLOOKUP(C572,[3]sheet1!$D:$I,6,0)</f>
        <v>0</v>
      </c>
      <c r="L572" s="4">
        <f>VLOOKUP(C572,[4]sheet1!$D:$I,6,0)</f>
        <v>0</v>
      </c>
      <c r="M572" s="4">
        <f>VLOOKUP(C572,[5]sheet1!$D:$I,6,0)</f>
        <v>0</v>
      </c>
      <c r="N572" s="4">
        <f>VLOOKUP(C572,[6]sheet1!$D:$I,6,0)</f>
        <v>0</v>
      </c>
      <c r="O572" s="4">
        <f>VLOOKUP(C572,[7]sheet1!$D:$I,6,0)</f>
        <v>0</v>
      </c>
      <c r="P572" s="4">
        <f>VLOOKUP(C572,[8]sheet1!$D:$I,6,0)</f>
        <v>0</v>
      </c>
      <c r="Q572" s="4">
        <f t="shared" si="8"/>
        <v>0</v>
      </c>
      <c r="R572" s="3">
        <v>0</v>
      </c>
      <c r="S572" s="3">
        <v>4</v>
      </c>
      <c r="T572" s="19">
        <v>0</v>
      </c>
      <c r="U572" s="3">
        <v>0</v>
      </c>
      <c r="V572" s="3">
        <v>0</v>
      </c>
      <c r="W572">
        <v>0</v>
      </c>
      <c r="X572" s="3">
        <v>0</v>
      </c>
      <c r="Y572">
        <v>0</v>
      </c>
      <c r="Z572" s="3">
        <v>0</v>
      </c>
      <c r="AA572" t="s">
        <v>529</v>
      </c>
      <c r="AB572" t="s">
        <v>49</v>
      </c>
      <c r="AC572">
        <v>260.19</v>
      </c>
      <c r="AD572" t="s">
        <v>49</v>
      </c>
      <c r="AE572">
        <v>0</v>
      </c>
      <c r="AF572" s="3">
        <v>0</v>
      </c>
      <c r="AG572" t="s">
        <v>49</v>
      </c>
      <c r="AH572">
        <v>0</v>
      </c>
      <c r="AI572" t="s">
        <v>49</v>
      </c>
      <c r="AJ572" t="s">
        <v>49</v>
      </c>
      <c r="AK572" t="s">
        <v>49</v>
      </c>
      <c r="AL572" t="s">
        <v>49</v>
      </c>
      <c r="AM572" t="s">
        <v>49</v>
      </c>
      <c r="AN572" s="3">
        <v>4</v>
      </c>
      <c r="AO572" s="19">
        <v>0</v>
      </c>
      <c r="AP572" s="19">
        <v>0</v>
      </c>
      <c r="AQ572" s="19">
        <v>0.75</v>
      </c>
      <c r="AR572" s="19">
        <v>0.25</v>
      </c>
      <c r="AS572" s="19">
        <v>0</v>
      </c>
      <c r="AT572" s="19">
        <v>0</v>
      </c>
      <c r="AU572" s="3">
        <v>0</v>
      </c>
      <c r="AV572" s="3">
        <v>0</v>
      </c>
      <c r="AW572" s="19">
        <v>0</v>
      </c>
      <c r="AX572" s="3">
        <v>0</v>
      </c>
      <c r="AY572" s="3">
        <v>0</v>
      </c>
    </row>
    <row r="573" spans="1:51">
      <c r="A573" s="3">
        <v>14984214</v>
      </c>
      <c r="B573" t="s">
        <v>931</v>
      </c>
      <c r="C573" s="3">
        <v>114307161</v>
      </c>
      <c r="D573" t="s">
        <v>44</v>
      </c>
      <c r="E573" t="s">
        <v>185</v>
      </c>
      <c r="F573" t="s">
        <v>65</v>
      </c>
      <c r="G573" t="s">
        <v>47</v>
      </c>
      <c r="H573" s="16">
        <v>0</v>
      </c>
      <c r="I573" s="4">
        <f>VLOOKUP(C573,[1]sheet1!$D:$I,6,0)</f>
        <v>0</v>
      </c>
      <c r="J573" s="4">
        <f>VLOOKUP(C573,[2]sheet1!$D:$I,6,0)</f>
        <v>0</v>
      </c>
      <c r="K573" s="4">
        <f>VLOOKUP(C573,[3]sheet1!$D:$I,6,0)</f>
        <v>0</v>
      </c>
      <c r="L573" s="4">
        <f>VLOOKUP(C573,[4]sheet1!$D:$I,6,0)</f>
        <v>347</v>
      </c>
      <c r="M573" s="4">
        <f>VLOOKUP(C573,[5]sheet1!$D:$I,6,0)</f>
        <v>342</v>
      </c>
      <c r="N573" s="4">
        <f>VLOOKUP(C573,[6]sheet1!$D:$I,6,0)</f>
        <v>0</v>
      </c>
      <c r="O573" s="4">
        <f>VLOOKUP(C573,[7]sheet1!$D:$I,6,0)</f>
        <v>0</v>
      </c>
      <c r="P573" s="4">
        <f>VLOOKUP(C573,[8]sheet1!$D:$I,6,0)</f>
        <v>322</v>
      </c>
      <c r="Q573" s="15">
        <f t="shared" si="8"/>
        <v>1011</v>
      </c>
      <c r="R573" s="3">
        <v>0</v>
      </c>
      <c r="S573" s="3">
        <v>145</v>
      </c>
      <c r="T573" s="19">
        <v>0</v>
      </c>
      <c r="U573" s="3">
        <v>9</v>
      </c>
      <c r="V573" s="3">
        <v>0</v>
      </c>
      <c r="W573">
        <v>0</v>
      </c>
      <c r="X573" s="3">
        <v>0</v>
      </c>
      <c r="Y573">
        <v>0</v>
      </c>
      <c r="Z573" s="3">
        <v>0</v>
      </c>
      <c r="AA573" t="s">
        <v>156</v>
      </c>
      <c r="AB573" t="s">
        <v>49</v>
      </c>
      <c r="AC573">
        <v>294.59</v>
      </c>
      <c r="AD573" t="s">
        <v>49</v>
      </c>
      <c r="AE573">
        <v>0</v>
      </c>
      <c r="AF573" s="3">
        <v>0</v>
      </c>
      <c r="AG573" t="s">
        <v>49</v>
      </c>
      <c r="AH573">
        <v>0</v>
      </c>
      <c r="AI573" t="s">
        <v>49</v>
      </c>
      <c r="AJ573" t="s">
        <v>49</v>
      </c>
      <c r="AK573" t="s">
        <v>49</v>
      </c>
      <c r="AL573" t="s">
        <v>49</v>
      </c>
      <c r="AM573" t="s">
        <v>49</v>
      </c>
      <c r="AN573" s="3">
        <v>208</v>
      </c>
      <c r="AO573" s="19">
        <v>0</v>
      </c>
      <c r="AP573" s="19">
        <v>0</v>
      </c>
      <c r="AQ573" s="19">
        <v>0.9586</v>
      </c>
      <c r="AR573" s="19">
        <v>0.7655</v>
      </c>
      <c r="AS573" s="19">
        <v>0.8889</v>
      </c>
      <c r="AT573" s="19">
        <v>0.7778</v>
      </c>
      <c r="AU573" s="3">
        <v>0</v>
      </c>
      <c r="AV573" s="3">
        <v>0</v>
      </c>
      <c r="AW573" s="19">
        <v>0</v>
      </c>
      <c r="AX573" s="3">
        <v>0</v>
      </c>
      <c r="AY573" s="3">
        <v>0</v>
      </c>
    </row>
    <row r="574" spans="1:51">
      <c r="A574" s="3">
        <v>14982846</v>
      </c>
      <c r="B574" t="s">
        <v>932</v>
      </c>
      <c r="C574" t="s">
        <v>933</v>
      </c>
      <c r="D574" t="s">
        <v>44</v>
      </c>
      <c r="E574" t="s">
        <v>185</v>
      </c>
      <c r="F574" t="s">
        <v>46</v>
      </c>
      <c r="G574" t="s">
        <v>47</v>
      </c>
      <c r="H574" s="16">
        <v>0</v>
      </c>
      <c r="I574" s="4">
        <f>VLOOKUP(C574,[1]sheet1!$D:$I,6,0)</f>
        <v>0</v>
      </c>
      <c r="J574" s="4">
        <f>VLOOKUP(C574,[2]sheet1!$D:$I,6,0)</f>
        <v>0</v>
      </c>
      <c r="K574" s="4">
        <f>VLOOKUP(C574,[3]sheet1!$D:$I,6,0)</f>
        <v>0</v>
      </c>
      <c r="L574" s="4">
        <f>VLOOKUP(C574,[4]sheet1!$D:$I,6,0)</f>
        <v>0</v>
      </c>
      <c r="M574" s="4">
        <f>VLOOKUP(C574,[5]sheet1!$D:$I,6,0)</f>
        <v>0</v>
      </c>
      <c r="N574" s="4">
        <f>VLOOKUP(C574,[6]sheet1!$D:$I,6,0)</f>
        <v>0</v>
      </c>
      <c r="O574" s="4">
        <f>VLOOKUP(C574,[7]sheet1!$D:$I,6,0)</f>
        <v>0</v>
      </c>
      <c r="P574" s="4">
        <f>VLOOKUP(C574,[8]sheet1!$D:$I,6,0)</f>
        <v>744</v>
      </c>
      <c r="Q574" s="15">
        <f t="shared" si="8"/>
        <v>744</v>
      </c>
      <c r="R574" s="3">
        <v>0</v>
      </c>
      <c r="S574">
        <v>278</v>
      </c>
      <c r="T574">
        <v>0</v>
      </c>
      <c r="U574" s="3">
        <v>3</v>
      </c>
      <c r="V574" s="3">
        <v>0</v>
      </c>
      <c r="W574">
        <v>0</v>
      </c>
      <c r="X574" s="3">
        <v>0</v>
      </c>
      <c r="Y574">
        <v>0</v>
      </c>
      <c r="Z574" s="3">
        <v>0</v>
      </c>
      <c r="AA574" t="s">
        <v>827</v>
      </c>
      <c r="AB574" s="3">
        <v>325</v>
      </c>
      <c r="AC574">
        <v>311.99</v>
      </c>
      <c r="AD574" t="s">
        <v>49</v>
      </c>
      <c r="AE574">
        <v>0</v>
      </c>
      <c r="AF574" s="3">
        <v>0</v>
      </c>
      <c r="AG574" t="s">
        <v>49</v>
      </c>
      <c r="AH574">
        <v>0</v>
      </c>
      <c r="AI574" t="s">
        <v>49</v>
      </c>
      <c r="AJ574">
        <v>272.84</v>
      </c>
      <c r="AK574" t="s">
        <v>49</v>
      </c>
      <c r="AL574">
        <v>0</v>
      </c>
      <c r="AM574" t="s">
        <v>49</v>
      </c>
      <c r="AN574" s="3">
        <v>70</v>
      </c>
      <c r="AO574" s="19">
        <v>0</v>
      </c>
      <c r="AP574" s="19">
        <v>0</v>
      </c>
      <c r="AQ574" s="19">
        <v>0.8596</v>
      </c>
      <c r="AR574" s="19">
        <v>0.386</v>
      </c>
      <c r="AS574" s="19">
        <v>1</v>
      </c>
      <c r="AT574" s="19">
        <v>0</v>
      </c>
      <c r="AU574" s="3">
        <v>0</v>
      </c>
      <c r="AV574" s="3">
        <v>0</v>
      </c>
      <c r="AW574" s="19">
        <v>0</v>
      </c>
      <c r="AX574" s="3">
        <v>0</v>
      </c>
      <c r="AY574" s="3">
        <v>0</v>
      </c>
    </row>
    <row r="575" spans="1:51">
      <c r="A575" s="3">
        <v>14979816</v>
      </c>
      <c r="B575" t="s">
        <v>934</v>
      </c>
      <c r="C575" s="3">
        <v>114307169</v>
      </c>
      <c r="D575" t="s">
        <v>44</v>
      </c>
      <c r="E575" t="s">
        <v>185</v>
      </c>
      <c r="F575" t="s">
        <v>46</v>
      </c>
      <c r="G575" t="s">
        <v>47</v>
      </c>
      <c r="H575" s="16">
        <v>0</v>
      </c>
      <c r="I575" s="4">
        <f>VLOOKUP(C575,[1]sheet1!$D:$I,6,0)</f>
        <v>0</v>
      </c>
      <c r="J575" s="4">
        <f>VLOOKUP(C575,[2]sheet1!$D:$I,6,0)</f>
        <v>0</v>
      </c>
      <c r="K575" s="4">
        <f>VLOOKUP(C575,[3]sheet1!$D:$I,6,0)</f>
        <v>0</v>
      </c>
      <c r="L575" s="4">
        <f>VLOOKUP(C575,[4]sheet1!$D:$I,6,0)</f>
        <v>0</v>
      </c>
      <c r="M575" s="4">
        <f>VLOOKUP(C575,[5]sheet1!$D:$I,6,0)</f>
        <v>0</v>
      </c>
      <c r="N575" s="4">
        <f>VLOOKUP(C575,[6]sheet1!$D:$I,6,0)</f>
        <v>0</v>
      </c>
      <c r="O575" s="4">
        <f>VLOOKUP(C575,[7]sheet1!$D:$I,6,0)</f>
        <v>0</v>
      </c>
      <c r="P575" s="4">
        <f>VLOOKUP(C575,[8]sheet1!$D:$I,6,0)</f>
        <v>0</v>
      </c>
      <c r="Q575" s="15">
        <f t="shared" si="8"/>
        <v>0</v>
      </c>
      <c r="R575" s="3">
        <v>0</v>
      </c>
      <c r="S575">
        <v>230</v>
      </c>
      <c r="T575">
        <v>0</v>
      </c>
      <c r="U575" s="3">
        <v>1</v>
      </c>
      <c r="V575" s="3">
        <v>0</v>
      </c>
      <c r="W575">
        <v>0</v>
      </c>
      <c r="X575" s="3">
        <v>0</v>
      </c>
      <c r="Y575">
        <v>0</v>
      </c>
      <c r="Z575" s="3">
        <v>0</v>
      </c>
      <c r="AA575" t="s">
        <v>101</v>
      </c>
      <c r="AB575" s="3">
        <v>410</v>
      </c>
      <c r="AC575">
        <v>468.59</v>
      </c>
      <c r="AD575" t="s">
        <v>49</v>
      </c>
      <c r="AE575">
        <v>0</v>
      </c>
      <c r="AF575" s="3">
        <v>0</v>
      </c>
      <c r="AG575" t="s">
        <v>49</v>
      </c>
      <c r="AH575">
        <v>0</v>
      </c>
      <c r="AI575" t="s">
        <v>49</v>
      </c>
      <c r="AJ575">
        <v>346.79</v>
      </c>
      <c r="AK575" t="s">
        <v>49</v>
      </c>
      <c r="AL575">
        <v>0</v>
      </c>
      <c r="AM575" t="s">
        <v>49</v>
      </c>
      <c r="AN575" s="3">
        <v>44</v>
      </c>
      <c r="AO575" s="19">
        <v>0</v>
      </c>
      <c r="AP575" s="19">
        <v>0</v>
      </c>
      <c r="AQ575" s="19">
        <v>0.8462</v>
      </c>
      <c r="AR575" s="19">
        <v>0.2821</v>
      </c>
      <c r="AS575" s="19">
        <v>1</v>
      </c>
      <c r="AT575" s="19">
        <v>0</v>
      </c>
      <c r="AU575" s="3">
        <v>0</v>
      </c>
      <c r="AV575" s="3">
        <v>0</v>
      </c>
      <c r="AW575" s="19">
        <v>0</v>
      </c>
      <c r="AX575" s="3">
        <v>0</v>
      </c>
      <c r="AY575" s="3">
        <v>0</v>
      </c>
    </row>
    <row r="576" spans="1:51">
      <c r="A576" s="3">
        <v>14977235</v>
      </c>
      <c r="B576" t="s">
        <v>935</v>
      </c>
      <c r="C576" t="s">
        <v>936</v>
      </c>
      <c r="D576" t="s">
        <v>44</v>
      </c>
      <c r="E576" t="s">
        <v>138</v>
      </c>
      <c r="F576" t="s">
        <v>65</v>
      </c>
      <c r="G576" t="s">
        <v>47</v>
      </c>
      <c r="H576" s="16">
        <v>0</v>
      </c>
      <c r="I576" s="4">
        <f>VLOOKUP(C576,[1]sheet1!$D:$I,6,0)</f>
        <v>0</v>
      </c>
      <c r="J576" s="4">
        <f>VLOOKUP(C576,[2]sheet1!$D:$I,6,0)</f>
        <v>0</v>
      </c>
      <c r="K576" s="4">
        <f>VLOOKUP(C576,[3]sheet1!$D:$I,6,0)</f>
        <v>0</v>
      </c>
      <c r="L576" s="4">
        <f>VLOOKUP(C576,[4]sheet1!$D:$I,6,0)</f>
        <v>0</v>
      </c>
      <c r="M576" s="4">
        <f>VLOOKUP(C576,[5]sheet1!$D:$I,6,0)</f>
        <v>0</v>
      </c>
      <c r="N576" s="4">
        <f>VLOOKUP(C576,[6]sheet1!$D:$I,6,0)</f>
        <v>0</v>
      </c>
      <c r="O576" s="4">
        <f>VLOOKUP(C576,[7]sheet1!$D:$I,6,0)</f>
        <v>0</v>
      </c>
      <c r="P576" s="4">
        <f>VLOOKUP(C576,[8]sheet1!$D:$I,6,0)</f>
        <v>0</v>
      </c>
      <c r="Q576" s="15">
        <f t="shared" si="8"/>
        <v>0</v>
      </c>
      <c r="R576" s="3">
        <v>0</v>
      </c>
      <c r="S576" s="3">
        <v>16</v>
      </c>
      <c r="T576" s="19">
        <v>0</v>
      </c>
      <c r="U576" s="3">
        <v>0</v>
      </c>
      <c r="V576" s="3">
        <v>0</v>
      </c>
      <c r="W576">
        <v>0</v>
      </c>
      <c r="X576" s="3">
        <v>0</v>
      </c>
      <c r="Y576">
        <v>0</v>
      </c>
      <c r="Z576" s="3">
        <v>0</v>
      </c>
      <c r="AA576" t="s">
        <v>704</v>
      </c>
      <c r="AB576" t="s">
        <v>49</v>
      </c>
      <c r="AC576">
        <v>369.74</v>
      </c>
      <c r="AD576" t="s">
        <v>49</v>
      </c>
      <c r="AE576">
        <v>0</v>
      </c>
      <c r="AF576" s="3">
        <v>0</v>
      </c>
      <c r="AG576" t="s">
        <v>49</v>
      </c>
      <c r="AH576">
        <v>0</v>
      </c>
      <c r="AI576" t="s">
        <v>49</v>
      </c>
      <c r="AJ576" t="s">
        <v>49</v>
      </c>
      <c r="AK576" t="s">
        <v>49</v>
      </c>
      <c r="AL576" t="s">
        <v>49</v>
      </c>
      <c r="AM576" t="s">
        <v>49</v>
      </c>
      <c r="AN576" s="3">
        <v>19</v>
      </c>
      <c r="AO576" s="19">
        <v>0</v>
      </c>
      <c r="AP576" s="19">
        <v>0</v>
      </c>
      <c r="AQ576" s="19">
        <v>0.75</v>
      </c>
      <c r="AR576" s="19">
        <v>0.3125</v>
      </c>
      <c r="AS576" s="19">
        <v>0</v>
      </c>
      <c r="AT576" s="19">
        <v>0</v>
      </c>
      <c r="AU576" s="3">
        <v>0</v>
      </c>
      <c r="AV576" s="3">
        <v>0</v>
      </c>
      <c r="AW576" s="19">
        <v>0</v>
      </c>
      <c r="AX576" s="3">
        <v>0</v>
      </c>
      <c r="AY576" s="3">
        <v>0</v>
      </c>
    </row>
    <row r="577" spans="1:51">
      <c r="A577" s="3">
        <v>14968621</v>
      </c>
      <c r="B577" t="s">
        <v>937</v>
      </c>
      <c r="C577" s="3">
        <v>12421552</v>
      </c>
      <c r="D577" t="s">
        <v>44</v>
      </c>
      <c r="E577" t="s">
        <v>90</v>
      </c>
      <c r="F577" t="s">
        <v>65</v>
      </c>
      <c r="G577" t="s">
        <v>47</v>
      </c>
      <c r="H577" s="16">
        <v>0</v>
      </c>
      <c r="I577" s="4">
        <f>VLOOKUP(C577,[1]sheet1!$D:$I,6,0)</f>
        <v>368</v>
      </c>
      <c r="J577" s="4">
        <f>VLOOKUP(C577,[2]sheet1!$D:$I,6,0)</f>
        <v>0</v>
      </c>
      <c r="K577" s="4">
        <f>VLOOKUP(C577,[3]sheet1!$D:$I,6,0)</f>
        <v>0</v>
      </c>
      <c r="L577" s="4">
        <f>VLOOKUP(C577,[4]sheet1!$D:$I,6,0)</f>
        <v>0</v>
      </c>
      <c r="M577" s="4">
        <f>VLOOKUP(C577,[5]sheet1!$D:$I,6,0)</f>
        <v>0</v>
      </c>
      <c r="N577" s="4">
        <f>VLOOKUP(C577,[6]sheet1!$D:$I,6,0)</f>
        <v>0</v>
      </c>
      <c r="O577" s="4">
        <f>VLOOKUP(C577,[7]sheet1!$D:$I,6,0)</f>
        <v>0</v>
      </c>
      <c r="P577" s="4">
        <f>VLOOKUP(C577,[8]sheet1!$D:$I,6,0)</f>
        <v>0</v>
      </c>
      <c r="Q577" s="4">
        <f t="shared" si="8"/>
        <v>368</v>
      </c>
      <c r="R577" s="3">
        <v>0</v>
      </c>
      <c r="S577" s="3">
        <v>10</v>
      </c>
      <c r="T577" s="19">
        <v>0</v>
      </c>
      <c r="U577" s="3">
        <v>0</v>
      </c>
      <c r="V577" s="3">
        <v>0</v>
      </c>
      <c r="W577">
        <v>0</v>
      </c>
      <c r="X577" s="3">
        <v>0</v>
      </c>
      <c r="Y577">
        <v>0</v>
      </c>
      <c r="Z577" s="3">
        <v>0</v>
      </c>
      <c r="AA577" t="s">
        <v>49</v>
      </c>
      <c r="AB577" t="s">
        <v>49</v>
      </c>
      <c r="AC577" t="s">
        <v>49</v>
      </c>
      <c r="AD577" t="s">
        <v>49</v>
      </c>
      <c r="AE577">
        <v>0</v>
      </c>
      <c r="AF577" s="3">
        <v>0</v>
      </c>
      <c r="AG577" t="s">
        <v>49</v>
      </c>
      <c r="AH577" t="s">
        <v>49</v>
      </c>
      <c r="AI577" t="s">
        <v>49</v>
      </c>
      <c r="AJ577" t="s">
        <v>49</v>
      </c>
      <c r="AK577" t="s">
        <v>49</v>
      </c>
      <c r="AL577" t="s">
        <v>49</v>
      </c>
      <c r="AM577" t="s">
        <v>49</v>
      </c>
      <c r="AN577" s="3">
        <v>13</v>
      </c>
      <c r="AO577" s="19">
        <v>0</v>
      </c>
      <c r="AP577" s="19">
        <v>0</v>
      </c>
      <c r="AQ577" s="19">
        <v>0.4</v>
      </c>
      <c r="AR577" s="19">
        <v>0.1</v>
      </c>
      <c r="AS577" s="19">
        <v>0</v>
      </c>
      <c r="AT577" s="19">
        <v>0</v>
      </c>
      <c r="AU577" s="3">
        <v>0</v>
      </c>
      <c r="AV577" s="3">
        <v>0</v>
      </c>
      <c r="AW577" s="19">
        <v>0</v>
      </c>
      <c r="AX577" s="3">
        <v>0</v>
      </c>
      <c r="AY577" s="3">
        <v>0</v>
      </c>
    </row>
    <row r="578" spans="1:51">
      <c r="A578" s="3">
        <v>14968485</v>
      </c>
      <c r="B578" t="s">
        <v>938</v>
      </c>
      <c r="C578" s="3">
        <v>114306149</v>
      </c>
      <c r="D578" t="s">
        <v>44</v>
      </c>
      <c r="E578" t="s">
        <v>143</v>
      </c>
      <c r="F578" t="s">
        <v>46</v>
      </c>
      <c r="G578" t="s">
        <v>47</v>
      </c>
      <c r="H578" s="16">
        <v>0</v>
      </c>
      <c r="I578" s="4">
        <f>VLOOKUP(C578,[1]sheet1!$D:$I,6,0)</f>
        <v>0</v>
      </c>
      <c r="J578" s="4">
        <f>VLOOKUP(C578,[2]sheet1!$D:$I,6,0)</f>
        <v>0</v>
      </c>
      <c r="K578" s="4">
        <f>VLOOKUP(C578,[3]sheet1!$D:$I,6,0)</f>
        <v>0</v>
      </c>
      <c r="L578" s="4">
        <f>VLOOKUP(C578,[4]sheet1!$D:$I,6,0)</f>
        <v>0</v>
      </c>
      <c r="M578" s="4">
        <f>VLOOKUP(C578,[5]sheet1!$D:$I,6,0)</f>
        <v>0</v>
      </c>
      <c r="N578" s="4">
        <f>VLOOKUP(C578,[6]sheet1!$D:$I,6,0)</f>
        <v>0</v>
      </c>
      <c r="O578" s="4">
        <f>VLOOKUP(C578,[7]sheet1!$D:$I,6,0)</f>
        <v>0</v>
      </c>
      <c r="P578" s="4">
        <f>VLOOKUP(C578,[8]sheet1!$D:$I,6,0)</f>
        <v>394</v>
      </c>
      <c r="Q578" s="15">
        <f t="shared" si="8"/>
        <v>394</v>
      </c>
      <c r="R578" s="3">
        <v>0</v>
      </c>
      <c r="S578">
        <v>104</v>
      </c>
      <c r="T578">
        <v>0</v>
      </c>
      <c r="U578" s="3">
        <v>0</v>
      </c>
      <c r="V578" s="3">
        <v>0</v>
      </c>
      <c r="W578">
        <v>0</v>
      </c>
      <c r="X578" s="3">
        <v>0</v>
      </c>
      <c r="Y578">
        <v>0</v>
      </c>
      <c r="Z578" s="3">
        <v>0</v>
      </c>
      <c r="AA578" t="s">
        <v>704</v>
      </c>
      <c r="AB578" s="3">
        <v>409</v>
      </c>
      <c r="AC578">
        <v>371.72</v>
      </c>
      <c r="AD578" t="s">
        <v>49</v>
      </c>
      <c r="AE578">
        <v>0</v>
      </c>
      <c r="AF578" s="3">
        <v>0</v>
      </c>
      <c r="AG578" t="s">
        <v>49</v>
      </c>
      <c r="AH578">
        <v>0</v>
      </c>
      <c r="AI578" t="s">
        <v>49</v>
      </c>
      <c r="AJ578">
        <v>345.62</v>
      </c>
      <c r="AK578" t="s">
        <v>49</v>
      </c>
      <c r="AL578">
        <v>0</v>
      </c>
      <c r="AM578" t="s">
        <v>49</v>
      </c>
      <c r="AN578" s="3">
        <v>9</v>
      </c>
      <c r="AO578" s="19">
        <v>0</v>
      </c>
      <c r="AP578" s="19">
        <v>0</v>
      </c>
      <c r="AQ578" s="19">
        <v>0.75</v>
      </c>
      <c r="AR578" s="19">
        <v>0.375</v>
      </c>
      <c r="AS578" s="19">
        <v>0</v>
      </c>
      <c r="AT578" s="19">
        <v>0</v>
      </c>
      <c r="AU578" s="3">
        <v>0</v>
      </c>
      <c r="AV578" s="3">
        <v>0</v>
      </c>
      <c r="AW578" s="19">
        <v>0</v>
      </c>
      <c r="AX578" s="3">
        <v>0</v>
      </c>
      <c r="AY578" s="3">
        <v>0</v>
      </c>
    </row>
    <row r="579" spans="1:51">
      <c r="A579" s="3">
        <v>14966922</v>
      </c>
      <c r="B579" t="s">
        <v>939</v>
      </c>
      <c r="C579" s="3">
        <v>164334406</v>
      </c>
      <c r="D579" t="s">
        <v>44</v>
      </c>
      <c r="E579" t="s">
        <v>773</v>
      </c>
      <c r="F579" t="s">
        <v>65</v>
      </c>
      <c r="G579" t="s">
        <v>47</v>
      </c>
      <c r="H579" s="16">
        <v>0</v>
      </c>
      <c r="I579" s="4">
        <f>VLOOKUP(C579,[1]sheet1!$D:$I,6,0)</f>
        <v>0</v>
      </c>
      <c r="J579" s="4">
        <f>VLOOKUP(C579,[2]sheet1!$D:$I,6,0)</f>
        <v>0</v>
      </c>
      <c r="K579" s="4">
        <f>VLOOKUP(C579,[3]sheet1!$D:$I,6,0)</f>
        <v>0</v>
      </c>
      <c r="L579" s="4">
        <f>VLOOKUP(C579,[4]sheet1!$D:$I,6,0)</f>
        <v>0</v>
      </c>
      <c r="M579" s="4">
        <f>VLOOKUP(C579,[5]sheet1!$D:$I,6,0)</f>
        <v>0</v>
      </c>
      <c r="N579" s="4">
        <f>VLOOKUP(C579,[6]sheet1!$D:$I,6,0)</f>
        <v>0</v>
      </c>
      <c r="O579" s="4">
        <f>VLOOKUP(C579,[7]sheet1!$D:$I,6,0)</f>
        <v>0</v>
      </c>
      <c r="P579" s="4">
        <f>VLOOKUP(C579,[8]sheet1!$D:$I,6,0)</f>
        <v>0</v>
      </c>
      <c r="Q579" s="4">
        <f t="shared" ref="Q579:Q642" si="9">SUM(H579:P579)</f>
        <v>0</v>
      </c>
      <c r="R579" s="3">
        <v>0</v>
      </c>
      <c r="S579" s="3">
        <v>12</v>
      </c>
      <c r="T579" s="19">
        <v>0</v>
      </c>
      <c r="U579" s="3">
        <v>1</v>
      </c>
      <c r="V579" s="3">
        <v>0</v>
      </c>
      <c r="W579">
        <v>0</v>
      </c>
      <c r="X579" s="3">
        <v>0</v>
      </c>
      <c r="Y579">
        <v>0</v>
      </c>
      <c r="Z579" s="3">
        <v>0</v>
      </c>
      <c r="AA579" t="s">
        <v>492</v>
      </c>
      <c r="AB579" t="s">
        <v>49</v>
      </c>
      <c r="AC579">
        <v>92.47</v>
      </c>
      <c r="AD579" t="s">
        <v>49</v>
      </c>
      <c r="AE579">
        <v>0</v>
      </c>
      <c r="AF579" s="3">
        <v>0</v>
      </c>
      <c r="AG579" t="s">
        <v>49</v>
      </c>
      <c r="AH579">
        <v>0</v>
      </c>
      <c r="AI579" t="s">
        <v>49</v>
      </c>
      <c r="AJ579" t="s">
        <v>49</v>
      </c>
      <c r="AK579" t="s">
        <v>49</v>
      </c>
      <c r="AL579" t="s">
        <v>49</v>
      </c>
      <c r="AM579" t="s">
        <v>49</v>
      </c>
      <c r="AN579" s="3">
        <v>14</v>
      </c>
      <c r="AO579" s="19">
        <v>0</v>
      </c>
      <c r="AP579" s="19">
        <v>0</v>
      </c>
      <c r="AQ579" s="19">
        <v>1</v>
      </c>
      <c r="AR579" s="19">
        <v>0.6667</v>
      </c>
      <c r="AS579" s="19">
        <v>1</v>
      </c>
      <c r="AT579" s="19">
        <v>1</v>
      </c>
      <c r="AU579" s="3">
        <v>0</v>
      </c>
      <c r="AV579" s="3">
        <v>0</v>
      </c>
      <c r="AW579" s="19">
        <v>0</v>
      </c>
      <c r="AX579" s="3">
        <v>0</v>
      </c>
      <c r="AY579" s="3">
        <v>0</v>
      </c>
    </row>
    <row r="580" spans="1:51">
      <c r="A580" s="3">
        <v>14958644</v>
      </c>
      <c r="B580" t="s">
        <v>940</v>
      </c>
      <c r="C580" t="s">
        <v>941</v>
      </c>
      <c r="D580" t="s">
        <v>44</v>
      </c>
      <c r="E580" t="s">
        <v>104</v>
      </c>
      <c r="F580" t="s">
        <v>46</v>
      </c>
      <c r="G580" t="s">
        <v>47</v>
      </c>
      <c r="H580" s="16">
        <v>0</v>
      </c>
      <c r="I580" s="4">
        <f>VLOOKUP(C580,[1]sheet1!$D:$I,6,0)</f>
        <v>0</v>
      </c>
      <c r="J580" s="4">
        <f>VLOOKUP(C580,[2]sheet1!$D:$I,6,0)</f>
        <v>0</v>
      </c>
      <c r="K580" s="4">
        <f>VLOOKUP(C580,[3]sheet1!$D:$I,6,0)</f>
        <v>0</v>
      </c>
      <c r="L580" s="4">
        <f>VLOOKUP(C580,[4]sheet1!$D:$I,6,0)</f>
        <v>0</v>
      </c>
      <c r="M580" s="4">
        <f>VLOOKUP(C580,[5]sheet1!$D:$I,6,0)</f>
        <v>0</v>
      </c>
      <c r="N580" s="4">
        <f>VLOOKUP(C580,[6]sheet1!$D:$I,6,0)</f>
        <v>0</v>
      </c>
      <c r="O580" s="4">
        <f>VLOOKUP(C580,[7]sheet1!$D:$I,6,0)</f>
        <v>0</v>
      </c>
      <c r="P580" s="4">
        <f>VLOOKUP(C580,[8]sheet1!$D:$I,6,0)</f>
        <v>0</v>
      </c>
      <c r="Q580" s="4">
        <f t="shared" si="9"/>
        <v>0</v>
      </c>
      <c r="R580" s="3">
        <v>0</v>
      </c>
      <c r="S580">
        <v>160</v>
      </c>
      <c r="T580">
        <v>0</v>
      </c>
      <c r="U580" s="3">
        <v>1</v>
      </c>
      <c r="V580" s="3">
        <v>0</v>
      </c>
      <c r="W580">
        <v>0</v>
      </c>
      <c r="X580" s="3">
        <v>0</v>
      </c>
      <c r="Y580">
        <v>0</v>
      </c>
      <c r="Z580" s="3">
        <v>0</v>
      </c>
      <c r="AA580" t="s">
        <v>942</v>
      </c>
      <c r="AB580" s="3">
        <v>559</v>
      </c>
      <c r="AC580">
        <v>642.89</v>
      </c>
      <c r="AD580" t="s">
        <v>49</v>
      </c>
      <c r="AE580">
        <v>0</v>
      </c>
      <c r="AF580" s="3">
        <v>0</v>
      </c>
      <c r="AG580" t="s">
        <v>49</v>
      </c>
      <c r="AH580">
        <v>0</v>
      </c>
      <c r="AI580" t="s">
        <v>49</v>
      </c>
      <c r="AJ580">
        <v>476.72</v>
      </c>
      <c r="AK580" t="s">
        <v>49</v>
      </c>
      <c r="AL580">
        <v>0</v>
      </c>
      <c r="AM580" t="s">
        <v>49</v>
      </c>
      <c r="AN580" s="3">
        <v>23</v>
      </c>
      <c r="AO580" s="19">
        <v>0</v>
      </c>
      <c r="AP580" s="19">
        <v>0</v>
      </c>
      <c r="AQ580" s="19">
        <v>0.7895</v>
      </c>
      <c r="AR580" s="19">
        <v>0.0526</v>
      </c>
      <c r="AS580" s="19">
        <v>0</v>
      </c>
      <c r="AT580" s="19">
        <v>0</v>
      </c>
      <c r="AU580" s="3">
        <v>0</v>
      </c>
      <c r="AV580" s="3">
        <v>0</v>
      </c>
      <c r="AW580" s="19">
        <v>0</v>
      </c>
      <c r="AX580" s="3">
        <v>0</v>
      </c>
      <c r="AY580" s="3">
        <v>0</v>
      </c>
    </row>
    <row r="581" spans="1:51">
      <c r="A581" s="3">
        <v>14909877</v>
      </c>
      <c r="B581" t="s">
        <v>943</v>
      </c>
      <c r="C581" t="s">
        <v>944</v>
      </c>
      <c r="D581" t="s">
        <v>44</v>
      </c>
      <c r="E581" t="s">
        <v>220</v>
      </c>
      <c r="F581" t="s">
        <v>46</v>
      </c>
      <c r="G581" t="s">
        <v>47</v>
      </c>
      <c r="H581" s="16">
        <v>0</v>
      </c>
      <c r="I581" s="4">
        <f>VLOOKUP(C581,[1]sheet1!$D:$I,6,0)</f>
        <v>0</v>
      </c>
      <c r="J581" s="4">
        <f>VLOOKUP(C581,[2]sheet1!$D:$I,6,0)</f>
        <v>0</v>
      </c>
      <c r="K581" s="4">
        <f>VLOOKUP(C581,[3]sheet1!$D:$I,6,0)</f>
        <v>0</v>
      </c>
      <c r="L581" s="4">
        <f>VLOOKUP(C581,[4]sheet1!$D:$I,6,0)</f>
        <v>0</v>
      </c>
      <c r="M581" s="4">
        <f>VLOOKUP(C581,[5]sheet1!$D:$I,6,0)</f>
        <v>0</v>
      </c>
      <c r="N581" s="4">
        <f>VLOOKUP(C581,[6]sheet1!$D:$I,6,0)</f>
        <v>0</v>
      </c>
      <c r="O581" s="4">
        <f>VLOOKUP(C581,[7]sheet1!$D:$I,6,0)</f>
        <v>0</v>
      </c>
      <c r="P581" s="4">
        <f>VLOOKUP(C581,[8]sheet1!$D:$I,6,0)</f>
        <v>0</v>
      </c>
      <c r="Q581" s="4">
        <f t="shared" si="9"/>
        <v>0</v>
      </c>
      <c r="R581" s="3">
        <v>0</v>
      </c>
      <c r="S581">
        <v>133</v>
      </c>
      <c r="T581">
        <v>0</v>
      </c>
      <c r="U581" s="3">
        <v>0</v>
      </c>
      <c r="V581" s="3">
        <v>0</v>
      </c>
      <c r="W581">
        <v>0</v>
      </c>
      <c r="X581" s="3">
        <v>0</v>
      </c>
      <c r="Y581">
        <v>0</v>
      </c>
      <c r="Z581" s="3">
        <v>0</v>
      </c>
      <c r="AA581" t="s">
        <v>270</v>
      </c>
      <c r="AB581" s="3">
        <v>404</v>
      </c>
      <c r="AC581">
        <v>406.11</v>
      </c>
      <c r="AD581" t="s">
        <v>49</v>
      </c>
      <c r="AE581">
        <v>0</v>
      </c>
      <c r="AF581" s="3">
        <v>0</v>
      </c>
      <c r="AG581" t="s">
        <v>49</v>
      </c>
      <c r="AH581">
        <v>0</v>
      </c>
      <c r="AI581" t="s">
        <v>49</v>
      </c>
      <c r="AJ581">
        <v>339.99</v>
      </c>
      <c r="AK581" t="s">
        <v>49</v>
      </c>
      <c r="AL581">
        <v>0</v>
      </c>
      <c r="AM581" t="s">
        <v>49</v>
      </c>
      <c r="AN581" s="3">
        <v>15</v>
      </c>
      <c r="AO581" s="19">
        <v>0</v>
      </c>
      <c r="AP581" s="19">
        <v>0</v>
      </c>
      <c r="AQ581" s="19">
        <v>0.9231</v>
      </c>
      <c r="AR581" s="19">
        <v>0.3846</v>
      </c>
      <c r="AS581" s="19">
        <v>0</v>
      </c>
      <c r="AT581" s="19">
        <v>0</v>
      </c>
      <c r="AU581" s="3">
        <v>0</v>
      </c>
      <c r="AV581" s="3">
        <v>0</v>
      </c>
      <c r="AW581" s="19">
        <v>0</v>
      </c>
      <c r="AX581" s="3">
        <v>0</v>
      </c>
      <c r="AY581" s="3">
        <v>0</v>
      </c>
    </row>
    <row r="582" spans="1:51">
      <c r="A582" s="3">
        <v>14857146</v>
      </c>
      <c r="B582" t="s">
        <v>945</v>
      </c>
      <c r="C582" s="3">
        <v>124306148</v>
      </c>
      <c r="D582" t="s">
        <v>44</v>
      </c>
      <c r="E582" t="s">
        <v>138</v>
      </c>
      <c r="F582" t="s">
        <v>46</v>
      </c>
      <c r="G582" t="s">
        <v>47</v>
      </c>
      <c r="H582" s="16">
        <v>0</v>
      </c>
      <c r="I582" s="4">
        <f>VLOOKUP(C582,[1]sheet1!$D:$I,6,0)</f>
        <v>0</v>
      </c>
      <c r="J582" s="4">
        <f>VLOOKUP(C582,[2]sheet1!$D:$I,6,0)</f>
        <v>0</v>
      </c>
      <c r="K582" s="4">
        <f>VLOOKUP(C582,[3]sheet1!$D:$I,6,0)</f>
        <v>467</v>
      </c>
      <c r="L582" s="4">
        <f>VLOOKUP(C582,[4]sheet1!$D:$I,6,0)</f>
        <v>0</v>
      </c>
      <c r="M582" s="4">
        <f>VLOOKUP(C582,[5]sheet1!$D:$I,6,0)</f>
        <v>472</v>
      </c>
      <c r="N582" s="4">
        <f>VLOOKUP(C582,[6]sheet1!$D:$I,6,0)</f>
        <v>0</v>
      </c>
      <c r="O582" s="4">
        <f>VLOOKUP(C582,[7]sheet1!$D:$I,6,0)</f>
        <v>454</v>
      </c>
      <c r="P582" s="4">
        <f>VLOOKUP(C582,[8]sheet1!$D:$I,6,0)</f>
        <v>0</v>
      </c>
      <c r="Q582" s="15">
        <f t="shared" si="9"/>
        <v>1393</v>
      </c>
      <c r="R582" s="3">
        <v>0</v>
      </c>
      <c r="S582">
        <v>377</v>
      </c>
      <c r="T582">
        <v>0</v>
      </c>
      <c r="U582" s="3">
        <v>1</v>
      </c>
      <c r="V582" s="3">
        <v>0</v>
      </c>
      <c r="W582">
        <v>0</v>
      </c>
      <c r="X582" s="3">
        <v>0</v>
      </c>
      <c r="Y582">
        <v>0</v>
      </c>
      <c r="Z582" s="3">
        <v>0</v>
      </c>
      <c r="AA582" t="s">
        <v>150</v>
      </c>
      <c r="AB582" s="3">
        <v>400</v>
      </c>
      <c r="AC582">
        <v>404.54</v>
      </c>
      <c r="AD582" t="s">
        <v>49</v>
      </c>
      <c r="AE582">
        <v>0</v>
      </c>
      <c r="AF582" s="3">
        <v>0</v>
      </c>
      <c r="AG582" t="s">
        <v>49</v>
      </c>
      <c r="AH582">
        <v>0</v>
      </c>
      <c r="AI582" t="s">
        <v>49</v>
      </c>
      <c r="AJ582">
        <v>335.81</v>
      </c>
      <c r="AK582" t="s">
        <v>49</v>
      </c>
      <c r="AL582">
        <v>0</v>
      </c>
      <c r="AM582" t="s">
        <v>49</v>
      </c>
      <c r="AN582" s="3">
        <v>109</v>
      </c>
      <c r="AO582" s="19">
        <v>0</v>
      </c>
      <c r="AP582" s="19">
        <v>0</v>
      </c>
      <c r="AQ582" s="19">
        <v>0.9143</v>
      </c>
      <c r="AR582" s="19">
        <v>0.2952</v>
      </c>
      <c r="AS582" s="19">
        <v>1</v>
      </c>
      <c r="AT582" s="19">
        <v>0</v>
      </c>
      <c r="AU582" s="3">
        <v>0</v>
      </c>
      <c r="AV582" s="3">
        <v>0</v>
      </c>
      <c r="AW582" s="19">
        <v>0</v>
      </c>
      <c r="AX582" s="3">
        <v>0</v>
      </c>
      <c r="AY582" s="3">
        <v>0</v>
      </c>
    </row>
    <row r="583" spans="1:51">
      <c r="A583" s="3">
        <v>14854200</v>
      </c>
      <c r="B583" t="s">
        <v>946</v>
      </c>
      <c r="C583" t="s">
        <v>947</v>
      </c>
      <c r="D583" t="s">
        <v>44</v>
      </c>
      <c r="E583" t="s">
        <v>117</v>
      </c>
      <c r="F583" t="s">
        <v>65</v>
      </c>
      <c r="G583" t="s">
        <v>47</v>
      </c>
      <c r="H583" s="16">
        <v>0</v>
      </c>
      <c r="I583" s="4">
        <f>VLOOKUP(C583,[1]sheet1!$D:$I,6,0)</f>
        <v>0</v>
      </c>
      <c r="J583" s="4">
        <f>VLOOKUP(C583,[2]sheet1!$D:$I,6,0)</f>
        <v>272</v>
      </c>
      <c r="K583" s="4">
        <f>VLOOKUP(C583,[3]sheet1!$D:$I,6,0)</f>
        <v>272</v>
      </c>
      <c r="L583" s="4">
        <f>VLOOKUP(C583,[4]sheet1!$D:$I,6,0)</f>
        <v>0</v>
      </c>
      <c r="M583" s="4">
        <f>VLOOKUP(C583,[5]sheet1!$D:$I,6,0)</f>
        <v>0</v>
      </c>
      <c r="N583" s="4">
        <f>VLOOKUP(C583,[6]sheet1!$D:$I,6,0)</f>
        <v>0</v>
      </c>
      <c r="O583" s="4">
        <f>VLOOKUP(C583,[7]sheet1!$D:$I,6,0)</f>
        <v>0</v>
      </c>
      <c r="P583" s="4">
        <f>VLOOKUP(C583,[8]sheet1!$D:$I,6,0)</f>
        <v>254</v>
      </c>
      <c r="Q583" s="4">
        <f t="shared" si="9"/>
        <v>798</v>
      </c>
      <c r="R583" s="3">
        <v>0</v>
      </c>
      <c r="S583" s="3">
        <v>12</v>
      </c>
      <c r="T583" s="19">
        <v>0</v>
      </c>
      <c r="U583" s="3">
        <v>2</v>
      </c>
      <c r="V583" s="3">
        <v>0</v>
      </c>
      <c r="W583">
        <v>0</v>
      </c>
      <c r="X583" s="3">
        <v>0</v>
      </c>
      <c r="Y583">
        <v>0</v>
      </c>
      <c r="Z583" s="3">
        <v>0</v>
      </c>
      <c r="AA583" t="s">
        <v>49</v>
      </c>
      <c r="AB583" t="s">
        <v>49</v>
      </c>
      <c r="AC583" t="s">
        <v>49</v>
      </c>
      <c r="AD583" t="s">
        <v>49</v>
      </c>
      <c r="AE583">
        <v>0</v>
      </c>
      <c r="AF583" s="3">
        <v>0</v>
      </c>
      <c r="AG583" t="s">
        <v>49</v>
      </c>
      <c r="AH583" t="s">
        <v>49</v>
      </c>
      <c r="AI583" t="s">
        <v>49</v>
      </c>
      <c r="AJ583" t="s">
        <v>49</v>
      </c>
      <c r="AK583" t="s">
        <v>49</v>
      </c>
      <c r="AL583" t="s">
        <v>49</v>
      </c>
      <c r="AM583" t="s">
        <v>49</v>
      </c>
      <c r="AN583" s="3">
        <v>19</v>
      </c>
      <c r="AO583" s="19">
        <v>0</v>
      </c>
      <c r="AP583" s="19">
        <v>0</v>
      </c>
      <c r="AQ583" s="19">
        <v>0.6667</v>
      </c>
      <c r="AR583" s="19">
        <v>0.5</v>
      </c>
      <c r="AS583" s="19">
        <v>0.5</v>
      </c>
      <c r="AT583" s="19">
        <v>0.5</v>
      </c>
      <c r="AU583" s="3">
        <v>0</v>
      </c>
      <c r="AV583" s="3">
        <v>0</v>
      </c>
      <c r="AW583" s="19">
        <v>0</v>
      </c>
      <c r="AX583" s="3">
        <v>0</v>
      </c>
      <c r="AY583" s="3">
        <v>0</v>
      </c>
    </row>
    <row r="584" spans="1:51">
      <c r="A584" s="3">
        <v>14853896</v>
      </c>
      <c r="B584" t="s">
        <v>948</v>
      </c>
      <c r="C584" t="s">
        <v>949</v>
      </c>
      <c r="D584" t="s">
        <v>44</v>
      </c>
      <c r="E584" t="s">
        <v>461</v>
      </c>
      <c r="F584" t="s">
        <v>65</v>
      </c>
      <c r="G584" t="s">
        <v>47</v>
      </c>
      <c r="H584" s="16">
        <v>0</v>
      </c>
      <c r="I584" s="4">
        <f>VLOOKUP(C584,[1]sheet1!$D:$I,6,0)</f>
        <v>0</v>
      </c>
      <c r="J584" s="4">
        <f>VLOOKUP(C584,[2]sheet1!$D:$I,6,0)</f>
        <v>0</v>
      </c>
      <c r="K584" s="4">
        <f>VLOOKUP(C584,[3]sheet1!$D:$I,6,0)</f>
        <v>0</v>
      </c>
      <c r="L584" s="4">
        <f>VLOOKUP(C584,[4]sheet1!$D:$I,6,0)</f>
        <v>0</v>
      </c>
      <c r="M584" s="4">
        <f>VLOOKUP(C584,[5]sheet1!$D:$I,6,0)</f>
        <v>0</v>
      </c>
      <c r="N584" s="4">
        <f>VLOOKUP(C584,[6]sheet1!$D:$I,6,0)</f>
        <v>0</v>
      </c>
      <c r="O584" s="4">
        <f>VLOOKUP(C584,[7]sheet1!$D:$I,6,0)</f>
        <v>0</v>
      </c>
      <c r="P584" s="4">
        <f>VLOOKUP(C584,[8]sheet1!$D:$I,6,0)</f>
        <v>0</v>
      </c>
      <c r="Q584" s="4">
        <f t="shared" si="9"/>
        <v>0</v>
      </c>
      <c r="R584" s="3">
        <v>0</v>
      </c>
      <c r="S584" s="3">
        <v>1</v>
      </c>
      <c r="T584" s="19">
        <v>0</v>
      </c>
      <c r="U584" s="3">
        <v>0</v>
      </c>
      <c r="V584" s="3">
        <v>0</v>
      </c>
      <c r="W584">
        <v>0</v>
      </c>
      <c r="X584" s="3">
        <v>0</v>
      </c>
      <c r="Y584">
        <v>0</v>
      </c>
      <c r="Z584" s="3">
        <v>0</v>
      </c>
      <c r="AA584" t="s">
        <v>950</v>
      </c>
      <c r="AB584" t="s">
        <v>49</v>
      </c>
      <c r="AC584">
        <v>225.34</v>
      </c>
      <c r="AD584" t="s">
        <v>49</v>
      </c>
      <c r="AE584">
        <v>0</v>
      </c>
      <c r="AF584" s="3">
        <v>0</v>
      </c>
      <c r="AG584" t="s">
        <v>49</v>
      </c>
      <c r="AH584">
        <v>0</v>
      </c>
      <c r="AI584" t="s">
        <v>49</v>
      </c>
      <c r="AJ584" t="s">
        <v>49</v>
      </c>
      <c r="AK584" t="s">
        <v>49</v>
      </c>
      <c r="AL584" t="s">
        <v>49</v>
      </c>
      <c r="AM584" t="s">
        <v>49</v>
      </c>
      <c r="AN584" s="3">
        <v>1</v>
      </c>
      <c r="AO584" s="19">
        <v>0</v>
      </c>
      <c r="AP584" s="19">
        <v>0</v>
      </c>
      <c r="AQ584" s="19">
        <v>1</v>
      </c>
      <c r="AR584" s="19">
        <v>0</v>
      </c>
      <c r="AS584" s="19">
        <v>0</v>
      </c>
      <c r="AT584" s="19">
        <v>0</v>
      </c>
      <c r="AU584" s="3">
        <v>0</v>
      </c>
      <c r="AV584" s="3">
        <v>0</v>
      </c>
      <c r="AW584" s="19">
        <v>0</v>
      </c>
      <c r="AX584" s="3">
        <v>0</v>
      </c>
      <c r="AY584" s="3">
        <v>0</v>
      </c>
    </row>
    <row r="585" spans="1:51">
      <c r="A585" s="3">
        <v>14851449</v>
      </c>
      <c r="B585" t="s">
        <v>951</v>
      </c>
      <c r="C585" t="s">
        <v>952</v>
      </c>
      <c r="D585" t="s">
        <v>44</v>
      </c>
      <c r="E585" t="s">
        <v>104</v>
      </c>
      <c r="F585" t="s">
        <v>46</v>
      </c>
      <c r="G585" t="s">
        <v>47</v>
      </c>
      <c r="H585" s="16">
        <v>0</v>
      </c>
      <c r="I585" s="4">
        <f>VLOOKUP(C585,[1]sheet1!$D:$I,6,0)</f>
        <v>0</v>
      </c>
      <c r="J585" s="4">
        <f>VLOOKUP(C585,[2]sheet1!$D:$I,6,0)</f>
        <v>0</v>
      </c>
      <c r="K585" s="4">
        <f>VLOOKUP(C585,[3]sheet1!$D:$I,6,0)</f>
        <v>0</v>
      </c>
      <c r="L585" s="4">
        <f>VLOOKUP(C585,[4]sheet1!$D:$I,6,0)</f>
        <v>0</v>
      </c>
      <c r="M585" s="4">
        <f>VLOOKUP(C585,[5]sheet1!$D:$I,6,0)</f>
        <v>0</v>
      </c>
      <c r="N585" s="4">
        <f>VLOOKUP(C585,[6]sheet1!$D:$I,6,0)</f>
        <v>0</v>
      </c>
      <c r="O585" s="4">
        <f>VLOOKUP(C585,[7]sheet1!$D:$I,6,0)</f>
        <v>0</v>
      </c>
      <c r="P585" s="4">
        <f>VLOOKUP(C585,[8]sheet1!$D:$I,6,0)</f>
        <v>0</v>
      </c>
      <c r="Q585" s="4">
        <f t="shared" si="9"/>
        <v>0</v>
      </c>
      <c r="R585" s="3">
        <v>0</v>
      </c>
      <c r="S585">
        <v>52</v>
      </c>
      <c r="T585">
        <v>0</v>
      </c>
      <c r="U585" s="3">
        <v>0</v>
      </c>
      <c r="V585" s="3">
        <v>0</v>
      </c>
      <c r="W585">
        <v>0</v>
      </c>
      <c r="X585" s="3">
        <v>0</v>
      </c>
      <c r="Y585">
        <v>0</v>
      </c>
      <c r="Z585" s="3">
        <v>0</v>
      </c>
      <c r="AA585" t="s">
        <v>953</v>
      </c>
      <c r="AB585" s="3">
        <v>699</v>
      </c>
      <c r="AC585">
        <v>685.52</v>
      </c>
      <c r="AD585" t="s">
        <v>49</v>
      </c>
      <c r="AE585">
        <v>0</v>
      </c>
      <c r="AF585" s="3">
        <v>0</v>
      </c>
      <c r="AG585" t="s">
        <v>49</v>
      </c>
      <c r="AH585">
        <v>0</v>
      </c>
      <c r="AI585" t="s">
        <v>49</v>
      </c>
      <c r="AJ585">
        <v>598.52</v>
      </c>
      <c r="AK585" t="s">
        <v>49</v>
      </c>
      <c r="AL585">
        <v>0</v>
      </c>
      <c r="AM585" t="s">
        <v>49</v>
      </c>
      <c r="AN585">
        <v>64</v>
      </c>
      <c r="AO585" s="19">
        <v>0</v>
      </c>
      <c r="AP585" s="19">
        <v>0</v>
      </c>
      <c r="AQ585" s="19">
        <v>1</v>
      </c>
      <c r="AR585" s="19">
        <v>0</v>
      </c>
      <c r="AS585" s="19">
        <v>0</v>
      </c>
      <c r="AT585" s="19">
        <v>0</v>
      </c>
      <c r="AU585" s="3">
        <v>0</v>
      </c>
      <c r="AV585" s="3">
        <v>0</v>
      </c>
      <c r="AW585" s="19">
        <v>0</v>
      </c>
      <c r="AX585" s="3">
        <v>0</v>
      </c>
      <c r="AY585" s="3">
        <v>0</v>
      </c>
    </row>
    <row r="586" spans="1:51">
      <c r="A586" s="3">
        <v>14851238</v>
      </c>
      <c r="B586" t="s">
        <v>954</v>
      </c>
      <c r="C586" t="s">
        <v>955</v>
      </c>
      <c r="D586" t="s">
        <v>44</v>
      </c>
      <c r="E586" t="s">
        <v>104</v>
      </c>
      <c r="F586" t="s">
        <v>46</v>
      </c>
      <c r="G586" t="s">
        <v>47</v>
      </c>
      <c r="H586" s="16">
        <v>0</v>
      </c>
      <c r="I586" s="4">
        <f>VLOOKUP(C586,[1]sheet1!$D:$I,6,0)</f>
        <v>0</v>
      </c>
      <c r="J586" s="4">
        <f>VLOOKUP(C586,[2]sheet1!$D:$I,6,0)</f>
        <v>0</v>
      </c>
      <c r="K586" s="4">
        <f>VLOOKUP(C586,[3]sheet1!$D:$I,6,0)</f>
        <v>0</v>
      </c>
      <c r="L586" s="4">
        <f>VLOOKUP(C586,[4]sheet1!$D:$I,6,0)</f>
        <v>0</v>
      </c>
      <c r="M586" s="4">
        <f>VLOOKUP(C586,[5]sheet1!$D:$I,6,0)</f>
        <v>0</v>
      </c>
      <c r="N586" s="4">
        <f>VLOOKUP(C586,[6]sheet1!$D:$I,6,0)</f>
        <v>0</v>
      </c>
      <c r="O586" s="4">
        <f>VLOOKUP(C586,[7]sheet1!$D:$I,6,0)</f>
        <v>0</v>
      </c>
      <c r="P586" s="4">
        <f>VLOOKUP(C586,[8]sheet1!$D:$I,6,0)</f>
        <v>0</v>
      </c>
      <c r="Q586" s="4">
        <f t="shared" si="9"/>
        <v>0</v>
      </c>
      <c r="R586" s="3">
        <v>0</v>
      </c>
      <c r="S586">
        <v>147</v>
      </c>
      <c r="T586">
        <v>0</v>
      </c>
      <c r="U586" s="3">
        <v>0</v>
      </c>
      <c r="V586" s="3">
        <v>0</v>
      </c>
      <c r="W586">
        <v>0</v>
      </c>
      <c r="X586" s="3">
        <v>0</v>
      </c>
      <c r="Y586">
        <v>0</v>
      </c>
      <c r="Z586" s="3">
        <v>0</v>
      </c>
      <c r="AA586" t="s">
        <v>112</v>
      </c>
      <c r="AB586" s="3">
        <v>598</v>
      </c>
      <c r="AC586">
        <v>598.52</v>
      </c>
      <c r="AD586" t="s">
        <v>49</v>
      </c>
      <c r="AE586">
        <v>0</v>
      </c>
      <c r="AF586" s="3">
        <v>0</v>
      </c>
      <c r="AG586" t="s">
        <v>49</v>
      </c>
      <c r="AH586">
        <v>0</v>
      </c>
      <c r="AI586" t="s">
        <v>49</v>
      </c>
      <c r="AJ586">
        <v>510.65</v>
      </c>
      <c r="AK586" t="s">
        <v>49</v>
      </c>
      <c r="AL586">
        <v>0</v>
      </c>
      <c r="AM586" t="s">
        <v>49</v>
      </c>
      <c r="AN586" s="3">
        <v>16</v>
      </c>
      <c r="AO586" s="19">
        <v>0</v>
      </c>
      <c r="AP586" s="19">
        <v>0</v>
      </c>
      <c r="AQ586" s="19">
        <v>0.8125</v>
      </c>
      <c r="AR586" s="19">
        <v>0.4375</v>
      </c>
      <c r="AS586" s="19">
        <v>0</v>
      </c>
      <c r="AT586" s="19">
        <v>0</v>
      </c>
      <c r="AU586" s="3">
        <v>0</v>
      </c>
      <c r="AV586" s="3">
        <v>0</v>
      </c>
      <c r="AW586" s="19">
        <v>0</v>
      </c>
      <c r="AX586" s="3">
        <v>0</v>
      </c>
      <c r="AY586" s="3">
        <v>0</v>
      </c>
    </row>
    <row r="587" spans="1:51">
      <c r="A587" s="3">
        <v>14850648</v>
      </c>
      <c r="B587" t="s">
        <v>956</v>
      </c>
      <c r="C587" t="s">
        <v>957</v>
      </c>
      <c r="D587" t="s">
        <v>44</v>
      </c>
      <c r="E587" t="s">
        <v>227</v>
      </c>
      <c r="F587" t="s">
        <v>46</v>
      </c>
      <c r="G587" t="s">
        <v>47</v>
      </c>
      <c r="H587" s="16">
        <v>0</v>
      </c>
      <c r="I587" s="4">
        <f>VLOOKUP(C587,[1]sheet1!$D:$I,6,0)</f>
        <v>0</v>
      </c>
      <c r="J587" s="4">
        <f>VLOOKUP(C587,[2]sheet1!$D:$I,6,0)</f>
        <v>0</v>
      </c>
      <c r="K587" s="4">
        <f>VLOOKUP(C587,[3]sheet1!$D:$I,6,0)</f>
        <v>0</v>
      </c>
      <c r="L587" s="4">
        <f>VLOOKUP(C587,[4]sheet1!$D:$I,6,0)</f>
        <v>0</v>
      </c>
      <c r="M587" s="4">
        <f>VLOOKUP(C587,[5]sheet1!$D:$I,6,0)</f>
        <v>0</v>
      </c>
      <c r="N587" s="4">
        <f>VLOOKUP(C587,[6]sheet1!$D:$I,6,0)</f>
        <v>0</v>
      </c>
      <c r="O587" s="4">
        <f>VLOOKUP(C587,[7]sheet1!$D:$I,6,0)</f>
        <v>0</v>
      </c>
      <c r="P587" s="4">
        <f>VLOOKUP(C587,[8]sheet1!$D:$I,6,0)</f>
        <v>0</v>
      </c>
      <c r="Q587" s="4">
        <f t="shared" si="9"/>
        <v>0</v>
      </c>
      <c r="R587" s="3">
        <v>0</v>
      </c>
      <c r="S587">
        <v>64</v>
      </c>
      <c r="T587">
        <v>0</v>
      </c>
      <c r="U587" s="3">
        <v>0</v>
      </c>
      <c r="V587" s="3">
        <v>0</v>
      </c>
      <c r="W587">
        <v>0</v>
      </c>
      <c r="X587" s="3">
        <v>0</v>
      </c>
      <c r="Y587">
        <v>0</v>
      </c>
      <c r="Z587" s="3">
        <v>0</v>
      </c>
      <c r="AA587" t="s">
        <v>49</v>
      </c>
      <c r="AB587" t="s">
        <v>49</v>
      </c>
      <c r="AC587" t="s">
        <v>49</v>
      </c>
      <c r="AD587" t="s">
        <v>49</v>
      </c>
      <c r="AE587">
        <v>0</v>
      </c>
      <c r="AF587" s="3">
        <v>0</v>
      </c>
      <c r="AG587" t="s">
        <v>49</v>
      </c>
      <c r="AH587" t="s">
        <v>49</v>
      </c>
      <c r="AI587" t="s">
        <v>49</v>
      </c>
      <c r="AJ587" t="s">
        <v>49</v>
      </c>
      <c r="AK587" t="s">
        <v>49</v>
      </c>
      <c r="AL587" t="s">
        <v>49</v>
      </c>
      <c r="AM587" t="s">
        <v>49</v>
      </c>
      <c r="AN587">
        <v>64</v>
      </c>
      <c r="AO587" s="19">
        <v>0</v>
      </c>
      <c r="AP587" s="19">
        <v>0</v>
      </c>
      <c r="AQ587" s="19">
        <v>0.6667</v>
      </c>
      <c r="AR587" s="19">
        <v>0</v>
      </c>
      <c r="AS587" s="19">
        <v>0</v>
      </c>
      <c r="AT587" s="19">
        <v>0</v>
      </c>
      <c r="AU587" s="3">
        <v>0</v>
      </c>
      <c r="AV587" s="3">
        <v>0</v>
      </c>
      <c r="AW587" s="19">
        <v>0</v>
      </c>
      <c r="AX587" s="3">
        <v>0</v>
      </c>
      <c r="AY587" s="3">
        <v>0</v>
      </c>
    </row>
    <row r="588" spans="1:51">
      <c r="A588" s="3">
        <v>14850371</v>
      </c>
      <c r="B588" t="s">
        <v>958</v>
      </c>
      <c r="C588" t="s">
        <v>959</v>
      </c>
      <c r="D588" t="s">
        <v>44</v>
      </c>
      <c r="E588" t="s">
        <v>252</v>
      </c>
      <c r="F588" t="s">
        <v>46</v>
      </c>
      <c r="G588" t="s">
        <v>47</v>
      </c>
      <c r="H588" s="16">
        <v>0</v>
      </c>
      <c r="I588" s="4">
        <f>VLOOKUP(C588,[1]sheet1!$D:$I,6,0)</f>
        <v>0</v>
      </c>
      <c r="J588" s="4">
        <f>VLOOKUP(C588,[2]sheet1!$D:$I,6,0)</f>
        <v>472</v>
      </c>
      <c r="K588" s="4">
        <f>VLOOKUP(C588,[3]sheet1!$D:$I,6,0)</f>
        <v>0</v>
      </c>
      <c r="L588" s="4">
        <f>VLOOKUP(C588,[4]sheet1!$D:$I,6,0)</f>
        <v>0</v>
      </c>
      <c r="M588" s="4">
        <f>VLOOKUP(C588,[5]sheet1!$D:$I,6,0)</f>
        <v>0</v>
      </c>
      <c r="N588" s="4">
        <f>VLOOKUP(C588,[6]sheet1!$D:$I,6,0)</f>
        <v>0</v>
      </c>
      <c r="O588" s="4">
        <f>VLOOKUP(C588,[7]sheet1!$D:$I,6,0)</f>
        <v>0</v>
      </c>
      <c r="P588" s="4">
        <f>VLOOKUP(C588,[8]sheet1!$D:$I,6,0)</f>
        <v>0</v>
      </c>
      <c r="Q588" s="4">
        <f t="shared" si="9"/>
        <v>472</v>
      </c>
      <c r="R588" s="3">
        <v>0</v>
      </c>
      <c r="S588">
        <v>198</v>
      </c>
      <c r="T588">
        <v>0</v>
      </c>
      <c r="U588" s="3">
        <v>0</v>
      </c>
      <c r="V588" s="3">
        <v>0</v>
      </c>
      <c r="W588">
        <v>0</v>
      </c>
      <c r="X588" s="3">
        <v>0</v>
      </c>
      <c r="Y588">
        <v>0</v>
      </c>
      <c r="Z588" s="3">
        <v>0</v>
      </c>
      <c r="AA588" t="s">
        <v>730</v>
      </c>
      <c r="AB588" s="3">
        <v>399</v>
      </c>
      <c r="AC588">
        <v>390.3</v>
      </c>
      <c r="AD588" t="s">
        <v>49</v>
      </c>
      <c r="AE588">
        <v>0</v>
      </c>
      <c r="AF588" s="3">
        <v>0</v>
      </c>
      <c r="AG588" t="s">
        <v>49</v>
      </c>
      <c r="AH588">
        <v>0</v>
      </c>
      <c r="AI588" t="s">
        <v>49</v>
      </c>
      <c r="AJ588">
        <v>337.23</v>
      </c>
      <c r="AK588" t="s">
        <v>49</v>
      </c>
      <c r="AL588">
        <v>0</v>
      </c>
      <c r="AM588" t="s">
        <v>49</v>
      </c>
      <c r="AN588" s="3">
        <v>35</v>
      </c>
      <c r="AO588" s="19">
        <v>0</v>
      </c>
      <c r="AP588" s="19">
        <v>0</v>
      </c>
      <c r="AQ588" s="19">
        <v>0.7931</v>
      </c>
      <c r="AR588" s="19">
        <v>0.1379</v>
      </c>
      <c r="AS588" s="19">
        <v>0</v>
      </c>
      <c r="AT588" s="19">
        <v>0</v>
      </c>
      <c r="AU588" s="3">
        <v>0</v>
      </c>
      <c r="AV588" s="3">
        <v>0</v>
      </c>
      <c r="AW588" s="19">
        <v>0</v>
      </c>
      <c r="AX588" s="3">
        <v>0</v>
      </c>
      <c r="AY588" s="3">
        <v>0</v>
      </c>
    </row>
    <row r="589" spans="1:51">
      <c r="A589" s="3">
        <v>14816871</v>
      </c>
      <c r="B589" t="s">
        <v>960</v>
      </c>
      <c r="C589" t="s">
        <v>961</v>
      </c>
      <c r="D589" t="s">
        <v>44</v>
      </c>
      <c r="E589" t="s">
        <v>143</v>
      </c>
      <c r="F589" t="s">
        <v>65</v>
      </c>
      <c r="G589" t="s">
        <v>47</v>
      </c>
      <c r="H589" s="16">
        <v>0</v>
      </c>
      <c r="I589" s="4">
        <f>VLOOKUP(C589,[1]sheet1!$D:$I,6,0)</f>
        <v>442</v>
      </c>
      <c r="J589" s="4">
        <f>VLOOKUP(C589,[2]sheet1!$D:$I,6,0)</f>
        <v>0</v>
      </c>
      <c r="K589" s="4">
        <f>VLOOKUP(C589,[3]sheet1!$D:$I,6,0)</f>
        <v>0</v>
      </c>
      <c r="L589" s="4">
        <f>VLOOKUP(C589,[4]sheet1!$D:$I,6,0)</f>
        <v>0</v>
      </c>
      <c r="M589" s="4">
        <f>VLOOKUP(C589,[5]sheet1!$D:$I,6,0)</f>
        <v>0</v>
      </c>
      <c r="N589" s="4">
        <f>VLOOKUP(C589,[6]sheet1!$D:$I,6,0)</f>
        <v>0</v>
      </c>
      <c r="O589" s="4">
        <f>VLOOKUP(C589,[7]sheet1!$D:$I,6,0)</f>
        <v>424</v>
      </c>
      <c r="P589" s="4">
        <f>VLOOKUP(C589,[8]sheet1!$D:$I,6,0)</f>
        <v>0</v>
      </c>
      <c r="Q589" s="15">
        <f t="shared" si="9"/>
        <v>866</v>
      </c>
      <c r="R589" s="3">
        <v>0</v>
      </c>
      <c r="S589" s="3">
        <v>185</v>
      </c>
      <c r="T589" s="19">
        <v>0</v>
      </c>
      <c r="U589" s="3">
        <v>20</v>
      </c>
      <c r="V589" s="3">
        <v>0</v>
      </c>
      <c r="W589">
        <v>0</v>
      </c>
      <c r="X589" s="3">
        <v>0</v>
      </c>
      <c r="Y589">
        <v>0</v>
      </c>
      <c r="Z589" s="3">
        <v>0</v>
      </c>
      <c r="AA589" t="s">
        <v>730</v>
      </c>
      <c r="AB589" t="s">
        <v>49</v>
      </c>
      <c r="AC589">
        <v>389.99</v>
      </c>
      <c r="AD589" t="s">
        <v>49</v>
      </c>
      <c r="AE589">
        <v>0</v>
      </c>
      <c r="AF589" s="3">
        <v>0</v>
      </c>
      <c r="AG589" t="s">
        <v>49</v>
      </c>
      <c r="AH589">
        <v>0</v>
      </c>
      <c r="AI589" t="s">
        <v>49</v>
      </c>
      <c r="AJ589" t="s">
        <v>49</v>
      </c>
      <c r="AK589" t="s">
        <v>49</v>
      </c>
      <c r="AL589" t="s">
        <v>49</v>
      </c>
      <c r="AM589" t="s">
        <v>49</v>
      </c>
      <c r="AN589" s="3">
        <v>223</v>
      </c>
      <c r="AO589" s="19">
        <v>0</v>
      </c>
      <c r="AP589" s="19">
        <v>0</v>
      </c>
      <c r="AQ589" s="19">
        <v>0.7892</v>
      </c>
      <c r="AR589" s="19">
        <v>0.5892</v>
      </c>
      <c r="AS589" s="19">
        <v>0.85</v>
      </c>
      <c r="AT589" s="19">
        <v>0.65</v>
      </c>
      <c r="AU589" s="3">
        <v>0</v>
      </c>
      <c r="AV589" s="3">
        <v>0</v>
      </c>
      <c r="AW589" s="19">
        <v>0</v>
      </c>
      <c r="AX589" s="3">
        <v>0</v>
      </c>
      <c r="AY589" s="3">
        <v>0</v>
      </c>
    </row>
    <row r="590" spans="1:51">
      <c r="A590" s="3">
        <v>14816629</v>
      </c>
      <c r="B590" t="s">
        <v>962</v>
      </c>
      <c r="C590" s="3">
        <v>16402502</v>
      </c>
      <c r="D590" t="s">
        <v>44</v>
      </c>
      <c r="E590" t="s">
        <v>78</v>
      </c>
      <c r="F590" t="s">
        <v>65</v>
      </c>
      <c r="G590" t="s">
        <v>47</v>
      </c>
      <c r="H590" s="16">
        <v>0</v>
      </c>
      <c r="I590" s="4">
        <f>VLOOKUP(C590,[1]sheet1!$D:$I,6,0)</f>
        <v>0</v>
      </c>
      <c r="J590" s="4">
        <f>VLOOKUP(C590,[2]sheet1!$D:$I,6,0)</f>
        <v>0</v>
      </c>
      <c r="K590" s="4">
        <f>VLOOKUP(C590,[3]sheet1!$D:$I,6,0)</f>
        <v>0</v>
      </c>
      <c r="L590" s="4">
        <f>VLOOKUP(C590,[4]sheet1!$D:$I,6,0)</f>
        <v>0</v>
      </c>
      <c r="M590" s="4">
        <f>VLOOKUP(C590,[5]sheet1!$D:$I,6,0)</f>
        <v>0</v>
      </c>
      <c r="N590" s="4">
        <f>VLOOKUP(C590,[6]sheet1!$D:$I,6,0)</f>
        <v>0</v>
      </c>
      <c r="O590" s="4">
        <f>VLOOKUP(C590,[7]sheet1!$D:$I,6,0)</f>
        <v>0</v>
      </c>
      <c r="P590" s="4">
        <f>VLOOKUP(C590,[8]sheet1!$D:$I,6,0)</f>
        <v>0</v>
      </c>
      <c r="Q590" s="4">
        <f t="shared" si="9"/>
        <v>0</v>
      </c>
      <c r="R590" s="3">
        <v>0</v>
      </c>
      <c r="S590" s="3">
        <v>7</v>
      </c>
      <c r="T590" s="19">
        <v>0</v>
      </c>
      <c r="U590" s="3">
        <v>0</v>
      </c>
      <c r="V590" s="3">
        <v>0</v>
      </c>
      <c r="W590">
        <v>0</v>
      </c>
      <c r="X590" s="3">
        <v>0</v>
      </c>
      <c r="Y590">
        <v>0</v>
      </c>
      <c r="Z590" s="3">
        <v>0</v>
      </c>
      <c r="AA590" t="s">
        <v>230</v>
      </c>
      <c r="AB590" t="s">
        <v>49</v>
      </c>
      <c r="AC590">
        <v>207.55</v>
      </c>
      <c r="AD590" t="s">
        <v>49</v>
      </c>
      <c r="AE590">
        <v>0</v>
      </c>
      <c r="AF590" s="3">
        <v>0</v>
      </c>
      <c r="AG590" t="s">
        <v>49</v>
      </c>
      <c r="AH590">
        <v>0</v>
      </c>
      <c r="AI590" t="s">
        <v>49</v>
      </c>
      <c r="AJ590" t="s">
        <v>49</v>
      </c>
      <c r="AK590" t="s">
        <v>49</v>
      </c>
      <c r="AL590" t="s">
        <v>49</v>
      </c>
      <c r="AM590" t="s">
        <v>49</v>
      </c>
      <c r="AN590" s="3">
        <v>9</v>
      </c>
      <c r="AO590" s="19">
        <v>0</v>
      </c>
      <c r="AP590" s="19">
        <v>0</v>
      </c>
      <c r="AQ590" s="19">
        <v>0.8571</v>
      </c>
      <c r="AR590" s="19">
        <v>0.4286</v>
      </c>
      <c r="AS590" s="19">
        <v>0</v>
      </c>
      <c r="AT590" s="19">
        <v>0</v>
      </c>
      <c r="AU590" s="3">
        <v>0</v>
      </c>
      <c r="AV590" s="3">
        <v>0</v>
      </c>
      <c r="AW590" s="19">
        <v>0</v>
      </c>
      <c r="AX590" s="3">
        <v>0</v>
      </c>
      <c r="AY590" s="3">
        <v>0</v>
      </c>
    </row>
    <row r="591" spans="1:51">
      <c r="A591" s="3">
        <v>14806672</v>
      </c>
      <c r="B591" t="s">
        <v>963</v>
      </c>
      <c r="C591" t="s">
        <v>964</v>
      </c>
      <c r="D591" t="s">
        <v>44</v>
      </c>
      <c r="E591" t="s">
        <v>100</v>
      </c>
      <c r="F591" t="s">
        <v>65</v>
      </c>
      <c r="G591" t="s">
        <v>47</v>
      </c>
      <c r="H591" s="16">
        <v>0</v>
      </c>
      <c r="I591" s="4">
        <f>VLOOKUP(C591,[1]sheet1!$D:$I,6,0)</f>
        <v>0</v>
      </c>
      <c r="J591" s="4">
        <f>VLOOKUP(C591,[2]sheet1!$D:$I,6,0)</f>
        <v>0</v>
      </c>
      <c r="K591" s="4">
        <f>VLOOKUP(C591,[3]sheet1!$D:$I,6,0)</f>
        <v>0</v>
      </c>
      <c r="L591" s="4">
        <f>VLOOKUP(C591,[4]sheet1!$D:$I,6,0)</f>
        <v>0</v>
      </c>
      <c r="M591" s="4">
        <f>VLOOKUP(C591,[5]sheet1!$D:$I,6,0)</f>
        <v>0</v>
      </c>
      <c r="N591" s="4">
        <f>VLOOKUP(C591,[6]sheet1!$D:$I,6,0)</f>
        <v>0</v>
      </c>
      <c r="O591" s="4">
        <f>VLOOKUP(C591,[7]sheet1!$D:$I,6,0)</f>
        <v>0</v>
      </c>
      <c r="P591" s="4">
        <f>VLOOKUP(C591,[8]sheet1!$D:$I,6,0)</f>
        <v>0</v>
      </c>
      <c r="Q591" s="4">
        <f t="shared" si="9"/>
        <v>0</v>
      </c>
      <c r="R591" s="3">
        <v>0</v>
      </c>
      <c r="S591" s="3">
        <v>4</v>
      </c>
      <c r="T591" s="19">
        <v>0</v>
      </c>
      <c r="U591" s="3">
        <v>0</v>
      </c>
      <c r="V591" s="3">
        <v>0</v>
      </c>
      <c r="W591">
        <v>0</v>
      </c>
      <c r="X591" s="3">
        <v>0</v>
      </c>
      <c r="Y591">
        <v>0</v>
      </c>
      <c r="Z591" s="3">
        <v>0</v>
      </c>
      <c r="AA591" t="s">
        <v>261</v>
      </c>
      <c r="AB591" t="s">
        <v>49</v>
      </c>
      <c r="AC591">
        <v>330.2</v>
      </c>
      <c r="AD591" t="s">
        <v>49</v>
      </c>
      <c r="AE591">
        <v>0</v>
      </c>
      <c r="AF591" s="3">
        <v>0</v>
      </c>
      <c r="AG591" t="s">
        <v>49</v>
      </c>
      <c r="AH591">
        <v>0</v>
      </c>
      <c r="AI591" t="s">
        <v>49</v>
      </c>
      <c r="AJ591" t="s">
        <v>49</v>
      </c>
      <c r="AK591" t="s">
        <v>49</v>
      </c>
      <c r="AL591" t="s">
        <v>49</v>
      </c>
      <c r="AM591" t="s">
        <v>49</v>
      </c>
      <c r="AN591" s="3">
        <v>4</v>
      </c>
      <c r="AO591" s="19">
        <v>0</v>
      </c>
      <c r="AP591" s="19">
        <v>0</v>
      </c>
      <c r="AQ591" s="19">
        <v>0.75</v>
      </c>
      <c r="AR591" s="19">
        <v>0.5</v>
      </c>
      <c r="AS591" s="19">
        <v>0</v>
      </c>
      <c r="AT591" s="19">
        <v>0</v>
      </c>
      <c r="AU591" s="3">
        <v>0</v>
      </c>
      <c r="AV591" s="3">
        <v>0</v>
      </c>
      <c r="AW591" s="19">
        <v>0</v>
      </c>
      <c r="AX591" s="3">
        <v>0</v>
      </c>
      <c r="AY591" s="3">
        <v>0</v>
      </c>
    </row>
    <row r="592" spans="1:51">
      <c r="A592" s="3">
        <v>14806627</v>
      </c>
      <c r="B592" t="s">
        <v>965</v>
      </c>
      <c r="C592" t="s">
        <v>966</v>
      </c>
      <c r="D592" t="s">
        <v>44</v>
      </c>
      <c r="E592" t="s">
        <v>100</v>
      </c>
      <c r="F592" t="s">
        <v>65</v>
      </c>
      <c r="G592" t="s">
        <v>47</v>
      </c>
      <c r="H592" s="16">
        <v>0</v>
      </c>
      <c r="I592" s="4">
        <f>VLOOKUP(C592,[1]sheet1!$D:$I,6,0)</f>
        <v>0</v>
      </c>
      <c r="J592" s="4">
        <f>VLOOKUP(C592,[2]sheet1!$D:$I,6,0)</f>
        <v>0</v>
      </c>
      <c r="K592" s="4">
        <f>VLOOKUP(C592,[3]sheet1!$D:$I,6,0)</f>
        <v>0</v>
      </c>
      <c r="L592" s="4">
        <f>VLOOKUP(C592,[4]sheet1!$D:$I,6,0)</f>
        <v>0</v>
      </c>
      <c r="M592" s="4">
        <f>VLOOKUP(C592,[5]sheet1!$D:$I,6,0)</f>
        <v>0</v>
      </c>
      <c r="N592" s="4">
        <f>VLOOKUP(C592,[6]sheet1!$D:$I,6,0)</f>
        <v>0</v>
      </c>
      <c r="O592" s="4">
        <f>VLOOKUP(C592,[7]sheet1!$D:$I,6,0)</f>
        <v>0</v>
      </c>
      <c r="P592" s="4">
        <f>VLOOKUP(C592,[8]sheet1!$D:$I,6,0)</f>
        <v>0</v>
      </c>
      <c r="Q592" s="4">
        <f t="shared" si="9"/>
        <v>0</v>
      </c>
      <c r="R592" s="3">
        <v>0</v>
      </c>
      <c r="S592" s="3">
        <v>7</v>
      </c>
      <c r="T592" s="19">
        <v>0</v>
      </c>
      <c r="U592" s="3">
        <v>0</v>
      </c>
      <c r="V592" s="3">
        <v>0</v>
      </c>
      <c r="W592">
        <v>0</v>
      </c>
      <c r="X592" s="3">
        <v>0</v>
      </c>
      <c r="Y592">
        <v>0</v>
      </c>
      <c r="Z592" s="3">
        <v>0</v>
      </c>
      <c r="AA592" t="s">
        <v>261</v>
      </c>
      <c r="AB592" t="s">
        <v>49</v>
      </c>
      <c r="AC592">
        <v>330.2</v>
      </c>
      <c r="AD592" t="s">
        <v>49</v>
      </c>
      <c r="AE592">
        <v>0</v>
      </c>
      <c r="AF592" s="3">
        <v>0</v>
      </c>
      <c r="AG592" t="s">
        <v>49</v>
      </c>
      <c r="AH592">
        <v>0</v>
      </c>
      <c r="AI592" t="s">
        <v>49</v>
      </c>
      <c r="AJ592" t="s">
        <v>49</v>
      </c>
      <c r="AK592" t="s">
        <v>49</v>
      </c>
      <c r="AL592" t="s">
        <v>49</v>
      </c>
      <c r="AM592" t="s">
        <v>49</v>
      </c>
      <c r="AN592" s="3">
        <v>9</v>
      </c>
      <c r="AO592" s="19">
        <v>0</v>
      </c>
      <c r="AP592" s="19">
        <v>0</v>
      </c>
      <c r="AQ592" s="19">
        <v>0.7143</v>
      </c>
      <c r="AR592" s="19">
        <v>0.2857</v>
      </c>
      <c r="AS592" s="19">
        <v>0</v>
      </c>
      <c r="AT592" s="19">
        <v>0</v>
      </c>
      <c r="AU592" s="3">
        <v>0</v>
      </c>
      <c r="AV592" s="3">
        <v>0</v>
      </c>
      <c r="AW592" s="19">
        <v>0</v>
      </c>
      <c r="AX592" s="3">
        <v>0</v>
      </c>
      <c r="AY592" s="3">
        <v>0</v>
      </c>
    </row>
    <row r="593" spans="1:51">
      <c r="A593" s="3">
        <v>14799752</v>
      </c>
      <c r="B593" t="s">
        <v>967</v>
      </c>
      <c r="C593" s="3">
        <v>164035001</v>
      </c>
      <c r="D593" t="s">
        <v>44</v>
      </c>
      <c r="E593" t="s">
        <v>968</v>
      </c>
      <c r="F593" t="s">
        <v>65</v>
      </c>
      <c r="G593" t="s">
        <v>47</v>
      </c>
      <c r="H593" s="16">
        <v>0</v>
      </c>
      <c r="I593" s="4">
        <f>VLOOKUP(C593,[1]sheet1!$D:$I,6,0)</f>
        <v>0</v>
      </c>
      <c r="J593" s="4">
        <f>VLOOKUP(C593,[2]sheet1!$D:$I,6,0)</f>
        <v>0</v>
      </c>
      <c r="K593" s="4">
        <f>VLOOKUP(C593,[3]sheet1!$D:$I,6,0)</f>
        <v>0</v>
      </c>
      <c r="L593" s="4">
        <f>VLOOKUP(C593,[4]sheet1!$D:$I,6,0)</f>
        <v>0</v>
      </c>
      <c r="M593" s="4">
        <f>VLOOKUP(C593,[5]sheet1!$D:$I,6,0)</f>
        <v>0</v>
      </c>
      <c r="N593" s="4">
        <f>VLOOKUP(C593,[6]sheet1!$D:$I,6,0)</f>
        <v>0</v>
      </c>
      <c r="O593" s="4">
        <f>VLOOKUP(C593,[7]sheet1!$D:$I,6,0)</f>
        <v>0</v>
      </c>
      <c r="P593" s="4">
        <f>VLOOKUP(C593,[8]sheet1!$D:$I,6,0)</f>
        <v>0</v>
      </c>
      <c r="Q593" s="4">
        <f t="shared" si="9"/>
        <v>0</v>
      </c>
      <c r="R593" s="3">
        <v>0</v>
      </c>
      <c r="S593" s="3">
        <v>2</v>
      </c>
      <c r="T593" s="19">
        <v>0</v>
      </c>
      <c r="U593" s="3">
        <v>0</v>
      </c>
      <c r="V593" s="3">
        <v>0</v>
      </c>
      <c r="W593">
        <v>0</v>
      </c>
      <c r="X593" s="3">
        <v>0</v>
      </c>
      <c r="Y593">
        <v>0</v>
      </c>
      <c r="Z593" s="3">
        <v>0</v>
      </c>
      <c r="AA593" t="s">
        <v>514</v>
      </c>
      <c r="AB593" t="s">
        <v>49</v>
      </c>
      <c r="AC593">
        <v>81.74</v>
      </c>
      <c r="AD593" t="s">
        <v>49</v>
      </c>
      <c r="AE593">
        <v>0</v>
      </c>
      <c r="AF593" s="3">
        <v>0</v>
      </c>
      <c r="AG593" t="s">
        <v>49</v>
      </c>
      <c r="AH593">
        <v>0</v>
      </c>
      <c r="AI593" t="s">
        <v>49</v>
      </c>
      <c r="AJ593" t="s">
        <v>49</v>
      </c>
      <c r="AK593" t="s">
        <v>49</v>
      </c>
      <c r="AL593" t="s">
        <v>49</v>
      </c>
      <c r="AM593" t="s">
        <v>49</v>
      </c>
      <c r="AN593" s="3">
        <v>3</v>
      </c>
      <c r="AO593" s="19">
        <v>0</v>
      </c>
      <c r="AP593" s="19">
        <v>0</v>
      </c>
      <c r="AQ593" s="19">
        <v>0.5</v>
      </c>
      <c r="AR593" s="19">
        <v>0.5</v>
      </c>
      <c r="AS593" s="19">
        <v>0</v>
      </c>
      <c r="AT593" s="19">
        <v>0</v>
      </c>
      <c r="AU593" s="3">
        <v>0</v>
      </c>
      <c r="AV593" s="3">
        <v>0</v>
      </c>
      <c r="AW593" s="19">
        <v>0</v>
      </c>
      <c r="AX593" s="3">
        <v>0</v>
      </c>
      <c r="AY593" s="3">
        <v>0</v>
      </c>
    </row>
    <row r="594" spans="1:51">
      <c r="A594" s="3">
        <v>14743614</v>
      </c>
      <c r="B594" t="s">
        <v>969</v>
      </c>
      <c r="C594" t="s">
        <v>970</v>
      </c>
      <c r="D594" t="s">
        <v>44</v>
      </c>
      <c r="E594" t="s">
        <v>200</v>
      </c>
      <c r="F594" t="s">
        <v>65</v>
      </c>
      <c r="G594" t="s">
        <v>47</v>
      </c>
      <c r="H594" s="16">
        <v>0</v>
      </c>
      <c r="I594" s="4">
        <f>VLOOKUP(C594,[1]sheet1!$D:$I,6,0)</f>
        <v>0</v>
      </c>
      <c r="J594" s="4">
        <f>VLOOKUP(C594,[2]sheet1!$D:$I,6,0)</f>
        <v>0</v>
      </c>
      <c r="K594" s="4">
        <f>VLOOKUP(C594,[3]sheet1!$D:$I,6,0)</f>
        <v>0</v>
      </c>
      <c r="L594" s="4">
        <f>VLOOKUP(C594,[4]sheet1!$D:$I,6,0)</f>
        <v>0</v>
      </c>
      <c r="M594" s="4">
        <f>VLOOKUP(C594,[5]sheet1!$D:$I,6,0)</f>
        <v>0</v>
      </c>
      <c r="N594" s="4">
        <f>VLOOKUP(C594,[6]sheet1!$D:$I,6,0)</f>
        <v>0</v>
      </c>
      <c r="O594" s="4">
        <f>VLOOKUP(C594,[7]sheet1!$D:$I,6,0)</f>
        <v>0</v>
      </c>
      <c r="P594" s="4">
        <f>VLOOKUP(C594,[8]sheet1!$D:$I,6,0)</f>
        <v>0</v>
      </c>
      <c r="Q594" s="4">
        <f t="shared" si="9"/>
        <v>0</v>
      </c>
      <c r="R594" s="3">
        <v>0</v>
      </c>
      <c r="S594" s="3">
        <v>4</v>
      </c>
      <c r="T594" s="19">
        <v>0</v>
      </c>
      <c r="U594" s="3">
        <v>0</v>
      </c>
      <c r="V594" s="3">
        <v>0</v>
      </c>
      <c r="W594">
        <v>0</v>
      </c>
      <c r="X594" s="3">
        <v>0</v>
      </c>
      <c r="Y594">
        <v>0</v>
      </c>
      <c r="Z594" s="3">
        <v>0</v>
      </c>
      <c r="AA594" t="s">
        <v>535</v>
      </c>
      <c r="AB594" t="s">
        <v>49</v>
      </c>
      <c r="AC594">
        <v>276.01</v>
      </c>
      <c r="AD594" t="s">
        <v>49</v>
      </c>
      <c r="AE594">
        <v>0</v>
      </c>
      <c r="AF594" s="3">
        <v>0</v>
      </c>
      <c r="AG594" t="s">
        <v>49</v>
      </c>
      <c r="AH594">
        <v>0</v>
      </c>
      <c r="AI594" t="s">
        <v>49</v>
      </c>
      <c r="AJ594" t="s">
        <v>49</v>
      </c>
      <c r="AK594" t="s">
        <v>49</v>
      </c>
      <c r="AL594" t="s">
        <v>49</v>
      </c>
      <c r="AM594" t="s">
        <v>49</v>
      </c>
      <c r="AN594" s="3">
        <v>4</v>
      </c>
      <c r="AO594" s="19">
        <v>0</v>
      </c>
      <c r="AP594" s="19">
        <v>0</v>
      </c>
      <c r="AQ594" s="19">
        <v>0.75</v>
      </c>
      <c r="AR594" s="19">
        <v>0.25</v>
      </c>
      <c r="AS594" s="19">
        <v>0</v>
      </c>
      <c r="AT594" s="19">
        <v>0</v>
      </c>
      <c r="AU594" s="3">
        <v>0</v>
      </c>
      <c r="AV594" s="3">
        <v>0</v>
      </c>
      <c r="AW594" s="19">
        <v>0</v>
      </c>
      <c r="AX594" s="3">
        <v>0</v>
      </c>
      <c r="AY594" s="3">
        <v>0</v>
      </c>
    </row>
    <row r="595" spans="1:51">
      <c r="A595" s="3">
        <v>14465039</v>
      </c>
      <c r="B595" t="s">
        <v>971</v>
      </c>
      <c r="C595" t="s">
        <v>972</v>
      </c>
      <c r="D595" t="s">
        <v>44</v>
      </c>
      <c r="E595" t="s">
        <v>220</v>
      </c>
      <c r="F595" t="s">
        <v>46</v>
      </c>
      <c r="G595" t="s">
        <v>47</v>
      </c>
      <c r="H595" s="16">
        <v>0</v>
      </c>
      <c r="I595" s="4">
        <f>VLOOKUP(C595,[1]sheet1!$D:$I,6,0)</f>
        <v>0</v>
      </c>
      <c r="J595" s="4">
        <f>VLOOKUP(C595,[2]sheet1!$D:$I,6,0)</f>
        <v>461</v>
      </c>
      <c r="K595" s="4">
        <f>VLOOKUP(C595,[3]sheet1!$D:$I,6,0)</f>
        <v>0</v>
      </c>
      <c r="L595" s="4">
        <f>VLOOKUP(C595,[4]sheet1!$D:$I,6,0)</f>
        <v>0</v>
      </c>
      <c r="M595" s="4">
        <f>VLOOKUP(C595,[5]sheet1!$D:$I,6,0)</f>
        <v>940</v>
      </c>
      <c r="N595" s="4">
        <f>VLOOKUP(C595,[6]sheet1!$D:$I,6,0)</f>
        <v>0</v>
      </c>
      <c r="O595" s="4">
        <f>VLOOKUP(C595,[7]sheet1!$D:$I,6,0)</f>
        <v>479</v>
      </c>
      <c r="P595" s="4">
        <f>VLOOKUP(C595,[8]sheet1!$D:$I,6,0)</f>
        <v>0</v>
      </c>
      <c r="Q595" s="4">
        <f t="shared" si="9"/>
        <v>1880</v>
      </c>
      <c r="R595" s="3">
        <v>0</v>
      </c>
      <c r="S595">
        <v>419</v>
      </c>
      <c r="T595">
        <v>0</v>
      </c>
      <c r="U595" s="3">
        <v>10</v>
      </c>
      <c r="V595" s="3">
        <v>0</v>
      </c>
      <c r="W595">
        <v>0</v>
      </c>
      <c r="X595" s="3">
        <v>0</v>
      </c>
      <c r="Y595">
        <v>0</v>
      </c>
      <c r="Z595" s="3">
        <v>0</v>
      </c>
      <c r="AA595" t="s">
        <v>150</v>
      </c>
      <c r="AB595" s="3">
        <v>431</v>
      </c>
      <c r="AC595">
        <v>405.24</v>
      </c>
      <c r="AD595" t="s">
        <v>49</v>
      </c>
      <c r="AE595">
        <v>0</v>
      </c>
      <c r="AF595" s="3">
        <v>0</v>
      </c>
      <c r="AG595" t="s">
        <v>49</v>
      </c>
      <c r="AH595">
        <v>0</v>
      </c>
      <c r="AI595" t="s">
        <v>49</v>
      </c>
      <c r="AJ595">
        <v>367.79</v>
      </c>
      <c r="AK595" t="s">
        <v>49</v>
      </c>
      <c r="AL595">
        <v>0</v>
      </c>
      <c r="AM595" t="s">
        <v>49</v>
      </c>
      <c r="AN595" s="3">
        <v>156</v>
      </c>
      <c r="AO595" s="19">
        <v>0</v>
      </c>
      <c r="AP595" s="19">
        <v>0</v>
      </c>
      <c r="AQ595" s="19">
        <v>0.8923</v>
      </c>
      <c r="AR595" s="19">
        <v>0.4692</v>
      </c>
      <c r="AS595" s="19">
        <v>0.8</v>
      </c>
      <c r="AT595" s="19">
        <v>0.5</v>
      </c>
      <c r="AU595" s="3">
        <v>0</v>
      </c>
      <c r="AV595" s="3">
        <v>0</v>
      </c>
      <c r="AW595" s="19">
        <v>0</v>
      </c>
      <c r="AX595" s="3">
        <v>0</v>
      </c>
      <c r="AY595" s="3">
        <v>0</v>
      </c>
    </row>
    <row r="596" spans="1:51">
      <c r="A596" s="3">
        <v>14301033</v>
      </c>
      <c r="B596" t="s">
        <v>973</v>
      </c>
      <c r="C596" s="3">
        <v>124351094</v>
      </c>
      <c r="D596" t="s">
        <v>44</v>
      </c>
      <c r="E596" t="s">
        <v>418</v>
      </c>
      <c r="F596" t="s">
        <v>65</v>
      </c>
      <c r="G596" t="s">
        <v>47</v>
      </c>
      <c r="H596" s="16">
        <v>0</v>
      </c>
      <c r="I596" s="4">
        <f>VLOOKUP(C596,[1]sheet1!$D:$I,6,0)</f>
        <v>0</v>
      </c>
      <c r="J596" s="4">
        <f>VLOOKUP(C596,[2]sheet1!$D:$I,6,0)</f>
        <v>0</v>
      </c>
      <c r="K596" s="4">
        <f>VLOOKUP(C596,[3]sheet1!$D:$I,6,0)</f>
        <v>0</v>
      </c>
      <c r="L596" s="4">
        <f>VLOOKUP(C596,[4]sheet1!$D:$I,6,0)</f>
        <v>0</v>
      </c>
      <c r="M596" s="4">
        <f>VLOOKUP(C596,[5]sheet1!$D:$I,6,0)</f>
        <v>0</v>
      </c>
      <c r="N596" s="4">
        <f>VLOOKUP(C596,[6]sheet1!$D:$I,6,0)</f>
        <v>0</v>
      </c>
      <c r="O596" s="4">
        <f>VLOOKUP(C596,[7]sheet1!$D:$I,6,0)</f>
        <v>0</v>
      </c>
      <c r="P596" s="4">
        <f>VLOOKUP(C596,[8]sheet1!$D:$I,6,0)</f>
        <v>0</v>
      </c>
      <c r="Q596" s="4">
        <f t="shared" si="9"/>
        <v>0</v>
      </c>
      <c r="R596" s="3">
        <v>0</v>
      </c>
      <c r="S596" s="3">
        <v>2</v>
      </c>
      <c r="T596" s="19">
        <v>0</v>
      </c>
      <c r="U596" s="3">
        <v>0</v>
      </c>
      <c r="V596" s="3">
        <v>0</v>
      </c>
      <c r="W596">
        <v>0</v>
      </c>
      <c r="X596" s="3">
        <v>0</v>
      </c>
      <c r="Y596">
        <v>0</v>
      </c>
      <c r="Z596" s="3">
        <v>0</v>
      </c>
      <c r="AA596" t="s">
        <v>49</v>
      </c>
      <c r="AB596" t="s">
        <v>49</v>
      </c>
      <c r="AC596" t="s">
        <v>49</v>
      </c>
      <c r="AD596" t="s">
        <v>49</v>
      </c>
      <c r="AE596">
        <v>0</v>
      </c>
      <c r="AF596" s="3">
        <v>0</v>
      </c>
      <c r="AG596" t="s">
        <v>49</v>
      </c>
      <c r="AH596" t="s">
        <v>49</v>
      </c>
      <c r="AI596" t="s">
        <v>49</v>
      </c>
      <c r="AJ596" t="s">
        <v>49</v>
      </c>
      <c r="AK596" t="s">
        <v>49</v>
      </c>
      <c r="AL596" t="s">
        <v>49</v>
      </c>
      <c r="AM596" t="s">
        <v>49</v>
      </c>
      <c r="AN596" s="3">
        <v>3</v>
      </c>
      <c r="AO596" s="19">
        <v>0</v>
      </c>
      <c r="AP596" s="19">
        <v>0</v>
      </c>
      <c r="AQ596" s="19">
        <v>0.5</v>
      </c>
      <c r="AR596" s="19">
        <v>0</v>
      </c>
      <c r="AS596" s="19">
        <v>0</v>
      </c>
      <c r="AT596" s="19">
        <v>0</v>
      </c>
      <c r="AU596" s="3">
        <v>0</v>
      </c>
      <c r="AV596" s="3">
        <v>0</v>
      </c>
      <c r="AW596" s="19">
        <v>0</v>
      </c>
      <c r="AX596" s="3">
        <v>0</v>
      </c>
      <c r="AY596" s="3">
        <v>0</v>
      </c>
    </row>
    <row r="597" spans="1:51">
      <c r="A597" s="3">
        <v>14170891</v>
      </c>
      <c r="B597" t="s">
        <v>974</v>
      </c>
      <c r="C597" t="s">
        <v>975</v>
      </c>
      <c r="D597" t="s">
        <v>44</v>
      </c>
      <c r="E597" t="s">
        <v>104</v>
      </c>
      <c r="F597" t="s">
        <v>46</v>
      </c>
      <c r="G597" t="s">
        <v>47</v>
      </c>
      <c r="H597" s="16">
        <v>0</v>
      </c>
      <c r="I597" s="4">
        <f>VLOOKUP(C597,[1]sheet1!$D:$I,6,0)</f>
        <v>0</v>
      </c>
      <c r="J597" s="4">
        <f>VLOOKUP(C597,[2]sheet1!$D:$I,6,0)</f>
        <v>0</v>
      </c>
      <c r="K597" s="4">
        <f>VLOOKUP(C597,[3]sheet1!$D:$I,6,0)</f>
        <v>0</v>
      </c>
      <c r="L597" s="4">
        <f>VLOOKUP(C597,[4]sheet1!$D:$I,6,0)</f>
        <v>0</v>
      </c>
      <c r="M597" s="4">
        <f>VLOOKUP(C597,[5]sheet1!$D:$I,6,0)</f>
        <v>0</v>
      </c>
      <c r="N597" s="4">
        <f>VLOOKUP(C597,[6]sheet1!$D:$I,6,0)</f>
        <v>0</v>
      </c>
      <c r="O597" s="4">
        <f>VLOOKUP(C597,[7]sheet1!$D:$I,6,0)</f>
        <v>0</v>
      </c>
      <c r="P597" s="4">
        <f>VLOOKUP(C597,[8]sheet1!$D:$I,6,0)</f>
        <v>0</v>
      </c>
      <c r="Q597" s="4">
        <f t="shared" si="9"/>
        <v>0</v>
      </c>
      <c r="R597" s="3">
        <v>0</v>
      </c>
      <c r="S597">
        <v>64</v>
      </c>
      <c r="T597">
        <v>0</v>
      </c>
      <c r="U597" s="3">
        <v>0</v>
      </c>
      <c r="V597" s="3">
        <v>0</v>
      </c>
      <c r="W597">
        <v>0</v>
      </c>
      <c r="X597" s="3">
        <v>0</v>
      </c>
      <c r="Y597">
        <v>0</v>
      </c>
      <c r="Z597" s="3">
        <v>0</v>
      </c>
      <c r="AA597" t="s">
        <v>105</v>
      </c>
      <c r="AB597" t="s">
        <v>49</v>
      </c>
      <c r="AC597">
        <v>590.69</v>
      </c>
      <c r="AD597" t="s">
        <v>49</v>
      </c>
      <c r="AE597">
        <v>0</v>
      </c>
      <c r="AF597" s="3">
        <v>0</v>
      </c>
      <c r="AG597" t="s">
        <v>49</v>
      </c>
      <c r="AH597">
        <v>0</v>
      </c>
      <c r="AI597" t="s">
        <v>49</v>
      </c>
      <c r="AJ597" t="s">
        <v>49</v>
      </c>
      <c r="AK597" t="s">
        <v>49</v>
      </c>
      <c r="AL597" t="s">
        <v>49</v>
      </c>
      <c r="AM597" t="s">
        <v>49</v>
      </c>
      <c r="AN597">
        <v>64</v>
      </c>
      <c r="AO597" s="19">
        <v>0</v>
      </c>
      <c r="AP597" s="19">
        <v>0</v>
      </c>
      <c r="AQ597" s="19">
        <v>1</v>
      </c>
      <c r="AR597" s="19">
        <v>0.6667</v>
      </c>
      <c r="AS597" s="19">
        <v>0</v>
      </c>
      <c r="AT597" s="19">
        <v>0</v>
      </c>
      <c r="AU597" s="3">
        <v>0</v>
      </c>
      <c r="AV597" s="3">
        <v>0</v>
      </c>
      <c r="AW597" s="19">
        <v>0</v>
      </c>
      <c r="AX597" s="3">
        <v>0</v>
      </c>
      <c r="AY597" s="3">
        <v>0</v>
      </c>
    </row>
    <row r="598" spans="1:51">
      <c r="A598" s="3">
        <v>14161775</v>
      </c>
      <c r="B598" t="s">
        <v>976</v>
      </c>
      <c r="C598" s="3">
        <v>114314375</v>
      </c>
      <c r="D598" t="s">
        <v>44</v>
      </c>
      <c r="E598" t="s">
        <v>57</v>
      </c>
      <c r="F598" t="s">
        <v>46</v>
      </c>
      <c r="G598" t="s">
        <v>47</v>
      </c>
      <c r="H598" s="16">
        <v>0</v>
      </c>
      <c r="I598" s="4">
        <f>VLOOKUP(C598,[1]sheet1!$D:$I,6,0)</f>
        <v>0</v>
      </c>
      <c r="J598" s="4">
        <f>VLOOKUP(C598,[2]sheet1!$D:$I,6,0)</f>
        <v>0</v>
      </c>
      <c r="K598" s="4">
        <f>VLOOKUP(C598,[3]sheet1!$D:$I,6,0)</f>
        <v>0</v>
      </c>
      <c r="L598" s="4">
        <f>VLOOKUP(C598,[4]sheet1!$D:$I,6,0)</f>
        <v>0</v>
      </c>
      <c r="M598" s="4">
        <f>VLOOKUP(C598,[5]sheet1!$D:$I,6,0)</f>
        <v>0</v>
      </c>
      <c r="N598" s="4">
        <f>VLOOKUP(C598,[6]sheet1!$D:$I,6,0)</f>
        <v>0</v>
      </c>
      <c r="O598" s="4">
        <f>VLOOKUP(C598,[7]sheet1!$D:$I,6,0)</f>
        <v>0</v>
      </c>
      <c r="P598" s="4">
        <f>VLOOKUP(C598,[8]sheet1!$D:$I,6,0)</f>
        <v>0</v>
      </c>
      <c r="Q598" s="4">
        <f t="shared" si="9"/>
        <v>0</v>
      </c>
      <c r="R598" s="3">
        <v>0</v>
      </c>
      <c r="S598">
        <v>52</v>
      </c>
      <c r="T598">
        <v>0</v>
      </c>
      <c r="U598" s="3">
        <v>0</v>
      </c>
      <c r="V598" s="3">
        <v>0</v>
      </c>
      <c r="W598">
        <v>0</v>
      </c>
      <c r="X598" s="3">
        <v>0</v>
      </c>
      <c r="Y598">
        <v>0</v>
      </c>
      <c r="Z598" s="3">
        <v>0</v>
      </c>
      <c r="AA598" t="s">
        <v>411</v>
      </c>
      <c r="AB598" s="3">
        <v>347</v>
      </c>
      <c r="AC598">
        <v>329.62</v>
      </c>
      <c r="AD598" t="s">
        <v>49</v>
      </c>
      <c r="AE598">
        <v>0</v>
      </c>
      <c r="AF598" s="3">
        <v>0</v>
      </c>
      <c r="AG598" t="s">
        <v>49</v>
      </c>
      <c r="AH598">
        <v>0</v>
      </c>
      <c r="AI598" t="s">
        <v>49</v>
      </c>
      <c r="AJ598">
        <v>293.08</v>
      </c>
      <c r="AK598" t="s">
        <v>49</v>
      </c>
      <c r="AL598">
        <v>0</v>
      </c>
      <c r="AM598" t="s">
        <v>49</v>
      </c>
      <c r="AN598" s="3">
        <v>4</v>
      </c>
      <c r="AO598" s="19">
        <v>0</v>
      </c>
      <c r="AP598" s="19">
        <v>0</v>
      </c>
      <c r="AQ598" s="19">
        <v>1</v>
      </c>
      <c r="AR598" s="19">
        <v>0.5</v>
      </c>
      <c r="AS598" s="19">
        <v>0</v>
      </c>
      <c r="AT598" s="19">
        <v>0</v>
      </c>
      <c r="AU598" s="3">
        <v>0</v>
      </c>
      <c r="AV598" s="3">
        <v>0</v>
      </c>
      <c r="AW598" s="19">
        <v>0</v>
      </c>
      <c r="AX598" s="3">
        <v>0</v>
      </c>
      <c r="AY598" s="3">
        <v>0</v>
      </c>
    </row>
    <row r="599" spans="1:51">
      <c r="A599" s="3">
        <v>14149711</v>
      </c>
      <c r="B599" t="s">
        <v>977</v>
      </c>
      <c r="C599" s="3">
        <v>124310190</v>
      </c>
      <c r="D599" t="s">
        <v>44</v>
      </c>
      <c r="E599" t="s">
        <v>206</v>
      </c>
      <c r="F599" t="s">
        <v>65</v>
      </c>
      <c r="G599" t="s">
        <v>47</v>
      </c>
      <c r="H599" s="16">
        <v>0</v>
      </c>
      <c r="I599" s="4">
        <f>VLOOKUP(C599,[1]sheet1!$D:$I,6,0)</f>
        <v>0</v>
      </c>
      <c r="J599" s="4">
        <f>VLOOKUP(C599,[2]sheet1!$D:$I,6,0)</f>
        <v>0</v>
      </c>
      <c r="K599" s="4">
        <f>VLOOKUP(C599,[3]sheet1!$D:$I,6,0)</f>
        <v>0</v>
      </c>
      <c r="L599" s="4">
        <f>VLOOKUP(C599,[4]sheet1!$D:$I,6,0)</f>
        <v>0</v>
      </c>
      <c r="M599" s="4">
        <f>VLOOKUP(C599,[5]sheet1!$D:$I,6,0)</f>
        <v>0</v>
      </c>
      <c r="N599" s="4">
        <f>VLOOKUP(C599,[6]sheet1!$D:$I,6,0)</f>
        <v>0</v>
      </c>
      <c r="O599" s="4">
        <f>VLOOKUP(C599,[7]sheet1!$D:$I,6,0)</f>
        <v>0</v>
      </c>
      <c r="P599" s="4">
        <f>VLOOKUP(C599,[8]sheet1!$D:$I,6,0)</f>
        <v>0</v>
      </c>
      <c r="Q599" s="4">
        <f t="shared" si="9"/>
        <v>0</v>
      </c>
      <c r="R599" s="3">
        <v>0</v>
      </c>
      <c r="S599" s="3">
        <v>4</v>
      </c>
      <c r="T599" s="19">
        <v>0</v>
      </c>
      <c r="U599" s="3">
        <v>0</v>
      </c>
      <c r="V599" s="3">
        <v>0</v>
      </c>
      <c r="W599">
        <v>0</v>
      </c>
      <c r="X599" s="3">
        <v>0</v>
      </c>
      <c r="Y599">
        <v>0</v>
      </c>
      <c r="Z599" s="3">
        <v>0</v>
      </c>
      <c r="AA599" t="s">
        <v>908</v>
      </c>
      <c r="AB599" t="s">
        <v>49</v>
      </c>
      <c r="AC599">
        <v>223.81</v>
      </c>
      <c r="AD599" t="s">
        <v>49</v>
      </c>
      <c r="AE599">
        <v>0</v>
      </c>
      <c r="AF599" s="3">
        <v>0</v>
      </c>
      <c r="AG599" t="s">
        <v>49</v>
      </c>
      <c r="AH599">
        <v>0</v>
      </c>
      <c r="AI599" t="s">
        <v>49</v>
      </c>
      <c r="AJ599" t="s">
        <v>49</v>
      </c>
      <c r="AK599" t="s">
        <v>49</v>
      </c>
      <c r="AL599" t="s">
        <v>49</v>
      </c>
      <c r="AM599" t="s">
        <v>49</v>
      </c>
      <c r="AN599" s="3">
        <v>4</v>
      </c>
      <c r="AO599" s="19">
        <v>0</v>
      </c>
      <c r="AP599" s="19">
        <v>0</v>
      </c>
      <c r="AQ599" s="19">
        <v>0.5</v>
      </c>
      <c r="AR599" s="19">
        <v>0.25</v>
      </c>
      <c r="AS599" s="19">
        <v>0</v>
      </c>
      <c r="AT599" s="19">
        <v>0</v>
      </c>
      <c r="AU599" s="3">
        <v>0</v>
      </c>
      <c r="AV599" s="3">
        <v>0</v>
      </c>
      <c r="AW599" s="19">
        <v>0</v>
      </c>
      <c r="AX599" s="3">
        <v>0</v>
      </c>
      <c r="AY599" s="3">
        <v>0</v>
      </c>
    </row>
    <row r="600" spans="1:51">
      <c r="A600" s="3">
        <v>14147410</v>
      </c>
      <c r="B600" t="s">
        <v>978</v>
      </c>
      <c r="C600" s="3">
        <v>124307168</v>
      </c>
      <c r="D600" t="s">
        <v>44</v>
      </c>
      <c r="E600" t="s">
        <v>290</v>
      </c>
      <c r="F600" t="s">
        <v>65</v>
      </c>
      <c r="G600" t="s">
        <v>47</v>
      </c>
      <c r="H600" s="16">
        <v>0</v>
      </c>
      <c r="I600" s="4">
        <f>VLOOKUP(C600,[1]sheet1!$D:$I,6,0)</f>
        <v>0</v>
      </c>
      <c r="J600" s="4">
        <f>VLOOKUP(C600,[2]sheet1!$D:$I,6,0)</f>
        <v>0</v>
      </c>
      <c r="K600" s="4">
        <f>VLOOKUP(C600,[3]sheet1!$D:$I,6,0)</f>
        <v>0</v>
      </c>
      <c r="L600" s="4">
        <f>VLOOKUP(C600,[4]sheet1!$D:$I,6,0)</f>
        <v>0</v>
      </c>
      <c r="M600" s="4">
        <f>VLOOKUP(C600,[5]sheet1!$D:$I,6,0)</f>
        <v>0</v>
      </c>
      <c r="N600" s="4">
        <f>VLOOKUP(C600,[6]sheet1!$D:$I,6,0)</f>
        <v>0</v>
      </c>
      <c r="O600" s="4">
        <f>VLOOKUP(C600,[7]sheet1!$D:$I,6,0)</f>
        <v>0</v>
      </c>
      <c r="P600" s="4">
        <f>VLOOKUP(C600,[8]sheet1!$D:$I,6,0)</f>
        <v>0</v>
      </c>
      <c r="Q600" s="15">
        <f t="shared" si="9"/>
        <v>0</v>
      </c>
      <c r="R600" s="3">
        <v>0</v>
      </c>
      <c r="S600" s="3">
        <v>29</v>
      </c>
      <c r="T600" s="19">
        <v>0</v>
      </c>
      <c r="U600" s="3">
        <v>1</v>
      </c>
      <c r="V600" s="3">
        <v>0</v>
      </c>
      <c r="W600">
        <v>0</v>
      </c>
      <c r="X600" s="3">
        <v>0</v>
      </c>
      <c r="Y600">
        <v>0</v>
      </c>
      <c r="Z600" s="3">
        <v>0</v>
      </c>
      <c r="AA600" t="s">
        <v>827</v>
      </c>
      <c r="AB600" t="s">
        <v>49</v>
      </c>
      <c r="AC600">
        <v>310.51</v>
      </c>
      <c r="AD600" t="s">
        <v>49</v>
      </c>
      <c r="AE600">
        <v>0</v>
      </c>
      <c r="AF600" s="3">
        <v>0</v>
      </c>
      <c r="AG600" t="s">
        <v>49</v>
      </c>
      <c r="AH600">
        <v>0</v>
      </c>
      <c r="AI600" t="s">
        <v>49</v>
      </c>
      <c r="AJ600" t="s">
        <v>49</v>
      </c>
      <c r="AK600" t="s">
        <v>49</v>
      </c>
      <c r="AL600" t="s">
        <v>49</v>
      </c>
      <c r="AM600" t="s">
        <v>49</v>
      </c>
      <c r="AN600" s="3">
        <v>32</v>
      </c>
      <c r="AO600" s="19">
        <v>0</v>
      </c>
      <c r="AP600" s="19">
        <v>0</v>
      </c>
      <c r="AQ600" s="19">
        <v>0.931</v>
      </c>
      <c r="AR600" s="19">
        <v>0.2759</v>
      </c>
      <c r="AS600" s="19">
        <v>1</v>
      </c>
      <c r="AT600" s="19">
        <v>0</v>
      </c>
      <c r="AU600" s="3">
        <v>0</v>
      </c>
      <c r="AV600" s="3">
        <v>0</v>
      </c>
      <c r="AW600" s="19">
        <v>0</v>
      </c>
      <c r="AX600" s="3">
        <v>0</v>
      </c>
      <c r="AY600" s="3">
        <v>0</v>
      </c>
    </row>
    <row r="601" spans="1:51">
      <c r="A601" s="3">
        <v>14145222</v>
      </c>
      <c r="B601" t="s">
        <v>979</v>
      </c>
      <c r="C601" s="3">
        <v>124351092</v>
      </c>
      <c r="D601" t="s">
        <v>44</v>
      </c>
      <c r="E601" t="s">
        <v>138</v>
      </c>
      <c r="F601" t="s">
        <v>46</v>
      </c>
      <c r="G601" t="s">
        <v>47</v>
      </c>
      <c r="H601" s="16">
        <v>0</v>
      </c>
      <c r="I601" s="4">
        <f>VLOOKUP(C601,[1]sheet1!$D:$I,6,0)</f>
        <v>0</v>
      </c>
      <c r="J601" s="4">
        <f>VLOOKUP(C601,[2]sheet1!$D:$I,6,0)</f>
        <v>0</v>
      </c>
      <c r="K601" s="4">
        <f>VLOOKUP(C601,[3]sheet1!$D:$I,6,0)</f>
        <v>0</v>
      </c>
      <c r="L601" s="4">
        <f>VLOOKUP(C601,[4]sheet1!$D:$I,6,0)</f>
        <v>0</v>
      </c>
      <c r="M601" s="4">
        <f>VLOOKUP(C601,[5]sheet1!$D:$I,6,0)</f>
        <v>0</v>
      </c>
      <c r="N601" s="4">
        <f>VLOOKUP(C601,[6]sheet1!$D:$I,6,0)</f>
        <v>0</v>
      </c>
      <c r="O601" s="4">
        <f>VLOOKUP(C601,[7]sheet1!$D:$I,6,0)</f>
        <v>0</v>
      </c>
      <c r="P601" s="4">
        <f>VLOOKUP(C601,[8]sheet1!$D:$I,6,0)</f>
        <v>0</v>
      </c>
      <c r="Q601" s="15">
        <f t="shared" si="9"/>
        <v>0</v>
      </c>
      <c r="R601" s="3">
        <v>0</v>
      </c>
      <c r="S601">
        <v>0</v>
      </c>
      <c r="T601">
        <v>0</v>
      </c>
      <c r="U601" s="3">
        <v>0</v>
      </c>
      <c r="V601" s="3">
        <v>0</v>
      </c>
      <c r="W601">
        <v>0</v>
      </c>
      <c r="X601" s="3">
        <v>0</v>
      </c>
      <c r="Y601">
        <v>0</v>
      </c>
      <c r="Z601" s="3">
        <v>0</v>
      </c>
      <c r="AA601" t="s">
        <v>980</v>
      </c>
      <c r="AB601" s="3">
        <v>370</v>
      </c>
      <c r="AC601">
        <v>309.71</v>
      </c>
      <c r="AD601" t="s">
        <v>49</v>
      </c>
      <c r="AE601">
        <v>0</v>
      </c>
      <c r="AF601" s="3">
        <v>0</v>
      </c>
      <c r="AG601" t="s">
        <v>49</v>
      </c>
      <c r="AH601">
        <v>0</v>
      </c>
      <c r="AI601" t="s">
        <v>49</v>
      </c>
      <c r="AJ601" t="s">
        <v>49</v>
      </c>
      <c r="AK601" t="s">
        <v>49</v>
      </c>
      <c r="AL601" t="s">
        <v>49</v>
      </c>
      <c r="AM601" t="s">
        <v>49</v>
      </c>
      <c r="AN601" s="3">
        <v>0</v>
      </c>
      <c r="AO601" s="19">
        <v>0</v>
      </c>
      <c r="AP601" s="19">
        <v>0</v>
      </c>
      <c r="AQ601" s="19">
        <v>0</v>
      </c>
      <c r="AR601" s="19">
        <v>0</v>
      </c>
      <c r="AS601" s="19">
        <v>0</v>
      </c>
      <c r="AT601" s="19">
        <v>0</v>
      </c>
      <c r="AU601" s="3">
        <v>0</v>
      </c>
      <c r="AV601" s="3">
        <v>0</v>
      </c>
      <c r="AW601" s="19">
        <v>0</v>
      </c>
      <c r="AX601" s="3">
        <v>0</v>
      </c>
      <c r="AY601" s="3">
        <v>0</v>
      </c>
    </row>
    <row r="602" spans="1:51">
      <c r="A602" s="3">
        <v>14143681</v>
      </c>
      <c r="B602" t="s">
        <v>981</v>
      </c>
      <c r="C602" s="3">
        <v>114301039</v>
      </c>
      <c r="D602" t="s">
        <v>44</v>
      </c>
      <c r="E602" t="s">
        <v>104</v>
      </c>
      <c r="F602" t="s">
        <v>65</v>
      </c>
      <c r="G602" t="s">
        <v>47</v>
      </c>
      <c r="H602" s="16">
        <v>0</v>
      </c>
      <c r="I602" s="4">
        <f>VLOOKUP(C602,[1]sheet1!$D:$I,6,0)</f>
        <v>0</v>
      </c>
      <c r="J602" s="4">
        <f>VLOOKUP(C602,[2]sheet1!$D:$I,6,0)</f>
        <v>0</v>
      </c>
      <c r="K602" s="4">
        <f>VLOOKUP(C602,[3]sheet1!$D:$I,6,0)</f>
        <v>0</v>
      </c>
      <c r="L602" s="4">
        <f>VLOOKUP(C602,[4]sheet1!$D:$I,6,0)</f>
        <v>0</v>
      </c>
      <c r="M602" s="4">
        <f>VLOOKUP(C602,[5]sheet1!$D:$I,6,0)</f>
        <v>0</v>
      </c>
      <c r="N602" s="4">
        <f>VLOOKUP(C602,[6]sheet1!$D:$I,6,0)</f>
        <v>0</v>
      </c>
      <c r="O602" s="4">
        <f>VLOOKUP(C602,[7]sheet1!$D:$I,6,0)</f>
        <v>0</v>
      </c>
      <c r="P602" s="4">
        <f>VLOOKUP(C602,[8]sheet1!$D:$I,6,0)</f>
        <v>0</v>
      </c>
      <c r="Q602" s="4">
        <f t="shared" si="9"/>
        <v>0</v>
      </c>
      <c r="R602" s="3">
        <v>0</v>
      </c>
      <c r="S602" s="3">
        <v>8</v>
      </c>
      <c r="T602" s="19">
        <v>0</v>
      </c>
      <c r="U602" s="3">
        <v>1</v>
      </c>
      <c r="V602" s="3">
        <v>0</v>
      </c>
      <c r="W602">
        <v>0</v>
      </c>
      <c r="X602" s="3">
        <v>0</v>
      </c>
      <c r="Y602">
        <v>0</v>
      </c>
      <c r="Z602" s="3">
        <v>0</v>
      </c>
      <c r="AA602" t="s">
        <v>669</v>
      </c>
      <c r="AB602" t="s">
        <v>49</v>
      </c>
      <c r="AC602">
        <v>589.82</v>
      </c>
      <c r="AD602" t="s">
        <v>49</v>
      </c>
      <c r="AE602">
        <v>0</v>
      </c>
      <c r="AF602" s="3">
        <v>0</v>
      </c>
      <c r="AG602" t="s">
        <v>49</v>
      </c>
      <c r="AH602">
        <v>0</v>
      </c>
      <c r="AI602" t="s">
        <v>49</v>
      </c>
      <c r="AJ602" t="s">
        <v>49</v>
      </c>
      <c r="AK602" t="s">
        <v>49</v>
      </c>
      <c r="AL602" t="s">
        <v>49</v>
      </c>
      <c r="AM602" t="s">
        <v>49</v>
      </c>
      <c r="AN602" s="3">
        <v>11</v>
      </c>
      <c r="AO602" s="19">
        <v>0</v>
      </c>
      <c r="AP602" s="19">
        <v>0</v>
      </c>
      <c r="AQ602" s="19">
        <v>0.875</v>
      </c>
      <c r="AR602" s="19">
        <v>0.625</v>
      </c>
      <c r="AS602" s="19">
        <v>1</v>
      </c>
      <c r="AT602" s="19">
        <v>1</v>
      </c>
      <c r="AU602" s="3">
        <v>0</v>
      </c>
      <c r="AV602" s="3">
        <v>0</v>
      </c>
      <c r="AW602" s="19">
        <v>0</v>
      </c>
      <c r="AX602" s="3">
        <v>0</v>
      </c>
      <c r="AY602" s="3">
        <v>0</v>
      </c>
    </row>
    <row r="603" spans="1:51">
      <c r="A603" s="3">
        <v>14143668</v>
      </c>
      <c r="B603" t="s">
        <v>982</v>
      </c>
      <c r="C603" s="3">
        <v>114306147</v>
      </c>
      <c r="D603" t="s">
        <v>44</v>
      </c>
      <c r="E603" t="s">
        <v>143</v>
      </c>
      <c r="F603" t="s">
        <v>46</v>
      </c>
      <c r="G603" t="s">
        <v>47</v>
      </c>
      <c r="H603" s="16">
        <v>0</v>
      </c>
      <c r="I603" s="4">
        <f>VLOOKUP(C603,[1]sheet1!$D:$I,6,0)</f>
        <v>0</v>
      </c>
      <c r="J603" s="4">
        <f>VLOOKUP(C603,[2]sheet1!$D:$I,6,0)</f>
        <v>0</v>
      </c>
      <c r="K603" s="4">
        <f>VLOOKUP(C603,[3]sheet1!$D:$I,6,0)</f>
        <v>0</v>
      </c>
      <c r="L603" s="4">
        <f>VLOOKUP(C603,[4]sheet1!$D:$I,6,0)</f>
        <v>472</v>
      </c>
      <c r="M603" s="4">
        <f>VLOOKUP(C603,[5]sheet1!$D:$I,6,0)</f>
        <v>0</v>
      </c>
      <c r="N603" s="4">
        <f>VLOOKUP(C603,[6]sheet1!$D:$I,6,0)</f>
        <v>472</v>
      </c>
      <c r="O603" s="4">
        <f>VLOOKUP(C603,[7]sheet1!$D:$I,6,0)</f>
        <v>0</v>
      </c>
      <c r="P603" s="4">
        <f>VLOOKUP(C603,[8]sheet1!$D:$I,6,0)</f>
        <v>454</v>
      </c>
      <c r="Q603" s="15">
        <f t="shared" si="9"/>
        <v>1398</v>
      </c>
      <c r="R603" s="3">
        <v>0</v>
      </c>
      <c r="S603">
        <v>639</v>
      </c>
      <c r="T603">
        <v>0</v>
      </c>
      <c r="U603" s="3">
        <v>16</v>
      </c>
      <c r="V603" s="3">
        <v>0</v>
      </c>
      <c r="W603">
        <v>0</v>
      </c>
      <c r="X603" s="3">
        <v>0</v>
      </c>
      <c r="Y603">
        <v>0</v>
      </c>
      <c r="Z603" s="3">
        <v>0</v>
      </c>
      <c r="AA603" t="s">
        <v>150</v>
      </c>
      <c r="AB603" s="3">
        <v>299</v>
      </c>
      <c r="AC603">
        <v>406.52</v>
      </c>
      <c r="AD603" t="s">
        <v>49</v>
      </c>
      <c r="AE603">
        <v>0</v>
      </c>
      <c r="AF603" s="3">
        <v>0</v>
      </c>
      <c r="AG603" t="s">
        <v>49</v>
      </c>
      <c r="AH603">
        <v>0</v>
      </c>
      <c r="AI603" t="s">
        <v>49</v>
      </c>
      <c r="AJ603">
        <v>252.91</v>
      </c>
      <c r="AK603" t="s">
        <v>49</v>
      </c>
      <c r="AL603">
        <v>0</v>
      </c>
      <c r="AM603" t="s">
        <v>49</v>
      </c>
      <c r="AN603">
        <v>718</v>
      </c>
      <c r="AO603" s="19">
        <v>0</v>
      </c>
      <c r="AP603" s="19">
        <v>0</v>
      </c>
      <c r="AQ603" s="19">
        <v>0.8709</v>
      </c>
      <c r="AR603" s="19">
        <v>0.5861</v>
      </c>
      <c r="AS603" s="19">
        <v>0.8125</v>
      </c>
      <c r="AT603" s="19">
        <v>0.6875</v>
      </c>
      <c r="AU603" s="3">
        <v>0</v>
      </c>
      <c r="AV603" s="3">
        <v>0</v>
      </c>
      <c r="AW603" s="19">
        <v>0</v>
      </c>
      <c r="AX603" s="3">
        <v>0</v>
      </c>
      <c r="AY603" s="3">
        <v>0</v>
      </c>
    </row>
    <row r="604" spans="1:51">
      <c r="A604" s="3">
        <v>14143645</v>
      </c>
      <c r="B604" t="s">
        <v>983</v>
      </c>
      <c r="C604" s="3">
        <v>124314374</v>
      </c>
      <c r="D604" t="s">
        <v>44</v>
      </c>
      <c r="E604" t="s">
        <v>290</v>
      </c>
      <c r="F604" t="s">
        <v>65</v>
      </c>
      <c r="G604" t="s">
        <v>47</v>
      </c>
      <c r="H604" s="16">
        <v>0</v>
      </c>
      <c r="I604" s="4">
        <f>VLOOKUP(C604,[1]sheet1!$D:$I,6,0)</f>
        <v>0</v>
      </c>
      <c r="J604" s="4">
        <f>VLOOKUP(C604,[2]sheet1!$D:$I,6,0)</f>
        <v>0</v>
      </c>
      <c r="K604" s="4">
        <f>VLOOKUP(C604,[3]sheet1!$D:$I,6,0)</f>
        <v>0</v>
      </c>
      <c r="L604" s="4">
        <f>VLOOKUP(C604,[4]sheet1!$D:$I,6,0)</f>
        <v>0</v>
      </c>
      <c r="M604" s="4">
        <f>VLOOKUP(C604,[5]sheet1!$D:$I,6,0)</f>
        <v>0</v>
      </c>
      <c r="N604" s="4">
        <f>VLOOKUP(C604,[6]sheet1!$D:$I,6,0)</f>
        <v>0</v>
      </c>
      <c r="O604" s="4">
        <f>VLOOKUP(C604,[7]sheet1!$D:$I,6,0)</f>
        <v>0</v>
      </c>
      <c r="P604" s="4">
        <f>VLOOKUP(C604,[8]sheet1!$D:$I,6,0)</f>
        <v>0</v>
      </c>
      <c r="Q604" s="15">
        <f t="shared" si="9"/>
        <v>0</v>
      </c>
      <c r="R604" s="3">
        <v>0</v>
      </c>
      <c r="S604" s="3">
        <v>1</v>
      </c>
      <c r="T604" s="19">
        <v>0</v>
      </c>
      <c r="U604" s="3">
        <v>0</v>
      </c>
      <c r="V604" s="3">
        <v>0</v>
      </c>
      <c r="W604">
        <v>0</v>
      </c>
      <c r="X604" s="3">
        <v>0</v>
      </c>
      <c r="Y604">
        <v>0</v>
      </c>
      <c r="Z604" s="3">
        <v>0</v>
      </c>
      <c r="AA604" t="s">
        <v>827</v>
      </c>
      <c r="AB604" t="s">
        <v>49</v>
      </c>
      <c r="AC604">
        <v>310.51</v>
      </c>
      <c r="AD604" t="s">
        <v>49</v>
      </c>
      <c r="AE604">
        <v>0</v>
      </c>
      <c r="AF604" s="3">
        <v>0</v>
      </c>
      <c r="AG604" t="s">
        <v>49</v>
      </c>
      <c r="AH604">
        <v>0</v>
      </c>
      <c r="AI604" t="s">
        <v>49</v>
      </c>
      <c r="AJ604" t="s">
        <v>49</v>
      </c>
      <c r="AK604" t="s">
        <v>49</v>
      </c>
      <c r="AL604" t="s">
        <v>49</v>
      </c>
      <c r="AM604" t="s">
        <v>49</v>
      </c>
      <c r="AN604" s="3">
        <v>1</v>
      </c>
      <c r="AO604" s="19">
        <v>0</v>
      </c>
      <c r="AP604" s="19">
        <v>0</v>
      </c>
      <c r="AQ604" s="19">
        <v>1</v>
      </c>
      <c r="AR604" s="19">
        <v>0</v>
      </c>
      <c r="AS604" s="19">
        <v>0</v>
      </c>
      <c r="AT604" s="19">
        <v>0</v>
      </c>
      <c r="AU604" s="3">
        <v>0</v>
      </c>
      <c r="AV604" s="3">
        <v>0</v>
      </c>
      <c r="AW604" s="19">
        <v>0</v>
      </c>
      <c r="AX604" s="3">
        <v>0</v>
      </c>
      <c r="AY604" s="3">
        <v>0</v>
      </c>
    </row>
    <row r="605" spans="1:51">
      <c r="A605" s="3">
        <v>14143565</v>
      </c>
      <c r="B605" t="s">
        <v>984</v>
      </c>
      <c r="C605" s="3">
        <v>164334403</v>
      </c>
      <c r="D605" t="s">
        <v>44</v>
      </c>
      <c r="E605" t="s">
        <v>177</v>
      </c>
      <c r="F605" t="s">
        <v>65</v>
      </c>
      <c r="G605" t="s">
        <v>47</v>
      </c>
      <c r="H605" s="16">
        <v>0</v>
      </c>
      <c r="I605" s="4">
        <f>VLOOKUP(C605,[1]sheet1!$D:$I,6,0)</f>
        <v>64</v>
      </c>
      <c r="J605" s="4">
        <f>VLOOKUP(C605,[2]sheet1!$D:$I,6,0)</f>
        <v>0</v>
      </c>
      <c r="K605" s="4">
        <f>VLOOKUP(C605,[3]sheet1!$D:$I,6,0)</f>
        <v>0</v>
      </c>
      <c r="L605" s="4">
        <f>VLOOKUP(C605,[4]sheet1!$D:$I,6,0)</f>
        <v>67</v>
      </c>
      <c r="M605" s="4">
        <f>VLOOKUP(C605,[5]sheet1!$D:$I,6,0)</f>
        <v>198</v>
      </c>
      <c r="N605" s="4">
        <f>VLOOKUP(C605,[6]sheet1!$D:$I,6,0)</f>
        <v>0</v>
      </c>
      <c r="O605" s="4">
        <f>VLOOKUP(C605,[7]sheet1!$D:$I,6,0)</f>
        <v>64</v>
      </c>
      <c r="P605" s="4">
        <f>VLOOKUP(C605,[8]sheet1!$D:$I,6,0)</f>
        <v>64</v>
      </c>
      <c r="Q605" s="4">
        <f t="shared" si="9"/>
        <v>457</v>
      </c>
      <c r="R605" s="3">
        <v>0</v>
      </c>
      <c r="S605" s="3">
        <v>63</v>
      </c>
      <c r="T605" s="19">
        <v>0</v>
      </c>
      <c r="U605" s="3">
        <v>10</v>
      </c>
      <c r="V605" s="3">
        <v>0</v>
      </c>
      <c r="W605">
        <v>0</v>
      </c>
      <c r="X605" s="3">
        <v>0</v>
      </c>
      <c r="Y605">
        <v>0</v>
      </c>
      <c r="Z605" s="3">
        <v>0</v>
      </c>
      <c r="AA605" t="s">
        <v>985</v>
      </c>
      <c r="AB605" t="s">
        <v>49</v>
      </c>
      <c r="AC605">
        <v>50.93</v>
      </c>
      <c r="AD605" t="s">
        <v>49</v>
      </c>
      <c r="AE605">
        <v>0</v>
      </c>
      <c r="AF605" s="3">
        <v>0</v>
      </c>
      <c r="AG605" t="s">
        <v>49</v>
      </c>
      <c r="AH605">
        <v>0</v>
      </c>
      <c r="AI605" t="s">
        <v>49</v>
      </c>
      <c r="AJ605" t="s">
        <v>49</v>
      </c>
      <c r="AK605" t="s">
        <v>49</v>
      </c>
      <c r="AL605" t="s">
        <v>49</v>
      </c>
      <c r="AM605" t="s">
        <v>49</v>
      </c>
      <c r="AN605" s="3">
        <v>75</v>
      </c>
      <c r="AO605" s="19">
        <v>0</v>
      </c>
      <c r="AP605" s="19">
        <v>0</v>
      </c>
      <c r="AQ605" s="19">
        <v>0.7778</v>
      </c>
      <c r="AR605" s="19">
        <v>0.6508</v>
      </c>
      <c r="AS605" s="19">
        <v>1</v>
      </c>
      <c r="AT605" s="19">
        <v>0.5</v>
      </c>
      <c r="AU605" s="3">
        <v>0</v>
      </c>
      <c r="AV605" s="3">
        <v>0</v>
      </c>
      <c r="AW605" s="19">
        <v>0</v>
      </c>
      <c r="AX605" s="3">
        <v>0</v>
      </c>
      <c r="AY605" s="3">
        <v>0</v>
      </c>
    </row>
    <row r="606" spans="1:51">
      <c r="A606" s="3">
        <v>14143548</v>
      </c>
      <c r="B606" t="s">
        <v>986</v>
      </c>
      <c r="C606" t="s">
        <v>987</v>
      </c>
      <c r="D606" t="s">
        <v>44</v>
      </c>
      <c r="E606" t="s">
        <v>141</v>
      </c>
      <c r="F606" t="s">
        <v>65</v>
      </c>
      <c r="G606" t="s">
        <v>47</v>
      </c>
      <c r="H606" s="16">
        <v>0</v>
      </c>
      <c r="I606" s="4">
        <f>VLOOKUP(C606,[1]sheet1!$D:$I,6,0)</f>
        <v>0</v>
      </c>
      <c r="J606" s="4">
        <f>VLOOKUP(C606,[2]sheet1!$D:$I,6,0)</f>
        <v>0</v>
      </c>
      <c r="K606" s="4">
        <f>VLOOKUP(C606,[3]sheet1!$D:$I,6,0)</f>
        <v>0</v>
      </c>
      <c r="L606" s="4">
        <f>VLOOKUP(C606,[4]sheet1!$D:$I,6,0)</f>
        <v>0</v>
      </c>
      <c r="M606" s="4">
        <f>VLOOKUP(C606,[5]sheet1!$D:$I,6,0)</f>
        <v>0</v>
      </c>
      <c r="N606" s="4">
        <f>VLOOKUP(C606,[6]sheet1!$D:$I,6,0)</f>
        <v>0</v>
      </c>
      <c r="O606" s="4">
        <f>VLOOKUP(C606,[7]sheet1!$D:$I,6,0)</f>
        <v>0</v>
      </c>
      <c r="P606" s="4">
        <f>VLOOKUP(C606,[8]sheet1!$D:$I,6,0)</f>
        <v>0</v>
      </c>
      <c r="Q606" s="4">
        <f t="shared" si="9"/>
        <v>0</v>
      </c>
      <c r="R606" s="3">
        <v>0</v>
      </c>
      <c r="S606" s="3">
        <v>1</v>
      </c>
      <c r="T606" s="19">
        <v>0</v>
      </c>
      <c r="U606" s="3">
        <v>0</v>
      </c>
      <c r="V606" s="3">
        <v>0</v>
      </c>
      <c r="W606">
        <v>0</v>
      </c>
      <c r="X606" s="3">
        <v>0</v>
      </c>
      <c r="Y606">
        <v>0</v>
      </c>
      <c r="Z606" s="3">
        <v>0</v>
      </c>
      <c r="AA606" t="s">
        <v>112</v>
      </c>
      <c r="AB606" t="s">
        <v>49</v>
      </c>
      <c r="AC606">
        <v>596.74</v>
      </c>
      <c r="AD606" t="s">
        <v>49</v>
      </c>
      <c r="AE606">
        <v>0</v>
      </c>
      <c r="AF606" s="3">
        <v>0</v>
      </c>
      <c r="AG606" t="s">
        <v>49</v>
      </c>
      <c r="AH606">
        <v>0</v>
      </c>
      <c r="AI606" t="s">
        <v>49</v>
      </c>
      <c r="AJ606" t="s">
        <v>49</v>
      </c>
      <c r="AK606" t="s">
        <v>49</v>
      </c>
      <c r="AL606" t="s">
        <v>49</v>
      </c>
      <c r="AM606" t="s">
        <v>49</v>
      </c>
      <c r="AN606" s="3">
        <v>1</v>
      </c>
      <c r="AO606" s="19">
        <v>0</v>
      </c>
      <c r="AP606" s="19">
        <v>0</v>
      </c>
      <c r="AQ606" s="19">
        <v>1</v>
      </c>
      <c r="AR606" s="19">
        <v>0</v>
      </c>
      <c r="AS606" s="19">
        <v>0</v>
      </c>
      <c r="AT606" s="19">
        <v>0</v>
      </c>
      <c r="AU606" s="3">
        <v>0</v>
      </c>
      <c r="AV606" s="3">
        <v>0</v>
      </c>
      <c r="AW606" s="19">
        <v>0</v>
      </c>
      <c r="AX606" s="3">
        <v>0</v>
      </c>
      <c r="AY606" s="3">
        <v>0</v>
      </c>
    </row>
    <row r="607" spans="1:51">
      <c r="A607" s="3">
        <v>14143535</v>
      </c>
      <c r="B607" t="s">
        <v>988</v>
      </c>
      <c r="C607" t="s">
        <v>989</v>
      </c>
      <c r="D607" t="s">
        <v>44</v>
      </c>
      <c r="E607" t="s">
        <v>141</v>
      </c>
      <c r="F607" t="s">
        <v>46</v>
      </c>
      <c r="G607" t="s">
        <v>47</v>
      </c>
      <c r="H607" s="16">
        <v>0</v>
      </c>
      <c r="I607" s="4">
        <f>VLOOKUP(C607,[1]sheet1!$D:$I,6,0)</f>
        <v>0</v>
      </c>
      <c r="J607" s="4">
        <f>VLOOKUP(C607,[2]sheet1!$D:$I,6,0)</f>
        <v>0</v>
      </c>
      <c r="K607" s="4">
        <f>VLOOKUP(C607,[3]sheet1!$D:$I,6,0)</f>
        <v>0</v>
      </c>
      <c r="L607" s="4">
        <f>VLOOKUP(C607,[4]sheet1!$D:$I,6,0)</f>
        <v>0</v>
      </c>
      <c r="M607" s="4">
        <f>VLOOKUP(C607,[5]sheet1!$D:$I,6,0)</f>
        <v>0</v>
      </c>
      <c r="N607" s="4">
        <f>VLOOKUP(C607,[6]sheet1!$D:$I,6,0)</f>
        <v>0</v>
      </c>
      <c r="O607" s="4">
        <f>VLOOKUP(C607,[7]sheet1!$D:$I,6,0)</f>
        <v>0</v>
      </c>
      <c r="P607" s="4">
        <f>VLOOKUP(C607,[8]sheet1!$D:$I,6,0)</f>
        <v>0</v>
      </c>
      <c r="Q607" s="4">
        <f t="shared" si="9"/>
        <v>0</v>
      </c>
      <c r="R607" s="3">
        <v>0</v>
      </c>
      <c r="S607">
        <v>74</v>
      </c>
      <c r="T607">
        <v>0</v>
      </c>
      <c r="U607" s="3">
        <v>0</v>
      </c>
      <c r="V607" s="3">
        <v>0</v>
      </c>
      <c r="W607">
        <v>0</v>
      </c>
      <c r="X607" s="3">
        <v>0</v>
      </c>
      <c r="Y607">
        <v>0</v>
      </c>
      <c r="Z607" s="3">
        <v>0</v>
      </c>
      <c r="AA607" t="s">
        <v>953</v>
      </c>
      <c r="AB607" s="3">
        <v>729</v>
      </c>
      <c r="AC607">
        <v>683.74</v>
      </c>
      <c r="AD607" t="s">
        <v>49</v>
      </c>
      <c r="AE607">
        <v>0</v>
      </c>
      <c r="AF607" s="3">
        <v>0</v>
      </c>
      <c r="AG607" t="s">
        <v>49</v>
      </c>
      <c r="AH607">
        <v>0</v>
      </c>
      <c r="AI607" t="s">
        <v>49</v>
      </c>
      <c r="AJ607">
        <v>622.84</v>
      </c>
      <c r="AK607" t="s">
        <v>49</v>
      </c>
      <c r="AL607">
        <v>0</v>
      </c>
      <c r="AM607" t="s">
        <v>49</v>
      </c>
      <c r="AN607">
        <v>74</v>
      </c>
      <c r="AO607" s="19">
        <v>0</v>
      </c>
      <c r="AP607" s="19">
        <v>0</v>
      </c>
      <c r="AQ607" s="19">
        <v>1</v>
      </c>
      <c r="AR607" s="19">
        <v>0.25</v>
      </c>
      <c r="AS607" s="19">
        <v>0</v>
      </c>
      <c r="AT607" s="19">
        <v>0</v>
      </c>
      <c r="AU607" s="3">
        <v>0</v>
      </c>
      <c r="AV607" s="3">
        <v>0</v>
      </c>
      <c r="AW607" s="19">
        <v>0</v>
      </c>
      <c r="AX607" s="3">
        <v>0</v>
      </c>
      <c r="AY607" s="3">
        <v>0</v>
      </c>
    </row>
    <row r="608" spans="1:51">
      <c r="A608" s="3">
        <v>13900243</v>
      </c>
      <c r="B608" t="s">
        <v>990</v>
      </c>
      <c r="C608" s="3">
        <v>134334002</v>
      </c>
      <c r="D608" t="s">
        <v>44</v>
      </c>
      <c r="E608" t="s">
        <v>991</v>
      </c>
      <c r="F608" t="s">
        <v>65</v>
      </c>
      <c r="G608" t="s">
        <v>47</v>
      </c>
      <c r="H608" s="16">
        <v>0</v>
      </c>
      <c r="I608" s="4">
        <f>VLOOKUP(C608,[1]sheet1!$D:$I,6,0)</f>
        <v>0</v>
      </c>
      <c r="J608" s="4">
        <f>VLOOKUP(C608,[2]sheet1!$D:$I,6,0)</f>
        <v>0</v>
      </c>
      <c r="K608" s="4">
        <f>VLOOKUP(C608,[3]sheet1!$D:$I,6,0)</f>
        <v>0</v>
      </c>
      <c r="L608" s="4">
        <f>VLOOKUP(C608,[4]sheet1!$D:$I,6,0)</f>
        <v>0</v>
      </c>
      <c r="M608" s="4">
        <f>VLOOKUP(C608,[5]sheet1!$D:$I,6,0)</f>
        <v>0</v>
      </c>
      <c r="N608" s="4">
        <f>VLOOKUP(C608,[6]sheet1!$D:$I,6,0)</f>
        <v>0</v>
      </c>
      <c r="O608" s="4">
        <f>VLOOKUP(C608,[7]sheet1!$D:$I,6,0)</f>
        <v>0</v>
      </c>
      <c r="P608" s="4">
        <f>VLOOKUP(C608,[8]sheet1!$D:$I,6,0)</f>
        <v>0</v>
      </c>
      <c r="Q608" s="4">
        <f t="shared" si="9"/>
        <v>0</v>
      </c>
      <c r="R608" s="3">
        <v>0</v>
      </c>
      <c r="S608" s="3">
        <v>3</v>
      </c>
      <c r="T608" s="19">
        <v>0</v>
      </c>
      <c r="U608" s="3">
        <v>0</v>
      </c>
      <c r="V608" s="3">
        <v>0</v>
      </c>
      <c r="W608">
        <v>0</v>
      </c>
      <c r="X608" s="3">
        <v>0</v>
      </c>
      <c r="Y608">
        <v>0</v>
      </c>
      <c r="Z608" s="3">
        <v>0</v>
      </c>
      <c r="AA608" t="s">
        <v>326</v>
      </c>
      <c r="AB608" t="s">
        <v>49</v>
      </c>
      <c r="AC608">
        <v>52.51</v>
      </c>
      <c r="AD608" t="s">
        <v>49</v>
      </c>
      <c r="AE608">
        <v>0</v>
      </c>
      <c r="AF608" s="3">
        <v>0</v>
      </c>
      <c r="AG608" t="s">
        <v>49</v>
      </c>
      <c r="AH608">
        <v>0</v>
      </c>
      <c r="AI608" t="s">
        <v>49</v>
      </c>
      <c r="AJ608" t="s">
        <v>49</v>
      </c>
      <c r="AK608" t="s">
        <v>49</v>
      </c>
      <c r="AL608" t="s">
        <v>49</v>
      </c>
      <c r="AM608" t="s">
        <v>49</v>
      </c>
      <c r="AN608" s="3">
        <v>3</v>
      </c>
      <c r="AO608" s="19">
        <v>0</v>
      </c>
      <c r="AP608" s="19">
        <v>0</v>
      </c>
      <c r="AQ608" s="19">
        <v>1</v>
      </c>
      <c r="AR608" s="19">
        <v>0.6667</v>
      </c>
      <c r="AS608" s="19">
        <v>0</v>
      </c>
      <c r="AT608" s="19">
        <v>0</v>
      </c>
      <c r="AU608" s="3">
        <v>0</v>
      </c>
      <c r="AV608" s="3">
        <v>0</v>
      </c>
      <c r="AW608" s="19">
        <v>0</v>
      </c>
      <c r="AX608" s="3">
        <v>0</v>
      </c>
      <c r="AY608" s="3">
        <v>0</v>
      </c>
    </row>
    <row r="609" spans="1:51">
      <c r="A609" s="3">
        <v>13894192</v>
      </c>
      <c r="B609" t="s">
        <v>992</v>
      </c>
      <c r="C609" s="3">
        <v>116243501</v>
      </c>
      <c r="D609" t="s">
        <v>44</v>
      </c>
      <c r="E609" t="s">
        <v>280</v>
      </c>
      <c r="F609" t="s">
        <v>65</v>
      </c>
      <c r="G609" t="s">
        <v>47</v>
      </c>
      <c r="H609" s="16">
        <v>0</v>
      </c>
      <c r="I609" s="4">
        <f>VLOOKUP(C609,[1]sheet1!$D:$I,6,0)</f>
        <v>0</v>
      </c>
      <c r="J609" s="4">
        <f>VLOOKUP(C609,[2]sheet1!$D:$I,6,0)</f>
        <v>0</v>
      </c>
      <c r="K609" s="4">
        <f>VLOOKUP(C609,[3]sheet1!$D:$I,6,0)</f>
        <v>0</v>
      </c>
      <c r="L609" s="4">
        <f>VLOOKUP(C609,[4]sheet1!$D:$I,6,0)</f>
        <v>0</v>
      </c>
      <c r="M609" s="4">
        <f>VLOOKUP(C609,[5]sheet1!$D:$I,6,0)</f>
        <v>0</v>
      </c>
      <c r="N609" s="4">
        <f>VLOOKUP(C609,[6]sheet1!$D:$I,6,0)</f>
        <v>0</v>
      </c>
      <c r="O609" s="4">
        <f>VLOOKUP(C609,[7]sheet1!$D:$I,6,0)</f>
        <v>0</v>
      </c>
      <c r="P609" s="4">
        <f>VLOOKUP(C609,[8]sheet1!$D:$I,6,0)</f>
        <v>0</v>
      </c>
      <c r="Q609" s="4">
        <f t="shared" si="9"/>
        <v>0</v>
      </c>
      <c r="R609" s="3">
        <v>0</v>
      </c>
      <c r="S609" s="3">
        <v>5</v>
      </c>
      <c r="T609" s="19">
        <v>0</v>
      </c>
      <c r="U609" s="3">
        <v>0</v>
      </c>
      <c r="V609" s="3">
        <v>0</v>
      </c>
      <c r="W609">
        <v>0</v>
      </c>
      <c r="X609" s="3">
        <v>0</v>
      </c>
      <c r="Y609">
        <v>0</v>
      </c>
      <c r="Z609" s="3">
        <v>0</v>
      </c>
      <c r="AA609" t="s">
        <v>49</v>
      </c>
      <c r="AB609" t="s">
        <v>49</v>
      </c>
      <c r="AC609" t="s">
        <v>49</v>
      </c>
      <c r="AD609" t="s">
        <v>49</v>
      </c>
      <c r="AE609">
        <v>0</v>
      </c>
      <c r="AF609" s="3">
        <v>0</v>
      </c>
      <c r="AG609" t="s">
        <v>49</v>
      </c>
      <c r="AH609" t="s">
        <v>49</v>
      </c>
      <c r="AI609" t="s">
        <v>49</v>
      </c>
      <c r="AJ609" t="s">
        <v>49</v>
      </c>
      <c r="AK609" t="s">
        <v>49</v>
      </c>
      <c r="AL609" t="s">
        <v>49</v>
      </c>
      <c r="AM609" t="s">
        <v>49</v>
      </c>
      <c r="AN609" s="3">
        <v>6</v>
      </c>
      <c r="AO609" s="19">
        <v>0</v>
      </c>
      <c r="AP609" s="19">
        <v>0</v>
      </c>
      <c r="AQ609" s="19">
        <v>0.8</v>
      </c>
      <c r="AR609" s="19">
        <v>0.6</v>
      </c>
      <c r="AS609" s="19">
        <v>0</v>
      </c>
      <c r="AT609" s="19">
        <v>0</v>
      </c>
      <c r="AU609" s="3">
        <v>0</v>
      </c>
      <c r="AV609" s="3">
        <v>0</v>
      </c>
      <c r="AW609" s="19">
        <v>0</v>
      </c>
      <c r="AX609" s="3">
        <v>0</v>
      </c>
      <c r="AY609" s="3">
        <v>0</v>
      </c>
    </row>
    <row r="610" spans="1:51">
      <c r="A610" s="3">
        <v>13849994</v>
      </c>
      <c r="B610" t="s">
        <v>993</v>
      </c>
      <c r="C610" s="3">
        <v>164025003</v>
      </c>
      <c r="D610" t="s">
        <v>44</v>
      </c>
      <c r="E610" t="s">
        <v>78</v>
      </c>
      <c r="F610" t="s">
        <v>65</v>
      </c>
      <c r="G610" t="s">
        <v>47</v>
      </c>
      <c r="H610" s="16">
        <v>0</v>
      </c>
      <c r="I610" s="4">
        <f>VLOOKUP(C610,[1]sheet1!$D:$I,6,0)</f>
        <v>0</v>
      </c>
      <c r="J610" s="4">
        <f>VLOOKUP(C610,[2]sheet1!$D:$I,6,0)</f>
        <v>0</v>
      </c>
      <c r="K610" s="4">
        <f>VLOOKUP(C610,[3]sheet1!$D:$I,6,0)</f>
        <v>0</v>
      </c>
      <c r="L610" s="4">
        <f>VLOOKUP(C610,[4]sheet1!$D:$I,6,0)</f>
        <v>0</v>
      </c>
      <c r="M610" s="4">
        <f>VLOOKUP(C610,[5]sheet1!$D:$I,6,0)</f>
        <v>0</v>
      </c>
      <c r="N610" s="4">
        <f>VLOOKUP(C610,[6]sheet1!$D:$I,6,0)</f>
        <v>0</v>
      </c>
      <c r="O610" s="4">
        <f>VLOOKUP(C610,[7]sheet1!$D:$I,6,0)</f>
        <v>0</v>
      </c>
      <c r="P610" s="4">
        <f>VLOOKUP(C610,[8]sheet1!$D:$I,6,0)</f>
        <v>0</v>
      </c>
      <c r="Q610" s="4">
        <f t="shared" si="9"/>
        <v>0</v>
      </c>
      <c r="R610" s="3">
        <v>0</v>
      </c>
      <c r="S610" s="3">
        <v>26</v>
      </c>
      <c r="T610" s="19">
        <v>0</v>
      </c>
      <c r="U610" s="3">
        <v>1</v>
      </c>
      <c r="V610" s="3">
        <v>0</v>
      </c>
      <c r="W610">
        <v>0</v>
      </c>
      <c r="X610" s="3">
        <v>0</v>
      </c>
      <c r="Y610">
        <v>0</v>
      </c>
      <c r="Z610" s="3">
        <v>0</v>
      </c>
      <c r="AA610" t="s">
        <v>85</v>
      </c>
      <c r="AB610" t="s">
        <v>49</v>
      </c>
      <c r="AC610">
        <v>291.38</v>
      </c>
      <c r="AD610" t="s">
        <v>49</v>
      </c>
      <c r="AE610">
        <v>0</v>
      </c>
      <c r="AF610" s="3">
        <v>0</v>
      </c>
      <c r="AG610" t="s">
        <v>49</v>
      </c>
      <c r="AH610">
        <v>0</v>
      </c>
      <c r="AI610" t="s">
        <v>49</v>
      </c>
      <c r="AJ610" t="s">
        <v>49</v>
      </c>
      <c r="AK610" t="s">
        <v>49</v>
      </c>
      <c r="AL610" t="s">
        <v>49</v>
      </c>
      <c r="AM610" t="s">
        <v>49</v>
      </c>
      <c r="AN610" s="3">
        <v>28</v>
      </c>
      <c r="AO610" s="19">
        <v>0</v>
      </c>
      <c r="AP610" s="19">
        <v>0</v>
      </c>
      <c r="AQ610" s="19">
        <v>0.6154</v>
      </c>
      <c r="AR610" s="19">
        <v>0.2308</v>
      </c>
      <c r="AS610" s="19">
        <v>1</v>
      </c>
      <c r="AT610" s="19">
        <v>0</v>
      </c>
      <c r="AU610" s="3">
        <v>0</v>
      </c>
      <c r="AV610" s="3">
        <v>0</v>
      </c>
      <c r="AW610" s="19">
        <v>0</v>
      </c>
      <c r="AX610" s="3">
        <v>0</v>
      </c>
      <c r="AY610" s="3">
        <v>0</v>
      </c>
    </row>
    <row r="611" spans="1:51">
      <c r="A611" s="3">
        <v>13838671</v>
      </c>
      <c r="B611" t="s">
        <v>994</v>
      </c>
      <c r="C611" s="3">
        <v>164334402</v>
      </c>
      <c r="D611" t="s">
        <v>44</v>
      </c>
      <c r="E611" t="s">
        <v>177</v>
      </c>
      <c r="F611" t="s">
        <v>65</v>
      </c>
      <c r="G611" t="s">
        <v>47</v>
      </c>
      <c r="H611" s="16">
        <v>0</v>
      </c>
      <c r="I611" s="4">
        <f>VLOOKUP(C611,[1]sheet1!$D:$I,6,0)</f>
        <v>0</v>
      </c>
      <c r="J611" s="4">
        <f>VLOOKUP(C611,[2]sheet1!$D:$I,6,0)</f>
        <v>0</v>
      </c>
      <c r="K611" s="4">
        <f>VLOOKUP(C611,[3]sheet1!$D:$I,6,0)</f>
        <v>0</v>
      </c>
      <c r="L611" s="4">
        <f>VLOOKUP(C611,[4]sheet1!$D:$I,6,0)</f>
        <v>0</v>
      </c>
      <c r="M611" s="4">
        <f>VLOOKUP(C611,[5]sheet1!$D:$I,6,0)</f>
        <v>0</v>
      </c>
      <c r="N611" s="4">
        <f>VLOOKUP(C611,[6]sheet1!$D:$I,6,0)</f>
        <v>0</v>
      </c>
      <c r="O611" s="4">
        <f>VLOOKUP(C611,[7]sheet1!$D:$I,6,0)</f>
        <v>0</v>
      </c>
      <c r="P611" s="4">
        <f>VLOOKUP(C611,[8]sheet1!$D:$I,6,0)</f>
        <v>0</v>
      </c>
      <c r="Q611" s="4">
        <f t="shared" si="9"/>
        <v>0</v>
      </c>
      <c r="R611" s="3">
        <v>0</v>
      </c>
      <c r="S611" s="3">
        <v>0</v>
      </c>
      <c r="T611" s="19">
        <v>0</v>
      </c>
      <c r="U611" s="3">
        <v>0</v>
      </c>
      <c r="V611" s="3">
        <v>0</v>
      </c>
      <c r="W611">
        <v>0</v>
      </c>
      <c r="X611" s="3">
        <v>0</v>
      </c>
      <c r="Y611">
        <v>0</v>
      </c>
      <c r="Z611" s="3">
        <v>0</v>
      </c>
      <c r="AA611" t="s">
        <v>319</v>
      </c>
      <c r="AB611" t="s">
        <v>49</v>
      </c>
      <c r="AC611">
        <v>61.57</v>
      </c>
      <c r="AD611" t="s">
        <v>49</v>
      </c>
      <c r="AE611">
        <v>0</v>
      </c>
      <c r="AF611" s="3">
        <v>0</v>
      </c>
      <c r="AG611" t="s">
        <v>49</v>
      </c>
      <c r="AH611">
        <v>0</v>
      </c>
      <c r="AI611" t="s">
        <v>49</v>
      </c>
      <c r="AJ611" t="s">
        <v>49</v>
      </c>
      <c r="AK611" t="s">
        <v>49</v>
      </c>
      <c r="AL611" t="s">
        <v>49</v>
      </c>
      <c r="AM611" t="s">
        <v>49</v>
      </c>
      <c r="AN611" s="3">
        <v>0</v>
      </c>
      <c r="AO611" s="19">
        <v>0</v>
      </c>
      <c r="AP611" s="19">
        <v>0</v>
      </c>
      <c r="AQ611" s="19">
        <v>0</v>
      </c>
      <c r="AR611" s="19">
        <v>0</v>
      </c>
      <c r="AS611" s="19">
        <v>0</v>
      </c>
      <c r="AT611" s="19">
        <v>0</v>
      </c>
      <c r="AU611" s="3">
        <v>0</v>
      </c>
      <c r="AV611" s="3">
        <v>0</v>
      </c>
      <c r="AW611" s="19">
        <v>0</v>
      </c>
      <c r="AX611" s="3">
        <v>0</v>
      </c>
      <c r="AY611" s="3">
        <v>0</v>
      </c>
    </row>
    <row r="612" spans="1:51">
      <c r="A612" s="3">
        <v>13835790</v>
      </c>
      <c r="B612" t="s">
        <v>995</v>
      </c>
      <c r="C612" s="3">
        <v>114314371</v>
      </c>
      <c r="D612" t="s">
        <v>44</v>
      </c>
      <c r="E612" t="s">
        <v>57</v>
      </c>
      <c r="F612" t="s">
        <v>65</v>
      </c>
      <c r="G612" t="s">
        <v>47</v>
      </c>
      <c r="H612" s="16">
        <v>0</v>
      </c>
      <c r="I612" s="4">
        <f>VLOOKUP(C612,[1]sheet1!$D:$I,6,0)</f>
        <v>0</v>
      </c>
      <c r="J612" s="4">
        <f>VLOOKUP(C612,[2]sheet1!$D:$I,6,0)</f>
        <v>0</v>
      </c>
      <c r="K612" s="4">
        <f>VLOOKUP(C612,[3]sheet1!$D:$I,6,0)</f>
        <v>0</v>
      </c>
      <c r="L612" s="4">
        <f>VLOOKUP(C612,[4]sheet1!$D:$I,6,0)</f>
        <v>0</v>
      </c>
      <c r="M612" s="4">
        <f>VLOOKUP(C612,[5]sheet1!$D:$I,6,0)</f>
        <v>0</v>
      </c>
      <c r="N612" s="4">
        <f>VLOOKUP(C612,[6]sheet1!$D:$I,6,0)</f>
        <v>0</v>
      </c>
      <c r="O612" s="4">
        <f>VLOOKUP(C612,[7]sheet1!$D:$I,6,0)</f>
        <v>646</v>
      </c>
      <c r="P612" s="4">
        <f>VLOOKUP(C612,[8]sheet1!$D:$I,6,0)</f>
        <v>0</v>
      </c>
      <c r="Q612" s="4">
        <f t="shared" si="9"/>
        <v>646</v>
      </c>
      <c r="R612" s="3">
        <v>0</v>
      </c>
      <c r="S612" s="3">
        <v>5</v>
      </c>
      <c r="T612" s="19">
        <v>0</v>
      </c>
      <c r="U612" s="3">
        <v>0</v>
      </c>
      <c r="V612" s="3">
        <v>0</v>
      </c>
      <c r="W612">
        <v>0</v>
      </c>
      <c r="X612" s="3">
        <v>0</v>
      </c>
      <c r="Y612">
        <v>0</v>
      </c>
      <c r="Z612" s="3">
        <v>0</v>
      </c>
      <c r="AA612" t="s">
        <v>49</v>
      </c>
      <c r="AB612" t="s">
        <v>49</v>
      </c>
      <c r="AC612" t="s">
        <v>49</v>
      </c>
      <c r="AD612" t="s">
        <v>49</v>
      </c>
      <c r="AE612">
        <v>0</v>
      </c>
      <c r="AF612" s="3">
        <v>0</v>
      </c>
      <c r="AG612" t="s">
        <v>49</v>
      </c>
      <c r="AH612" t="s">
        <v>49</v>
      </c>
      <c r="AI612" t="s">
        <v>49</v>
      </c>
      <c r="AJ612" t="s">
        <v>49</v>
      </c>
      <c r="AK612" t="s">
        <v>49</v>
      </c>
      <c r="AL612" t="s">
        <v>49</v>
      </c>
      <c r="AM612" t="s">
        <v>49</v>
      </c>
      <c r="AN612" s="3">
        <v>5</v>
      </c>
      <c r="AO612" s="19">
        <v>0</v>
      </c>
      <c r="AP612" s="19">
        <v>0</v>
      </c>
      <c r="AQ612" s="19">
        <v>0.4</v>
      </c>
      <c r="AR612" s="19">
        <v>0.4</v>
      </c>
      <c r="AS612" s="19">
        <v>0</v>
      </c>
      <c r="AT612" s="19">
        <v>0</v>
      </c>
      <c r="AU612" s="3">
        <v>0</v>
      </c>
      <c r="AV612" s="3">
        <v>0</v>
      </c>
      <c r="AW612" s="19">
        <v>0</v>
      </c>
      <c r="AX612" s="3">
        <v>0</v>
      </c>
      <c r="AY612" s="3">
        <v>0</v>
      </c>
    </row>
    <row r="613" spans="1:51">
      <c r="A613" s="3">
        <v>13835386</v>
      </c>
      <c r="B613" t="s">
        <v>996</v>
      </c>
      <c r="C613" s="3">
        <v>114314373</v>
      </c>
      <c r="D613" t="s">
        <v>44</v>
      </c>
      <c r="E613" t="s">
        <v>57</v>
      </c>
      <c r="F613" t="s">
        <v>65</v>
      </c>
      <c r="G613" t="s">
        <v>47</v>
      </c>
      <c r="H613" s="16">
        <v>0</v>
      </c>
      <c r="I613" s="4">
        <f>VLOOKUP(C613,[1]sheet1!$D:$I,6,0)</f>
        <v>0</v>
      </c>
      <c r="J613" s="4">
        <f>VLOOKUP(C613,[2]sheet1!$D:$I,6,0)</f>
        <v>0</v>
      </c>
      <c r="K613" s="4">
        <f>VLOOKUP(C613,[3]sheet1!$D:$I,6,0)</f>
        <v>0</v>
      </c>
      <c r="L613" s="4">
        <f>VLOOKUP(C613,[4]sheet1!$D:$I,6,0)</f>
        <v>0</v>
      </c>
      <c r="M613" s="4">
        <f>VLOOKUP(C613,[5]sheet1!$D:$I,6,0)</f>
        <v>0</v>
      </c>
      <c r="N613" s="4">
        <f>VLOOKUP(C613,[6]sheet1!$D:$I,6,0)</f>
        <v>0</v>
      </c>
      <c r="O613" s="4">
        <f>VLOOKUP(C613,[7]sheet1!$D:$I,6,0)</f>
        <v>0</v>
      </c>
      <c r="P613" s="4">
        <f>VLOOKUP(C613,[8]sheet1!$D:$I,6,0)</f>
        <v>0</v>
      </c>
      <c r="Q613" s="4">
        <f t="shared" si="9"/>
        <v>0</v>
      </c>
      <c r="R613" s="3">
        <v>0</v>
      </c>
      <c r="S613" s="3">
        <v>3</v>
      </c>
      <c r="T613" s="19">
        <v>0</v>
      </c>
      <c r="U613" s="3">
        <v>0</v>
      </c>
      <c r="V613" s="3">
        <v>0</v>
      </c>
      <c r="W613">
        <v>0</v>
      </c>
      <c r="X613" s="3">
        <v>0</v>
      </c>
      <c r="Y613">
        <v>0</v>
      </c>
      <c r="Z613" s="3">
        <v>0</v>
      </c>
      <c r="AA613" t="s">
        <v>827</v>
      </c>
      <c r="AB613" t="s">
        <v>49</v>
      </c>
      <c r="AC613">
        <v>313.09</v>
      </c>
      <c r="AD613" t="s">
        <v>49</v>
      </c>
      <c r="AE613">
        <v>0</v>
      </c>
      <c r="AF613" s="3">
        <v>0</v>
      </c>
      <c r="AG613" t="s">
        <v>49</v>
      </c>
      <c r="AH613">
        <v>0</v>
      </c>
      <c r="AI613" t="s">
        <v>49</v>
      </c>
      <c r="AJ613" t="s">
        <v>49</v>
      </c>
      <c r="AK613" t="s">
        <v>49</v>
      </c>
      <c r="AL613" t="s">
        <v>49</v>
      </c>
      <c r="AM613" t="s">
        <v>49</v>
      </c>
      <c r="AN613" s="3">
        <v>3</v>
      </c>
      <c r="AO613" s="19">
        <v>0</v>
      </c>
      <c r="AP613" s="19">
        <v>0</v>
      </c>
      <c r="AQ613" s="19">
        <v>1</v>
      </c>
      <c r="AR613" s="19">
        <v>0</v>
      </c>
      <c r="AS613" s="19">
        <v>0</v>
      </c>
      <c r="AT613" s="19">
        <v>0</v>
      </c>
      <c r="AU613" s="3">
        <v>0</v>
      </c>
      <c r="AV613" s="3">
        <v>0</v>
      </c>
      <c r="AW613" s="19">
        <v>0</v>
      </c>
      <c r="AX613" s="3">
        <v>0</v>
      </c>
      <c r="AY613" s="3">
        <v>0</v>
      </c>
    </row>
    <row r="614" spans="1:51">
      <c r="A614" s="3">
        <v>13835053</v>
      </c>
      <c r="B614" t="s">
        <v>997</v>
      </c>
      <c r="C614" s="3">
        <v>124307166</v>
      </c>
      <c r="D614" t="s">
        <v>44</v>
      </c>
      <c r="E614" t="s">
        <v>290</v>
      </c>
      <c r="F614" t="s">
        <v>46</v>
      </c>
      <c r="G614" t="s">
        <v>47</v>
      </c>
      <c r="H614" s="16">
        <v>0</v>
      </c>
      <c r="I614" s="4">
        <f>VLOOKUP(C614,[1]sheet1!$D:$I,6,0)</f>
        <v>0</v>
      </c>
      <c r="J614" s="4">
        <f>VLOOKUP(C614,[2]sheet1!$D:$I,6,0)</f>
        <v>0</v>
      </c>
      <c r="K614" s="4">
        <f>VLOOKUP(C614,[3]sheet1!$D:$I,6,0)</f>
        <v>0</v>
      </c>
      <c r="L614" s="4">
        <f>VLOOKUP(C614,[4]sheet1!$D:$I,6,0)</f>
        <v>0</v>
      </c>
      <c r="M614" s="4">
        <f>VLOOKUP(C614,[5]sheet1!$D:$I,6,0)</f>
        <v>0</v>
      </c>
      <c r="N614" s="4">
        <f>VLOOKUP(C614,[6]sheet1!$D:$I,6,0)</f>
        <v>0</v>
      </c>
      <c r="O614" s="4">
        <f>VLOOKUP(C614,[7]sheet1!$D:$I,6,0)</f>
        <v>0</v>
      </c>
      <c r="P614" s="4">
        <f>VLOOKUP(C614,[8]sheet1!$D:$I,6,0)</f>
        <v>0</v>
      </c>
      <c r="Q614" s="15">
        <f t="shared" si="9"/>
        <v>0</v>
      </c>
      <c r="R614" s="3">
        <v>0</v>
      </c>
      <c r="S614">
        <v>82</v>
      </c>
      <c r="T614">
        <v>0</v>
      </c>
      <c r="U614" s="3">
        <v>0</v>
      </c>
      <c r="V614" s="3">
        <v>0</v>
      </c>
      <c r="W614">
        <v>0</v>
      </c>
      <c r="X614" s="3">
        <v>0</v>
      </c>
      <c r="Y614">
        <v>0</v>
      </c>
      <c r="Z614" s="3">
        <v>0</v>
      </c>
      <c r="AA614" t="s">
        <v>827</v>
      </c>
      <c r="AB614" s="3">
        <v>240</v>
      </c>
      <c r="AC614">
        <v>310.51</v>
      </c>
      <c r="AD614" t="s">
        <v>49</v>
      </c>
      <c r="AE614">
        <v>0</v>
      </c>
      <c r="AF614" s="3">
        <v>0</v>
      </c>
      <c r="AG614" t="s">
        <v>49</v>
      </c>
      <c r="AH614">
        <v>0</v>
      </c>
      <c r="AI614" t="s">
        <v>49</v>
      </c>
      <c r="AJ614">
        <v>197.41</v>
      </c>
      <c r="AK614" t="s">
        <v>49</v>
      </c>
      <c r="AL614">
        <v>0</v>
      </c>
      <c r="AM614" t="s">
        <v>49</v>
      </c>
      <c r="AN614" s="3">
        <v>6</v>
      </c>
      <c r="AO614" s="19">
        <v>0</v>
      </c>
      <c r="AP614" s="19">
        <v>0</v>
      </c>
      <c r="AQ614" s="19">
        <v>0.6</v>
      </c>
      <c r="AR614" s="19">
        <v>0.4</v>
      </c>
      <c r="AS614" s="19">
        <v>0</v>
      </c>
      <c r="AT614" s="19">
        <v>0</v>
      </c>
      <c r="AU614" s="3">
        <v>0</v>
      </c>
      <c r="AV614" s="3">
        <v>0</v>
      </c>
      <c r="AW614" s="19">
        <v>0</v>
      </c>
      <c r="AX614" s="3">
        <v>0</v>
      </c>
      <c r="AY614" s="3">
        <v>0</v>
      </c>
    </row>
    <row r="615" spans="1:51">
      <c r="A615" s="3">
        <v>13834742</v>
      </c>
      <c r="B615" t="s">
        <v>998</v>
      </c>
      <c r="C615" s="3">
        <v>114310203</v>
      </c>
      <c r="D615" t="s">
        <v>44</v>
      </c>
      <c r="E615" t="s">
        <v>117</v>
      </c>
      <c r="F615" t="s">
        <v>46</v>
      </c>
      <c r="G615" t="s">
        <v>47</v>
      </c>
      <c r="H615" s="16">
        <v>0</v>
      </c>
      <c r="I615" s="4">
        <f>VLOOKUP(C615,[1]sheet1!$D:$I,6,0)</f>
        <v>312</v>
      </c>
      <c r="J615" s="4">
        <f>VLOOKUP(C615,[2]sheet1!$D:$I,6,0)</f>
        <v>0</v>
      </c>
      <c r="K615" s="4">
        <f>VLOOKUP(C615,[3]sheet1!$D:$I,6,0)</f>
        <v>0</v>
      </c>
      <c r="L615" s="4">
        <f>VLOOKUP(C615,[4]sheet1!$D:$I,6,0)</f>
        <v>312</v>
      </c>
      <c r="M615" s="4">
        <f>VLOOKUP(C615,[5]sheet1!$D:$I,6,0)</f>
        <v>0</v>
      </c>
      <c r="N615" s="4">
        <f>VLOOKUP(C615,[6]sheet1!$D:$I,6,0)</f>
        <v>0</v>
      </c>
      <c r="O615" s="4">
        <f>VLOOKUP(C615,[7]sheet1!$D:$I,6,0)</f>
        <v>0</v>
      </c>
      <c r="P615" s="4">
        <f>VLOOKUP(C615,[8]sheet1!$D:$I,6,0)</f>
        <v>0</v>
      </c>
      <c r="Q615" s="4">
        <f t="shared" si="9"/>
        <v>624</v>
      </c>
      <c r="R615" s="3">
        <v>0</v>
      </c>
      <c r="S615">
        <v>133</v>
      </c>
      <c r="T615">
        <v>0</v>
      </c>
      <c r="U615" s="3">
        <v>0</v>
      </c>
      <c r="V615" s="3">
        <v>0</v>
      </c>
      <c r="W615">
        <v>0</v>
      </c>
      <c r="X615" s="3">
        <v>0</v>
      </c>
      <c r="Y615">
        <v>0</v>
      </c>
      <c r="Z615" s="3">
        <v>0</v>
      </c>
      <c r="AA615" t="s">
        <v>230</v>
      </c>
      <c r="AB615" s="3">
        <v>259</v>
      </c>
      <c r="AC615">
        <v>215.52</v>
      </c>
      <c r="AD615" t="s">
        <v>49</v>
      </c>
      <c r="AE615">
        <v>0</v>
      </c>
      <c r="AF615" s="3">
        <v>0</v>
      </c>
      <c r="AG615" t="s">
        <v>49</v>
      </c>
      <c r="AH615">
        <v>0</v>
      </c>
      <c r="AI615" t="s">
        <v>49</v>
      </c>
      <c r="AJ615" t="s">
        <v>49</v>
      </c>
      <c r="AK615" t="s">
        <v>49</v>
      </c>
      <c r="AL615" t="s">
        <v>49</v>
      </c>
      <c r="AM615" t="s">
        <v>49</v>
      </c>
      <c r="AN615" s="3">
        <v>18</v>
      </c>
      <c r="AO615" s="19">
        <v>0</v>
      </c>
      <c r="AP615" s="19">
        <v>0</v>
      </c>
      <c r="AQ615" s="19">
        <v>1</v>
      </c>
      <c r="AR615" s="19">
        <v>0.3077</v>
      </c>
      <c r="AS615" s="19">
        <v>0</v>
      </c>
      <c r="AT615" s="19">
        <v>0</v>
      </c>
      <c r="AU615" s="3">
        <v>0</v>
      </c>
      <c r="AV615" s="3">
        <v>0</v>
      </c>
      <c r="AW615" s="19">
        <v>0</v>
      </c>
      <c r="AX615" s="3">
        <v>0</v>
      </c>
      <c r="AY615" s="3">
        <v>0</v>
      </c>
    </row>
    <row r="616" spans="1:51">
      <c r="A616" s="3">
        <v>13833188</v>
      </c>
      <c r="B616" t="s">
        <v>999</v>
      </c>
      <c r="C616" s="3">
        <v>114306143</v>
      </c>
      <c r="D616" t="s">
        <v>44</v>
      </c>
      <c r="E616" t="s">
        <v>143</v>
      </c>
      <c r="F616" t="s">
        <v>65</v>
      </c>
      <c r="G616" t="s">
        <v>47</v>
      </c>
      <c r="H616" s="16">
        <v>0</v>
      </c>
      <c r="I616" s="4">
        <f>VLOOKUP(C616,[1]sheet1!$D:$I,6,0)</f>
        <v>0</v>
      </c>
      <c r="J616" s="4">
        <f>VLOOKUP(C616,[2]sheet1!$D:$I,6,0)</f>
        <v>0</v>
      </c>
      <c r="K616" s="4">
        <f>VLOOKUP(C616,[3]sheet1!$D:$I,6,0)</f>
        <v>0</v>
      </c>
      <c r="L616" s="4">
        <f>VLOOKUP(C616,[4]sheet1!$D:$I,6,0)</f>
        <v>0</v>
      </c>
      <c r="M616" s="4">
        <f>VLOOKUP(C616,[5]sheet1!$D:$I,6,0)</f>
        <v>0</v>
      </c>
      <c r="N616" s="4">
        <f>VLOOKUP(C616,[6]sheet1!$D:$I,6,0)</f>
        <v>0</v>
      </c>
      <c r="O616" s="4">
        <f>VLOOKUP(C616,[7]sheet1!$D:$I,6,0)</f>
        <v>0</v>
      </c>
      <c r="P616" s="4">
        <f>VLOOKUP(C616,[8]sheet1!$D:$I,6,0)</f>
        <v>0</v>
      </c>
      <c r="Q616" s="15">
        <f t="shared" si="9"/>
        <v>0</v>
      </c>
      <c r="R616" s="3">
        <v>0</v>
      </c>
      <c r="S616" s="3">
        <v>2</v>
      </c>
      <c r="T616" s="19">
        <v>0</v>
      </c>
      <c r="U616" s="3">
        <v>0</v>
      </c>
      <c r="V616" s="3">
        <v>0</v>
      </c>
      <c r="W616">
        <v>0</v>
      </c>
      <c r="X616" s="3">
        <v>0</v>
      </c>
      <c r="Y616">
        <v>0</v>
      </c>
      <c r="Z616" s="3">
        <v>0</v>
      </c>
      <c r="AA616" t="s">
        <v>730</v>
      </c>
      <c r="AB616" t="s">
        <v>49</v>
      </c>
      <c r="AC616">
        <v>389.99</v>
      </c>
      <c r="AD616" t="s">
        <v>49</v>
      </c>
      <c r="AE616">
        <v>0</v>
      </c>
      <c r="AF616" s="3">
        <v>0</v>
      </c>
      <c r="AG616" t="s">
        <v>49</v>
      </c>
      <c r="AH616">
        <v>0</v>
      </c>
      <c r="AI616" t="s">
        <v>49</v>
      </c>
      <c r="AJ616" t="s">
        <v>49</v>
      </c>
      <c r="AK616" t="s">
        <v>49</v>
      </c>
      <c r="AL616" t="s">
        <v>49</v>
      </c>
      <c r="AM616" t="s">
        <v>49</v>
      </c>
      <c r="AN616" s="3">
        <v>3</v>
      </c>
      <c r="AO616" s="19">
        <v>0</v>
      </c>
      <c r="AP616" s="19">
        <v>0</v>
      </c>
      <c r="AQ616" s="19">
        <v>1</v>
      </c>
      <c r="AR616" s="19">
        <v>0.5</v>
      </c>
      <c r="AS616" s="19">
        <v>0</v>
      </c>
      <c r="AT616" s="19">
        <v>0</v>
      </c>
      <c r="AU616" s="3">
        <v>0</v>
      </c>
      <c r="AV616" s="3">
        <v>0</v>
      </c>
      <c r="AW616" s="19">
        <v>0</v>
      </c>
      <c r="AX616" s="3">
        <v>0</v>
      </c>
      <c r="AY616" s="3">
        <v>0</v>
      </c>
    </row>
    <row r="617" spans="1:51">
      <c r="A617" s="3">
        <v>13832485</v>
      </c>
      <c r="B617" t="s">
        <v>1000</v>
      </c>
      <c r="C617" s="3">
        <v>114302083</v>
      </c>
      <c r="D617" t="s">
        <v>44</v>
      </c>
      <c r="E617" t="s">
        <v>146</v>
      </c>
      <c r="F617" t="s">
        <v>46</v>
      </c>
      <c r="G617" t="s">
        <v>47</v>
      </c>
      <c r="H617" s="16">
        <v>0</v>
      </c>
      <c r="I617" s="4">
        <f>VLOOKUP(C617,[1]sheet1!$D:$I,6,0)</f>
        <v>0</v>
      </c>
      <c r="J617" s="4">
        <f>VLOOKUP(C617,[2]sheet1!$D:$I,6,0)</f>
        <v>0</v>
      </c>
      <c r="K617" s="4">
        <f>VLOOKUP(C617,[3]sheet1!$D:$I,6,0)</f>
        <v>0</v>
      </c>
      <c r="L617" s="4">
        <f>VLOOKUP(C617,[4]sheet1!$D:$I,6,0)</f>
        <v>0</v>
      </c>
      <c r="M617" s="4">
        <f>VLOOKUP(C617,[5]sheet1!$D:$I,6,0)</f>
        <v>0</v>
      </c>
      <c r="N617" s="4">
        <f>VLOOKUP(C617,[6]sheet1!$D:$I,6,0)</f>
        <v>0</v>
      </c>
      <c r="O617" s="4">
        <f>VLOOKUP(C617,[7]sheet1!$D:$I,6,0)</f>
        <v>0</v>
      </c>
      <c r="P617" s="4">
        <f>VLOOKUP(C617,[8]sheet1!$D:$I,6,0)</f>
        <v>0</v>
      </c>
      <c r="Q617" s="4">
        <f t="shared" si="9"/>
        <v>0</v>
      </c>
      <c r="R617" s="3">
        <v>0</v>
      </c>
      <c r="S617">
        <v>165</v>
      </c>
      <c r="T617">
        <v>0</v>
      </c>
      <c r="U617" s="3">
        <v>1</v>
      </c>
      <c r="V617" s="3">
        <v>0</v>
      </c>
      <c r="W617">
        <v>0</v>
      </c>
      <c r="X617" s="3">
        <v>0</v>
      </c>
      <c r="Y617">
        <v>0</v>
      </c>
      <c r="Z617" s="3">
        <v>0</v>
      </c>
      <c r="AA617" t="s">
        <v>1001</v>
      </c>
      <c r="AB617" s="3">
        <v>1189</v>
      </c>
      <c r="AC617">
        <v>1201.69</v>
      </c>
      <c r="AD617" t="s">
        <v>49</v>
      </c>
      <c r="AE617">
        <v>0</v>
      </c>
      <c r="AF617" s="3">
        <v>0</v>
      </c>
      <c r="AG617" t="s">
        <v>49</v>
      </c>
      <c r="AH617">
        <v>0</v>
      </c>
      <c r="AI617" t="s">
        <v>49</v>
      </c>
      <c r="AJ617">
        <v>1026.82</v>
      </c>
      <c r="AK617" t="s">
        <v>49</v>
      </c>
      <c r="AL617">
        <v>0</v>
      </c>
      <c r="AM617" t="s">
        <v>49</v>
      </c>
      <c r="AN617" s="3">
        <v>23</v>
      </c>
      <c r="AO617" s="19">
        <v>0</v>
      </c>
      <c r="AP617" s="19">
        <v>0</v>
      </c>
      <c r="AQ617" s="19">
        <v>0.6</v>
      </c>
      <c r="AR617" s="19">
        <v>0.55</v>
      </c>
      <c r="AS617" s="19">
        <v>1</v>
      </c>
      <c r="AT617" s="19">
        <v>1</v>
      </c>
      <c r="AU617" s="3">
        <v>0</v>
      </c>
      <c r="AV617" s="3">
        <v>0</v>
      </c>
      <c r="AW617" s="19">
        <v>0</v>
      </c>
      <c r="AX617" s="3">
        <v>0</v>
      </c>
      <c r="AY617" s="3">
        <v>0</v>
      </c>
    </row>
    <row r="618" spans="1:51">
      <c r="A618" s="3">
        <v>13831175</v>
      </c>
      <c r="B618" t="s">
        <v>1002</v>
      </c>
      <c r="C618" s="3">
        <v>114307165</v>
      </c>
      <c r="D618" t="s">
        <v>44</v>
      </c>
      <c r="E618" t="s">
        <v>185</v>
      </c>
      <c r="F618" t="s">
        <v>65</v>
      </c>
      <c r="G618" t="s">
        <v>47</v>
      </c>
      <c r="H618" s="16">
        <v>0</v>
      </c>
      <c r="I618" s="4">
        <f>VLOOKUP(C618,[1]sheet1!$D:$I,6,0)</f>
        <v>0</v>
      </c>
      <c r="J618" s="4">
        <f>VLOOKUP(C618,[2]sheet1!$D:$I,6,0)</f>
        <v>0</v>
      </c>
      <c r="K618" s="4">
        <f>VLOOKUP(C618,[3]sheet1!$D:$I,6,0)</f>
        <v>0</v>
      </c>
      <c r="L618" s="4">
        <f>VLOOKUP(C618,[4]sheet1!$D:$I,6,0)</f>
        <v>0</v>
      </c>
      <c r="M618" s="4">
        <f>VLOOKUP(C618,[5]sheet1!$D:$I,6,0)</f>
        <v>0</v>
      </c>
      <c r="N618" s="4">
        <f>VLOOKUP(C618,[6]sheet1!$D:$I,6,0)</f>
        <v>0</v>
      </c>
      <c r="O618" s="4">
        <f>VLOOKUP(C618,[7]sheet1!$D:$I,6,0)</f>
        <v>0</v>
      </c>
      <c r="P618" s="4">
        <f>VLOOKUP(C618,[8]sheet1!$D:$I,6,0)</f>
        <v>0</v>
      </c>
      <c r="Q618" s="15">
        <f t="shared" si="9"/>
        <v>0</v>
      </c>
      <c r="R618" s="3">
        <v>0</v>
      </c>
      <c r="S618" s="3">
        <v>5</v>
      </c>
      <c r="T618" s="19">
        <v>0</v>
      </c>
      <c r="U618" s="3">
        <v>0</v>
      </c>
      <c r="V618" s="3">
        <v>0</v>
      </c>
      <c r="W618">
        <v>0</v>
      </c>
      <c r="X618" s="3">
        <v>0</v>
      </c>
      <c r="Y618">
        <v>0</v>
      </c>
      <c r="Z618" s="3">
        <v>0</v>
      </c>
      <c r="AA618" t="s">
        <v>827</v>
      </c>
      <c r="AB618" t="s">
        <v>49</v>
      </c>
      <c r="AC618">
        <v>311.99</v>
      </c>
      <c r="AD618" t="s">
        <v>49</v>
      </c>
      <c r="AE618">
        <v>0</v>
      </c>
      <c r="AF618" s="3">
        <v>0</v>
      </c>
      <c r="AG618" t="s">
        <v>49</v>
      </c>
      <c r="AH618">
        <v>0</v>
      </c>
      <c r="AI618" t="s">
        <v>49</v>
      </c>
      <c r="AJ618" t="s">
        <v>49</v>
      </c>
      <c r="AK618" t="s">
        <v>49</v>
      </c>
      <c r="AL618" t="s">
        <v>49</v>
      </c>
      <c r="AM618" t="s">
        <v>49</v>
      </c>
      <c r="AN618" s="3">
        <v>5</v>
      </c>
      <c r="AO618" s="19">
        <v>0</v>
      </c>
      <c r="AP618" s="19">
        <v>0</v>
      </c>
      <c r="AQ618" s="19">
        <v>0.8</v>
      </c>
      <c r="AR618" s="19">
        <v>0.2</v>
      </c>
      <c r="AS618" s="19">
        <v>0</v>
      </c>
      <c r="AT618" s="19">
        <v>0</v>
      </c>
      <c r="AU618" s="3">
        <v>0</v>
      </c>
      <c r="AV618" s="3">
        <v>0</v>
      </c>
      <c r="AW618" s="19">
        <v>0</v>
      </c>
      <c r="AX618" s="3">
        <v>0</v>
      </c>
      <c r="AY618" s="3">
        <v>0</v>
      </c>
    </row>
    <row r="619" spans="1:51">
      <c r="A619" s="3">
        <v>13632373</v>
      </c>
      <c r="B619" t="s">
        <v>1003</v>
      </c>
      <c r="C619" s="3">
        <v>114307163</v>
      </c>
      <c r="D619" t="s">
        <v>44</v>
      </c>
      <c r="E619" t="s">
        <v>185</v>
      </c>
      <c r="F619" t="s">
        <v>46</v>
      </c>
      <c r="G619" t="s">
        <v>47</v>
      </c>
      <c r="H619" s="16">
        <v>0</v>
      </c>
      <c r="I619" s="4">
        <f>VLOOKUP(C619,[1]sheet1!$D:$I,6,0)</f>
        <v>0</v>
      </c>
      <c r="J619" s="4">
        <f>VLOOKUP(C619,[2]sheet1!$D:$I,6,0)</f>
        <v>0</v>
      </c>
      <c r="K619" s="4">
        <f>VLOOKUP(C619,[3]sheet1!$D:$I,6,0)</f>
        <v>0</v>
      </c>
      <c r="L619" s="4">
        <f>VLOOKUP(C619,[4]sheet1!$D:$I,6,0)</f>
        <v>0</v>
      </c>
      <c r="M619" s="4">
        <f>VLOOKUP(C619,[5]sheet1!$D:$I,6,0)</f>
        <v>0</v>
      </c>
      <c r="N619" s="4">
        <f>VLOOKUP(C619,[6]sheet1!$D:$I,6,0)</f>
        <v>0</v>
      </c>
      <c r="O619" s="4">
        <f>VLOOKUP(C619,[7]sheet1!$D:$I,6,0)</f>
        <v>0</v>
      </c>
      <c r="P619" s="4">
        <f>VLOOKUP(C619,[8]sheet1!$D:$I,6,0)</f>
        <v>0</v>
      </c>
      <c r="Q619" s="15">
        <f t="shared" si="9"/>
        <v>0</v>
      </c>
      <c r="R619" s="3">
        <v>0</v>
      </c>
      <c r="S619">
        <v>0</v>
      </c>
      <c r="T619">
        <v>0</v>
      </c>
      <c r="U619" s="3">
        <v>0</v>
      </c>
      <c r="V619" s="3">
        <v>0</v>
      </c>
      <c r="W619">
        <v>0</v>
      </c>
      <c r="X619" s="3">
        <v>0</v>
      </c>
      <c r="Y619">
        <v>0</v>
      </c>
      <c r="Z619" s="3">
        <v>0</v>
      </c>
      <c r="AA619" t="s">
        <v>49</v>
      </c>
      <c r="AB619" t="s">
        <v>49</v>
      </c>
      <c r="AC619" t="s">
        <v>49</v>
      </c>
      <c r="AD619" t="s">
        <v>49</v>
      </c>
      <c r="AE619">
        <v>0</v>
      </c>
      <c r="AF619" s="3">
        <v>0</v>
      </c>
      <c r="AG619" t="s">
        <v>49</v>
      </c>
      <c r="AH619" t="s">
        <v>49</v>
      </c>
      <c r="AI619" t="s">
        <v>49</v>
      </c>
      <c r="AJ619" t="s">
        <v>49</v>
      </c>
      <c r="AK619" t="s">
        <v>49</v>
      </c>
      <c r="AL619" t="s">
        <v>49</v>
      </c>
      <c r="AM619" t="s">
        <v>49</v>
      </c>
      <c r="AN619">
        <v>0</v>
      </c>
      <c r="AO619" s="19">
        <v>0</v>
      </c>
      <c r="AP619" s="19">
        <v>0</v>
      </c>
      <c r="AQ619" s="19">
        <v>0</v>
      </c>
      <c r="AR619" s="19">
        <v>0</v>
      </c>
      <c r="AS619" s="19">
        <v>0</v>
      </c>
      <c r="AT619" s="19">
        <v>0</v>
      </c>
      <c r="AU619" s="3">
        <v>0</v>
      </c>
      <c r="AV619" s="3">
        <v>0</v>
      </c>
      <c r="AW619" s="19">
        <v>0</v>
      </c>
      <c r="AX619" s="3">
        <v>0</v>
      </c>
      <c r="AY619" s="3">
        <v>0</v>
      </c>
    </row>
    <row r="620" spans="1:51">
      <c r="A620" s="3">
        <v>13625120</v>
      </c>
      <c r="B620" t="s">
        <v>1004</v>
      </c>
      <c r="C620" s="3">
        <v>124307164</v>
      </c>
      <c r="D620" t="s">
        <v>44</v>
      </c>
      <c r="E620" t="s">
        <v>290</v>
      </c>
      <c r="F620" t="s">
        <v>65</v>
      </c>
      <c r="G620" t="s">
        <v>47</v>
      </c>
      <c r="H620" s="16">
        <v>0</v>
      </c>
      <c r="I620" s="4">
        <f>VLOOKUP(C620,[1]sheet1!$D:$I,6,0)</f>
        <v>0</v>
      </c>
      <c r="J620" s="4">
        <f>VLOOKUP(C620,[2]sheet1!$D:$I,6,0)</f>
        <v>0</v>
      </c>
      <c r="K620" s="4">
        <f>VLOOKUP(C620,[3]sheet1!$D:$I,6,0)</f>
        <v>0</v>
      </c>
      <c r="L620" s="4">
        <f>VLOOKUP(C620,[4]sheet1!$D:$I,6,0)</f>
        <v>0</v>
      </c>
      <c r="M620" s="4">
        <f>VLOOKUP(C620,[5]sheet1!$D:$I,6,0)</f>
        <v>0</v>
      </c>
      <c r="N620" s="4">
        <f>VLOOKUP(C620,[6]sheet1!$D:$I,6,0)</f>
        <v>0</v>
      </c>
      <c r="O620" s="4">
        <f>VLOOKUP(C620,[7]sheet1!$D:$I,6,0)</f>
        <v>0</v>
      </c>
      <c r="P620" s="4">
        <f>VLOOKUP(C620,[8]sheet1!$D:$I,6,0)</f>
        <v>0</v>
      </c>
      <c r="Q620" s="15">
        <f t="shared" si="9"/>
        <v>0</v>
      </c>
      <c r="R620" s="3">
        <v>0</v>
      </c>
      <c r="S620" s="3">
        <v>0</v>
      </c>
      <c r="T620" s="19">
        <v>0</v>
      </c>
      <c r="U620" s="3">
        <v>0</v>
      </c>
      <c r="V620" s="3">
        <v>0</v>
      </c>
      <c r="W620">
        <v>0</v>
      </c>
      <c r="X620" s="3">
        <v>0</v>
      </c>
      <c r="Y620">
        <v>0</v>
      </c>
      <c r="Z620" s="3">
        <v>0</v>
      </c>
      <c r="AA620" t="s">
        <v>85</v>
      </c>
      <c r="AB620" t="s">
        <v>49</v>
      </c>
      <c r="AC620">
        <v>301.81</v>
      </c>
      <c r="AD620" t="s">
        <v>49</v>
      </c>
      <c r="AE620">
        <v>0</v>
      </c>
      <c r="AF620" s="3">
        <v>0</v>
      </c>
      <c r="AG620" t="s">
        <v>49</v>
      </c>
      <c r="AH620">
        <v>0</v>
      </c>
      <c r="AI620" t="s">
        <v>49</v>
      </c>
      <c r="AJ620" t="s">
        <v>49</v>
      </c>
      <c r="AK620" t="s">
        <v>49</v>
      </c>
      <c r="AL620" t="s">
        <v>49</v>
      </c>
      <c r="AM620" t="s">
        <v>49</v>
      </c>
      <c r="AN620" s="3">
        <v>0</v>
      </c>
      <c r="AO620" s="19">
        <v>0</v>
      </c>
      <c r="AP620" s="19">
        <v>0</v>
      </c>
      <c r="AQ620" s="19">
        <v>0</v>
      </c>
      <c r="AR620" s="19">
        <v>0</v>
      </c>
      <c r="AS620" s="19">
        <v>0</v>
      </c>
      <c r="AT620" s="19">
        <v>0</v>
      </c>
      <c r="AU620" s="3">
        <v>0</v>
      </c>
      <c r="AV620" s="3">
        <v>0</v>
      </c>
      <c r="AW620" s="19">
        <v>0</v>
      </c>
      <c r="AX620" s="3">
        <v>0</v>
      </c>
      <c r="AY620" s="3">
        <v>0</v>
      </c>
    </row>
    <row r="621" spans="1:51">
      <c r="A621" s="3">
        <v>13578489</v>
      </c>
      <c r="B621" t="s">
        <v>1005</v>
      </c>
      <c r="C621" s="3">
        <v>124319004</v>
      </c>
      <c r="D621" t="s">
        <v>44</v>
      </c>
      <c r="E621" t="s">
        <v>100</v>
      </c>
      <c r="F621" t="s">
        <v>65</v>
      </c>
      <c r="G621" t="s">
        <v>47</v>
      </c>
      <c r="H621" s="16">
        <v>0</v>
      </c>
      <c r="I621" s="4">
        <f>VLOOKUP(C621,[1]sheet1!$D:$I,6,0)</f>
        <v>0</v>
      </c>
      <c r="J621" s="4">
        <f>VLOOKUP(C621,[2]sheet1!$D:$I,6,0)</f>
        <v>0</v>
      </c>
      <c r="K621" s="4">
        <f>VLOOKUP(C621,[3]sheet1!$D:$I,6,0)</f>
        <v>0</v>
      </c>
      <c r="L621" s="4">
        <f>VLOOKUP(C621,[4]sheet1!$D:$I,6,0)</f>
        <v>0</v>
      </c>
      <c r="M621" s="4">
        <f>VLOOKUP(C621,[5]sheet1!$D:$I,6,0)</f>
        <v>0</v>
      </c>
      <c r="N621" s="4">
        <f>VLOOKUP(C621,[6]sheet1!$D:$I,6,0)</f>
        <v>332</v>
      </c>
      <c r="O621" s="4">
        <f>VLOOKUP(C621,[7]sheet1!$D:$I,6,0)</f>
        <v>0</v>
      </c>
      <c r="P621" s="4">
        <f>VLOOKUP(C621,[8]sheet1!$D:$I,6,0)</f>
        <v>324</v>
      </c>
      <c r="Q621" s="4">
        <f t="shared" si="9"/>
        <v>656</v>
      </c>
      <c r="R621" s="3">
        <v>0</v>
      </c>
      <c r="S621" s="3">
        <v>91</v>
      </c>
      <c r="T621" s="19">
        <v>0</v>
      </c>
      <c r="U621" s="3">
        <v>2</v>
      </c>
      <c r="V621" s="3">
        <v>0</v>
      </c>
      <c r="W621">
        <v>0</v>
      </c>
      <c r="X621" s="3">
        <v>0</v>
      </c>
      <c r="Y621">
        <v>0</v>
      </c>
      <c r="Z621" s="3">
        <v>0</v>
      </c>
      <c r="AA621" t="s">
        <v>85</v>
      </c>
      <c r="AB621" t="s">
        <v>49</v>
      </c>
      <c r="AC621">
        <v>304.1</v>
      </c>
      <c r="AD621" t="s">
        <v>49</v>
      </c>
      <c r="AE621">
        <v>0</v>
      </c>
      <c r="AF621" s="3">
        <v>0</v>
      </c>
      <c r="AG621" t="s">
        <v>49</v>
      </c>
      <c r="AH621">
        <v>0</v>
      </c>
      <c r="AI621" t="s">
        <v>49</v>
      </c>
      <c r="AJ621" t="s">
        <v>49</v>
      </c>
      <c r="AK621" t="s">
        <v>49</v>
      </c>
      <c r="AL621" t="s">
        <v>49</v>
      </c>
      <c r="AM621" t="s">
        <v>49</v>
      </c>
      <c r="AN621" s="3">
        <v>98</v>
      </c>
      <c r="AO621" s="19">
        <v>0</v>
      </c>
      <c r="AP621" s="19">
        <v>0</v>
      </c>
      <c r="AQ621" s="19">
        <v>0.9451</v>
      </c>
      <c r="AR621" s="19">
        <v>0.8242</v>
      </c>
      <c r="AS621" s="19">
        <v>1</v>
      </c>
      <c r="AT621" s="19">
        <v>1</v>
      </c>
      <c r="AU621" s="3">
        <v>0</v>
      </c>
      <c r="AV621" s="3">
        <v>0</v>
      </c>
      <c r="AW621" s="19">
        <v>0</v>
      </c>
      <c r="AX621" s="3">
        <v>0</v>
      </c>
      <c r="AY621" s="3">
        <v>0</v>
      </c>
    </row>
    <row r="622" spans="1:51">
      <c r="A622" s="3">
        <v>13182594</v>
      </c>
      <c r="B622" t="s">
        <v>1006</v>
      </c>
      <c r="C622" s="3">
        <v>116403502</v>
      </c>
      <c r="D622" t="s">
        <v>44</v>
      </c>
      <c r="E622" t="s">
        <v>348</v>
      </c>
      <c r="F622" t="s">
        <v>65</v>
      </c>
      <c r="G622" t="s">
        <v>47</v>
      </c>
      <c r="H622" s="16">
        <v>0</v>
      </c>
      <c r="I622" s="4" t="e">
        <f>VLOOKUP(C622,[1]sheet1!$D:$I,6,0)</f>
        <v>#N/A</v>
      </c>
      <c r="J622" s="4" t="e">
        <f>VLOOKUP(C622,[2]sheet1!$D:$I,6,0)</f>
        <v>#N/A</v>
      </c>
      <c r="K622" s="4" t="e">
        <f>VLOOKUP(C622,[3]sheet1!$D:$I,6,0)</f>
        <v>#N/A</v>
      </c>
      <c r="L622" s="4" t="e">
        <f>VLOOKUP(C622,[4]sheet1!$D:$I,6,0)</f>
        <v>#N/A</v>
      </c>
      <c r="M622" s="4" t="e">
        <f>VLOOKUP(C622,[5]sheet1!$D:$I,6,0)</f>
        <v>#N/A</v>
      </c>
      <c r="N622" s="4" t="e">
        <f>VLOOKUP(C622,[6]sheet1!$D:$I,6,0)</f>
        <v>#N/A</v>
      </c>
      <c r="O622" s="4" t="e">
        <f>VLOOKUP(C622,[7]sheet1!$D:$I,6,0)</f>
        <v>#N/A</v>
      </c>
      <c r="P622" s="4" t="e">
        <f>VLOOKUP(C622,[8]sheet1!$D:$I,6,0)</f>
        <v>#N/A</v>
      </c>
      <c r="Q622" s="4" t="e">
        <f t="shared" si="9"/>
        <v>#N/A</v>
      </c>
      <c r="R622" s="3">
        <v>0</v>
      </c>
      <c r="S622" s="3">
        <v>1</v>
      </c>
      <c r="T622" s="19">
        <v>0</v>
      </c>
      <c r="U622" s="3">
        <v>0</v>
      </c>
      <c r="V622" s="3">
        <v>0</v>
      </c>
      <c r="W622">
        <v>0</v>
      </c>
      <c r="X622" s="3">
        <v>0</v>
      </c>
      <c r="Y622">
        <v>0</v>
      </c>
      <c r="Z622" s="3">
        <v>0</v>
      </c>
      <c r="AA622" t="s">
        <v>49</v>
      </c>
      <c r="AB622" t="s">
        <v>49</v>
      </c>
      <c r="AC622" t="s">
        <v>49</v>
      </c>
      <c r="AD622" t="s">
        <v>49</v>
      </c>
      <c r="AE622">
        <v>0</v>
      </c>
      <c r="AF622" s="3">
        <v>0</v>
      </c>
      <c r="AG622" t="s">
        <v>49</v>
      </c>
      <c r="AH622" t="s">
        <v>49</v>
      </c>
      <c r="AI622" t="s">
        <v>49</v>
      </c>
      <c r="AJ622" t="s">
        <v>49</v>
      </c>
      <c r="AK622" t="s">
        <v>49</v>
      </c>
      <c r="AL622" t="s">
        <v>49</v>
      </c>
      <c r="AM622" t="s">
        <v>49</v>
      </c>
      <c r="AN622" s="3">
        <v>1</v>
      </c>
      <c r="AO622" s="19">
        <v>0</v>
      </c>
      <c r="AP622" s="19">
        <v>0</v>
      </c>
      <c r="AQ622" s="19">
        <v>0</v>
      </c>
      <c r="AR622" s="19">
        <v>0</v>
      </c>
      <c r="AS622" s="19">
        <v>0</v>
      </c>
      <c r="AT622" s="19">
        <v>0</v>
      </c>
      <c r="AU622" s="3">
        <v>0</v>
      </c>
      <c r="AV622" s="3">
        <v>0</v>
      </c>
      <c r="AW622" s="19">
        <v>0</v>
      </c>
      <c r="AX622" s="3">
        <v>0</v>
      </c>
      <c r="AY622" s="3">
        <v>0</v>
      </c>
    </row>
    <row r="623" spans="1:51">
      <c r="A623" s="3">
        <v>13179583</v>
      </c>
      <c r="B623" t="s">
        <v>1007</v>
      </c>
      <c r="C623" s="3">
        <v>12421414</v>
      </c>
      <c r="D623" t="s">
        <v>44</v>
      </c>
      <c r="E623" t="s">
        <v>200</v>
      </c>
      <c r="F623" t="s">
        <v>46</v>
      </c>
      <c r="G623" t="s">
        <v>47</v>
      </c>
      <c r="H623" s="16">
        <v>0</v>
      </c>
      <c r="I623" s="4">
        <f>VLOOKUP(C623,[1]sheet1!$D:$I,6,0)</f>
        <v>0</v>
      </c>
      <c r="J623" s="4">
        <f>VLOOKUP(C623,[2]sheet1!$D:$I,6,0)</f>
        <v>0</v>
      </c>
      <c r="K623" s="4">
        <f>VLOOKUP(C623,[3]sheet1!$D:$I,6,0)</f>
        <v>0</v>
      </c>
      <c r="L623" s="4">
        <f>VLOOKUP(C623,[4]sheet1!$D:$I,6,0)</f>
        <v>0</v>
      </c>
      <c r="M623" s="4">
        <f>VLOOKUP(C623,[5]sheet1!$D:$I,6,0)</f>
        <v>0</v>
      </c>
      <c r="N623" s="4">
        <f>VLOOKUP(C623,[6]sheet1!$D:$I,6,0)</f>
        <v>0</v>
      </c>
      <c r="O623" s="4">
        <f>VLOOKUP(C623,[7]sheet1!$D:$I,6,0)</f>
        <v>0</v>
      </c>
      <c r="P623" s="4">
        <f>VLOOKUP(C623,[8]sheet1!$D:$I,6,0)</f>
        <v>0</v>
      </c>
      <c r="Q623" s="4">
        <f t="shared" si="9"/>
        <v>0</v>
      </c>
      <c r="R623" s="3">
        <v>0</v>
      </c>
      <c r="S623">
        <v>90</v>
      </c>
      <c r="T623">
        <v>0</v>
      </c>
      <c r="U623" s="3">
        <v>0</v>
      </c>
      <c r="V623" s="3">
        <v>0</v>
      </c>
      <c r="W623">
        <v>0</v>
      </c>
      <c r="X623" s="3">
        <v>0</v>
      </c>
      <c r="Y623">
        <v>0</v>
      </c>
      <c r="Z623" s="3">
        <v>0</v>
      </c>
      <c r="AA623" t="s">
        <v>343</v>
      </c>
      <c r="AB623" s="3">
        <v>339</v>
      </c>
      <c r="AC623">
        <v>283.84</v>
      </c>
      <c r="AD623" t="s">
        <v>49</v>
      </c>
      <c r="AE623">
        <v>0</v>
      </c>
      <c r="AF623" s="3">
        <v>0</v>
      </c>
      <c r="AG623" t="s">
        <v>49</v>
      </c>
      <c r="AH623">
        <v>0</v>
      </c>
      <c r="AI623" t="s">
        <v>49</v>
      </c>
      <c r="AJ623" t="s">
        <v>49</v>
      </c>
      <c r="AK623" t="s">
        <v>49</v>
      </c>
      <c r="AL623" t="s">
        <v>49</v>
      </c>
      <c r="AM623" t="s">
        <v>49</v>
      </c>
      <c r="AN623" s="3">
        <v>7</v>
      </c>
      <c r="AO623" s="19">
        <v>0</v>
      </c>
      <c r="AP623" s="19">
        <v>0</v>
      </c>
      <c r="AQ623" s="19">
        <v>0.6667</v>
      </c>
      <c r="AR623" s="19">
        <v>0.1667</v>
      </c>
      <c r="AS623" s="19">
        <v>0</v>
      </c>
      <c r="AT623" s="19">
        <v>0</v>
      </c>
      <c r="AU623" s="3">
        <v>0</v>
      </c>
      <c r="AV623" s="3">
        <v>0</v>
      </c>
      <c r="AW623" s="19">
        <v>0</v>
      </c>
      <c r="AX623" s="3">
        <v>0</v>
      </c>
      <c r="AY623" s="3">
        <v>0</v>
      </c>
    </row>
    <row r="624" spans="1:51">
      <c r="A624" s="3">
        <v>13175847</v>
      </c>
      <c r="B624" t="s">
        <v>1008</v>
      </c>
      <c r="C624" s="3">
        <v>12421512</v>
      </c>
      <c r="D624" t="s">
        <v>44</v>
      </c>
      <c r="E624" t="s">
        <v>159</v>
      </c>
      <c r="F624" t="s">
        <v>65</v>
      </c>
      <c r="G624" t="s">
        <v>47</v>
      </c>
      <c r="H624" s="16">
        <v>0</v>
      </c>
      <c r="I624" s="4">
        <f>VLOOKUP(C624,[1]sheet1!$D:$I,6,0)</f>
        <v>0</v>
      </c>
      <c r="J624" s="4">
        <f>VLOOKUP(C624,[2]sheet1!$D:$I,6,0)</f>
        <v>151</v>
      </c>
      <c r="K624" s="4">
        <f>VLOOKUP(C624,[3]sheet1!$D:$I,6,0)</f>
        <v>0</v>
      </c>
      <c r="L624" s="4">
        <f>VLOOKUP(C624,[4]sheet1!$D:$I,6,0)</f>
        <v>0</v>
      </c>
      <c r="M624" s="4">
        <f>VLOOKUP(C624,[5]sheet1!$D:$I,6,0)</f>
        <v>0</v>
      </c>
      <c r="N624" s="4">
        <f>VLOOKUP(C624,[6]sheet1!$D:$I,6,0)</f>
        <v>0</v>
      </c>
      <c r="O624" s="4">
        <f>VLOOKUP(C624,[7]sheet1!$D:$I,6,0)</f>
        <v>0</v>
      </c>
      <c r="P624" s="4">
        <f>VLOOKUP(C624,[8]sheet1!$D:$I,6,0)</f>
        <v>0</v>
      </c>
      <c r="Q624" s="4">
        <f t="shared" si="9"/>
        <v>151</v>
      </c>
      <c r="R624" s="3">
        <v>0</v>
      </c>
      <c r="S624" s="3">
        <v>10</v>
      </c>
      <c r="T624" s="19">
        <v>0</v>
      </c>
      <c r="U624" s="3">
        <v>0</v>
      </c>
      <c r="V624" s="3">
        <v>0</v>
      </c>
      <c r="W624">
        <v>0</v>
      </c>
      <c r="X624" s="3">
        <v>0</v>
      </c>
      <c r="Y624">
        <v>0</v>
      </c>
      <c r="Z624" s="3">
        <v>0</v>
      </c>
      <c r="AA624" t="s">
        <v>61</v>
      </c>
      <c r="AB624" t="s">
        <v>49</v>
      </c>
      <c r="AC624">
        <v>137.34</v>
      </c>
      <c r="AD624" t="s">
        <v>49</v>
      </c>
      <c r="AE624">
        <v>0</v>
      </c>
      <c r="AF624" s="3">
        <v>0</v>
      </c>
      <c r="AG624" t="s">
        <v>49</v>
      </c>
      <c r="AH624">
        <v>0</v>
      </c>
      <c r="AI624" t="s">
        <v>49</v>
      </c>
      <c r="AJ624" t="s">
        <v>49</v>
      </c>
      <c r="AK624" t="s">
        <v>49</v>
      </c>
      <c r="AL624" t="s">
        <v>49</v>
      </c>
      <c r="AM624" t="s">
        <v>49</v>
      </c>
      <c r="AN624" s="3">
        <v>11</v>
      </c>
      <c r="AO624" s="19">
        <v>0</v>
      </c>
      <c r="AP624" s="19">
        <v>0</v>
      </c>
      <c r="AQ624" s="19">
        <v>0.6</v>
      </c>
      <c r="AR624" s="19">
        <v>0.1</v>
      </c>
      <c r="AS624" s="19">
        <v>0</v>
      </c>
      <c r="AT624" s="19">
        <v>0</v>
      </c>
      <c r="AU624" s="3">
        <v>0</v>
      </c>
      <c r="AV624" s="3">
        <v>0</v>
      </c>
      <c r="AW624" s="19">
        <v>0</v>
      </c>
      <c r="AX624" s="3">
        <v>0</v>
      </c>
      <c r="AY624" s="3">
        <v>0</v>
      </c>
    </row>
    <row r="625" spans="1:51">
      <c r="A625" s="3">
        <v>13174543</v>
      </c>
      <c r="B625" t="s">
        <v>1009</v>
      </c>
      <c r="C625" s="3">
        <v>12421510</v>
      </c>
      <c r="D625" t="s">
        <v>44</v>
      </c>
      <c r="E625" t="s">
        <v>461</v>
      </c>
      <c r="F625" t="s">
        <v>65</v>
      </c>
      <c r="G625" t="s">
        <v>47</v>
      </c>
      <c r="H625" s="16">
        <v>0</v>
      </c>
      <c r="I625" s="4">
        <f>VLOOKUP(C625,[1]sheet1!$D:$I,6,0)</f>
        <v>0</v>
      </c>
      <c r="J625" s="4">
        <f>VLOOKUP(C625,[2]sheet1!$D:$I,6,0)</f>
        <v>0</v>
      </c>
      <c r="K625" s="4">
        <f>VLOOKUP(C625,[3]sheet1!$D:$I,6,0)</f>
        <v>0</v>
      </c>
      <c r="L625" s="4">
        <f>VLOOKUP(C625,[4]sheet1!$D:$I,6,0)</f>
        <v>0</v>
      </c>
      <c r="M625" s="4">
        <f>VLOOKUP(C625,[5]sheet1!$D:$I,6,0)</f>
        <v>0</v>
      </c>
      <c r="N625" s="4">
        <f>VLOOKUP(C625,[6]sheet1!$D:$I,6,0)</f>
        <v>0</v>
      </c>
      <c r="O625" s="4">
        <f>VLOOKUP(C625,[7]sheet1!$D:$I,6,0)</f>
        <v>0</v>
      </c>
      <c r="P625" s="4">
        <f>VLOOKUP(C625,[8]sheet1!$D:$I,6,0)</f>
        <v>0</v>
      </c>
      <c r="Q625" s="4">
        <f t="shared" si="9"/>
        <v>0</v>
      </c>
      <c r="R625" s="3">
        <v>0</v>
      </c>
      <c r="S625" s="3">
        <v>0</v>
      </c>
      <c r="T625" s="19">
        <v>0</v>
      </c>
      <c r="U625" s="3">
        <v>0</v>
      </c>
      <c r="V625" s="3">
        <v>0</v>
      </c>
      <c r="W625">
        <v>0</v>
      </c>
      <c r="X625" s="3">
        <v>0</v>
      </c>
      <c r="Y625">
        <v>0</v>
      </c>
      <c r="Z625" s="3">
        <v>0</v>
      </c>
      <c r="AA625" t="s">
        <v>49</v>
      </c>
      <c r="AB625" t="s">
        <v>49</v>
      </c>
      <c r="AC625" t="s">
        <v>49</v>
      </c>
      <c r="AD625" t="s">
        <v>49</v>
      </c>
      <c r="AE625">
        <v>0</v>
      </c>
      <c r="AF625" s="3">
        <v>0</v>
      </c>
      <c r="AG625" t="s">
        <v>49</v>
      </c>
      <c r="AH625" t="s">
        <v>49</v>
      </c>
      <c r="AI625" t="s">
        <v>49</v>
      </c>
      <c r="AJ625" t="s">
        <v>49</v>
      </c>
      <c r="AK625" t="s">
        <v>49</v>
      </c>
      <c r="AL625" t="s">
        <v>49</v>
      </c>
      <c r="AM625" t="s">
        <v>49</v>
      </c>
      <c r="AN625" s="3">
        <v>0</v>
      </c>
      <c r="AO625" s="19">
        <v>0</v>
      </c>
      <c r="AP625" s="19">
        <v>0</v>
      </c>
      <c r="AQ625" s="19">
        <v>0</v>
      </c>
      <c r="AR625" s="19">
        <v>0</v>
      </c>
      <c r="AS625" s="19">
        <v>0</v>
      </c>
      <c r="AT625" s="19">
        <v>0</v>
      </c>
      <c r="AU625" s="3">
        <v>0</v>
      </c>
      <c r="AV625" s="3">
        <v>0</v>
      </c>
      <c r="AW625" s="19">
        <v>0</v>
      </c>
      <c r="AX625" s="3">
        <v>0</v>
      </c>
      <c r="AY625" s="3">
        <v>0</v>
      </c>
    </row>
    <row r="626" spans="1:51">
      <c r="A626" s="3">
        <v>13147015</v>
      </c>
      <c r="B626" t="s">
        <v>1010</v>
      </c>
      <c r="C626" s="3">
        <v>124311232</v>
      </c>
      <c r="D626" t="s">
        <v>44</v>
      </c>
      <c r="E626" t="s">
        <v>198</v>
      </c>
      <c r="F626" t="s">
        <v>65</v>
      </c>
      <c r="G626" t="s">
        <v>47</v>
      </c>
      <c r="H626" s="16">
        <v>0</v>
      </c>
      <c r="I626" s="4">
        <f>VLOOKUP(C626,[1]sheet1!$D:$I,6,0)</f>
        <v>0</v>
      </c>
      <c r="J626" s="4">
        <f>VLOOKUP(C626,[2]sheet1!$D:$I,6,0)</f>
        <v>0</v>
      </c>
      <c r="K626" s="4">
        <f>VLOOKUP(C626,[3]sheet1!$D:$I,6,0)</f>
        <v>0</v>
      </c>
      <c r="L626" s="4">
        <f>VLOOKUP(C626,[4]sheet1!$D:$I,6,0)</f>
        <v>0</v>
      </c>
      <c r="M626" s="4">
        <f>VLOOKUP(C626,[5]sheet1!$D:$I,6,0)</f>
        <v>0</v>
      </c>
      <c r="N626" s="4">
        <f>VLOOKUP(C626,[6]sheet1!$D:$I,6,0)</f>
        <v>0</v>
      </c>
      <c r="O626" s="4">
        <f>VLOOKUP(C626,[7]sheet1!$D:$I,6,0)</f>
        <v>0</v>
      </c>
      <c r="P626" s="4">
        <f>VLOOKUP(C626,[8]sheet1!$D:$I,6,0)</f>
        <v>0</v>
      </c>
      <c r="Q626" s="4">
        <f t="shared" si="9"/>
        <v>0</v>
      </c>
      <c r="R626" s="3">
        <v>0</v>
      </c>
      <c r="S626" s="3">
        <v>7</v>
      </c>
      <c r="T626" s="19">
        <v>0</v>
      </c>
      <c r="U626" s="3">
        <v>0</v>
      </c>
      <c r="V626" s="3">
        <v>0</v>
      </c>
      <c r="W626">
        <v>0</v>
      </c>
      <c r="X626" s="3">
        <v>0</v>
      </c>
      <c r="Y626">
        <v>0</v>
      </c>
      <c r="Z626" s="3">
        <v>0</v>
      </c>
      <c r="AA626" t="s">
        <v>278</v>
      </c>
      <c r="AB626" t="s">
        <v>49</v>
      </c>
      <c r="AC626">
        <v>216.51</v>
      </c>
      <c r="AD626" t="s">
        <v>49</v>
      </c>
      <c r="AE626">
        <v>0</v>
      </c>
      <c r="AF626" s="3">
        <v>0</v>
      </c>
      <c r="AG626" t="s">
        <v>49</v>
      </c>
      <c r="AH626">
        <v>0</v>
      </c>
      <c r="AI626" t="s">
        <v>49</v>
      </c>
      <c r="AJ626" t="s">
        <v>49</v>
      </c>
      <c r="AK626" t="s">
        <v>49</v>
      </c>
      <c r="AL626" t="s">
        <v>49</v>
      </c>
      <c r="AM626" t="s">
        <v>49</v>
      </c>
      <c r="AN626" s="3">
        <v>7</v>
      </c>
      <c r="AO626" s="19">
        <v>0</v>
      </c>
      <c r="AP626" s="19">
        <v>0</v>
      </c>
      <c r="AQ626" s="19">
        <v>0.8571</v>
      </c>
      <c r="AR626" s="19">
        <v>0.2857</v>
      </c>
      <c r="AS626" s="19">
        <v>0</v>
      </c>
      <c r="AT626" s="19">
        <v>0</v>
      </c>
      <c r="AU626" s="3">
        <v>0</v>
      </c>
      <c r="AV626" s="3">
        <v>0</v>
      </c>
      <c r="AW626" s="19">
        <v>0</v>
      </c>
      <c r="AX626" s="3">
        <v>0</v>
      </c>
      <c r="AY626" s="3">
        <v>0</v>
      </c>
    </row>
    <row r="627" spans="1:51">
      <c r="A627" s="3">
        <v>12994436</v>
      </c>
      <c r="B627" t="s">
        <v>1011</v>
      </c>
      <c r="C627" s="3">
        <v>16402506</v>
      </c>
      <c r="D627" t="s">
        <v>44</v>
      </c>
      <c r="E627" t="s">
        <v>78</v>
      </c>
      <c r="F627" t="s">
        <v>46</v>
      </c>
      <c r="G627" t="s">
        <v>47</v>
      </c>
      <c r="H627" s="16">
        <v>0</v>
      </c>
      <c r="I627" s="4">
        <f>VLOOKUP(C627,[1]sheet1!$D:$I,6,0)</f>
        <v>0</v>
      </c>
      <c r="J627" s="4">
        <f>VLOOKUP(C627,[2]sheet1!$D:$I,6,0)</f>
        <v>0</v>
      </c>
      <c r="K627" s="4">
        <f>VLOOKUP(C627,[3]sheet1!$D:$I,6,0)</f>
        <v>165</v>
      </c>
      <c r="L627" s="4">
        <f>VLOOKUP(C627,[4]sheet1!$D:$I,6,0)</f>
        <v>0</v>
      </c>
      <c r="M627" s="4">
        <f>VLOOKUP(C627,[5]sheet1!$D:$I,6,0)</f>
        <v>0</v>
      </c>
      <c r="N627" s="4">
        <f>VLOOKUP(C627,[6]sheet1!$D:$I,6,0)</f>
        <v>0</v>
      </c>
      <c r="O627" s="4">
        <f>VLOOKUP(C627,[7]sheet1!$D:$I,6,0)</f>
        <v>0</v>
      </c>
      <c r="P627" s="4">
        <f>VLOOKUP(C627,[8]sheet1!$D:$I,6,0)</f>
        <v>0</v>
      </c>
      <c r="Q627" s="4">
        <f t="shared" si="9"/>
        <v>165</v>
      </c>
      <c r="R627" s="3">
        <v>0</v>
      </c>
      <c r="S627">
        <v>393</v>
      </c>
      <c r="T627">
        <v>0</v>
      </c>
      <c r="U627" s="3">
        <v>5</v>
      </c>
      <c r="V627" s="3">
        <v>0</v>
      </c>
      <c r="W627">
        <v>0</v>
      </c>
      <c r="X627" s="3">
        <v>0</v>
      </c>
      <c r="Y627">
        <v>0</v>
      </c>
      <c r="Z627" s="3">
        <v>0</v>
      </c>
      <c r="AA627" t="s">
        <v>1012</v>
      </c>
      <c r="AB627" s="3">
        <v>175</v>
      </c>
      <c r="AC627">
        <v>137.83</v>
      </c>
      <c r="AD627" t="s">
        <v>49</v>
      </c>
      <c r="AE627">
        <v>0</v>
      </c>
      <c r="AF627" s="3">
        <v>0</v>
      </c>
      <c r="AG627" t="s">
        <v>49</v>
      </c>
      <c r="AH627">
        <v>0</v>
      </c>
      <c r="AI627" t="s">
        <v>49</v>
      </c>
      <c r="AJ627" t="s">
        <v>49</v>
      </c>
      <c r="AK627" t="s">
        <v>49</v>
      </c>
      <c r="AL627" t="s">
        <v>49</v>
      </c>
      <c r="AM627" t="s">
        <v>49</v>
      </c>
      <c r="AN627" s="3">
        <v>132</v>
      </c>
      <c r="AO627" s="19">
        <v>0</v>
      </c>
      <c r="AP627" s="19">
        <v>0</v>
      </c>
      <c r="AQ627" s="19">
        <v>0.8772</v>
      </c>
      <c r="AR627" s="19">
        <v>0.5</v>
      </c>
      <c r="AS627" s="19">
        <v>1</v>
      </c>
      <c r="AT627" s="19">
        <v>0.6</v>
      </c>
      <c r="AU627" s="3">
        <v>0</v>
      </c>
      <c r="AV627" s="3">
        <v>0</v>
      </c>
      <c r="AW627" s="19">
        <v>0</v>
      </c>
      <c r="AX627" s="3">
        <v>0</v>
      </c>
      <c r="AY627" s="3">
        <v>0</v>
      </c>
    </row>
    <row r="628" spans="1:51">
      <c r="A628" s="3">
        <v>12974619</v>
      </c>
      <c r="B628" t="s">
        <v>1013</v>
      </c>
      <c r="C628" t="s">
        <v>1014</v>
      </c>
      <c r="D628" t="s">
        <v>44</v>
      </c>
      <c r="E628" t="s">
        <v>1015</v>
      </c>
      <c r="F628" t="s">
        <v>65</v>
      </c>
      <c r="G628" t="s">
        <v>47</v>
      </c>
      <c r="H628" s="16">
        <v>0</v>
      </c>
      <c r="I628" s="4">
        <f>VLOOKUP(C628,[1]sheet1!$D:$I,6,0)</f>
        <v>0</v>
      </c>
      <c r="J628" s="4">
        <f>VLOOKUP(C628,[2]sheet1!$D:$I,6,0)</f>
        <v>0</v>
      </c>
      <c r="K628" s="4">
        <f>VLOOKUP(C628,[3]sheet1!$D:$I,6,0)</f>
        <v>0</v>
      </c>
      <c r="L628" s="4">
        <f>VLOOKUP(C628,[4]sheet1!$D:$I,6,0)</f>
        <v>0</v>
      </c>
      <c r="M628" s="4">
        <f>VLOOKUP(C628,[5]sheet1!$D:$I,6,0)</f>
        <v>0</v>
      </c>
      <c r="N628" s="4">
        <f>VLOOKUP(C628,[6]sheet1!$D:$I,6,0)</f>
        <v>0</v>
      </c>
      <c r="O628" s="4">
        <f>VLOOKUP(C628,[7]sheet1!$D:$I,6,0)</f>
        <v>0</v>
      </c>
      <c r="P628" s="4">
        <f>VLOOKUP(C628,[8]sheet1!$D:$I,6,0)</f>
        <v>0</v>
      </c>
      <c r="Q628" s="4">
        <f t="shared" si="9"/>
        <v>0</v>
      </c>
      <c r="R628" s="3">
        <v>0</v>
      </c>
      <c r="S628" s="3">
        <v>3</v>
      </c>
      <c r="T628" s="19">
        <v>0</v>
      </c>
      <c r="U628" s="3">
        <v>0</v>
      </c>
      <c r="V628" s="3">
        <v>0</v>
      </c>
      <c r="W628">
        <v>0</v>
      </c>
      <c r="X628" s="3">
        <v>0</v>
      </c>
      <c r="Y628">
        <v>0</v>
      </c>
      <c r="Z628" s="3">
        <v>0</v>
      </c>
      <c r="AA628" t="s">
        <v>167</v>
      </c>
      <c r="AB628" t="s">
        <v>49</v>
      </c>
      <c r="AC628">
        <v>117.09</v>
      </c>
      <c r="AD628" t="s">
        <v>49</v>
      </c>
      <c r="AE628">
        <v>0</v>
      </c>
      <c r="AF628" s="3">
        <v>0</v>
      </c>
      <c r="AG628" t="s">
        <v>49</v>
      </c>
      <c r="AH628">
        <v>0</v>
      </c>
      <c r="AI628" t="s">
        <v>49</v>
      </c>
      <c r="AJ628" t="s">
        <v>49</v>
      </c>
      <c r="AK628" t="s">
        <v>49</v>
      </c>
      <c r="AL628" t="s">
        <v>49</v>
      </c>
      <c r="AM628" t="s">
        <v>49</v>
      </c>
      <c r="AN628" s="3">
        <v>3</v>
      </c>
      <c r="AO628" s="19">
        <v>0</v>
      </c>
      <c r="AP628" s="19">
        <v>0</v>
      </c>
      <c r="AQ628" s="19">
        <v>1</v>
      </c>
      <c r="AR628" s="19">
        <v>0</v>
      </c>
      <c r="AS628" s="19">
        <v>0</v>
      </c>
      <c r="AT628" s="19">
        <v>0</v>
      </c>
      <c r="AU628" s="3">
        <v>0</v>
      </c>
      <c r="AV628" s="3">
        <v>0</v>
      </c>
      <c r="AW628" s="19">
        <v>0</v>
      </c>
      <c r="AX628" s="3">
        <v>0</v>
      </c>
      <c r="AY628" s="3">
        <v>0</v>
      </c>
    </row>
    <row r="629" spans="1:51">
      <c r="A629" s="3">
        <v>12973284</v>
      </c>
      <c r="B629" t="s">
        <v>1016</v>
      </c>
      <c r="C629" t="s">
        <v>1017</v>
      </c>
      <c r="D629" t="s">
        <v>44</v>
      </c>
      <c r="E629" t="s">
        <v>1018</v>
      </c>
      <c r="F629" t="s">
        <v>65</v>
      </c>
      <c r="G629" t="s">
        <v>47</v>
      </c>
      <c r="H629" s="16">
        <v>0</v>
      </c>
      <c r="I629" s="4">
        <f>VLOOKUP(C629,[1]sheet1!$D:$I,6,0)</f>
        <v>0</v>
      </c>
      <c r="J629" s="4">
        <f>VLOOKUP(C629,[2]sheet1!$D:$I,6,0)</f>
        <v>0</v>
      </c>
      <c r="K629" s="4">
        <f>VLOOKUP(C629,[3]sheet1!$D:$I,6,0)</f>
        <v>0</v>
      </c>
      <c r="L629" s="4">
        <f>VLOOKUP(C629,[4]sheet1!$D:$I,6,0)</f>
        <v>0</v>
      </c>
      <c r="M629" s="4">
        <f>VLOOKUP(C629,[5]sheet1!$D:$I,6,0)</f>
        <v>0</v>
      </c>
      <c r="N629" s="4">
        <f>VLOOKUP(C629,[6]sheet1!$D:$I,6,0)</f>
        <v>0</v>
      </c>
      <c r="O629" s="4">
        <f>VLOOKUP(C629,[7]sheet1!$D:$I,6,0)</f>
        <v>0</v>
      </c>
      <c r="P629" s="4">
        <f>VLOOKUP(C629,[8]sheet1!$D:$I,6,0)</f>
        <v>0</v>
      </c>
      <c r="Q629" s="4">
        <f t="shared" si="9"/>
        <v>0</v>
      </c>
      <c r="R629" s="3">
        <v>0</v>
      </c>
      <c r="S629" s="3">
        <v>32</v>
      </c>
      <c r="T629" s="19">
        <v>0</v>
      </c>
      <c r="U629" s="3">
        <v>0</v>
      </c>
      <c r="V629" s="3">
        <v>0</v>
      </c>
      <c r="W629">
        <v>0</v>
      </c>
      <c r="X629" s="3">
        <v>0</v>
      </c>
      <c r="Y629">
        <v>0</v>
      </c>
      <c r="Z629" s="3">
        <v>0</v>
      </c>
      <c r="AA629" t="s">
        <v>514</v>
      </c>
      <c r="AB629" t="s">
        <v>49</v>
      </c>
      <c r="AC629">
        <v>75.69</v>
      </c>
      <c r="AD629" t="s">
        <v>49</v>
      </c>
      <c r="AE629">
        <v>0</v>
      </c>
      <c r="AF629" s="3">
        <v>0</v>
      </c>
      <c r="AG629" t="s">
        <v>49</v>
      </c>
      <c r="AH629">
        <v>0</v>
      </c>
      <c r="AI629" t="s">
        <v>49</v>
      </c>
      <c r="AJ629" t="s">
        <v>49</v>
      </c>
      <c r="AK629" t="s">
        <v>49</v>
      </c>
      <c r="AL629" t="s">
        <v>49</v>
      </c>
      <c r="AM629" t="s">
        <v>49</v>
      </c>
      <c r="AN629" s="3">
        <v>36</v>
      </c>
      <c r="AO629" s="19">
        <v>0</v>
      </c>
      <c r="AP629" s="19">
        <v>0</v>
      </c>
      <c r="AQ629" s="19">
        <v>0.4375</v>
      </c>
      <c r="AR629" s="19">
        <v>0.1562</v>
      </c>
      <c r="AS629" s="19">
        <v>0</v>
      </c>
      <c r="AT629" s="19">
        <v>0</v>
      </c>
      <c r="AU629" s="3">
        <v>0</v>
      </c>
      <c r="AV629" s="3">
        <v>0</v>
      </c>
      <c r="AW629" s="19">
        <v>0</v>
      </c>
      <c r="AX629" s="3">
        <v>0</v>
      </c>
      <c r="AY629" s="3">
        <v>0</v>
      </c>
    </row>
    <row r="630" spans="1:51">
      <c r="A630" s="3">
        <v>12971139</v>
      </c>
      <c r="B630" t="s">
        <v>1019</v>
      </c>
      <c r="C630" s="3">
        <v>13421235</v>
      </c>
      <c r="D630" t="s">
        <v>44</v>
      </c>
      <c r="E630" t="s">
        <v>232</v>
      </c>
      <c r="F630" t="s">
        <v>65</v>
      </c>
      <c r="G630" t="s">
        <v>47</v>
      </c>
      <c r="H630" s="16">
        <v>0</v>
      </c>
      <c r="I630" s="4">
        <f>VLOOKUP(C630,[1]sheet1!$D:$I,6,0)</f>
        <v>0</v>
      </c>
      <c r="J630" s="4">
        <f>VLOOKUP(C630,[2]sheet1!$D:$I,6,0)</f>
        <v>0</v>
      </c>
      <c r="K630" s="4">
        <f>VLOOKUP(C630,[3]sheet1!$D:$I,6,0)</f>
        <v>0</v>
      </c>
      <c r="L630" s="4">
        <f>VLOOKUP(C630,[4]sheet1!$D:$I,6,0)</f>
        <v>0</v>
      </c>
      <c r="M630" s="4">
        <f>VLOOKUP(C630,[5]sheet1!$D:$I,6,0)</f>
        <v>0</v>
      </c>
      <c r="N630" s="4">
        <f>VLOOKUP(C630,[6]sheet1!$D:$I,6,0)</f>
        <v>0</v>
      </c>
      <c r="O630" s="4">
        <f>VLOOKUP(C630,[7]sheet1!$D:$I,6,0)</f>
        <v>0</v>
      </c>
      <c r="P630" s="4">
        <f>VLOOKUP(C630,[8]sheet1!$D:$I,6,0)</f>
        <v>0</v>
      </c>
      <c r="Q630" s="4">
        <f t="shared" si="9"/>
        <v>0</v>
      </c>
      <c r="R630" s="3">
        <v>0</v>
      </c>
      <c r="S630" s="3">
        <v>1</v>
      </c>
      <c r="T630" s="19">
        <v>0</v>
      </c>
      <c r="U630" s="3">
        <v>0</v>
      </c>
      <c r="V630" s="3">
        <v>0</v>
      </c>
      <c r="W630">
        <v>0</v>
      </c>
      <c r="X630" s="3">
        <v>0</v>
      </c>
      <c r="Y630">
        <v>0</v>
      </c>
      <c r="Z630" s="3">
        <v>0</v>
      </c>
      <c r="AA630" t="s">
        <v>625</v>
      </c>
      <c r="AB630" t="s">
        <v>49</v>
      </c>
      <c r="AC630">
        <v>123.39</v>
      </c>
      <c r="AD630" t="s">
        <v>49</v>
      </c>
      <c r="AE630">
        <v>0</v>
      </c>
      <c r="AF630" s="3">
        <v>0</v>
      </c>
      <c r="AG630" t="s">
        <v>49</v>
      </c>
      <c r="AH630">
        <v>0</v>
      </c>
      <c r="AI630" t="s">
        <v>49</v>
      </c>
      <c r="AJ630" t="s">
        <v>49</v>
      </c>
      <c r="AK630" t="s">
        <v>49</v>
      </c>
      <c r="AL630" t="s">
        <v>49</v>
      </c>
      <c r="AM630" t="s">
        <v>49</v>
      </c>
      <c r="AN630" s="3">
        <v>1</v>
      </c>
      <c r="AO630" s="19">
        <v>0</v>
      </c>
      <c r="AP630" s="19">
        <v>0</v>
      </c>
      <c r="AQ630" s="19">
        <v>1</v>
      </c>
      <c r="AR630" s="19">
        <v>1</v>
      </c>
      <c r="AS630" s="19">
        <v>0</v>
      </c>
      <c r="AT630" s="19">
        <v>0</v>
      </c>
      <c r="AU630" s="3">
        <v>0</v>
      </c>
      <c r="AV630" s="3">
        <v>0</v>
      </c>
      <c r="AW630" s="19">
        <v>0</v>
      </c>
      <c r="AX630" s="3">
        <v>0</v>
      </c>
      <c r="AY630" s="3">
        <v>0</v>
      </c>
    </row>
    <row r="631" spans="1:51">
      <c r="A631" s="3">
        <v>12733355</v>
      </c>
      <c r="B631" t="s">
        <v>1020</v>
      </c>
      <c r="C631" s="3">
        <v>164026422</v>
      </c>
      <c r="D631" t="s">
        <v>44</v>
      </c>
      <c r="E631" t="s">
        <v>78</v>
      </c>
      <c r="F631" t="s">
        <v>65</v>
      </c>
      <c r="G631" t="s">
        <v>47</v>
      </c>
      <c r="H631" s="16">
        <v>0</v>
      </c>
      <c r="I631" s="4">
        <f>VLOOKUP(C631,[1]sheet1!$D:$I,6,0)</f>
        <v>151</v>
      </c>
      <c r="J631" s="4">
        <f>VLOOKUP(C631,[2]sheet1!$D:$I,6,0)</f>
        <v>0</v>
      </c>
      <c r="K631" s="4">
        <f>VLOOKUP(C631,[3]sheet1!$D:$I,6,0)</f>
        <v>0</v>
      </c>
      <c r="L631" s="4">
        <f>VLOOKUP(C631,[4]sheet1!$D:$I,6,0)</f>
        <v>74</v>
      </c>
      <c r="M631" s="4">
        <f>VLOOKUP(C631,[5]sheet1!$D:$I,6,0)</f>
        <v>0</v>
      </c>
      <c r="N631" s="4">
        <f>VLOOKUP(C631,[6]sheet1!$D:$I,6,0)</f>
        <v>0</v>
      </c>
      <c r="O631" s="4">
        <f>VLOOKUP(C631,[7]sheet1!$D:$I,6,0)</f>
        <v>0</v>
      </c>
      <c r="P631" s="4">
        <f>VLOOKUP(C631,[8]sheet1!$D:$I,6,0)</f>
        <v>0</v>
      </c>
      <c r="Q631" s="4">
        <f t="shared" si="9"/>
        <v>225</v>
      </c>
      <c r="R631" s="3">
        <v>0</v>
      </c>
      <c r="S631" s="3">
        <v>8</v>
      </c>
      <c r="T631" s="19">
        <v>0</v>
      </c>
      <c r="U631" s="3">
        <v>1</v>
      </c>
      <c r="V631" s="3">
        <v>0</v>
      </c>
      <c r="W631">
        <v>0</v>
      </c>
      <c r="X631" s="3">
        <v>0</v>
      </c>
      <c r="Y631">
        <v>0</v>
      </c>
      <c r="Z631" s="3">
        <v>0</v>
      </c>
      <c r="AA631" t="s">
        <v>49</v>
      </c>
      <c r="AB631" t="s">
        <v>49</v>
      </c>
      <c r="AC631" t="s">
        <v>49</v>
      </c>
      <c r="AD631" t="s">
        <v>49</v>
      </c>
      <c r="AE631">
        <v>0</v>
      </c>
      <c r="AF631" s="3">
        <v>0</v>
      </c>
      <c r="AG631" t="s">
        <v>49</v>
      </c>
      <c r="AH631" t="s">
        <v>49</v>
      </c>
      <c r="AI631" t="s">
        <v>49</v>
      </c>
      <c r="AJ631" t="s">
        <v>49</v>
      </c>
      <c r="AK631" t="s">
        <v>49</v>
      </c>
      <c r="AL631" t="s">
        <v>49</v>
      </c>
      <c r="AM631" t="s">
        <v>49</v>
      </c>
      <c r="AN631" s="3">
        <v>13</v>
      </c>
      <c r="AO631" s="19">
        <v>0</v>
      </c>
      <c r="AP631" s="19">
        <v>0</v>
      </c>
      <c r="AQ631" s="19">
        <v>0.75</v>
      </c>
      <c r="AR631" s="19">
        <v>0.125</v>
      </c>
      <c r="AS631" s="19">
        <v>0</v>
      </c>
      <c r="AT631" s="19">
        <v>0</v>
      </c>
      <c r="AU631" s="3">
        <v>0</v>
      </c>
      <c r="AV631" s="3">
        <v>0</v>
      </c>
      <c r="AW631" s="19">
        <v>0</v>
      </c>
      <c r="AX631" s="3">
        <v>0</v>
      </c>
      <c r="AY631" s="3">
        <v>0</v>
      </c>
    </row>
    <row r="632" spans="1:51">
      <c r="A632" s="3">
        <v>12726742</v>
      </c>
      <c r="B632" t="s">
        <v>1021</v>
      </c>
      <c r="C632" s="3">
        <v>124222002</v>
      </c>
      <c r="D632" t="s">
        <v>44</v>
      </c>
      <c r="E632" t="s">
        <v>100</v>
      </c>
      <c r="F632" t="s">
        <v>65</v>
      </c>
      <c r="G632" t="s">
        <v>47</v>
      </c>
      <c r="H632" s="16">
        <v>0</v>
      </c>
      <c r="I632" s="4">
        <f>VLOOKUP(C632,[1]sheet1!$D:$I,6,0)</f>
        <v>0</v>
      </c>
      <c r="J632" s="4">
        <f>VLOOKUP(C632,[2]sheet1!$D:$I,6,0)</f>
        <v>0</v>
      </c>
      <c r="K632" s="4">
        <f>VLOOKUP(C632,[3]sheet1!$D:$I,6,0)</f>
        <v>0</v>
      </c>
      <c r="L632" s="4">
        <f>VLOOKUP(C632,[4]sheet1!$D:$I,6,0)</f>
        <v>0</v>
      </c>
      <c r="M632" s="4">
        <f>VLOOKUP(C632,[5]sheet1!$D:$I,6,0)</f>
        <v>0</v>
      </c>
      <c r="N632" s="4">
        <f>VLOOKUP(C632,[6]sheet1!$D:$I,6,0)</f>
        <v>0</v>
      </c>
      <c r="O632" s="4">
        <f>VLOOKUP(C632,[7]sheet1!$D:$I,6,0)</f>
        <v>0</v>
      </c>
      <c r="P632" s="4">
        <f>VLOOKUP(C632,[8]sheet1!$D:$I,6,0)</f>
        <v>0</v>
      </c>
      <c r="Q632" s="4">
        <f t="shared" si="9"/>
        <v>0</v>
      </c>
      <c r="R632" s="3">
        <v>0</v>
      </c>
      <c r="S632" s="3">
        <v>5</v>
      </c>
      <c r="T632" s="19">
        <v>0</v>
      </c>
      <c r="U632" s="3">
        <v>0</v>
      </c>
      <c r="V632" s="3">
        <v>0</v>
      </c>
      <c r="W632">
        <v>0</v>
      </c>
      <c r="X632" s="3">
        <v>0</v>
      </c>
      <c r="Y632">
        <v>0</v>
      </c>
      <c r="Z632" s="3">
        <v>0</v>
      </c>
      <c r="AA632" t="s">
        <v>411</v>
      </c>
      <c r="AB632" t="s">
        <v>49</v>
      </c>
      <c r="AC632">
        <v>329.33</v>
      </c>
      <c r="AD632" t="s">
        <v>49</v>
      </c>
      <c r="AE632">
        <v>0</v>
      </c>
      <c r="AF632" s="3">
        <v>0</v>
      </c>
      <c r="AG632" t="s">
        <v>49</v>
      </c>
      <c r="AH632">
        <v>0</v>
      </c>
      <c r="AI632" t="s">
        <v>49</v>
      </c>
      <c r="AJ632" t="s">
        <v>49</v>
      </c>
      <c r="AK632" t="s">
        <v>49</v>
      </c>
      <c r="AL632" t="s">
        <v>49</v>
      </c>
      <c r="AM632" t="s">
        <v>49</v>
      </c>
      <c r="AN632" s="3">
        <v>5</v>
      </c>
      <c r="AO632" s="19">
        <v>0</v>
      </c>
      <c r="AP632" s="19">
        <v>0</v>
      </c>
      <c r="AQ632" s="19">
        <v>0.6</v>
      </c>
      <c r="AR632" s="19">
        <v>0.4</v>
      </c>
      <c r="AS632" s="19">
        <v>0</v>
      </c>
      <c r="AT632" s="19">
        <v>0</v>
      </c>
      <c r="AU632" s="3">
        <v>0</v>
      </c>
      <c r="AV632" s="3">
        <v>0</v>
      </c>
      <c r="AW632" s="19">
        <v>0</v>
      </c>
      <c r="AX632" s="3">
        <v>0</v>
      </c>
      <c r="AY632" s="3">
        <v>0</v>
      </c>
    </row>
    <row r="633" spans="1:51">
      <c r="A633" s="3">
        <v>12717241</v>
      </c>
      <c r="B633" t="s">
        <v>1022</v>
      </c>
      <c r="C633" s="3">
        <v>13421546</v>
      </c>
      <c r="D633" t="s">
        <v>44</v>
      </c>
      <c r="E633" t="s">
        <v>448</v>
      </c>
      <c r="F633" t="s">
        <v>65</v>
      </c>
      <c r="G633" t="s">
        <v>47</v>
      </c>
      <c r="H633" s="16">
        <v>0</v>
      </c>
      <c r="I633" s="4">
        <f>VLOOKUP(C633,[1]sheet1!$D:$I,6,0)</f>
        <v>0</v>
      </c>
      <c r="J633" s="4">
        <f>VLOOKUP(C633,[2]sheet1!$D:$I,6,0)</f>
        <v>0</v>
      </c>
      <c r="K633" s="4">
        <f>VLOOKUP(C633,[3]sheet1!$D:$I,6,0)</f>
        <v>0</v>
      </c>
      <c r="L633" s="4">
        <f>VLOOKUP(C633,[4]sheet1!$D:$I,6,0)</f>
        <v>0</v>
      </c>
      <c r="M633" s="4">
        <f>VLOOKUP(C633,[5]sheet1!$D:$I,6,0)</f>
        <v>0</v>
      </c>
      <c r="N633" s="4">
        <f>VLOOKUP(C633,[6]sheet1!$D:$I,6,0)</f>
        <v>0</v>
      </c>
      <c r="O633" s="4">
        <f>VLOOKUP(C633,[7]sheet1!$D:$I,6,0)</f>
        <v>0</v>
      </c>
      <c r="P633" s="4">
        <f>VLOOKUP(C633,[8]sheet1!$D:$I,6,0)</f>
        <v>0</v>
      </c>
      <c r="Q633" s="4">
        <f t="shared" si="9"/>
        <v>0</v>
      </c>
      <c r="R633" s="3">
        <v>0</v>
      </c>
      <c r="S633" s="3">
        <v>1</v>
      </c>
      <c r="T633" s="19">
        <v>0</v>
      </c>
      <c r="U633" s="3">
        <v>0</v>
      </c>
      <c r="V633" s="3">
        <v>0</v>
      </c>
      <c r="W633">
        <v>0</v>
      </c>
      <c r="X633" s="3">
        <v>0</v>
      </c>
      <c r="Y633">
        <v>0</v>
      </c>
      <c r="Z633" s="3">
        <v>0</v>
      </c>
      <c r="AA633" t="s">
        <v>49</v>
      </c>
      <c r="AB633" t="s">
        <v>49</v>
      </c>
      <c r="AC633" t="s">
        <v>49</v>
      </c>
      <c r="AD633" t="s">
        <v>49</v>
      </c>
      <c r="AE633">
        <v>0</v>
      </c>
      <c r="AF633" s="3">
        <v>0</v>
      </c>
      <c r="AG633" t="s">
        <v>49</v>
      </c>
      <c r="AH633" t="s">
        <v>49</v>
      </c>
      <c r="AI633" t="s">
        <v>49</v>
      </c>
      <c r="AJ633" t="s">
        <v>49</v>
      </c>
      <c r="AK633" t="s">
        <v>49</v>
      </c>
      <c r="AL633" t="s">
        <v>49</v>
      </c>
      <c r="AM633" t="s">
        <v>49</v>
      </c>
      <c r="AN633" s="3">
        <v>1</v>
      </c>
      <c r="AO633" s="19">
        <v>0</v>
      </c>
      <c r="AP633" s="19">
        <v>0</v>
      </c>
      <c r="AQ633" s="19">
        <v>1</v>
      </c>
      <c r="AR633" s="19">
        <v>1</v>
      </c>
      <c r="AS633" s="19">
        <v>0</v>
      </c>
      <c r="AT633" s="19">
        <v>0</v>
      </c>
      <c r="AU633" s="3">
        <v>0</v>
      </c>
      <c r="AV633" s="3">
        <v>0</v>
      </c>
      <c r="AW633" s="19">
        <v>0</v>
      </c>
      <c r="AX633" s="3">
        <v>0</v>
      </c>
      <c r="AY633" s="3">
        <v>0</v>
      </c>
    </row>
    <row r="634" spans="1:51">
      <c r="A634" s="3">
        <v>12669603</v>
      </c>
      <c r="B634" t="s">
        <v>1023</v>
      </c>
      <c r="C634" s="3">
        <v>124301032</v>
      </c>
      <c r="D634" t="s">
        <v>44</v>
      </c>
      <c r="E634" t="s">
        <v>141</v>
      </c>
      <c r="F634" t="s">
        <v>46</v>
      </c>
      <c r="G634" t="s">
        <v>47</v>
      </c>
      <c r="H634" s="16">
        <v>0</v>
      </c>
      <c r="I634" s="4">
        <f>VLOOKUP(C634,[1]sheet1!$D:$I,6,0)</f>
        <v>0</v>
      </c>
      <c r="J634" s="4">
        <f>VLOOKUP(C634,[2]sheet1!$D:$I,6,0)</f>
        <v>0</v>
      </c>
      <c r="K634" s="4">
        <f>VLOOKUP(C634,[3]sheet1!$D:$I,6,0)</f>
        <v>0</v>
      </c>
      <c r="L634" s="4">
        <f>VLOOKUP(C634,[4]sheet1!$D:$I,6,0)</f>
        <v>0</v>
      </c>
      <c r="M634" s="4">
        <f>VLOOKUP(C634,[5]sheet1!$D:$I,6,0)</f>
        <v>0</v>
      </c>
      <c r="N634" s="4">
        <f>VLOOKUP(C634,[6]sheet1!$D:$I,6,0)</f>
        <v>0</v>
      </c>
      <c r="O634" s="4">
        <f>VLOOKUP(C634,[7]sheet1!$D:$I,6,0)</f>
        <v>0</v>
      </c>
      <c r="P634" s="4">
        <f>VLOOKUP(C634,[8]sheet1!$D:$I,6,0)</f>
        <v>0</v>
      </c>
      <c r="Q634" s="4">
        <f t="shared" si="9"/>
        <v>0</v>
      </c>
      <c r="R634" s="3">
        <v>0</v>
      </c>
      <c r="S634">
        <v>133</v>
      </c>
      <c r="T634">
        <v>0</v>
      </c>
      <c r="U634" s="3">
        <v>0</v>
      </c>
      <c r="V634" s="3">
        <v>0</v>
      </c>
      <c r="W634">
        <v>0</v>
      </c>
      <c r="X634" s="3">
        <v>0</v>
      </c>
      <c r="Y634">
        <v>0</v>
      </c>
      <c r="Z634" s="3">
        <v>0</v>
      </c>
      <c r="AA634" t="s">
        <v>704</v>
      </c>
      <c r="AB634" s="3">
        <v>262</v>
      </c>
      <c r="AC634">
        <v>370.54</v>
      </c>
      <c r="AD634" t="s">
        <v>49</v>
      </c>
      <c r="AE634">
        <v>0</v>
      </c>
      <c r="AF634" s="3">
        <v>0</v>
      </c>
      <c r="AG634" t="s">
        <v>49</v>
      </c>
      <c r="AH634">
        <v>0</v>
      </c>
      <c r="AI634" t="s">
        <v>49</v>
      </c>
      <c r="AJ634">
        <v>216.55</v>
      </c>
      <c r="AK634" t="s">
        <v>49</v>
      </c>
      <c r="AL634">
        <v>0</v>
      </c>
      <c r="AM634" t="s">
        <v>49</v>
      </c>
      <c r="AN634" s="3">
        <v>16</v>
      </c>
      <c r="AO634" s="19">
        <v>0</v>
      </c>
      <c r="AP634" s="19">
        <v>0</v>
      </c>
      <c r="AQ634" s="19">
        <v>0.8462</v>
      </c>
      <c r="AR634" s="19">
        <v>0.3077</v>
      </c>
      <c r="AS634" s="19">
        <v>0</v>
      </c>
      <c r="AT634" s="19">
        <v>0</v>
      </c>
      <c r="AU634" s="3">
        <v>0</v>
      </c>
      <c r="AV634" s="3">
        <v>0</v>
      </c>
      <c r="AW634" s="19">
        <v>0</v>
      </c>
      <c r="AX634" s="3">
        <v>0</v>
      </c>
      <c r="AY634" s="3">
        <v>0</v>
      </c>
    </row>
    <row r="635" spans="1:51">
      <c r="A635" s="3">
        <v>12609184</v>
      </c>
      <c r="B635" t="s">
        <v>1024</v>
      </c>
      <c r="C635" s="3">
        <v>124301034</v>
      </c>
      <c r="D635" t="s">
        <v>44</v>
      </c>
      <c r="E635" t="s">
        <v>141</v>
      </c>
      <c r="F635" t="s">
        <v>65</v>
      </c>
      <c r="G635" t="s">
        <v>47</v>
      </c>
      <c r="H635" s="16">
        <v>0</v>
      </c>
      <c r="I635" s="4">
        <f>VLOOKUP(C635,[1]sheet1!$D:$I,6,0)</f>
        <v>0</v>
      </c>
      <c r="J635" s="4">
        <f>VLOOKUP(C635,[2]sheet1!$D:$I,6,0)</f>
        <v>0</v>
      </c>
      <c r="K635" s="4">
        <f>VLOOKUP(C635,[3]sheet1!$D:$I,6,0)</f>
        <v>572</v>
      </c>
      <c r="L635" s="4">
        <f>VLOOKUP(C635,[4]sheet1!$D:$I,6,0)</f>
        <v>0</v>
      </c>
      <c r="M635" s="4">
        <f>VLOOKUP(C635,[5]sheet1!$D:$I,6,0)</f>
        <v>590</v>
      </c>
      <c r="N635" s="4">
        <f>VLOOKUP(C635,[6]sheet1!$D:$I,6,0)</f>
        <v>562</v>
      </c>
      <c r="O635" s="4">
        <f>VLOOKUP(C635,[7]sheet1!$D:$I,6,0)</f>
        <v>0</v>
      </c>
      <c r="P635" s="4">
        <f>VLOOKUP(C635,[8]sheet1!$D:$I,6,0)</f>
        <v>0</v>
      </c>
      <c r="Q635" s="4">
        <f t="shared" si="9"/>
        <v>1724</v>
      </c>
      <c r="R635" s="3">
        <v>0</v>
      </c>
      <c r="S635" s="3">
        <v>17</v>
      </c>
      <c r="T635" s="19">
        <v>0</v>
      </c>
      <c r="U635" s="3">
        <v>1</v>
      </c>
      <c r="V635" s="3">
        <v>0</v>
      </c>
      <c r="W635">
        <v>0</v>
      </c>
      <c r="X635" s="3">
        <v>0</v>
      </c>
      <c r="Y635">
        <v>0</v>
      </c>
      <c r="Z635" s="3">
        <v>0</v>
      </c>
      <c r="AA635" t="s">
        <v>196</v>
      </c>
      <c r="AB635" t="s">
        <v>49</v>
      </c>
      <c r="AC635">
        <v>474.94</v>
      </c>
      <c r="AD635" t="s">
        <v>49</v>
      </c>
      <c r="AE635">
        <v>0</v>
      </c>
      <c r="AF635" s="3">
        <v>0</v>
      </c>
      <c r="AG635" t="s">
        <v>49</v>
      </c>
      <c r="AH635">
        <v>0</v>
      </c>
      <c r="AI635" t="s">
        <v>49</v>
      </c>
      <c r="AJ635" t="s">
        <v>49</v>
      </c>
      <c r="AK635" t="s">
        <v>49</v>
      </c>
      <c r="AL635" t="s">
        <v>49</v>
      </c>
      <c r="AM635" t="s">
        <v>49</v>
      </c>
      <c r="AN635" s="3">
        <v>22</v>
      </c>
      <c r="AO635" s="19">
        <v>0</v>
      </c>
      <c r="AP635" s="19">
        <v>0</v>
      </c>
      <c r="AQ635" s="19">
        <v>0.9412</v>
      </c>
      <c r="AR635" s="19">
        <v>0.3529</v>
      </c>
      <c r="AS635" s="19">
        <v>1</v>
      </c>
      <c r="AT635" s="19">
        <v>0</v>
      </c>
      <c r="AU635" s="3">
        <v>0</v>
      </c>
      <c r="AV635" s="3">
        <v>0</v>
      </c>
      <c r="AW635" s="19">
        <v>0</v>
      </c>
      <c r="AX635" s="3">
        <v>0</v>
      </c>
      <c r="AY635" s="3">
        <v>0</v>
      </c>
    </row>
    <row r="636" spans="1:51">
      <c r="A636" s="3">
        <v>12593401</v>
      </c>
      <c r="B636" t="s">
        <v>1025</v>
      </c>
      <c r="C636" s="3">
        <v>124301030</v>
      </c>
      <c r="D636" t="s">
        <v>44</v>
      </c>
      <c r="E636" t="s">
        <v>141</v>
      </c>
      <c r="F636" t="s">
        <v>46</v>
      </c>
      <c r="G636" t="s">
        <v>47</v>
      </c>
      <c r="H636" s="16">
        <v>0</v>
      </c>
      <c r="I636" s="4">
        <f>VLOOKUP(C636,[1]sheet1!$D:$I,6,0)</f>
        <v>0</v>
      </c>
      <c r="J636" s="4">
        <f>VLOOKUP(C636,[2]sheet1!$D:$I,6,0)</f>
        <v>0</v>
      </c>
      <c r="K636" s="4">
        <f>VLOOKUP(C636,[3]sheet1!$D:$I,6,0)</f>
        <v>0</v>
      </c>
      <c r="L636" s="4">
        <f>VLOOKUP(C636,[4]sheet1!$D:$I,6,0)</f>
        <v>0</v>
      </c>
      <c r="M636" s="4">
        <f>VLOOKUP(C636,[5]sheet1!$D:$I,6,0)</f>
        <v>0</v>
      </c>
      <c r="N636" s="4">
        <f>VLOOKUP(C636,[6]sheet1!$D:$I,6,0)</f>
        <v>0</v>
      </c>
      <c r="O636" s="4">
        <f>VLOOKUP(C636,[7]sheet1!$D:$I,6,0)</f>
        <v>0</v>
      </c>
      <c r="P636" s="4">
        <f>VLOOKUP(C636,[8]sheet1!$D:$I,6,0)</f>
        <v>0</v>
      </c>
      <c r="Q636" s="4">
        <f t="shared" si="9"/>
        <v>0</v>
      </c>
      <c r="R636" s="3">
        <v>0</v>
      </c>
      <c r="S636">
        <v>473</v>
      </c>
      <c r="T636">
        <v>0</v>
      </c>
      <c r="U636" s="3">
        <v>10</v>
      </c>
      <c r="V636" s="3">
        <v>0</v>
      </c>
      <c r="W636">
        <v>0</v>
      </c>
      <c r="X636" s="3">
        <v>0</v>
      </c>
      <c r="Y636">
        <v>0</v>
      </c>
      <c r="Z636" s="3">
        <v>0</v>
      </c>
      <c r="AA636" t="s">
        <v>150</v>
      </c>
      <c r="AB636" s="3">
        <v>431</v>
      </c>
      <c r="AC636">
        <v>405.34</v>
      </c>
      <c r="AD636" t="s">
        <v>49</v>
      </c>
      <c r="AE636">
        <v>0</v>
      </c>
      <c r="AF636" s="3">
        <v>0</v>
      </c>
      <c r="AG636" t="s">
        <v>49</v>
      </c>
      <c r="AH636">
        <v>0</v>
      </c>
      <c r="AI636" t="s">
        <v>49</v>
      </c>
      <c r="AJ636">
        <v>363.58</v>
      </c>
      <c r="AK636" t="s">
        <v>49</v>
      </c>
      <c r="AL636">
        <v>0</v>
      </c>
      <c r="AM636" t="s">
        <v>49</v>
      </c>
      <c r="AN636" s="3">
        <v>221</v>
      </c>
      <c r="AO636" s="19">
        <v>0</v>
      </c>
      <c r="AP636" s="19">
        <v>0</v>
      </c>
      <c r="AQ636" s="19">
        <v>0.8485</v>
      </c>
      <c r="AR636" s="19">
        <v>0.5697</v>
      </c>
      <c r="AS636" s="19">
        <v>1</v>
      </c>
      <c r="AT636" s="19">
        <v>0.3</v>
      </c>
      <c r="AU636" s="3">
        <v>0</v>
      </c>
      <c r="AV636" s="3">
        <v>0</v>
      </c>
      <c r="AW636" s="19">
        <v>0</v>
      </c>
      <c r="AX636" s="3">
        <v>0</v>
      </c>
      <c r="AY636" s="3">
        <v>0</v>
      </c>
    </row>
    <row r="637" spans="1:51">
      <c r="A637" s="3">
        <v>12263252</v>
      </c>
      <c r="B637" t="s">
        <v>1026</v>
      </c>
      <c r="C637" t="s">
        <v>1027</v>
      </c>
      <c r="D637" t="s">
        <v>44</v>
      </c>
      <c r="E637" t="s">
        <v>141</v>
      </c>
      <c r="F637" t="s">
        <v>65</v>
      </c>
      <c r="G637" t="s">
        <v>47</v>
      </c>
      <c r="H637" s="16">
        <v>0</v>
      </c>
      <c r="I637" s="4">
        <f>VLOOKUP(C637,[1]sheet1!$D:$I,6,0)</f>
        <v>0</v>
      </c>
      <c r="J637" s="4">
        <f>VLOOKUP(C637,[2]sheet1!$D:$I,6,0)</f>
        <v>0</v>
      </c>
      <c r="K637" s="4">
        <f>VLOOKUP(C637,[3]sheet1!$D:$I,6,0)</f>
        <v>0</v>
      </c>
      <c r="L637" s="4">
        <f>VLOOKUP(C637,[4]sheet1!$D:$I,6,0)</f>
        <v>0</v>
      </c>
      <c r="M637" s="4">
        <f>VLOOKUP(C637,[5]sheet1!$D:$I,6,0)</f>
        <v>0</v>
      </c>
      <c r="N637" s="4">
        <f>VLOOKUP(C637,[6]sheet1!$D:$I,6,0)</f>
        <v>0</v>
      </c>
      <c r="O637" s="4">
        <f>VLOOKUP(C637,[7]sheet1!$D:$I,6,0)</f>
        <v>0</v>
      </c>
      <c r="P637" s="4">
        <f>VLOOKUP(C637,[8]sheet1!$D:$I,6,0)</f>
        <v>0</v>
      </c>
      <c r="Q637" s="4">
        <f t="shared" si="9"/>
        <v>0</v>
      </c>
      <c r="R637" s="3">
        <v>0</v>
      </c>
      <c r="S637" s="3">
        <v>2</v>
      </c>
      <c r="T637" s="19">
        <v>0</v>
      </c>
      <c r="U637" s="3">
        <v>0</v>
      </c>
      <c r="V637" s="3">
        <v>0</v>
      </c>
      <c r="W637">
        <v>0</v>
      </c>
      <c r="X637" s="3">
        <v>0</v>
      </c>
      <c r="Y637">
        <v>0</v>
      </c>
      <c r="Z637" s="3">
        <v>0</v>
      </c>
      <c r="AA637" t="s">
        <v>603</v>
      </c>
      <c r="AB637" t="s">
        <v>49</v>
      </c>
      <c r="AC637">
        <v>770.74</v>
      </c>
      <c r="AD637" t="s">
        <v>49</v>
      </c>
      <c r="AE637">
        <v>0</v>
      </c>
      <c r="AF637" s="3">
        <v>0</v>
      </c>
      <c r="AG637" t="s">
        <v>49</v>
      </c>
      <c r="AH637">
        <v>0</v>
      </c>
      <c r="AI637" t="s">
        <v>49</v>
      </c>
      <c r="AJ637" t="s">
        <v>49</v>
      </c>
      <c r="AK637" t="s">
        <v>49</v>
      </c>
      <c r="AL637" t="s">
        <v>49</v>
      </c>
      <c r="AM637" t="s">
        <v>49</v>
      </c>
      <c r="AN637" s="3">
        <v>2</v>
      </c>
      <c r="AO637" s="19">
        <v>0</v>
      </c>
      <c r="AP637" s="19">
        <v>0</v>
      </c>
      <c r="AQ637" s="19">
        <v>0.5</v>
      </c>
      <c r="AR637" s="19">
        <v>1</v>
      </c>
      <c r="AS637" s="19">
        <v>0</v>
      </c>
      <c r="AT637" s="19">
        <v>0</v>
      </c>
      <c r="AU637" s="3">
        <v>0</v>
      </c>
      <c r="AV637" s="3">
        <v>0</v>
      </c>
      <c r="AW637" s="19">
        <v>0</v>
      </c>
      <c r="AX637" s="3">
        <v>0</v>
      </c>
      <c r="AY637" s="3">
        <v>0</v>
      </c>
    </row>
    <row r="638" spans="1:51">
      <c r="A638" s="3">
        <v>12222268</v>
      </c>
      <c r="B638" t="s">
        <v>1028</v>
      </c>
      <c r="C638" s="3">
        <v>114101059</v>
      </c>
      <c r="D638" t="s">
        <v>44</v>
      </c>
      <c r="E638" t="s">
        <v>104</v>
      </c>
      <c r="F638" t="s">
        <v>65</v>
      </c>
      <c r="G638" t="s">
        <v>47</v>
      </c>
      <c r="H638" s="16">
        <v>0</v>
      </c>
      <c r="I638" s="4">
        <f>VLOOKUP(C638,[1]sheet1!$D:$I,6,0)</f>
        <v>0</v>
      </c>
      <c r="J638" s="4">
        <f>VLOOKUP(C638,[2]sheet1!$D:$I,6,0)</f>
        <v>0</v>
      </c>
      <c r="K638" s="4">
        <f>VLOOKUP(C638,[3]sheet1!$D:$I,6,0)</f>
        <v>0</v>
      </c>
      <c r="L638" s="4">
        <f>VLOOKUP(C638,[4]sheet1!$D:$I,6,0)</f>
        <v>0</v>
      </c>
      <c r="M638" s="4">
        <f>VLOOKUP(C638,[5]sheet1!$D:$I,6,0)</f>
        <v>0</v>
      </c>
      <c r="N638" s="4">
        <f>VLOOKUP(C638,[6]sheet1!$D:$I,6,0)</f>
        <v>0</v>
      </c>
      <c r="O638" s="4">
        <f>VLOOKUP(C638,[7]sheet1!$D:$I,6,0)</f>
        <v>0</v>
      </c>
      <c r="P638" s="4">
        <f>VLOOKUP(C638,[8]sheet1!$D:$I,6,0)</f>
        <v>0</v>
      </c>
      <c r="Q638" s="4">
        <f t="shared" si="9"/>
        <v>0</v>
      </c>
      <c r="R638" s="3">
        <v>0</v>
      </c>
      <c r="S638" s="3">
        <v>0</v>
      </c>
      <c r="T638" s="19">
        <v>0</v>
      </c>
      <c r="U638" s="3">
        <v>0</v>
      </c>
      <c r="V638" s="3">
        <v>0</v>
      </c>
      <c r="W638">
        <v>0</v>
      </c>
      <c r="X638" s="3">
        <v>0</v>
      </c>
      <c r="Y638">
        <v>0</v>
      </c>
      <c r="Z638" s="3">
        <v>0</v>
      </c>
      <c r="AA638" t="s">
        <v>603</v>
      </c>
      <c r="AB638" t="s">
        <v>49</v>
      </c>
      <c r="AC638">
        <v>772.52</v>
      </c>
      <c r="AD638" t="s">
        <v>49</v>
      </c>
      <c r="AE638">
        <v>0</v>
      </c>
      <c r="AF638" s="3">
        <v>0</v>
      </c>
      <c r="AG638" t="s">
        <v>49</v>
      </c>
      <c r="AH638">
        <v>0</v>
      </c>
      <c r="AI638" t="s">
        <v>49</v>
      </c>
      <c r="AJ638" t="s">
        <v>49</v>
      </c>
      <c r="AK638" t="s">
        <v>49</v>
      </c>
      <c r="AL638" t="s">
        <v>49</v>
      </c>
      <c r="AM638" t="s">
        <v>49</v>
      </c>
      <c r="AN638" s="3">
        <v>0</v>
      </c>
      <c r="AO638" s="19">
        <v>0</v>
      </c>
      <c r="AP638" s="19">
        <v>0</v>
      </c>
      <c r="AQ638" s="19">
        <v>0</v>
      </c>
      <c r="AR638" s="19">
        <v>0</v>
      </c>
      <c r="AS638" s="19">
        <v>0</v>
      </c>
      <c r="AT638" s="19">
        <v>0</v>
      </c>
      <c r="AU638" s="3">
        <v>0</v>
      </c>
      <c r="AV638" s="3">
        <v>0</v>
      </c>
      <c r="AW638" s="19">
        <v>0</v>
      </c>
      <c r="AX638" s="3">
        <v>0</v>
      </c>
      <c r="AY638" s="3">
        <v>0</v>
      </c>
    </row>
    <row r="639" spans="1:51">
      <c r="A639" s="3">
        <v>12217694</v>
      </c>
      <c r="B639" t="s">
        <v>1029</v>
      </c>
      <c r="C639" s="3">
        <v>114301037</v>
      </c>
      <c r="D639" t="s">
        <v>44</v>
      </c>
      <c r="E639" t="s">
        <v>104</v>
      </c>
      <c r="F639" t="s">
        <v>46</v>
      </c>
      <c r="G639" t="s">
        <v>47</v>
      </c>
      <c r="H639" s="16">
        <v>0</v>
      </c>
      <c r="I639" s="4">
        <f>VLOOKUP(C639,[1]sheet1!$D:$I,6,0)</f>
        <v>1257</v>
      </c>
      <c r="J639" s="4">
        <f>VLOOKUP(C639,[2]sheet1!$D:$I,6,0)</f>
        <v>629</v>
      </c>
      <c r="K639" s="4">
        <f>VLOOKUP(C639,[3]sheet1!$D:$I,6,0)</f>
        <v>0</v>
      </c>
      <c r="L639" s="4">
        <f>VLOOKUP(C639,[4]sheet1!$D:$I,6,0)</f>
        <v>629</v>
      </c>
      <c r="M639" s="4">
        <f>VLOOKUP(C639,[5]sheet1!$D:$I,6,0)</f>
        <v>1257</v>
      </c>
      <c r="N639" s="4">
        <f>VLOOKUP(C639,[6]sheet1!$D:$I,6,0)</f>
        <v>1269</v>
      </c>
      <c r="O639" s="4">
        <f>VLOOKUP(C639,[7]sheet1!$D:$I,6,0)</f>
        <v>0</v>
      </c>
      <c r="P639" s="4">
        <f>VLOOKUP(C639,[8]sheet1!$D:$I,6,0)</f>
        <v>1052</v>
      </c>
      <c r="Q639" s="4">
        <f t="shared" si="9"/>
        <v>6093</v>
      </c>
      <c r="R639" s="3">
        <v>0</v>
      </c>
      <c r="S639">
        <v>454</v>
      </c>
      <c r="T639">
        <v>0</v>
      </c>
      <c r="U639" s="3">
        <v>10</v>
      </c>
      <c r="V639" s="3">
        <v>0</v>
      </c>
      <c r="W639">
        <v>0</v>
      </c>
      <c r="X639" s="3">
        <v>0</v>
      </c>
      <c r="Y639">
        <v>0</v>
      </c>
      <c r="Z639" s="3">
        <v>0</v>
      </c>
      <c r="AA639" t="s">
        <v>223</v>
      </c>
      <c r="AB639" s="3">
        <v>571</v>
      </c>
      <c r="AC639">
        <v>511.52</v>
      </c>
      <c r="AD639" t="s">
        <v>49</v>
      </c>
      <c r="AE639">
        <v>0</v>
      </c>
      <c r="AF639" s="3">
        <v>0</v>
      </c>
      <c r="AG639" t="s">
        <v>49</v>
      </c>
      <c r="AH639">
        <v>0</v>
      </c>
      <c r="AI639" t="s">
        <v>49</v>
      </c>
      <c r="AJ639">
        <v>487.16</v>
      </c>
      <c r="AK639" t="s">
        <v>49</v>
      </c>
      <c r="AL639">
        <v>0</v>
      </c>
      <c r="AM639" t="s">
        <v>49</v>
      </c>
      <c r="AN639" s="3">
        <v>190</v>
      </c>
      <c r="AO639" s="19">
        <v>0</v>
      </c>
      <c r="AP639" s="19">
        <v>0</v>
      </c>
      <c r="AQ639" s="19">
        <v>0.8487</v>
      </c>
      <c r="AR639" s="19">
        <v>0.3289</v>
      </c>
      <c r="AS639" s="19">
        <v>0.9</v>
      </c>
      <c r="AT639" s="19">
        <v>0.4</v>
      </c>
      <c r="AU639" s="3">
        <v>0</v>
      </c>
      <c r="AV639" s="3">
        <v>0</v>
      </c>
      <c r="AW639" s="19">
        <v>0</v>
      </c>
      <c r="AX639" s="3">
        <v>0</v>
      </c>
      <c r="AY639" s="3">
        <v>0</v>
      </c>
    </row>
    <row r="640" spans="1:51">
      <c r="A640" s="3">
        <v>12030492</v>
      </c>
      <c r="B640" t="s">
        <v>1030</v>
      </c>
      <c r="C640" s="3">
        <v>112321516</v>
      </c>
      <c r="D640" t="s">
        <v>44</v>
      </c>
      <c r="E640" t="s">
        <v>90</v>
      </c>
      <c r="F640" t="s">
        <v>65</v>
      </c>
      <c r="G640" t="s">
        <v>47</v>
      </c>
      <c r="H640" s="16">
        <v>0</v>
      </c>
      <c r="I640" s="4">
        <f>VLOOKUP(C640,[1]sheet1!$D:$I,6,0)</f>
        <v>0</v>
      </c>
      <c r="J640" s="4">
        <f>VLOOKUP(C640,[2]sheet1!$D:$I,6,0)</f>
        <v>0</v>
      </c>
      <c r="K640" s="4">
        <f>VLOOKUP(C640,[3]sheet1!$D:$I,6,0)</f>
        <v>0</v>
      </c>
      <c r="L640" s="4">
        <f>VLOOKUP(C640,[4]sheet1!$D:$I,6,0)</f>
        <v>0</v>
      </c>
      <c r="M640" s="4">
        <f>VLOOKUP(C640,[5]sheet1!$D:$I,6,0)</f>
        <v>0</v>
      </c>
      <c r="N640" s="4">
        <f>VLOOKUP(C640,[6]sheet1!$D:$I,6,0)</f>
        <v>0</v>
      </c>
      <c r="O640" s="4">
        <f>VLOOKUP(C640,[7]sheet1!$D:$I,6,0)</f>
        <v>0</v>
      </c>
      <c r="P640" s="4">
        <f>VLOOKUP(C640,[8]sheet1!$D:$I,6,0)</f>
        <v>0</v>
      </c>
      <c r="Q640" s="4">
        <f t="shared" si="9"/>
        <v>0</v>
      </c>
      <c r="R640" s="3">
        <v>0</v>
      </c>
      <c r="S640" s="3">
        <v>6</v>
      </c>
      <c r="T640" s="19">
        <v>0</v>
      </c>
      <c r="U640" s="3">
        <v>0</v>
      </c>
      <c r="V640" s="3">
        <v>0</v>
      </c>
      <c r="W640">
        <v>0</v>
      </c>
      <c r="X640" s="3">
        <v>0</v>
      </c>
      <c r="Y640">
        <v>0</v>
      </c>
      <c r="Z640" s="3">
        <v>0</v>
      </c>
      <c r="AA640" t="s">
        <v>49</v>
      </c>
      <c r="AB640" t="s">
        <v>49</v>
      </c>
      <c r="AC640" t="s">
        <v>49</v>
      </c>
      <c r="AD640" t="s">
        <v>49</v>
      </c>
      <c r="AE640">
        <v>0</v>
      </c>
      <c r="AF640" s="3">
        <v>0</v>
      </c>
      <c r="AG640" t="s">
        <v>49</v>
      </c>
      <c r="AH640" t="s">
        <v>49</v>
      </c>
      <c r="AI640" t="s">
        <v>49</v>
      </c>
      <c r="AJ640" t="s">
        <v>49</v>
      </c>
      <c r="AK640" t="s">
        <v>49</v>
      </c>
      <c r="AL640" t="s">
        <v>49</v>
      </c>
      <c r="AM640" t="s">
        <v>49</v>
      </c>
      <c r="AN640" s="3">
        <v>6</v>
      </c>
      <c r="AO640" s="19">
        <v>0</v>
      </c>
      <c r="AP640" s="19">
        <v>0</v>
      </c>
      <c r="AQ640" s="19">
        <v>0.3333</v>
      </c>
      <c r="AR640" s="19">
        <v>0</v>
      </c>
      <c r="AS640" s="19">
        <v>0</v>
      </c>
      <c r="AT640" s="19">
        <v>0</v>
      </c>
      <c r="AU640" s="3">
        <v>0</v>
      </c>
      <c r="AV640" s="3">
        <v>0</v>
      </c>
      <c r="AW640" s="19">
        <v>0</v>
      </c>
      <c r="AX640" s="3">
        <v>0</v>
      </c>
      <c r="AY640" s="3">
        <v>0</v>
      </c>
    </row>
    <row r="641" spans="1:51">
      <c r="A641" s="3">
        <v>12008777</v>
      </c>
      <c r="B641" t="s">
        <v>1031</v>
      </c>
      <c r="C641" s="3">
        <v>113240815</v>
      </c>
      <c r="D641" t="s">
        <v>44</v>
      </c>
      <c r="E641" t="s">
        <v>815</v>
      </c>
      <c r="F641" t="s">
        <v>65</v>
      </c>
      <c r="G641" t="s">
        <v>47</v>
      </c>
      <c r="H641" s="16">
        <v>0</v>
      </c>
      <c r="I641" s="4">
        <f>VLOOKUP(C641,[1]sheet1!$D:$I,6,0)</f>
        <v>0</v>
      </c>
      <c r="J641" s="4">
        <f>VLOOKUP(C641,[2]sheet1!$D:$I,6,0)</f>
        <v>0</v>
      </c>
      <c r="K641" s="4">
        <f>VLOOKUP(C641,[3]sheet1!$D:$I,6,0)</f>
        <v>0</v>
      </c>
      <c r="L641" s="4">
        <f>VLOOKUP(C641,[4]sheet1!$D:$I,6,0)</f>
        <v>0</v>
      </c>
      <c r="M641" s="4">
        <f>VLOOKUP(C641,[5]sheet1!$D:$I,6,0)</f>
        <v>0</v>
      </c>
      <c r="N641" s="4">
        <f>VLOOKUP(C641,[6]sheet1!$D:$I,6,0)</f>
        <v>0</v>
      </c>
      <c r="O641" s="4">
        <f>VLOOKUP(C641,[7]sheet1!$D:$I,6,0)</f>
        <v>0</v>
      </c>
      <c r="P641" s="4">
        <f>VLOOKUP(C641,[8]sheet1!$D:$I,6,0)</f>
        <v>0</v>
      </c>
      <c r="Q641" s="4">
        <f t="shared" si="9"/>
        <v>0</v>
      </c>
      <c r="R641" s="3">
        <v>0</v>
      </c>
      <c r="S641" s="3">
        <v>2</v>
      </c>
      <c r="T641" s="19">
        <v>0</v>
      </c>
      <c r="U641" s="3">
        <v>0</v>
      </c>
      <c r="V641" s="3">
        <v>0</v>
      </c>
      <c r="W641">
        <v>0</v>
      </c>
      <c r="X641" s="3">
        <v>0</v>
      </c>
      <c r="Y641">
        <v>0</v>
      </c>
      <c r="Z641" s="3">
        <v>0</v>
      </c>
      <c r="AA641" t="s">
        <v>105</v>
      </c>
      <c r="AB641" t="s">
        <v>49</v>
      </c>
      <c r="AC641">
        <v>576.44</v>
      </c>
      <c r="AD641" t="s">
        <v>49</v>
      </c>
      <c r="AE641">
        <v>0</v>
      </c>
      <c r="AF641" s="3">
        <v>0</v>
      </c>
      <c r="AG641" t="s">
        <v>49</v>
      </c>
      <c r="AH641">
        <v>0</v>
      </c>
      <c r="AI641" t="s">
        <v>49</v>
      </c>
      <c r="AJ641" t="s">
        <v>49</v>
      </c>
      <c r="AK641" t="s">
        <v>49</v>
      </c>
      <c r="AL641" t="s">
        <v>49</v>
      </c>
      <c r="AM641" t="s">
        <v>49</v>
      </c>
      <c r="AN641" s="3">
        <v>2</v>
      </c>
      <c r="AO641" s="19">
        <v>0</v>
      </c>
      <c r="AP641" s="19">
        <v>0</v>
      </c>
      <c r="AQ641" s="19">
        <v>1</v>
      </c>
      <c r="AR641" s="19">
        <v>0.5</v>
      </c>
      <c r="AS641" s="19">
        <v>0</v>
      </c>
      <c r="AT641" s="19">
        <v>0</v>
      </c>
      <c r="AU641" s="3">
        <v>0</v>
      </c>
      <c r="AV641" s="3">
        <v>0</v>
      </c>
      <c r="AW641" s="19">
        <v>0</v>
      </c>
      <c r="AX641" s="3">
        <v>0</v>
      </c>
      <c r="AY641" s="3">
        <v>0</v>
      </c>
    </row>
    <row r="642" spans="1:51">
      <c r="A642" s="3">
        <v>11979353</v>
      </c>
      <c r="B642" t="s">
        <v>1032</v>
      </c>
      <c r="C642" s="3">
        <v>114301087</v>
      </c>
      <c r="D642" t="s">
        <v>44</v>
      </c>
      <c r="E642" t="s">
        <v>104</v>
      </c>
      <c r="F642" t="s">
        <v>46</v>
      </c>
      <c r="G642" t="s">
        <v>47</v>
      </c>
      <c r="H642" s="16">
        <v>0</v>
      </c>
      <c r="I642" s="4">
        <f>VLOOKUP(C642,[1]sheet1!$D:$I,6,0)</f>
        <v>0</v>
      </c>
      <c r="J642" s="4">
        <f>VLOOKUP(C642,[2]sheet1!$D:$I,6,0)</f>
        <v>0</v>
      </c>
      <c r="K642" s="4">
        <f>VLOOKUP(C642,[3]sheet1!$D:$I,6,0)</f>
        <v>0</v>
      </c>
      <c r="L642" s="4">
        <f>VLOOKUP(C642,[4]sheet1!$D:$I,6,0)</f>
        <v>2178</v>
      </c>
      <c r="M642" s="4">
        <f>VLOOKUP(C642,[5]sheet1!$D:$I,6,0)</f>
        <v>0</v>
      </c>
      <c r="N642" s="4">
        <f>VLOOKUP(C642,[6]sheet1!$D:$I,6,0)</f>
        <v>0</v>
      </c>
      <c r="O642" s="4">
        <f>VLOOKUP(C642,[7]sheet1!$D:$I,6,0)</f>
        <v>0</v>
      </c>
      <c r="P642" s="4">
        <f>VLOOKUP(C642,[8]sheet1!$D:$I,6,0)</f>
        <v>0</v>
      </c>
      <c r="Q642" s="4">
        <f t="shared" si="9"/>
        <v>2178</v>
      </c>
      <c r="R642" s="3">
        <v>0</v>
      </c>
      <c r="S642">
        <v>290</v>
      </c>
      <c r="T642">
        <v>0</v>
      </c>
      <c r="U642" s="3">
        <v>4</v>
      </c>
      <c r="V642" s="3">
        <v>0</v>
      </c>
      <c r="W642">
        <v>0</v>
      </c>
      <c r="X642" s="3">
        <v>0</v>
      </c>
      <c r="Y642">
        <v>0</v>
      </c>
      <c r="Z642" s="3">
        <v>0</v>
      </c>
      <c r="AA642" t="s">
        <v>387</v>
      </c>
      <c r="AB642" s="3">
        <v>1599</v>
      </c>
      <c r="AC642">
        <v>1904.39</v>
      </c>
      <c r="AD642" t="s">
        <v>49</v>
      </c>
      <c r="AE642">
        <v>0</v>
      </c>
      <c r="AF642" s="3">
        <v>0</v>
      </c>
      <c r="AG642" t="s">
        <v>49</v>
      </c>
      <c r="AH642">
        <v>0</v>
      </c>
      <c r="AI642" t="s">
        <v>49</v>
      </c>
      <c r="AJ642">
        <v>1381.52</v>
      </c>
      <c r="AK642" t="s">
        <v>49</v>
      </c>
      <c r="AL642">
        <v>0</v>
      </c>
      <c r="AM642" t="s">
        <v>49</v>
      </c>
      <c r="AN642" s="3">
        <v>90</v>
      </c>
      <c r="AO642" s="19">
        <v>0</v>
      </c>
      <c r="AP642" s="19">
        <v>0</v>
      </c>
      <c r="AQ642" s="19">
        <v>0.8387</v>
      </c>
      <c r="AR642" s="19">
        <v>0.5161</v>
      </c>
      <c r="AS642" s="19">
        <v>1</v>
      </c>
      <c r="AT642" s="19">
        <v>0.25</v>
      </c>
      <c r="AU642" s="3">
        <v>0</v>
      </c>
      <c r="AV642" s="3">
        <v>0</v>
      </c>
      <c r="AW642" s="19">
        <v>0</v>
      </c>
      <c r="AX642" s="3">
        <v>0</v>
      </c>
      <c r="AY642" s="3">
        <v>0</v>
      </c>
    </row>
    <row r="643" spans="1:51">
      <c r="A643" s="3">
        <v>11976349</v>
      </c>
      <c r="B643" t="s">
        <v>1033</v>
      </c>
      <c r="C643" s="3">
        <v>124301038</v>
      </c>
      <c r="D643" t="s">
        <v>44</v>
      </c>
      <c r="E643" t="s">
        <v>141</v>
      </c>
      <c r="F643" t="s">
        <v>46</v>
      </c>
      <c r="G643" t="s">
        <v>47</v>
      </c>
      <c r="H643" s="16">
        <v>0</v>
      </c>
      <c r="I643" s="4">
        <f>VLOOKUP(C643,[1]sheet1!$D:$I,6,0)</f>
        <v>0</v>
      </c>
      <c r="J643" s="4">
        <f>VLOOKUP(C643,[2]sheet1!$D:$I,6,0)</f>
        <v>1258</v>
      </c>
      <c r="K643" s="4">
        <f>VLOOKUP(C643,[3]sheet1!$D:$I,6,0)</f>
        <v>0</v>
      </c>
      <c r="L643" s="4">
        <f>VLOOKUP(C643,[4]sheet1!$D:$I,6,0)</f>
        <v>0</v>
      </c>
      <c r="M643" s="4">
        <f>VLOOKUP(C643,[5]sheet1!$D:$I,6,0)</f>
        <v>0</v>
      </c>
      <c r="N643" s="4">
        <f>VLOOKUP(C643,[6]sheet1!$D:$I,6,0)</f>
        <v>625</v>
      </c>
      <c r="O643" s="4">
        <f>VLOOKUP(C643,[7]sheet1!$D:$I,6,0)</f>
        <v>0</v>
      </c>
      <c r="P643" s="4">
        <f>VLOOKUP(C643,[8]sheet1!$D:$I,6,0)</f>
        <v>0</v>
      </c>
      <c r="Q643" s="4">
        <f t="shared" ref="Q643:Q677" si="10">SUM(H643:P643)</f>
        <v>1883</v>
      </c>
      <c r="R643" s="3">
        <v>0</v>
      </c>
      <c r="S643">
        <v>173</v>
      </c>
      <c r="T643">
        <v>0</v>
      </c>
      <c r="U643" s="3">
        <v>1</v>
      </c>
      <c r="V643" s="3">
        <v>0</v>
      </c>
      <c r="W643">
        <v>650</v>
      </c>
      <c r="X643" s="3">
        <v>1</v>
      </c>
      <c r="Y643">
        <v>0</v>
      </c>
      <c r="Z643" s="3">
        <v>0</v>
      </c>
      <c r="AA643" t="s">
        <v>223</v>
      </c>
      <c r="AB643" s="3">
        <v>599</v>
      </c>
      <c r="AC643">
        <v>509.74</v>
      </c>
      <c r="AD643" t="s">
        <v>49</v>
      </c>
      <c r="AE643">
        <v>0</v>
      </c>
      <c r="AF643" s="3">
        <v>0</v>
      </c>
      <c r="AG643" t="s">
        <v>49</v>
      </c>
      <c r="AH643">
        <v>0</v>
      </c>
      <c r="AI643" t="s">
        <v>49</v>
      </c>
      <c r="AJ643" t="s">
        <v>49</v>
      </c>
      <c r="AK643" t="s">
        <v>49</v>
      </c>
      <c r="AL643" t="s">
        <v>49</v>
      </c>
      <c r="AM643" t="s">
        <v>49</v>
      </c>
      <c r="AN643">
        <v>188</v>
      </c>
      <c r="AO643" s="19">
        <v>0</v>
      </c>
      <c r="AP643" s="19">
        <v>0</v>
      </c>
      <c r="AQ643" s="19">
        <v>0.9091</v>
      </c>
      <c r="AR643" s="19">
        <v>0.3182</v>
      </c>
      <c r="AS643" s="19">
        <v>1</v>
      </c>
      <c r="AT643" s="19">
        <v>0</v>
      </c>
      <c r="AU643" s="3">
        <v>0</v>
      </c>
      <c r="AV643" s="3">
        <v>0</v>
      </c>
      <c r="AW643" s="19">
        <v>0</v>
      </c>
      <c r="AX643" s="3">
        <v>0</v>
      </c>
      <c r="AY643" s="3">
        <v>0</v>
      </c>
    </row>
    <row r="644" spans="1:51">
      <c r="A644" s="3">
        <v>11975151</v>
      </c>
      <c r="B644" t="s">
        <v>1034</v>
      </c>
      <c r="C644" s="3">
        <v>111040303</v>
      </c>
      <c r="D644" t="s">
        <v>44</v>
      </c>
      <c r="E644" t="s">
        <v>1035</v>
      </c>
      <c r="F644" t="s">
        <v>65</v>
      </c>
      <c r="G644" t="s">
        <v>47</v>
      </c>
      <c r="H644" s="16">
        <v>0</v>
      </c>
      <c r="I644" s="4">
        <f>VLOOKUP(C644,[1]sheet1!$D:$I,6,0)</f>
        <v>0</v>
      </c>
      <c r="J644" s="4">
        <f>VLOOKUP(C644,[2]sheet1!$D:$I,6,0)</f>
        <v>0</v>
      </c>
      <c r="K644" s="4">
        <f>VLOOKUP(C644,[3]sheet1!$D:$I,6,0)</f>
        <v>0</v>
      </c>
      <c r="L644" s="4">
        <f>VLOOKUP(C644,[4]sheet1!$D:$I,6,0)</f>
        <v>0</v>
      </c>
      <c r="M644" s="4">
        <f>VLOOKUP(C644,[5]sheet1!$D:$I,6,0)</f>
        <v>0</v>
      </c>
      <c r="N644" s="4">
        <f>VLOOKUP(C644,[6]sheet1!$D:$I,6,0)</f>
        <v>0</v>
      </c>
      <c r="O644" s="4">
        <f>VLOOKUP(C644,[7]sheet1!$D:$I,6,0)</f>
        <v>0</v>
      </c>
      <c r="P644" s="4">
        <f>VLOOKUP(C644,[8]sheet1!$D:$I,6,0)</f>
        <v>0</v>
      </c>
      <c r="Q644" s="4">
        <f t="shared" si="10"/>
        <v>0</v>
      </c>
      <c r="R644" s="3">
        <v>0</v>
      </c>
      <c r="S644" s="3">
        <v>1</v>
      </c>
      <c r="T644" s="19">
        <v>0</v>
      </c>
      <c r="U644" s="3">
        <v>0</v>
      </c>
      <c r="V644" s="3">
        <v>0</v>
      </c>
      <c r="W644">
        <v>0</v>
      </c>
      <c r="X644" s="3">
        <v>0</v>
      </c>
      <c r="Y644">
        <v>0</v>
      </c>
      <c r="Z644" s="3">
        <v>0</v>
      </c>
      <c r="AA644" t="s">
        <v>49</v>
      </c>
      <c r="AB644" t="s">
        <v>49</v>
      </c>
      <c r="AC644" t="s">
        <v>49</v>
      </c>
      <c r="AD644" t="s">
        <v>49</v>
      </c>
      <c r="AE644">
        <v>0</v>
      </c>
      <c r="AF644" s="3">
        <v>0</v>
      </c>
      <c r="AG644" t="s">
        <v>49</v>
      </c>
      <c r="AH644" t="s">
        <v>49</v>
      </c>
      <c r="AI644" t="s">
        <v>49</v>
      </c>
      <c r="AJ644" t="s">
        <v>49</v>
      </c>
      <c r="AK644" t="s">
        <v>49</v>
      </c>
      <c r="AL644" t="s">
        <v>49</v>
      </c>
      <c r="AM644" t="s">
        <v>49</v>
      </c>
      <c r="AN644" s="3">
        <v>1</v>
      </c>
      <c r="AO644" s="19">
        <v>0</v>
      </c>
      <c r="AP644" s="19">
        <v>0</v>
      </c>
      <c r="AQ644" s="19">
        <v>1</v>
      </c>
      <c r="AR644" s="19">
        <v>0</v>
      </c>
      <c r="AS644" s="19">
        <v>0</v>
      </c>
      <c r="AT644" s="19">
        <v>0</v>
      </c>
      <c r="AU644" s="3">
        <v>0</v>
      </c>
      <c r="AV644" s="3">
        <v>0</v>
      </c>
      <c r="AW644" s="19">
        <v>0</v>
      </c>
      <c r="AX644" s="3">
        <v>0</v>
      </c>
      <c r="AY644" s="3">
        <v>0</v>
      </c>
    </row>
    <row r="645" spans="1:51">
      <c r="A645" s="3">
        <v>11933497</v>
      </c>
      <c r="B645" t="s">
        <v>1036</v>
      </c>
      <c r="C645" s="3">
        <v>112340158</v>
      </c>
      <c r="D645" t="s">
        <v>44</v>
      </c>
      <c r="E645" t="s">
        <v>141</v>
      </c>
      <c r="F645" t="s">
        <v>65</v>
      </c>
      <c r="G645" t="s">
        <v>47</v>
      </c>
      <c r="H645" s="16">
        <v>0</v>
      </c>
      <c r="I645" s="4">
        <f>VLOOKUP(C645,[1]sheet1!$D:$I,6,0)</f>
        <v>0</v>
      </c>
      <c r="J645" s="4">
        <f>VLOOKUP(C645,[2]sheet1!$D:$I,6,0)</f>
        <v>0</v>
      </c>
      <c r="K645" s="4">
        <f>VLOOKUP(C645,[3]sheet1!$D:$I,6,0)</f>
        <v>0</v>
      </c>
      <c r="L645" s="4">
        <f>VLOOKUP(C645,[4]sheet1!$D:$I,6,0)</f>
        <v>0</v>
      </c>
      <c r="M645" s="4">
        <f>VLOOKUP(C645,[5]sheet1!$D:$I,6,0)</f>
        <v>0</v>
      </c>
      <c r="N645" s="4">
        <f>VLOOKUP(C645,[6]sheet1!$D:$I,6,0)</f>
        <v>0</v>
      </c>
      <c r="O645" s="4">
        <f>VLOOKUP(C645,[7]sheet1!$D:$I,6,0)</f>
        <v>0</v>
      </c>
      <c r="P645" s="4">
        <f>VLOOKUP(C645,[8]sheet1!$D:$I,6,0)</f>
        <v>0</v>
      </c>
      <c r="Q645" s="4">
        <f t="shared" si="10"/>
        <v>0</v>
      </c>
      <c r="R645" s="3">
        <v>0</v>
      </c>
      <c r="S645" s="3">
        <v>1</v>
      </c>
      <c r="T645" s="19">
        <v>0</v>
      </c>
      <c r="U645" s="3">
        <v>0</v>
      </c>
      <c r="V645" s="3">
        <v>0</v>
      </c>
      <c r="W645">
        <v>0</v>
      </c>
      <c r="X645" s="3">
        <v>0</v>
      </c>
      <c r="Y645">
        <v>0</v>
      </c>
      <c r="Z645" s="3">
        <v>0</v>
      </c>
      <c r="AA645" t="s">
        <v>237</v>
      </c>
      <c r="AB645" t="s">
        <v>49</v>
      </c>
      <c r="AC645">
        <v>422.74</v>
      </c>
      <c r="AD645" t="s">
        <v>49</v>
      </c>
      <c r="AE645">
        <v>0</v>
      </c>
      <c r="AF645" s="3">
        <v>0</v>
      </c>
      <c r="AG645" t="s">
        <v>49</v>
      </c>
      <c r="AH645">
        <v>0</v>
      </c>
      <c r="AI645" t="s">
        <v>49</v>
      </c>
      <c r="AJ645" t="s">
        <v>49</v>
      </c>
      <c r="AK645" t="s">
        <v>49</v>
      </c>
      <c r="AL645" t="s">
        <v>49</v>
      </c>
      <c r="AM645" t="s">
        <v>49</v>
      </c>
      <c r="AN645" s="3">
        <v>1</v>
      </c>
      <c r="AO645" s="19">
        <v>0</v>
      </c>
      <c r="AP645" s="19">
        <v>0</v>
      </c>
      <c r="AQ645" s="19">
        <v>1</v>
      </c>
      <c r="AR645" s="19">
        <v>0</v>
      </c>
      <c r="AS645" s="19">
        <v>0</v>
      </c>
      <c r="AT645" s="19">
        <v>0</v>
      </c>
      <c r="AU645" s="3">
        <v>0</v>
      </c>
      <c r="AV645" s="3">
        <v>0</v>
      </c>
      <c r="AW645" s="19">
        <v>0</v>
      </c>
      <c r="AX645" s="3">
        <v>0</v>
      </c>
      <c r="AY645" s="3">
        <v>0</v>
      </c>
    </row>
    <row r="646" spans="1:51">
      <c r="A646" s="3">
        <v>11857903</v>
      </c>
      <c r="B646" t="s">
        <v>1037</v>
      </c>
      <c r="C646" s="3">
        <v>16702609</v>
      </c>
      <c r="D646" t="s">
        <v>44</v>
      </c>
      <c r="E646" t="s">
        <v>211</v>
      </c>
      <c r="F646" t="s">
        <v>65</v>
      </c>
      <c r="G646" t="s">
        <v>47</v>
      </c>
      <c r="H646" s="16">
        <v>0</v>
      </c>
      <c r="I646" s="4">
        <f>VLOOKUP(C646,[1]sheet1!$D:$I,6,0)</f>
        <v>0</v>
      </c>
      <c r="J646" s="4">
        <f>VLOOKUP(C646,[2]sheet1!$D:$I,6,0)</f>
        <v>0</v>
      </c>
      <c r="K646" s="4">
        <f>VLOOKUP(C646,[3]sheet1!$D:$I,6,0)</f>
        <v>0</v>
      </c>
      <c r="L646" s="4">
        <f>VLOOKUP(C646,[4]sheet1!$D:$I,6,0)</f>
        <v>0</v>
      </c>
      <c r="M646" s="4">
        <f>VLOOKUP(C646,[5]sheet1!$D:$I,6,0)</f>
        <v>0</v>
      </c>
      <c r="N646" s="4">
        <f>VLOOKUP(C646,[6]sheet1!$D:$I,6,0)</f>
        <v>0</v>
      </c>
      <c r="O646" s="4">
        <f>VLOOKUP(C646,[7]sheet1!$D:$I,6,0)</f>
        <v>0</v>
      </c>
      <c r="P646" s="4">
        <f>VLOOKUP(C646,[8]sheet1!$D:$I,6,0)</f>
        <v>0</v>
      </c>
      <c r="Q646" s="4">
        <f t="shared" si="10"/>
        <v>0</v>
      </c>
      <c r="R646" s="3">
        <v>0</v>
      </c>
      <c r="S646" s="3">
        <v>5</v>
      </c>
      <c r="T646" s="19">
        <v>0</v>
      </c>
      <c r="U646" s="3">
        <v>0</v>
      </c>
      <c r="V646" s="3">
        <v>0</v>
      </c>
      <c r="W646">
        <v>50</v>
      </c>
      <c r="X646" s="3">
        <v>1</v>
      </c>
      <c r="Y646">
        <v>0</v>
      </c>
      <c r="Z646" s="3">
        <v>0</v>
      </c>
      <c r="AA646" t="s">
        <v>345</v>
      </c>
      <c r="AB646" t="s">
        <v>49</v>
      </c>
      <c r="AC646">
        <v>21.18</v>
      </c>
      <c r="AD646" t="s">
        <v>49</v>
      </c>
      <c r="AE646">
        <v>0</v>
      </c>
      <c r="AF646" s="3">
        <v>0</v>
      </c>
      <c r="AG646" t="s">
        <v>49</v>
      </c>
      <c r="AH646">
        <v>0</v>
      </c>
      <c r="AI646" t="s">
        <v>49</v>
      </c>
      <c r="AJ646" t="s">
        <v>49</v>
      </c>
      <c r="AK646" t="s">
        <v>49</v>
      </c>
      <c r="AL646" t="s">
        <v>49</v>
      </c>
      <c r="AM646" t="s">
        <v>49</v>
      </c>
      <c r="AN646" s="3">
        <v>5</v>
      </c>
      <c r="AO646" s="19">
        <v>0</v>
      </c>
      <c r="AP646" s="19">
        <v>0</v>
      </c>
      <c r="AQ646" s="19">
        <v>1</v>
      </c>
      <c r="AR646" s="19">
        <v>0.2</v>
      </c>
      <c r="AS646" s="19">
        <v>0</v>
      </c>
      <c r="AT646" s="19">
        <v>0</v>
      </c>
      <c r="AU646" s="3">
        <v>0</v>
      </c>
      <c r="AV646" s="3">
        <v>0</v>
      </c>
      <c r="AW646" s="19">
        <v>0</v>
      </c>
      <c r="AX646" s="3">
        <v>0</v>
      </c>
      <c r="AY646" s="3">
        <v>0</v>
      </c>
    </row>
    <row r="647" spans="1:51">
      <c r="A647" s="3">
        <v>11857747</v>
      </c>
      <c r="B647" t="s">
        <v>1038</v>
      </c>
      <c r="C647" s="3">
        <v>16702618</v>
      </c>
      <c r="D647" t="s">
        <v>44</v>
      </c>
      <c r="E647" t="s">
        <v>1039</v>
      </c>
      <c r="F647" t="s">
        <v>65</v>
      </c>
      <c r="G647" t="s">
        <v>47</v>
      </c>
      <c r="H647" s="16">
        <v>0</v>
      </c>
      <c r="I647" s="4">
        <f>VLOOKUP(C647,[1]sheet1!$D:$I,6,0)</f>
        <v>0</v>
      </c>
      <c r="J647" s="4">
        <f>VLOOKUP(C647,[2]sheet1!$D:$I,6,0)</f>
        <v>0</v>
      </c>
      <c r="K647" s="4">
        <f>VLOOKUP(C647,[3]sheet1!$D:$I,6,0)</f>
        <v>0</v>
      </c>
      <c r="L647" s="4">
        <f>VLOOKUP(C647,[4]sheet1!$D:$I,6,0)</f>
        <v>49</v>
      </c>
      <c r="M647" s="4">
        <f>VLOOKUP(C647,[5]sheet1!$D:$I,6,0)</f>
        <v>0</v>
      </c>
      <c r="N647" s="4">
        <f>VLOOKUP(C647,[6]sheet1!$D:$I,6,0)</f>
        <v>0</v>
      </c>
      <c r="O647" s="4">
        <f>VLOOKUP(C647,[7]sheet1!$D:$I,6,0)</f>
        <v>0</v>
      </c>
      <c r="P647" s="4">
        <f>VLOOKUP(C647,[8]sheet1!$D:$I,6,0)</f>
        <v>0</v>
      </c>
      <c r="Q647" s="4">
        <f t="shared" si="10"/>
        <v>49</v>
      </c>
      <c r="R647" s="3">
        <v>0</v>
      </c>
      <c r="S647" s="3">
        <v>9</v>
      </c>
      <c r="T647" s="19">
        <v>0</v>
      </c>
      <c r="U647" s="3">
        <v>1</v>
      </c>
      <c r="V647" s="3">
        <v>0</v>
      </c>
      <c r="W647">
        <v>0</v>
      </c>
      <c r="X647" s="3">
        <v>0</v>
      </c>
      <c r="Y647">
        <v>0</v>
      </c>
      <c r="Z647" s="3">
        <v>0</v>
      </c>
      <c r="AA647" t="s">
        <v>336</v>
      </c>
      <c r="AB647" t="s">
        <v>49</v>
      </c>
      <c r="AC647">
        <v>41.18</v>
      </c>
      <c r="AD647" t="s">
        <v>49</v>
      </c>
      <c r="AE647">
        <v>0</v>
      </c>
      <c r="AF647" s="3">
        <v>0</v>
      </c>
      <c r="AG647" t="s">
        <v>49</v>
      </c>
      <c r="AH647">
        <v>0</v>
      </c>
      <c r="AI647" t="s">
        <v>49</v>
      </c>
      <c r="AJ647" t="s">
        <v>49</v>
      </c>
      <c r="AK647" t="s">
        <v>49</v>
      </c>
      <c r="AL647" t="s">
        <v>49</v>
      </c>
      <c r="AM647" t="s">
        <v>49</v>
      </c>
      <c r="AN647" s="3">
        <v>13</v>
      </c>
      <c r="AO647" s="19">
        <v>0</v>
      </c>
      <c r="AP647" s="19">
        <v>0</v>
      </c>
      <c r="AQ647" s="19">
        <v>0.8889</v>
      </c>
      <c r="AR647" s="19">
        <v>0.3333</v>
      </c>
      <c r="AS647" s="19">
        <v>1</v>
      </c>
      <c r="AT647" s="19">
        <v>0</v>
      </c>
      <c r="AU647" s="3">
        <v>0</v>
      </c>
      <c r="AV647" s="3">
        <v>0</v>
      </c>
      <c r="AW647" s="19">
        <v>0</v>
      </c>
      <c r="AX647" s="3">
        <v>0</v>
      </c>
      <c r="AY647" s="3">
        <v>0</v>
      </c>
    </row>
    <row r="648" spans="1:51">
      <c r="A648" s="3">
        <v>11853493</v>
      </c>
      <c r="B648" t="s">
        <v>1040</v>
      </c>
      <c r="C648" s="3">
        <v>113140132</v>
      </c>
      <c r="D648" t="s">
        <v>44</v>
      </c>
      <c r="E648" t="s">
        <v>84</v>
      </c>
      <c r="F648" t="s">
        <v>65</v>
      </c>
      <c r="G648" t="s">
        <v>47</v>
      </c>
      <c r="H648" s="16">
        <v>0</v>
      </c>
      <c r="I648" s="4">
        <f>VLOOKUP(C648,[1]sheet1!$D:$I,6,0)</f>
        <v>0</v>
      </c>
      <c r="J648" s="4">
        <f>VLOOKUP(C648,[2]sheet1!$D:$I,6,0)</f>
        <v>0</v>
      </c>
      <c r="K648" s="4">
        <f>VLOOKUP(C648,[3]sheet1!$D:$I,6,0)</f>
        <v>0</v>
      </c>
      <c r="L648" s="4">
        <f>VLOOKUP(C648,[4]sheet1!$D:$I,6,0)</f>
        <v>0</v>
      </c>
      <c r="M648" s="4">
        <f>VLOOKUP(C648,[5]sheet1!$D:$I,6,0)</f>
        <v>0</v>
      </c>
      <c r="N648" s="4">
        <f>VLOOKUP(C648,[6]sheet1!$D:$I,6,0)</f>
        <v>0</v>
      </c>
      <c r="O648" s="4">
        <f>VLOOKUP(C648,[7]sheet1!$D:$I,6,0)</f>
        <v>0</v>
      </c>
      <c r="P648" s="4">
        <f>VLOOKUP(C648,[8]sheet1!$D:$I,6,0)</f>
        <v>0</v>
      </c>
      <c r="Q648" s="4">
        <f t="shared" si="10"/>
        <v>0</v>
      </c>
      <c r="R648" s="3">
        <v>0</v>
      </c>
      <c r="S648" s="3">
        <v>4</v>
      </c>
      <c r="T648" s="19">
        <v>0</v>
      </c>
      <c r="U648" s="3">
        <v>0</v>
      </c>
      <c r="V648" s="3">
        <v>0</v>
      </c>
      <c r="W648">
        <v>0</v>
      </c>
      <c r="X648" s="3">
        <v>0</v>
      </c>
      <c r="Y648">
        <v>0</v>
      </c>
      <c r="Z648" s="3">
        <v>0</v>
      </c>
      <c r="AA648" t="s">
        <v>49</v>
      </c>
      <c r="AB648" t="s">
        <v>49</v>
      </c>
      <c r="AC648" t="s">
        <v>49</v>
      </c>
      <c r="AD648" t="s">
        <v>49</v>
      </c>
      <c r="AE648">
        <v>0</v>
      </c>
      <c r="AF648" s="3">
        <v>0</v>
      </c>
      <c r="AG648" t="s">
        <v>49</v>
      </c>
      <c r="AH648" t="s">
        <v>49</v>
      </c>
      <c r="AI648" t="s">
        <v>49</v>
      </c>
      <c r="AJ648" t="s">
        <v>49</v>
      </c>
      <c r="AK648" t="s">
        <v>49</v>
      </c>
      <c r="AL648" t="s">
        <v>49</v>
      </c>
      <c r="AM648" t="s">
        <v>49</v>
      </c>
      <c r="AN648" s="3">
        <v>4</v>
      </c>
      <c r="AO648" s="19">
        <v>0</v>
      </c>
      <c r="AP648" s="19">
        <v>0</v>
      </c>
      <c r="AQ648" s="19">
        <v>0.5</v>
      </c>
      <c r="AR648" s="19">
        <v>0.5</v>
      </c>
      <c r="AS648" s="19">
        <v>0</v>
      </c>
      <c r="AT648" s="19">
        <v>0</v>
      </c>
      <c r="AU648" s="3">
        <v>0</v>
      </c>
      <c r="AV648" s="3">
        <v>0</v>
      </c>
      <c r="AW648" s="19">
        <v>0</v>
      </c>
      <c r="AX648" s="3">
        <v>0</v>
      </c>
      <c r="AY648" s="3">
        <v>0</v>
      </c>
    </row>
    <row r="649" spans="1:51">
      <c r="A649" s="3">
        <v>11848257</v>
      </c>
      <c r="B649" t="s">
        <v>1041</v>
      </c>
      <c r="C649" s="3">
        <v>114301029</v>
      </c>
      <c r="D649" t="s">
        <v>44</v>
      </c>
      <c r="E649" t="s">
        <v>104</v>
      </c>
      <c r="F649" t="s">
        <v>46</v>
      </c>
      <c r="G649" t="s">
        <v>47</v>
      </c>
      <c r="H649" s="16">
        <v>0</v>
      </c>
      <c r="I649" s="4">
        <f>VLOOKUP(C649,[1]sheet1!$D:$I,6,0)</f>
        <v>524</v>
      </c>
      <c r="J649" s="4">
        <f>VLOOKUP(C649,[2]sheet1!$D:$I,6,0)</f>
        <v>0</v>
      </c>
      <c r="K649" s="4">
        <f>VLOOKUP(C649,[3]sheet1!$D:$I,6,0)</f>
        <v>549</v>
      </c>
      <c r="L649" s="4">
        <f>VLOOKUP(C649,[4]sheet1!$D:$I,6,0)</f>
        <v>0</v>
      </c>
      <c r="M649" s="4">
        <f>VLOOKUP(C649,[5]sheet1!$D:$I,6,0)</f>
        <v>0</v>
      </c>
      <c r="N649" s="4">
        <f>VLOOKUP(C649,[6]sheet1!$D:$I,6,0)</f>
        <v>0</v>
      </c>
      <c r="O649" s="4">
        <f>VLOOKUP(C649,[7]sheet1!$D:$I,6,0)</f>
        <v>0</v>
      </c>
      <c r="P649" s="4">
        <f>VLOOKUP(C649,[8]sheet1!$D:$I,6,0)</f>
        <v>0</v>
      </c>
      <c r="Q649" s="4">
        <f t="shared" si="10"/>
        <v>1073</v>
      </c>
      <c r="R649" s="3">
        <v>0</v>
      </c>
      <c r="S649">
        <v>423</v>
      </c>
      <c r="T649">
        <v>0</v>
      </c>
      <c r="U649" s="3">
        <v>11</v>
      </c>
      <c r="V649" s="3">
        <v>0</v>
      </c>
      <c r="W649">
        <v>570</v>
      </c>
      <c r="X649" s="3">
        <v>1</v>
      </c>
      <c r="Y649">
        <v>0</v>
      </c>
      <c r="Z649" s="3">
        <v>0</v>
      </c>
      <c r="AA649" t="s">
        <v>150</v>
      </c>
      <c r="AB649" s="3">
        <v>412</v>
      </c>
      <c r="AC649">
        <v>407.12</v>
      </c>
      <c r="AD649" t="s">
        <v>49</v>
      </c>
      <c r="AE649">
        <v>0</v>
      </c>
      <c r="AF649" s="3">
        <v>0</v>
      </c>
      <c r="AG649" t="s">
        <v>49</v>
      </c>
      <c r="AH649">
        <v>0</v>
      </c>
      <c r="AI649" t="s">
        <v>49</v>
      </c>
      <c r="AJ649">
        <v>348.83</v>
      </c>
      <c r="AK649" t="s">
        <v>49</v>
      </c>
      <c r="AL649">
        <v>0</v>
      </c>
      <c r="AM649" t="s">
        <v>49</v>
      </c>
      <c r="AN649" s="3">
        <v>173</v>
      </c>
      <c r="AO649" s="19">
        <v>0</v>
      </c>
      <c r="AP649" s="19">
        <v>0</v>
      </c>
      <c r="AQ649" s="19">
        <v>0.803</v>
      </c>
      <c r="AR649" s="19">
        <v>0.5227</v>
      </c>
      <c r="AS649" s="19">
        <v>0.8182</v>
      </c>
      <c r="AT649" s="19">
        <v>0.5455</v>
      </c>
      <c r="AU649" s="3">
        <v>0</v>
      </c>
      <c r="AV649" s="3">
        <v>0</v>
      </c>
      <c r="AW649" s="19">
        <v>0</v>
      </c>
      <c r="AX649" s="3">
        <v>0</v>
      </c>
      <c r="AY649" s="3">
        <v>0</v>
      </c>
    </row>
    <row r="650" spans="1:51">
      <c r="A650" s="3">
        <v>11816680</v>
      </c>
      <c r="B650" t="s">
        <v>1042</v>
      </c>
      <c r="C650" s="3">
        <v>124301002</v>
      </c>
      <c r="D650" t="s">
        <v>44</v>
      </c>
      <c r="E650" t="s">
        <v>141</v>
      </c>
      <c r="F650" t="s">
        <v>46</v>
      </c>
      <c r="G650" t="s">
        <v>47</v>
      </c>
      <c r="H650" s="16">
        <v>0</v>
      </c>
      <c r="I650" s="4">
        <f>VLOOKUP(C650,[1]sheet1!$D:$I,6,0)</f>
        <v>0</v>
      </c>
      <c r="J650" s="4">
        <f>VLOOKUP(C650,[2]sheet1!$D:$I,6,0)</f>
        <v>0</v>
      </c>
      <c r="K650" s="4">
        <f>VLOOKUP(C650,[3]sheet1!$D:$I,6,0)</f>
        <v>0</v>
      </c>
      <c r="L650" s="4">
        <f>VLOOKUP(C650,[4]sheet1!$D:$I,6,0)</f>
        <v>0</v>
      </c>
      <c r="M650" s="4">
        <f>VLOOKUP(C650,[5]sheet1!$D:$I,6,0)</f>
        <v>0</v>
      </c>
      <c r="N650" s="4">
        <f>VLOOKUP(C650,[6]sheet1!$D:$I,6,0)</f>
        <v>0</v>
      </c>
      <c r="O650" s="4">
        <f>VLOOKUP(C650,[7]sheet1!$D:$I,6,0)</f>
        <v>0</v>
      </c>
      <c r="P650" s="4">
        <f>VLOOKUP(C650,[8]sheet1!$D:$I,6,0)</f>
        <v>0</v>
      </c>
      <c r="Q650" s="4">
        <f t="shared" si="10"/>
        <v>0</v>
      </c>
      <c r="R650" s="3">
        <v>0</v>
      </c>
      <c r="S650">
        <v>201</v>
      </c>
      <c r="T650">
        <v>0</v>
      </c>
      <c r="U650" s="3">
        <v>0</v>
      </c>
      <c r="V650" s="3">
        <v>0</v>
      </c>
      <c r="W650">
        <v>0</v>
      </c>
      <c r="X650" s="3">
        <v>0</v>
      </c>
      <c r="Y650">
        <v>0</v>
      </c>
      <c r="Z650" s="3">
        <v>0</v>
      </c>
      <c r="AA650" t="s">
        <v>259</v>
      </c>
      <c r="AB650" s="3">
        <v>349</v>
      </c>
      <c r="AC650">
        <v>441.01</v>
      </c>
      <c r="AD650" t="s">
        <v>49</v>
      </c>
      <c r="AE650">
        <v>0</v>
      </c>
      <c r="AF650" s="3">
        <v>0</v>
      </c>
      <c r="AG650" t="s">
        <v>49</v>
      </c>
      <c r="AH650">
        <v>0</v>
      </c>
      <c r="AI650" t="s">
        <v>49</v>
      </c>
      <c r="AJ650">
        <v>292.24</v>
      </c>
      <c r="AK650" t="s">
        <v>49</v>
      </c>
      <c r="AL650">
        <v>0</v>
      </c>
      <c r="AM650" t="s">
        <v>49</v>
      </c>
      <c r="AN650" s="3">
        <v>37</v>
      </c>
      <c r="AO650" s="19">
        <v>0</v>
      </c>
      <c r="AP650" s="19">
        <v>0</v>
      </c>
      <c r="AQ650" s="19">
        <v>0.8</v>
      </c>
      <c r="AR650" s="19">
        <v>0.6333</v>
      </c>
      <c r="AS650" s="19">
        <v>0</v>
      </c>
      <c r="AT650" s="19">
        <v>0</v>
      </c>
      <c r="AU650" s="3">
        <v>0</v>
      </c>
      <c r="AV650" s="3">
        <v>0</v>
      </c>
      <c r="AW650" s="19">
        <v>0</v>
      </c>
      <c r="AX650" s="3">
        <v>0</v>
      </c>
      <c r="AY650" s="3">
        <v>0</v>
      </c>
    </row>
    <row r="651" spans="1:51">
      <c r="A651" s="3">
        <v>11815247</v>
      </c>
      <c r="B651" t="s">
        <v>1043</v>
      </c>
      <c r="C651" s="3">
        <v>114301001</v>
      </c>
      <c r="D651" t="s">
        <v>44</v>
      </c>
      <c r="E651" t="s">
        <v>104</v>
      </c>
      <c r="F651" t="s">
        <v>46</v>
      </c>
      <c r="G651" t="s">
        <v>47</v>
      </c>
      <c r="H651" s="16">
        <v>0</v>
      </c>
      <c r="I651" s="4">
        <f>VLOOKUP(C651,[1]sheet1!$D:$I,6,0)</f>
        <v>0</v>
      </c>
      <c r="J651" s="4">
        <f>VLOOKUP(C651,[2]sheet1!$D:$I,6,0)</f>
        <v>0</v>
      </c>
      <c r="K651" s="4">
        <f>VLOOKUP(C651,[3]sheet1!$D:$I,6,0)</f>
        <v>0</v>
      </c>
      <c r="L651" s="4">
        <f>VLOOKUP(C651,[4]sheet1!$D:$I,6,0)</f>
        <v>489</v>
      </c>
      <c r="M651" s="4">
        <f>VLOOKUP(C651,[5]sheet1!$D:$I,6,0)</f>
        <v>489</v>
      </c>
      <c r="N651" s="4">
        <f>VLOOKUP(C651,[6]sheet1!$D:$I,6,0)</f>
        <v>0</v>
      </c>
      <c r="O651" s="4">
        <f>VLOOKUP(C651,[7]sheet1!$D:$I,6,0)</f>
        <v>0</v>
      </c>
      <c r="P651" s="4">
        <f>VLOOKUP(C651,[8]sheet1!$D:$I,6,0)</f>
        <v>0</v>
      </c>
      <c r="Q651" s="4">
        <f t="shared" si="10"/>
        <v>978</v>
      </c>
      <c r="R651" s="3">
        <v>0</v>
      </c>
      <c r="S651">
        <v>395</v>
      </c>
      <c r="T651">
        <v>0</v>
      </c>
      <c r="U651" s="3">
        <v>9</v>
      </c>
      <c r="V651" s="3">
        <v>0</v>
      </c>
      <c r="W651">
        <v>0</v>
      </c>
      <c r="X651" s="3">
        <v>0</v>
      </c>
      <c r="Y651">
        <v>0</v>
      </c>
      <c r="Z651" s="3">
        <v>0</v>
      </c>
      <c r="AA651" t="s">
        <v>259</v>
      </c>
      <c r="AB651" s="3">
        <v>394</v>
      </c>
      <c r="AC651">
        <v>442.79</v>
      </c>
      <c r="AD651" t="s">
        <v>49</v>
      </c>
      <c r="AE651">
        <v>0</v>
      </c>
      <c r="AF651" s="3">
        <v>0</v>
      </c>
      <c r="AG651" t="s">
        <v>49</v>
      </c>
      <c r="AH651">
        <v>0</v>
      </c>
      <c r="AI651" t="s">
        <v>49</v>
      </c>
      <c r="AJ651">
        <v>333.17</v>
      </c>
      <c r="AK651" t="s">
        <v>49</v>
      </c>
      <c r="AL651">
        <v>0</v>
      </c>
      <c r="AM651" t="s">
        <v>49</v>
      </c>
      <c r="AN651" s="3">
        <v>155</v>
      </c>
      <c r="AO651" s="19">
        <v>0</v>
      </c>
      <c r="AP651" s="19">
        <v>0</v>
      </c>
      <c r="AQ651" s="19">
        <v>0.887</v>
      </c>
      <c r="AR651" s="19">
        <v>0.4696</v>
      </c>
      <c r="AS651" s="19">
        <v>0.8889</v>
      </c>
      <c r="AT651" s="19">
        <v>0.5556</v>
      </c>
      <c r="AU651" s="3">
        <v>0</v>
      </c>
      <c r="AV651" s="3">
        <v>0</v>
      </c>
      <c r="AW651" s="19">
        <v>0</v>
      </c>
      <c r="AX651" s="3">
        <v>0</v>
      </c>
      <c r="AY651" s="3">
        <v>0</v>
      </c>
    </row>
    <row r="652" spans="1:51">
      <c r="A652" s="3">
        <v>11788013</v>
      </c>
      <c r="B652" t="s">
        <v>1044</v>
      </c>
      <c r="C652" s="3">
        <v>124301024</v>
      </c>
      <c r="D652" t="s">
        <v>44</v>
      </c>
      <c r="E652" t="s">
        <v>141</v>
      </c>
      <c r="F652" t="s">
        <v>46</v>
      </c>
      <c r="G652" t="s">
        <v>47</v>
      </c>
      <c r="H652" s="16">
        <v>0</v>
      </c>
      <c r="I652" s="4">
        <f>VLOOKUP(C652,[1]sheet1!$D:$I,6,0)</f>
        <v>0</v>
      </c>
      <c r="J652" s="4">
        <f>VLOOKUP(C652,[2]sheet1!$D:$I,6,0)</f>
        <v>768</v>
      </c>
      <c r="K652" s="4">
        <f>VLOOKUP(C652,[3]sheet1!$D:$I,6,0)</f>
        <v>0</v>
      </c>
      <c r="L652" s="4">
        <f>VLOOKUP(C652,[4]sheet1!$D:$I,6,0)</f>
        <v>772</v>
      </c>
      <c r="M652" s="4">
        <f>VLOOKUP(C652,[5]sheet1!$D:$I,6,0)</f>
        <v>0</v>
      </c>
      <c r="N652" s="4">
        <f>VLOOKUP(C652,[6]sheet1!$D:$I,6,0)</f>
        <v>0</v>
      </c>
      <c r="O652" s="4">
        <f>VLOOKUP(C652,[7]sheet1!$D:$I,6,0)</f>
        <v>0</v>
      </c>
      <c r="P652" s="4">
        <f>VLOOKUP(C652,[8]sheet1!$D:$I,6,0)</f>
        <v>0</v>
      </c>
      <c r="Q652" s="4">
        <f t="shared" si="10"/>
        <v>1540</v>
      </c>
      <c r="R652" s="3">
        <v>0</v>
      </c>
      <c r="S652">
        <v>127</v>
      </c>
      <c r="T652">
        <v>0</v>
      </c>
      <c r="U652" s="3">
        <v>0</v>
      </c>
      <c r="V652" s="3">
        <v>0</v>
      </c>
      <c r="W652">
        <v>0</v>
      </c>
      <c r="X652" s="3">
        <v>0</v>
      </c>
      <c r="Y652">
        <v>0</v>
      </c>
      <c r="Z652" s="3">
        <v>0</v>
      </c>
      <c r="AA652" t="s">
        <v>1045</v>
      </c>
      <c r="AB652" s="3">
        <v>461</v>
      </c>
      <c r="AC652">
        <v>648.94</v>
      </c>
      <c r="AD652" t="s">
        <v>49</v>
      </c>
      <c r="AE652">
        <v>0</v>
      </c>
      <c r="AF652" s="3">
        <v>0</v>
      </c>
      <c r="AG652" t="s">
        <v>49</v>
      </c>
      <c r="AH652">
        <v>0</v>
      </c>
      <c r="AI652" t="s">
        <v>49</v>
      </c>
      <c r="AJ652">
        <v>389.68</v>
      </c>
      <c r="AK652" t="s">
        <v>49</v>
      </c>
      <c r="AL652">
        <v>0</v>
      </c>
      <c r="AM652" t="s">
        <v>49</v>
      </c>
      <c r="AN652" s="3">
        <v>18</v>
      </c>
      <c r="AO652" s="19">
        <v>0</v>
      </c>
      <c r="AP652" s="19">
        <v>0</v>
      </c>
      <c r="AQ652" s="19">
        <v>0.9167</v>
      </c>
      <c r="AR652" s="19">
        <v>0.5</v>
      </c>
      <c r="AS652" s="19">
        <v>0</v>
      </c>
      <c r="AT652" s="19">
        <v>0</v>
      </c>
      <c r="AU652" s="3">
        <v>0</v>
      </c>
      <c r="AV652" s="3">
        <v>0</v>
      </c>
      <c r="AW652" s="19">
        <v>0</v>
      </c>
      <c r="AX652" s="3">
        <v>0</v>
      </c>
      <c r="AY652" s="3">
        <v>0</v>
      </c>
    </row>
    <row r="653" spans="1:51">
      <c r="A653" s="3">
        <v>11781466</v>
      </c>
      <c r="B653" t="s">
        <v>1046</v>
      </c>
      <c r="C653" s="3">
        <v>114301023</v>
      </c>
      <c r="D653" t="s">
        <v>44</v>
      </c>
      <c r="E653" t="s">
        <v>104</v>
      </c>
      <c r="F653" t="s">
        <v>46</v>
      </c>
      <c r="G653" t="s">
        <v>47</v>
      </c>
      <c r="H653" s="16">
        <v>0</v>
      </c>
      <c r="I653" s="4">
        <f>VLOOKUP(C653,[1]sheet1!$D:$I,6,0)</f>
        <v>0</v>
      </c>
      <c r="J653" s="4">
        <f>VLOOKUP(C653,[2]sheet1!$D:$I,6,0)</f>
        <v>0</v>
      </c>
      <c r="K653" s="4">
        <f>VLOOKUP(C653,[3]sheet1!$D:$I,6,0)</f>
        <v>0</v>
      </c>
      <c r="L653" s="4">
        <f>VLOOKUP(C653,[4]sheet1!$D:$I,6,0)</f>
        <v>0</v>
      </c>
      <c r="M653" s="4">
        <f>VLOOKUP(C653,[5]sheet1!$D:$I,6,0)</f>
        <v>759</v>
      </c>
      <c r="N653" s="4">
        <f>VLOOKUP(C653,[6]sheet1!$D:$I,6,0)</f>
        <v>0</v>
      </c>
      <c r="O653" s="4">
        <f>VLOOKUP(C653,[7]sheet1!$D:$I,6,0)</f>
        <v>0</v>
      </c>
      <c r="P653" s="4">
        <f>VLOOKUP(C653,[8]sheet1!$D:$I,6,0)</f>
        <v>0</v>
      </c>
      <c r="Q653" s="4">
        <f t="shared" si="10"/>
        <v>759</v>
      </c>
      <c r="R653" s="3">
        <v>0</v>
      </c>
      <c r="S653">
        <v>147</v>
      </c>
      <c r="T653">
        <v>0</v>
      </c>
      <c r="U653" s="3">
        <v>0</v>
      </c>
      <c r="V653" s="3">
        <v>0</v>
      </c>
      <c r="W653">
        <v>0</v>
      </c>
      <c r="X653" s="3">
        <v>0</v>
      </c>
      <c r="Y653">
        <v>0</v>
      </c>
      <c r="Z653" s="3">
        <v>0</v>
      </c>
      <c r="AA653" t="s">
        <v>920</v>
      </c>
      <c r="AB653" s="3">
        <v>439</v>
      </c>
      <c r="AC653">
        <v>677.69</v>
      </c>
      <c r="AD653" t="s">
        <v>49</v>
      </c>
      <c r="AE653">
        <v>0</v>
      </c>
      <c r="AF653" s="3">
        <v>0</v>
      </c>
      <c r="AG653" t="s">
        <v>49</v>
      </c>
      <c r="AH653">
        <v>0</v>
      </c>
      <c r="AI653" t="s">
        <v>49</v>
      </c>
      <c r="AJ653">
        <v>372.32</v>
      </c>
      <c r="AK653" t="s">
        <v>49</v>
      </c>
      <c r="AL653">
        <v>0</v>
      </c>
      <c r="AM653" t="s">
        <v>49</v>
      </c>
      <c r="AN653" s="3">
        <v>28</v>
      </c>
      <c r="AO653" s="19">
        <v>0</v>
      </c>
      <c r="AP653" s="19">
        <v>0</v>
      </c>
      <c r="AQ653" s="19">
        <v>0.875</v>
      </c>
      <c r="AR653" s="19">
        <v>0.5625</v>
      </c>
      <c r="AS653" s="19">
        <v>0</v>
      </c>
      <c r="AT653" s="19">
        <v>0</v>
      </c>
      <c r="AU653" s="3">
        <v>0</v>
      </c>
      <c r="AV653" s="3">
        <v>0</v>
      </c>
      <c r="AW653" s="19">
        <v>0</v>
      </c>
      <c r="AX653" s="3">
        <v>0</v>
      </c>
      <c r="AY653" s="3">
        <v>0</v>
      </c>
    </row>
    <row r="654" spans="1:51">
      <c r="A654" s="3">
        <v>11779163</v>
      </c>
      <c r="B654" t="s">
        <v>1047</v>
      </c>
      <c r="C654" s="3">
        <v>112331010</v>
      </c>
      <c r="D654" t="s">
        <v>44</v>
      </c>
      <c r="E654" t="s">
        <v>206</v>
      </c>
      <c r="F654" t="s">
        <v>65</v>
      </c>
      <c r="G654" t="s">
        <v>47</v>
      </c>
      <c r="H654" s="16">
        <v>0</v>
      </c>
      <c r="I654" s="4">
        <f>VLOOKUP(C654,[1]sheet1!$D:$I,6,0)</f>
        <v>0</v>
      </c>
      <c r="J654" s="4">
        <f>VLOOKUP(C654,[2]sheet1!$D:$I,6,0)</f>
        <v>0</v>
      </c>
      <c r="K654" s="4">
        <f>VLOOKUP(C654,[3]sheet1!$D:$I,6,0)</f>
        <v>0</v>
      </c>
      <c r="L654" s="4">
        <f>VLOOKUP(C654,[4]sheet1!$D:$I,6,0)</f>
        <v>0</v>
      </c>
      <c r="M654" s="4">
        <f>VLOOKUP(C654,[5]sheet1!$D:$I,6,0)</f>
        <v>0</v>
      </c>
      <c r="N654" s="4">
        <f>VLOOKUP(C654,[6]sheet1!$D:$I,6,0)</f>
        <v>0</v>
      </c>
      <c r="O654" s="4">
        <f>VLOOKUP(C654,[7]sheet1!$D:$I,6,0)</f>
        <v>0</v>
      </c>
      <c r="P654" s="4">
        <f>VLOOKUP(C654,[8]sheet1!$D:$I,6,0)</f>
        <v>0</v>
      </c>
      <c r="Q654" s="4">
        <f t="shared" si="10"/>
        <v>0</v>
      </c>
      <c r="R654" s="3">
        <v>0</v>
      </c>
      <c r="S654" s="3">
        <v>2</v>
      </c>
      <c r="T654" s="19">
        <v>0</v>
      </c>
      <c r="U654" s="3">
        <v>0</v>
      </c>
      <c r="V654" s="3">
        <v>0</v>
      </c>
      <c r="W654">
        <v>0</v>
      </c>
      <c r="X654" s="3">
        <v>0</v>
      </c>
      <c r="Y654">
        <v>0</v>
      </c>
      <c r="Z654" s="3">
        <v>0</v>
      </c>
      <c r="AA654" t="s">
        <v>79</v>
      </c>
      <c r="AB654" t="s">
        <v>49</v>
      </c>
      <c r="AC654">
        <v>275.14</v>
      </c>
      <c r="AD654" t="s">
        <v>49</v>
      </c>
      <c r="AE654">
        <v>0</v>
      </c>
      <c r="AF654" s="3">
        <v>0</v>
      </c>
      <c r="AG654" t="s">
        <v>49</v>
      </c>
      <c r="AH654">
        <v>0</v>
      </c>
      <c r="AI654" t="s">
        <v>49</v>
      </c>
      <c r="AJ654" t="s">
        <v>49</v>
      </c>
      <c r="AK654" t="s">
        <v>49</v>
      </c>
      <c r="AL654" t="s">
        <v>49</v>
      </c>
      <c r="AM654" t="s">
        <v>49</v>
      </c>
      <c r="AN654" s="3">
        <v>2</v>
      </c>
      <c r="AO654" s="19">
        <v>0</v>
      </c>
      <c r="AP654" s="19">
        <v>0</v>
      </c>
      <c r="AQ654" s="19">
        <v>1</v>
      </c>
      <c r="AR654" s="19">
        <v>0</v>
      </c>
      <c r="AS654" s="19">
        <v>0</v>
      </c>
      <c r="AT654" s="19">
        <v>0</v>
      </c>
      <c r="AU654" s="3">
        <v>0</v>
      </c>
      <c r="AV654" s="3">
        <v>0</v>
      </c>
      <c r="AW654" s="19">
        <v>0</v>
      </c>
      <c r="AX654" s="3">
        <v>0</v>
      </c>
      <c r="AY654" s="3">
        <v>0</v>
      </c>
    </row>
    <row r="655" spans="1:51">
      <c r="A655" s="3">
        <v>11743561</v>
      </c>
      <c r="B655" t="s">
        <v>1048</v>
      </c>
      <c r="C655" s="3">
        <v>111331805</v>
      </c>
      <c r="D655" t="s">
        <v>44</v>
      </c>
      <c r="E655" t="s">
        <v>114</v>
      </c>
      <c r="F655" t="s">
        <v>65</v>
      </c>
      <c r="G655" t="s">
        <v>47</v>
      </c>
      <c r="H655" s="16">
        <v>0</v>
      </c>
      <c r="I655" s="4">
        <f>VLOOKUP(C655,[1]sheet1!$D:$I,6,0)</f>
        <v>0</v>
      </c>
      <c r="J655" s="4">
        <f>VLOOKUP(C655,[2]sheet1!$D:$I,6,0)</f>
        <v>0</v>
      </c>
      <c r="K655" s="4">
        <f>VLOOKUP(C655,[3]sheet1!$D:$I,6,0)</f>
        <v>328</v>
      </c>
      <c r="L655" s="4">
        <f>VLOOKUP(C655,[4]sheet1!$D:$I,6,0)</f>
        <v>0</v>
      </c>
      <c r="M655" s="4">
        <f>VLOOKUP(C655,[5]sheet1!$D:$I,6,0)</f>
        <v>0</v>
      </c>
      <c r="N655" s="4">
        <f>VLOOKUP(C655,[6]sheet1!$D:$I,6,0)</f>
        <v>0</v>
      </c>
      <c r="O655" s="4">
        <f>VLOOKUP(C655,[7]sheet1!$D:$I,6,0)</f>
        <v>0</v>
      </c>
      <c r="P655" s="4">
        <f>VLOOKUP(C655,[8]sheet1!$D:$I,6,0)</f>
        <v>0</v>
      </c>
      <c r="Q655" s="4">
        <f t="shared" si="10"/>
        <v>328</v>
      </c>
      <c r="R655" s="3">
        <v>0</v>
      </c>
      <c r="S655" s="3">
        <v>15</v>
      </c>
      <c r="T655" s="19">
        <v>0</v>
      </c>
      <c r="U655" s="3">
        <v>1</v>
      </c>
      <c r="V655" s="3">
        <v>0</v>
      </c>
      <c r="W655">
        <v>0</v>
      </c>
      <c r="X655" s="3">
        <v>0</v>
      </c>
      <c r="Y655">
        <v>0</v>
      </c>
      <c r="Z655" s="3">
        <v>0</v>
      </c>
      <c r="AA655" t="s">
        <v>49</v>
      </c>
      <c r="AB655" t="s">
        <v>49</v>
      </c>
      <c r="AC655" t="s">
        <v>49</v>
      </c>
      <c r="AD655" t="s">
        <v>49</v>
      </c>
      <c r="AE655">
        <v>0</v>
      </c>
      <c r="AF655" s="3">
        <v>0</v>
      </c>
      <c r="AG655" t="s">
        <v>49</v>
      </c>
      <c r="AH655" t="s">
        <v>49</v>
      </c>
      <c r="AI655" t="s">
        <v>49</v>
      </c>
      <c r="AJ655" t="s">
        <v>49</v>
      </c>
      <c r="AK655" t="s">
        <v>49</v>
      </c>
      <c r="AL655" t="s">
        <v>49</v>
      </c>
      <c r="AM655" t="s">
        <v>49</v>
      </c>
      <c r="AN655" s="3">
        <v>17</v>
      </c>
      <c r="AO655" s="19">
        <v>0</v>
      </c>
      <c r="AP655" s="19">
        <v>0</v>
      </c>
      <c r="AQ655" s="19">
        <v>0.8</v>
      </c>
      <c r="AR655" s="19">
        <v>0.6667</v>
      </c>
      <c r="AS655" s="19">
        <v>0</v>
      </c>
      <c r="AT655" s="19">
        <v>1</v>
      </c>
      <c r="AU655" s="3">
        <v>0</v>
      </c>
      <c r="AV655" s="3">
        <v>0</v>
      </c>
      <c r="AW655" s="19">
        <v>0</v>
      </c>
      <c r="AX655" s="3">
        <v>0</v>
      </c>
      <c r="AY655" s="3">
        <v>0</v>
      </c>
    </row>
    <row r="656" spans="1:51">
      <c r="A656" s="3">
        <v>11549366</v>
      </c>
      <c r="B656" t="s">
        <v>1049</v>
      </c>
      <c r="C656" s="3">
        <v>112331026</v>
      </c>
      <c r="D656" t="s">
        <v>44</v>
      </c>
      <c r="E656" t="s">
        <v>206</v>
      </c>
      <c r="F656" t="s">
        <v>65</v>
      </c>
      <c r="G656" t="s">
        <v>47</v>
      </c>
      <c r="H656" s="16">
        <v>0</v>
      </c>
      <c r="I656" s="4">
        <f>VLOOKUP(C656,[1]sheet1!$D:$I,6,0)</f>
        <v>0</v>
      </c>
      <c r="J656" s="4">
        <f>VLOOKUP(C656,[2]sheet1!$D:$I,6,0)</f>
        <v>0</v>
      </c>
      <c r="K656" s="4">
        <f>VLOOKUP(C656,[3]sheet1!$D:$I,6,0)</f>
        <v>0</v>
      </c>
      <c r="L656" s="4">
        <f>VLOOKUP(C656,[4]sheet1!$D:$I,6,0)</f>
        <v>0</v>
      </c>
      <c r="M656" s="4">
        <f>VLOOKUP(C656,[5]sheet1!$D:$I,6,0)</f>
        <v>0</v>
      </c>
      <c r="N656" s="4">
        <f>VLOOKUP(C656,[6]sheet1!$D:$I,6,0)</f>
        <v>0</v>
      </c>
      <c r="O656" s="4">
        <f>VLOOKUP(C656,[7]sheet1!$D:$I,6,0)</f>
        <v>0</v>
      </c>
      <c r="P656" s="4">
        <f>VLOOKUP(C656,[8]sheet1!$D:$I,6,0)</f>
        <v>0</v>
      </c>
      <c r="Q656" s="4">
        <f t="shared" si="10"/>
        <v>0</v>
      </c>
      <c r="R656" s="3">
        <v>0</v>
      </c>
      <c r="S656" s="3">
        <v>1</v>
      </c>
      <c r="T656" s="19">
        <v>0</v>
      </c>
      <c r="U656" s="3">
        <v>0</v>
      </c>
      <c r="V656" s="3">
        <v>0</v>
      </c>
      <c r="W656">
        <v>0</v>
      </c>
      <c r="X656" s="3">
        <v>0</v>
      </c>
      <c r="Y656">
        <v>0</v>
      </c>
      <c r="Z656" s="3">
        <v>0</v>
      </c>
      <c r="AA656" t="s">
        <v>308</v>
      </c>
      <c r="AB656" t="s">
        <v>49</v>
      </c>
      <c r="AC656">
        <v>396.94</v>
      </c>
      <c r="AD656" t="s">
        <v>49</v>
      </c>
      <c r="AE656">
        <v>0</v>
      </c>
      <c r="AF656" s="3">
        <v>0</v>
      </c>
      <c r="AG656" t="s">
        <v>49</v>
      </c>
      <c r="AH656">
        <v>0</v>
      </c>
      <c r="AI656" t="s">
        <v>49</v>
      </c>
      <c r="AJ656" t="s">
        <v>49</v>
      </c>
      <c r="AK656" t="s">
        <v>49</v>
      </c>
      <c r="AL656" t="s">
        <v>49</v>
      </c>
      <c r="AM656" t="s">
        <v>49</v>
      </c>
      <c r="AN656" s="3">
        <v>1</v>
      </c>
      <c r="AO656" s="19">
        <v>0</v>
      </c>
      <c r="AP656" s="19">
        <v>0</v>
      </c>
      <c r="AQ656" s="19">
        <v>1</v>
      </c>
      <c r="AR656" s="19">
        <v>0</v>
      </c>
      <c r="AS656" s="19">
        <v>0</v>
      </c>
      <c r="AT656" s="19">
        <v>0</v>
      </c>
      <c r="AU656" s="3">
        <v>0</v>
      </c>
      <c r="AV656" s="3">
        <v>0</v>
      </c>
      <c r="AW656" s="19">
        <v>0</v>
      </c>
      <c r="AX656" s="3">
        <v>0</v>
      </c>
      <c r="AY656" s="3">
        <v>0</v>
      </c>
    </row>
    <row r="657" spans="1:51">
      <c r="A657" s="3">
        <v>11478099</v>
      </c>
      <c r="B657" t="s">
        <v>1050</v>
      </c>
      <c r="C657" s="3">
        <v>111421301</v>
      </c>
      <c r="D657" t="s">
        <v>44</v>
      </c>
      <c r="E657" t="s">
        <v>1051</v>
      </c>
      <c r="F657" t="s">
        <v>65</v>
      </c>
      <c r="G657" t="s">
        <v>47</v>
      </c>
      <c r="H657" s="16">
        <v>0</v>
      </c>
      <c r="I657" s="4">
        <f>VLOOKUP(C657,[1]sheet1!$D:$I,6,0)</f>
        <v>0</v>
      </c>
      <c r="J657" s="4">
        <f>VLOOKUP(C657,[2]sheet1!$D:$I,6,0)</f>
        <v>0</v>
      </c>
      <c r="K657" s="4">
        <f>VLOOKUP(C657,[3]sheet1!$D:$I,6,0)</f>
        <v>0</v>
      </c>
      <c r="L657" s="4">
        <f>VLOOKUP(C657,[4]sheet1!$D:$I,6,0)</f>
        <v>0</v>
      </c>
      <c r="M657" s="4">
        <f>VLOOKUP(C657,[5]sheet1!$D:$I,6,0)</f>
        <v>0</v>
      </c>
      <c r="N657" s="4">
        <f>VLOOKUP(C657,[6]sheet1!$D:$I,6,0)</f>
        <v>0</v>
      </c>
      <c r="O657" s="4">
        <f>VLOOKUP(C657,[7]sheet1!$D:$I,6,0)</f>
        <v>0</v>
      </c>
      <c r="P657" s="4">
        <f>VLOOKUP(C657,[8]sheet1!$D:$I,6,0)</f>
        <v>0</v>
      </c>
      <c r="Q657" s="4">
        <f t="shared" si="10"/>
        <v>0</v>
      </c>
      <c r="R657" s="3">
        <v>0</v>
      </c>
      <c r="S657" s="3">
        <v>3</v>
      </c>
      <c r="T657" s="19">
        <v>0</v>
      </c>
      <c r="U657" s="3">
        <v>1</v>
      </c>
      <c r="V657" s="3">
        <v>0</v>
      </c>
      <c r="W657">
        <v>0</v>
      </c>
      <c r="X657" s="3">
        <v>0</v>
      </c>
      <c r="Y657">
        <v>0</v>
      </c>
      <c r="Z657" s="3">
        <v>0</v>
      </c>
      <c r="AA657" t="s">
        <v>49</v>
      </c>
      <c r="AB657" t="s">
        <v>49</v>
      </c>
      <c r="AC657" t="s">
        <v>49</v>
      </c>
      <c r="AD657" t="s">
        <v>49</v>
      </c>
      <c r="AE657">
        <v>0</v>
      </c>
      <c r="AF657" s="3">
        <v>0</v>
      </c>
      <c r="AG657" t="s">
        <v>49</v>
      </c>
      <c r="AH657" t="s">
        <v>49</v>
      </c>
      <c r="AI657" t="s">
        <v>49</v>
      </c>
      <c r="AJ657" t="s">
        <v>49</v>
      </c>
      <c r="AK657" t="s">
        <v>49</v>
      </c>
      <c r="AL657" t="s">
        <v>49</v>
      </c>
      <c r="AM657" t="s">
        <v>49</v>
      </c>
      <c r="AN657" s="3">
        <v>5</v>
      </c>
      <c r="AO657" s="19">
        <v>0</v>
      </c>
      <c r="AP657" s="19">
        <v>0</v>
      </c>
      <c r="AQ657" s="19">
        <v>0.3333</v>
      </c>
      <c r="AR657" s="19">
        <v>0</v>
      </c>
      <c r="AS657" s="19">
        <v>0</v>
      </c>
      <c r="AT657" s="19">
        <v>0</v>
      </c>
      <c r="AU657" s="3">
        <v>0</v>
      </c>
      <c r="AV657" s="3">
        <v>0</v>
      </c>
      <c r="AW657" s="19">
        <v>0</v>
      </c>
      <c r="AX657" s="3">
        <v>0</v>
      </c>
      <c r="AY657" s="3">
        <v>0</v>
      </c>
    </row>
    <row r="658" spans="1:51">
      <c r="A658" s="3">
        <v>11324693</v>
      </c>
      <c r="B658" t="s">
        <v>1052</v>
      </c>
      <c r="C658" s="3">
        <v>12415104</v>
      </c>
      <c r="D658" t="s">
        <v>44</v>
      </c>
      <c r="E658" t="s">
        <v>138</v>
      </c>
      <c r="F658" t="s">
        <v>65</v>
      </c>
      <c r="G658" t="s">
        <v>47</v>
      </c>
      <c r="H658" s="16">
        <v>0</v>
      </c>
      <c r="I658" s="4">
        <f>VLOOKUP(C658,[1]sheet1!$D:$I,6,0)</f>
        <v>0</v>
      </c>
      <c r="J658" s="4">
        <f>VLOOKUP(C658,[2]sheet1!$D:$I,6,0)</f>
        <v>0</v>
      </c>
      <c r="K658" s="4">
        <f>VLOOKUP(C658,[3]sheet1!$D:$I,6,0)</f>
        <v>0</v>
      </c>
      <c r="L658" s="4">
        <f>VLOOKUP(C658,[4]sheet1!$D:$I,6,0)</f>
        <v>0</v>
      </c>
      <c r="M658" s="4">
        <f>VLOOKUP(C658,[5]sheet1!$D:$I,6,0)</f>
        <v>0</v>
      </c>
      <c r="N658" s="4">
        <f>VLOOKUP(C658,[6]sheet1!$D:$I,6,0)</f>
        <v>0</v>
      </c>
      <c r="O658" s="4">
        <f>VLOOKUP(C658,[7]sheet1!$D:$I,6,0)</f>
        <v>0</v>
      </c>
      <c r="P658" s="4">
        <f>VLOOKUP(C658,[8]sheet1!$D:$I,6,0)</f>
        <v>0</v>
      </c>
      <c r="Q658" s="15">
        <f t="shared" si="10"/>
        <v>0</v>
      </c>
      <c r="R658" s="3">
        <v>0</v>
      </c>
      <c r="S658" s="3">
        <v>0</v>
      </c>
      <c r="T658" s="19">
        <v>0</v>
      </c>
      <c r="U658" s="3">
        <v>0</v>
      </c>
      <c r="V658" s="3">
        <v>0</v>
      </c>
      <c r="W658">
        <v>0</v>
      </c>
      <c r="X658" s="3">
        <v>0</v>
      </c>
      <c r="Y658">
        <v>0</v>
      </c>
      <c r="Z658" s="3">
        <v>0</v>
      </c>
      <c r="AA658" t="s">
        <v>101</v>
      </c>
      <c r="AB658" t="s">
        <v>49</v>
      </c>
      <c r="AC658">
        <v>466.31</v>
      </c>
      <c r="AD658" t="s">
        <v>49</v>
      </c>
      <c r="AE658">
        <v>0</v>
      </c>
      <c r="AF658" s="3">
        <v>0</v>
      </c>
      <c r="AG658" t="s">
        <v>49</v>
      </c>
      <c r="AH658">
        <v>0</v>
      </c>
      <c r="AI658" t="s">
        <v>49</v>
      </c>
      <c r="AJ658" t="s">
        <v>49</v>
      </c>
      <c r="AK658" t="s">
        <v>49</v>
      </c>
      <c r="AL658" t="s">
        <v>49</v>
      </c>
      <c r="AM658" t="s">
        <v>49</v>
      </c>
      <c r="AN658" s="3">
        <v>0</v>
      </c>
      <c r="AO658" s="19">
        <v>0</v>
      </c>
      <c r="AP658" s="19">
        <v>0</v>
      </c>
      <c r="AQ658" s="19">
        <v>0</v>
      </c>
      <c r="AR658" s="19">
        <v>0</v>
      </c>
      <c r="AS658" s="19">
        <v>0</v>
      </c>
      <c r="AT658" s="19">
        <v>0</v>
      </c>
      <c r="AU658" s="3">
        <v>0</v>
      </c>
      <c r="AV658" s="3">
        <v>0</v>
      </c>
      <c r="AW658" s="19">
        <v>0</v>
      </c>
      <c r="AX658" s="3">
        <v>0</v>
      </c>
      <c r="AY658" s="3">
        <v>0</v>
      </c>
    </row>
    <row r="659" spans="1:51">
      <c r="A659" s="3">
        <v>11314477</v>
      </c>
      <c r="B659" t="s">
        <v>1053</v>
      </c>
      <c r="C659" s="3">
        <v>11415103</v>
      </c>
      <c r="D659" t="s">
        <v>44</v>
      </c>
      <c r="E659" t="s">
        <v>1054</v>
      </c>
      <c r="F659" t="s">
        <v>46</v>
      </c>
      <c r="G659" t="s">
        <v>47</v>
      </c>
      <c r="H659" s="16">
        <v>0</v>
      </c>
      <c r="I659" s="4">
        <f>VLOOKUP(C659,[1]sheet1!$D:$I,6,0)</f>
        <v>0</v>
      </c>
      <c r="J659" s="4">
        <f>VLOOKUP(C659,[2]sheet1!$D:$I,6,0)</f>
        <v>0</v>
      </c>
      <c r="K659" s="4">
        <f>VLOOKUP(C659,[3]sheet1!$D:$I,6,0)</f>
        <v>0</v>
      </c>
      <c r="L659" s="4">
        <f>VLOOKUP(C659,[4]sheet1!$D:$I,6,0)</f>
        <v>0</v>
      </c>
      <c r="M659" s="4">
        <f>VLOOKUP(C659,[5]sheet1!$D:$I,6,0)</f>
        <v>0</v>
      </c>
      <c r="N659" s="4">
        <f>VLOOKUP(C659,[6]sheet1!$D:$I,6,0)</f>
        <v>0</v>
      </c>
      <c r="O659" s="4">
        <f>VLOOKUP(C659,[7]sheet1!$D:$I,6,0)</f>
        <v>0</v>
      </c>
      <c r="P659" s="4">
        <f>VLOOKUP(C659,[8]sheet1!$D:$I,6,0)</f>
        <v>0</v>
      </c>
      <c r="Q659" s="4">
        <f t="shared" si="10"/>
        <v>0</v>
      </c>
      <c r="R659" s="3">
        <v>0</v>
      </c>
      <c r="S659">
        <v>138</v>
      </c>
      <c r="T659">
        <v>0</v>
      </c>
      <c r="U659" s="3">
        <v>0</v>
      </c>
      <c r="V659" s="3">
        <v>0</v>
      </c>
      <c r="W659">
        <v>0</v>
      </c>
      <c r="X659" s="3">
        <v>0</v>
      </c>
      <c r="Y659">
        <v>0</v>
      </c>
      <c r="Z659" s="3">
        <v>0</v>
      </c>
      <c r="AA659" t="s">
        <v>101</v>
      </c>
      <c r="AB659" s="3">
        <v>338</v>
      </c>
      <c r="AC659">
        <v>468.49</v>
      </c>
      <c r="AD659" t="s">
        <v>49</v>
      </c>
      <c r="AE659">
        <v>0</v>
      </c>
      <c r="AF659" s="3">
        <v>0</v>
      </c>
      <c r="AG659" t="s">
        <v>49</v>
      </c>
      <c r="AH659">
        <v>0</v>
      </c>
      <c r="AI659" t="s">
        <v>49</v>
      </c>
      <c r="AJ659">
        <v>284.05</v>
      </c>
      <c r="AK659" t="s">
        <v>49</v>
      </c>
      <c r="AL659">
        <v>0</v>
      </c>
      <c r="AM659" t="s">
        <v>49</v>
      </c>
      <c r="AN659" s="3">
        <v>15</v>
      </c>
      <c r="AO659" s="19">
        <v>0</v>
      </c>
      <c r="AP659" s="19">
        <v>0</v>
      </c>
      <c r="AQ659" s="19">
        <v>0.7143</v>
      </c>
      <c r="AR659" s="19">
        <v>0.5714</v>
      </c>
      <c r="AS659" s="19">
        <v>0</v>
      </c>
      <c r="AT659" s="19">
        <v>0</v>
      </c>
      <c r="AU659" s="3">
        <v>0</v>
      </c>
      <c r="AV659" s="3">
        <v>0</v>
      </c>
      <c r="AW659" s="19">
        <v>0</v>
      </c>
      <c r="AX659" s="3">
        <v>0</v>
      </c>
      <c r="AY659" s="3">
        <v>0</v>
      </c>
    </row>
    <row r="660" spans="1:51">
      <c r="A660" s="3">
        <v>11262494</v>
      </c>
      <c r="B660" t="s">
        <v>1055</v>
      </c>
      <c r="C660" s="3">
        <v>12421216</v>
      </c>
      <c r="D660" t="s">
        <v>44</v>
      </c>
      <c r="E660" t="s">
        <v>109</v>
      </c>
      <c r="F660" t="s">
        <v>46</v>
      </c>
      <c r="G660" t="s">
        <v>47</v>
      </c>
      <c r="H660" s="16">
        <v>0</v>
      </c>
      <c r="I660" s="4">
        <f>VLOOKUP(C660,[1]sheet1!$D:$I,6,0)</f>
        <v>0</v>
      </c>
      <c r="J660" s="4">
        <f>VLOOKUP(C660,[2]sheet1!$D:$I,6,0)</f>
        <v>0</v>
      </c>
      <c r="K660" s="4">
        <f>VLOOKUP(C660,[3]sheet1!$D:$I,6,0)</f>
        <v>0</v>
      </c>
      <c r="L660" s="4">
        <f>VLOOKUP(C660,[4]sheet1!$D:$I,6,0)</f>
        <v>0</v>
      </c>
      <c r="M660" s="4">
        <f>VLOOKUP(C660,[5]sheet1!$D:$I,6,0)</f>
        <v>0</v>
      </c>
      <c r="N660" s="4">
        <f>VLOOKUP(C660,[6]sheet1!$D:$I,6,0)</f>
        <v>0</v>
      </c>
      <c r="O660" s="4">
        <f>VLOOKUP(C660,[7]sheet1!$D:$I,6,0)</f>
        <v>0</v>
      </c>
      <c r="P660" s="4">
        <f>VLOOKUP(C660,[8]sheet1!$D:$I,6,0)</f>
        <v>0</v>
      </c>
      <c r="Q660" s="4">
        <f t="shared" si="10"/>
        <v>0</v>
      </c>
      <c r="R660" s="3">
        <v>0</v>
      </c>
      <c r="S660">
        <v>142</v>
      </c>
      <c r="T660">
        <v>0</v>
      </c>
      <c r="U660" s="3">
        <v>0</v>
      </c>
      <c r="V660" s="3">
        <v>0</v>
      </c>
      <c r="W660">
        <v>0</v>
      </c>
      <c r="X660" s="3">
        <v>0</v>
      </c>
      <c r="Y660">
        <v>0</v>
      </c>
      <c r="Z660" s="3">
        <v>0</v>
      </c>
      <c r="AA660" t="s">
        <v>308</v>
      </c>
      <c r="AB660" s="3">
        <v>349</v>
      </c>
      <c r="AC660">
        <v>400.04</v>
      </c>
      <c r="AD660" t="s">
        <v>49</v>
      </c>
      <c r="AE660">
        <v>0</v>
      </c>
      <c r="AF660" s="3">
        <v>0</v>
      </c>
      <c r="AG660" t="s">
        <v>49</v>
      </c>
      <c r="AH660">
        <v>0</v>
      </c>
      <c r="AI660" t="s">
        <v>49</v>
      </c>
      <c r="AJ660">
        <v>295.64</v>
      </c>
      <c r="AK660" t="s">
        <v>49</v>
      </c>
      <c r="AL660">
        <v>0</v>
      </c>
      <c r="AM660" t="s">
        <v>49</v>
      </c>
      <c r="AN660" s="3">
        <v>16</v>
      </c>
      <c r="AO660" s="19">
        <v>0</v>
      </c>
      <c r="AP660" s="19">
        <v>0</v>
      </c>
      <c r="AQ660" s="19">
        <v>0.9333</v>
      </c>
      <c r="AR660" s="19">
        <v>0.5333</v>
      </c>
      <c r="AS660" s="19">
        <v>0</v>
      </c>
      <c r="AT660" s="19">
        <v>0</v>
      </c>
      <c r="AU660" s="3">
        <v>0</v>
      </c>
      <c r="AV660" s="3">
        <v>0</v>
      </c>
      <c r="AW660" s="19">
        <v>0</v>
      </c>
      <c r="AX660" s="3">
        <v>0</v>
      </c>
      <c r="AY660" s="3">
        <v>0</v>
      </c>
    </row>
    <row r="661" spans="1:51">
      <c r="A661" s="3">
        <v>11260199</v>
      </c>
      <c r="B661" t="s">
        <v>1056</v>
      </c>
      <c r="C661" s="3">
        <v>12421428</v>
      </c>
      <c r="D661" t="s">
        <v>44</v>
      </c>
      <c r="E661" t="s">
        <v>1057</v>
      </c>
      <c r="F661" t="s">
        <v>65</v>
      </c>
      <c r="G661" t="s">
        <v>47</v>
      </c>
      <c r="H661" s="16">
        <v>0</v>
      </c>
      <c r="I661" s="4">
        <f>VLOOKUP(C661,[1]sheet1!$D:$I,6,0)</f>
        <v>0</v>
      </c>
      <c r="J661" s="4">
        <f>VLOOKUP(C661,[2]sheet1!$D:$I,6,0)</f>
        <v>0</v>
      </c>
      <c r="K661" s="4">
        <f>VLOOKUP(C661,[3]sheet1!$D:$I,6,0)</f>
        <v>0</v>
      </c>
      <c r="L661" s="4">
        <f>VLOOKUP(C661,[4]sheet1!$D:$I,6,0)</f>
        <v>0</v>
      </c>
      <c r="M661" s="4">
        <f>VLOOKUP(C661,[5]sheet1!$D:$I,6,0)</f>
        <v>0</v>
      </c>
      <c r="N661" s="4">
        <f>VLOOKUP(C661,[6]sheet1!$D:$I,6,0)</f>
        <v>0</v>
      </c>
      <c r="O661" s="4">
        <f>VLOOKUP(C661,[7]sheet1!$D:$I,6,0)</f>
        <v>0</v>
      </c>
      <c r="P661" s="4">
        <f>VLOOKUP(C661,[8]sheet1!$D:$I,6,0)</f>
        <v>0</v>
      </c>
      <c r="Q661" s="4">
        <f t="shared" si="10"/>
        <v>0</v>
      </c>
      <c r="R661" s="3">
        <v>0</v>
      </c>
      <c r="S661" s="3">
        <v>29</v>
      </c>
      <c r="T661" s="19">
        <v>0</v>
      </c>
      <c r="U661" s="3">
        <v>0</v>
      </c>
      <c r="V661" s="3">
        <v>0</v>
      </c>
      <c r="W661">
        <v>0</v>
      </c>
      <c r="X661" s="3">
        <v>0</v>
      </c>
      <c r="Y661">
        <v>0</v>
      </c>
      <c r="Z661" s="3">
        <v>0</v>
      </c>
      <c r="AA661" t="s">
        <v>49</v>
      </c>
      <c r="AB661" t="s">
        <v>49</v>
      </c>
      <c r="AC661" t="s">
        <v>49</v>
      </c>
      <c r="AD661" t="s">
        <v>49</v>
      </c>
      <c r="AE661">
        <v>0</v>
      </c>
      <c r="AF661" s="3">
        <v>0</v>
      </c>
      <c r="AG661" t="s">
        <v>49</v>
      </c>
      <c r="AH661" t="s">
        <v>49</v>
      </c>
      <c r="AI661" t="s">
        <v>49</v>
      </c>
      <c r="AJ661" t="s">
        <v>49</v>
      </c>
      <c r="AK661" t="s">
        <v>49</v>
      </c>
      <c r="AL661" t="s">
        <v>49</v>
      </c>
      <c r="AM661" t="s">
        <v>49</v>
      </c>
      <c r="AN661" s="3">
        <v>44</v>
      </c>
      <c r="AO661" s="19">
        <v>0</v>
      </c>
      <c r="AP661" s="19">
        <v>0</v>
      </c>
      <c r="AQ661" s="19">
        <v>0.6552</v>
      </c>
      <c r="AR661" s="19">
        <v>0.1724</v>
      </c>
      <c r="AS661" s="19">
        <v>0</v>
      </c>
      <c r="AT661" s="19">
        <v>0</v>
      </c>
      <c r="AU661" s="3">
        <v>0</v>
      </c>
      <c r="AV661" s="3">
        <v>0</v>
      </c>
      <c r="AW661" s="19">
        <v>0</v>
      </c>
      <c r="AX661" s="3">
        <v>0</v>
      </c>
      <c r="AY661" s="3">
        <v>0</v>
      </c>
    </row>
    <row r="662" spans="1:51">
      <c r="A662" s="3">
        <v>11133725</v>
      </c>
      <c r="B662" t="s">
        <v>1058</v>
      </c>
      <c r="C662" s="3">
        <v>11421419</v>
      </c>
      <c r="D662" t="s">
        <v>44</v>
      </c>
      <c r="E662" t="s">
        <v>128</v>
      </c>
      <c r="F662" t="s">
        <v>65</v>
      </c>
      <c r="G662" t="s">
        <v>47</v>
      </c>
      <c r="H662" s="16">
        <v>0</v>
      </c>
      <c r="I662" s="4">
        <f>VLOOKUP(C662,[1]sheet1!$D:$I,6,0)</f>
        <v>0</v>
      </c>
      <c r="J662" s="4">
        <f>VLOOKUP(C662,[2]sheet1!$D:$I,6,0)</f>
        <v>0</v>
      </c>
      <c r="K662" s="4">
        <f>VLOOKUP(C662,[3]sheet1!$D:$I,6,0)</f>
        <v>0</v>
      </c>
      <c r="L662" s="4">
        <f>VLOOKUP(C662,[4]sheet1!$D:$I,6,0)</f>
        <v>0</v>
      </c>
      <c r="M662" s="4">
        <f>VLOOKUP(C662,[5]sheet1!$D:$I,6,0)</f>
        <v>0</v>
      </c>
      <c r="N662" s="4">
        <f>VLOOKUP(C662,[6]sheet1!$D:$I,6,0)</f>
        <v>0</v>
      </c>
      <c r="O662" s="4">
        <f>VLOOKUP(C662,[7]sheet1!$D:$I,6,0)</f>
        <v>0</v>
      </c>
      <c r="P662" s="4">
        <f>VLOOKUP(C662,[8]sheet1!$D:$I,6,0)</f>
        <v>0</v>
      </c>
      <c r="Q662" s="4">
        <f t="shared" si="10"/>
        <v>0</v>
      </c>
      <c r="R662" s="3">
        <v>0</v>
      </c>
      <c r="S662" s="3">
        <v>123</v>
      </c>
      <c r="T662" s="19">
        <v>0</v>
      </c>
      <c r="U662" s="3">
        <v>4</v>
      </c>
      <c r="V662" s="3">
        <v>0</v>
      </c>
      <c r="W662">
        <v>0</v>
      </c>
      <c r="X662" s="3">
        <v>0</v>
      </c>
      <c r="Y662">
        <v>0</v>
      </c>
      <c r="Z662" s="3">
        <v>0</v>
      </c>
      <c r="AA662" t="s">
        <v>1059</v>
      </c>
      <c r="AB662" t="s">
        <v>49</v>
      </c>
      <c r="AC662">
        <v>201.02</v>
      </c>
      <c r="AD662" t="s">
        <v>49</v>
      </c>
      <c r="AE662">
        <v>0</v>
      </c>
      <c r="AF662" s="3">
        <v>0</v>
      </c>
      <c r="AG662" t="s">
        <v>49</v>
      </c>
      <c r="AH662">
        <v>0</v>
      </c>
      <c r="AI662" t="s">
        <v>49</v>
      </c>
      <c r="AJ662" t="s">
        <v>49</v>
      </c>
      <c r="AK662" t="s">
        <v>49</v>
      </c>
      <c r="AL662" t="s">
        <v>49</v>
      </c>
      <c r="AM662" t="s">
        <v>49</v>
      </c>
      <c r="AN662" s="3">
        <v>144</v>
      </c>
      <c r="AO662" s="19">
        <v>0</v>
      </c>
      <c r="AP662" s="19">
        <v>0</v>
      </c>
      <c r="AQ662" s="19">
        <v>0.6992</v>
      </c>
      <c r="AR662" s="19">
        <v>0.1545</v>
      </c>
      <c r="AS662" s="19">
        <v>1</v>
      </c>
      <c r="AT662" s="19">
        <v>0</v>
      </c>
      <c r="AU662" s="3">
        <v>0</v>
      </c>
      <c r="AV662" s="3">
        <v>0</v>
      </c>
      <c r="AW662" s="19">
        <v>0</v>
      </c>
      <c r="AX662" s="3">
        <v>0</v>
      </c>
      <c r="AY662" s="3">
        <v>0</v>
      </c>
    </row>
    <row r="663" spans="1:51">
      <c r="A663" s="3">
        <v>11096176</v>
      </c>
      <c r="B663" t="s">
        <v>1060</v>
      </c>
      <c r="C663" s="3">
        <v>11421301</v>
      </c>
      <c r="D663" t="s">
        <v>44</v>
      </c>
      <c r="E663" t="s">
        <v>1051</v>
      </c>
      <c r="F663" t="s">
        <v>65</v>
      </c>
      <c r="G663" t="s">
        <v>47</v>
      </c>
      <c r="H663" s="16">
        <v>0</v>
      </c>
      <c r="I663" s="4">
        <f>VLOOKUP(C663,[1]sheet1!$D:$I,6,0)</f>
        <v>0</v>
      </c>
      <c r="J663" s="4">
        <f>VLOOKUP(C663,[2]sheet1!$D:$I,6,0)</f>
        <v>0</v>
      </c>
      <c r="K663" s="4">
        <f>VLOOKUP(C663,[3]sheet1!$D:$I,6,0)</f>
        <v>0</v>
      </c>
      <c r="L663" s="4">
        <f>VLOOKUP(C663,[4]sheet1!$D:$I,6,0)</f>
        <v>0</v>
      </c>
      <c r="M663" s="4">
        <f>VLOOKUP(C663,[5]sheet1!$D:$I,6,0)</f>
        <v>0</v>
      </c>
      <c r="N663" s="4">
        <f>VLOOKUP(C663,[6]sheet1!$D:$I,6,0)</f>
        <v>0</v>
      </c>
      <c r="O663" s="4">
        <f>VLOOKUP(C663,[7]sheet1!$D:$I,6,0)</f>
        <v>0</v>
      </c>
      <c r="P663" s="4">
        <f>VLOOKUP(C663,[8]sheet1!$D:$I,6,0)</f>
        <v>0</v>
      </c>
      <c r="Q663" s="4">
        <f t="shared" si="10"/>
        <v>0</v>
      </c>
      <c r="R663" s="3">
        <v>0</v>
      </c>
      <c r="S663" s="3">
        <v>0</v>
      </c>
      <c r="T663" s="19">
        <v>0</v>
      </c>
      <c r="U663" s="3">
        <v>0</v>
      </c>
      <c r="V663" s="3">
        <v>0</v>
      </c>
      <c r="W663">
        <v>0</v>
      </c>
      <c r="X663" s="3">
        <v>0</v>
      </c>
      <c r="Y663">
        <v>0</v>
      </c>
      <c r="Z663" s="3">
        <v>0</v>
      </c>
      <c r="AA663" t="s">
        <v>139</v>
      </c>
      <c r="AB663" t="s">
        <v>49</v>
      </c>
      <c r="AC663">
        <v>313.22</v>
      </c>
      <c r="AD663" t="s">
        <v>49</v>
      </c>
      <c r="AE663">
        <v>0</v>
      </c>
      <c r="AF663" s="3">
        <v>0</v>
      </c>
      <c r="AG663" t="s">
        <v>49</v>
      </c>
      <c r="AH663">
        <v>0</v>
      </c>
      <c r="AI663" t="s">
        <v>49</v>
      </c>
      <c r="AJ663" t="s">
        <v>49</v>
      </c>
      <c r="AK663" t="s">
        <v>49</v>
      </c>
      <c r="AL663" t="s">
        <v>49</v>
      </c>
      <c r="AM663" t="s">
        <v>49</v>
      </c>
      <c r="AN663" s="3">
        <v>0</v>
      </c>
      <c r="AO663" s="19">
        <v>0</v>
      </c>
      <c r="AP663" s="19">
        <v>0</v>
      </c>
      <c r="AQ663" s="19">
        <v>0</v>
      </c>
      <c r="AR663" s="19">
        <v>0</v>
      </c>
      <c r="AS663" s="19">
        <v>0</v>
      </c>
      <c r="AT663" s="19">
        <v>0</v>
      </c>
      <c r="AU663" s="3">
        <v>0</v>
      </c>
      <c r="AV663" s="3">
        <v>0</v>
      </c>
      <c r="AW663" s="19">
        <v>0</v>
      </c>
      <c r="AX663" s="3">
        <v>0</v>
      </c>
      <c r="AY663" s="3">
        <v>0</v>
      </c>
    </row>
    <row r="664" spans="1:51">
      <c r="A664" s="3">
        <v>10859216</v>
      </c>
      <c r="B664" t="s">
        <v>1061</v>
      </c>
      <c r="C664" s="3">
        <v>16402504</v>
      </c>
      <c r="D664" t="s">
        <v>44</v>
      </c>
      <c r="E664" t="s">
        <v>78</v>
      </c>
      <c r="F664" t="s">
        <v>65</v>
      </c>
      <c r="G664" t="s">
        <v>47</v>
      </c>
      <c r="H664" s="16">
        <v>0</v>
      </c>
      <c r="I664" s="4">
        <f>VLOOKUP(C664,[1]sheet1!$D:$I,6,0)</f>
        <v>0</v>
      </c>
      <c r="J664" s="4">
        <f>VLOOKUP(C664,[2]sheet1!$D:$I,6,0)</f>
        <v>0</v>
      </c>
      <c r="K664" s="4">
        <f>VLOOKUP(C664,[3]sheet1!$D:$I,6,0)</f>
        <v>0</v>
      </c>
      <c r="L664" s="4">
        <f>VLOOKUP(C664,[4]sheet1!$D:$I,6,0)</f>
        <v>0</v>
      </c>
      <c r="M664" s="4">
        <f>VLOOKUP(C664,[5]sheet1!$D:$I,6,0)</f>
        <v>0</v>
      </c>
      <c r="N664" s="4">
        <f>VLOOKUP(C664,[6]sheet1!$D:$I,6,0)</f>
        <v>154</v>
      </c>
      <c r="O664" s="4">
        <f>VLOOKUP(C664,[7]sheet1!$D:$I,6,0)</f>
        <v>0</v>
      </c>
      <c r="P664" s="4">
        <f>VLOOKUP(C664,[8]sheet1!$D:$I,6,0)</f>
        <v>0</v>
      </c>
      <c r="Q664" s="4">
        <f t="shared" si="10"/>
        <v>154</v>
      </c>
      <c r="R664" s="3">
        <v>0</v>
      </c>
      <c r="S664" s="3">
        <v>15</v>
      </c>
      <c r="T664" s="19">
        <v>0</v>
      </c>
      <c r="U664" s="3">
        <v>0</v>
      </c>
      <c r="V664" s="3">
        <v>0</v>
      </c>
      <c r="W664">
        <v>0</v>
      </c>
      <c r="X664" s="3">
        <v>0</v>
      </c>
      <c r="Y664">
        <v>0</v>
      </c>
      <c r="Z664" s="3">
        <v>0</v>
      </c>
      <c r="AA664" t="s">
        <v>625</v>
      </c>
      <c r="AB664" t="s">
        <v>49</v>
      </c>
      <c r="AC664">
        <v>124.55</v>
      </c>
      <c r="AD664" t="s">
        <v>49</v>
      </c>
      <c r="AE664">
        <v>0</v>
      </c>
      <c r="AF664" s="3">
        <v>0</v>
      </c>
      <c r="AG664" t="s">
        <v>49</v>
      </c>
      <c r="AH664">
        <v>0</v>
      </c>
      <c r="AI664" t="s">
        <v>49</v>
      </c>
      <c r="AJ664" t="s">
        <v>49</v>
      </c>
      <c r="AK664" t="s">
        <v>49</v>
      </c>
      <c r="AL664" t="s">
        <v>49</v>
      </c>
      <c r="AM664" t="s">
        <v>49</v>
      </c>
      <c r="AN664" s="3">
        <v>16</v>
      </c>
      <c r="AO664" s="19">
        <v>0</v>
      </c>
      <c r="AP664" s="19">
        <v>0</v>
      </c>
      <c r="AQ664" s="19">
        <v>0.7333</v>
      </c>
      <c r="AR664" s="19">
        <v>0.2667</v>
      </c>
      <c r="AS664" s="19">
        <v>0</v>
      </c>
      <c r="AT664" s="19">
        <v>0</v>
      </c>
      <c r="AU664" s="3">
        <v>0</v>
      </c>
      <c r="AV664" s="3">
        <v>0</v>
      </c>
      <c r="AW664" s="19">
        <v>0</v>
      </c>
      <c r="AX664" s="3">
        <v>0</v>
      </c>
      <c r="AY664" s="3">
        <v>0</v>
      </c>
    </row>
    <row r="665" spans="1:51">
      <c r="A665" s="3">
        <v>10859161</v>
      </c>
      <c r="B665" t="s">
        <v>1062</v>
      </c>
      <c r="C665" s="3">
        <v>16402608</v>
      </c>
      <c r="D665" t="s">
        <v>44</v>
      </c>
      <c r="E665" t="s">
        <v>1063</v>
      </c>
      <c r="F665" t="s">
        <v>65</v>
      </c>
      <c r="G665" t="s">
        <v>47</v>
      </c>
      <c r="H665" s="16">
        <v>0</v>
      </c>
      <c r="I665" s="4">
        <f>VLOOKUP(C665,[1]sheet1!$D:$I,6,0)</f>
        <v>0</v>
      </c>
      <c r="J665" s="4">
        <f>VLOOKUP(C665,[2]sheet1!$D:$I,6,0)</f>
        <v>0</v>
      </c>
      <c r="K665" s="4">
        <f>VLOOKUP(C665,[3]sheet1!$D:$I,6,0)</f>
        <v>0</v>
      </c>
      <c r="L665" s="4">
        <f>VLOOKUP(C665,[4]sheet1!$D:$I,6,0)</f>
        <v>0</v>
      </c>
      <c r="M665" s="4">
        <f>VLOOKUP(C665,[5]sheet1!$D:$I,6,0)</f>
        <v>0</v>
      </c>
      <c r="N665" s="4">
        <f>VLOOKUP(C665,[6]sheet1!$D:$I,6,0)</f>
        <v>0</v>
      </c>
      <c r="O665" s="4">
        <f>VLOOKUP(C665,[7]sheet1!$D:$I,6,0)</f>
        <v>0</v>
      </c>
      <c r="P665" s="4">
        <f>VLOOKUP(C665,[8]sheet1!$D:$I,6,0)</f>
        <v>0</v>
      </c>
      <c r="Q665" s="4">
        <f t="shared" si="10"/>
        <v>0</v>
      </c>
      <c r="R665" s="3">
        <v>0</v>
      </c>
      <c r="S665" s="3">
        <v>15</v>
      </c>
      <c r="T665" s="19">
        <v>0</v>
      </c>
      <c r="U665" s="3">
        <v>0</v>
      </c>
      <c r="V665" s="3">
        <v>0</v>
      </c>
      <c r="W665">
        <v>0</v>
      </c>
      <c r="X665" s="3">
        <v>0</v>
      </c>
      <c r="Y665">
        <v>0</v>
      </c>
      <c r="Z665" s="3">
        <v>0</v>
      </c>
      <c r="AA665" t="s">
        <v>49</v>
      </c>
      <c r="AB665" t="s">
        <v>49</v>
      </c>
      <c r="AC665" t="s">
        <v>49</v>
      </c>
      <c r="AD665" t="s">
        <v>49</v>
      </c>
      <c r="AE665">
        <v>0</v>
      </c>
      <c r="AF665" s="3">
        <v>0</v>
      </c>
      <c r="AG665" t="s">
        <v>49</v>
      </c>
      <c r="AH665" t="s">
        <v>49</v>
      </c>
      <c r="AI665" t="s">
        <v>49</v>
      </c>
      <c r="AJ665" t="s">
        <v>49</v>
      </c>
      <c r="AK665" t="s">
        <v>49</v>
      </c>
      <c r="AL665" t="s">
        <v>49</v>
      </c>
      <c r="AM665" t="s">
        <v>49</v>
      </c>
      <c r="AN665" s="3">
        <v>20</v>
      </c>
      <c r="AO665" s="19">
        <v>0</v>
      </c>
      <c r="AP665" s="19">
        <v>0</v>
      </c>
      <c r="AQ665" s="19">
        <v>0.9333</v>
      </c>
      <c r="AR665" s="19">
        <v>0.1333</v>
      </c>
      <c r="AS665" s="19">
        <v>0</v>
      </c>
      <c r="AT665" s="19">
        <v>0</v>
      </c>
      <c r="AU665" s="3">
        <v>0</v>
      </c>
      <c r="AV665" s="3">
        <v>0</v>
      </c>
      <c r="AW665" s="19">
        <v>0</v>
      </c>
      <c r="AX665" s="3">
        <v>0</v>
      </c>
      <c r="AY665" s="3">
        <v>0</v>
      </c>
    </row>
    <row r="666" spans="1:51">
      <c r="A666" s="3">
        <v>10721038</v>
      </c>
      <c r="B666" t="s">
        <v>1064</v>
      </c>
      <c r="C666" s="3">
        <v>12111901</v>
      </c>
      <c r="D666" t="s">
        <v>44</v>
      </c>
      <c r="E666" t="s">
        <v>249</v>
      </c>
      <c r="F666" t="s">
        <v>65</v>
      </c>
      <c r="G666" t="s">
        <v>47</v>
      </c>
      <c r="H666" s="16">
        <v>0</v>
      </c>
      <c r="I666" s="4">
        <f>VLOOKUP(C666,[1]sheet1!$D:$I,6,0)</f>
        <v>0</v>
      </c>
      <c r="J666" s="4">
        <f>VLOOKUP(C666,[2]sheet1!$D:$I,6,0)</f>
        <v>0</v>
      </c>
      <c r="K666" s="4">
        <f>VLOOKUP(C666,[3]sheet1!$D:$I,6,0)</f>
        <v>0</v>
      </c>
      <c r="L666" s="4">
        <f>VLOOKUP(C666,[4]sheet1!$D:$I,6,0)</f>
        <v>0</v>
      </c>
      <c r="M666" s="4">
        <f>VLOOKUP(C666,[5]sheet1!$D:$I,6,0)</f>
        <v>0</v>
      </c>
      <c r="N666" s="4">
        <f>VLOOKUP(C666,[6]sheet1!$D:$I,6,0)</f>
        <v>0</v>
      </c>
      <c r="O666" s="4">
        <f>VLOOKUP(C666,[7]sheet1!$D:$I,6,0)</f>
        <v>295</v>
      </c>
      <c r="P666" s="4">
        <f>VLOOKUP(C666,[8]sheet1!$D:$I,6,0)</f>
        <v>0</v>
      </c>
      <c r="Q666" s="4">
        <f t="shared" si="10"/>
        <v>295</v>
      </c>
      <c r="R666" s="3">
        <v>0</v>
      </c>
      <c r="S666" s="3">
        <v>7</v>
      </c>
      <c r="T666" s="19">
        <v>0</v>
      </c>
      <c r="U666" s="3">
        <v>0</v>
      </c>
      <c r="V666" s="3">
        <v>0</v>
      </c>
      <c r="W666">
        <v>0</v>
      </c>
      <c r="X666" s="3">
        <v>0</v>
      </c>
      <c r="Y666">
        <v>0</v>
      </c>
      <c r="Z666" s="3">
        <v>0</v>
      </c>
      <c r="AA666" t="s">
        <v>343</v>
      </c>
      <c r="AB666" t="s">
        <v>49</v>
      </c>
      <c r="AC666">
        <v>286.03</v>
      </c>
      <c r="AD666" t="s">
        <v>49</v>
      </c>
      <c r="AE666">
        <v>0</v>
      </c>
      <c r="AF666" s="3">
        <v>0</v>
      </c>
      <c r="AG666" t="s">
        <v>49</v>
      </c>
      <c r="AH666">
        <v>0</v>
      </c>
      <c r="AI666" t="s">
        <v>49</v>
      </c>
      <c r="AJ666" t="s">
        <v>49</v>
      </c>
      <c r="AK666" t="s">
        <v>49</v>
      </c>
      <c r="AL666" t="s">
        <v>49</v>
      </c>
      <c r="AM666" t="s">
        <v>49</v>
      </c>
      <c r="AN666" s="3">
        <v>7</v>
      </c>
      <c r="AO666" s="19">
        <v>0</v>
      </c>
      <c r="AP666" s="19">
        <v>0</v>
      </c>
      <c r="AQ666" s="19">
        <v>0.5714</v>
      </c>
      <c r="AR666" s="19">
        <v>0.2857</v>
      </c>
      <c r="AS666" s="19">
        <v>0</v>
      </c>
      <c r="AT666" s="19">
        <v>0</v>
      </c>
      <c r="AU666" s="3">
        <v>0</v>
      </c>
      <c r="AV666" s="3">
        <v>0</v>
      </c>
      <c r="AW666" s="19">
        <v>0</v>
      </c>
      <c r="AX666" s="3">
        <v>0</v>
      </c>
      <c r="AY666" s="3">
        <v>0</v>
      </c>
    </row>
    <row r="667" spans="1:51">
      <c r="A667" s="3">
        <v>10708283</v>
      </c>
      <c r="B667" t="s">
        <v>1065</v>
      </c>
      <c r="C667" s="3">
        <v>12331902</v>
      </c>
      <c r="D667" t="s">
        <v>44</v>
      </c>
      <c r="E667" t="s">
        <v>100</v>
      </c>
      <c r="F667" t="s">
        <v>65</v>
      </c>
      <c r="G667" t="s">
        <v>47</v>
      </c>
      <c r="H667" s="16">
        <v>0</v>
      </c>
      <c r="I667" s="4">
        <f>VLOOKUP(C667,[1]sheet1!$D:$I,6,0)</f>
        <v>0</v>
      </c>
      <c r="J667" s="4">
        <f>VLOOKUP(C667,[2]sheet1!$D:$I,6,0)</f>
        <v>0</v>
      </c>
      <c r="K667" s="4">
        <f>VLOOKUP(C667,[3]sheet1!$D:$I,6,0)</f>
        <v>0</v>
      </c>
      <c r="L667" s="4">
        <f>VLOOKUP(C667,[4]sheet1!$D:$I,6,0)</f>
        <v>0</v>
      </c>
      <c r="M667" s="4">
        <f>VLOOKUP(C667,[5]sheet1!$D:$I,6,0)</f>
        <v>0</v>
      </c>
      <c r="N667" s="4">
        <f>VLOOKUP(C667,[6]sheet1!$D:$I,6,0)</f>
        <v>0</v>
      </c>
      <c r="O667" s="4">
        <f>VLOOKUP(C667,[7]sheet1!$D:$I,6,0)</f>
        <v>0</v>
      </c>
      <c r="P667" s="4">
        <f>VLOOKUP(C667,[8]sheet1!$D:$I,6,0)</f>
        <v>0</v>
      </c>
      <c r="Q667" s="4">
        <f t="shared" si="10"/>
        <v>0</v>
      </c>
      <c r="R667" s="3">
        <v>0</v>
      </c>
      <c r="S667" s="3">
        <v>6</v>
      </c>
      <c r="T667" s="19">
        <v>0</v>
      </c>
      <c r="U667" s="3">
        <v>0</v>
      </c>
      <c r="V667" s="3">
        <v>0</v>
      </c>
      <c r="W667">
        <v>0</v>
      </c>
      <c r="X667" s="3">
        <v>0</v>
      </c>
      <c r="Y667">
        <v>0</v>
      </c>
      <c r="Z667" s="3">
        <v>0</v>
      </c>
      <c r="AA667" t="s">
        <v>139</v>
      </c>
      <c r="AB667" t="s">
        <v>49</v>
      </c>
      <c r="AC667">
        <v>311.93</v>
      </c>
      <c r="AD667" t="s">
        <v>49</v>
      </c>
      <c r="AE667">
        <v>0</v>
      </c>
      <c r="AF667" s="3">
        <v>0</v>
      </c>
      <c r="AG667" t="s">
        <v>49</v>
      </c>
      <c r="AH667">
        <v>0</v>
      </c>
      <c r="AI667" t="s">
        <v>49</v>
      </c>
      <c r="AJ667" t="s">
        <v>49</v>
      </c>
      <c r="AK667" t="s">
        <v>49</v>
      </c>
      <c r="AL667" t="s">
        <v>49</v>
      </c>
      <c r="AM667" t="s">
        <v>49</v>
      </c>
      <c r="AN667" s="3">
        <v>6</v>
      </c>
      <c r="AO667" s="19">
        <v>0</v>
      </c>
      <c r="AP667" s="19">
        <v>0</v>
      </c>
      <c r="AQ667" s="19">
        <v>0.8333</v>
      </c>
      <c r="AR667" s="19">
        <v>0.1667</v>
      </c>
      <c r="AS667" s="19">
        <v>0</v>
      </c>
      <c r="AT667" s="19">
        <v>0</v>
      </c>
      <c r="AU667" s="3">
        <v>0</v>
      </c>
      <c r="AV667" s="3">
        <v>0</v>
      </c>
      <c r="AW667" s="19">
        <v>0</v>
      </c>
      <c r="AX667" s="3">
        <v>0</v>
      </c>
      <c r="AY667" s="3">
        <v>0</v>
      </c>
    </row>
    <row r="668" spans="1:51">
      <c r="A668" s="3">
        <v>10695595</v>
      </c>
      <c r="B668" t="s">
        <v>1066</v>
      </c>
      <c r="C668" s="3">
        <v>11111905</v>
      </c>
      <c r="D668" t="s">
        <v>44</v>
      </c>
      <c r="E668" t="s">
        <v>249</v>
      </c>
      <c r="F668" t="s">
        <v>65</v>
      </c>
      <c r="G668" t="s">
        <v>47</v>
      </c>
      <c r="H668" s="16">
        <v>0</v>
      </c>
      <c r="I668" s="4">
        <f>VLOOKUP(C668,[1]sheet1!$D:$I,6,0)</f>
        <v>0</v>
      </c>
      <c r="J668" s="4">
        <f>VLOOKUP(C668,[2]sheet1!$D:$I,6,0)</f>
        <v>0</v>
      </c>
      <c r="K668" s="4">
        <f>VLOOKUP(C668,[3]sheet1!$D:$I,6,0)</f>
        <v>0</v>
      </c>
      <c r="L668" s="4">
        <f>VLOOKUP(C668,[4]sheet1!$D:$I,6,0)</f>
        <v>0</v>
      </c>
      <c r="M668" s="4">
        <f>VLOOKUP(C668,[5]sheet1!$D:$I,6,0)</f>
        <v>0</v>
      </c>
      <c r="N668" s="4">
        <f>VLOOKUP(C668,[6]sheet1!$D:$I,6,0)</f>
        <v>0</v>
      </c>
      <c r="O668" s="4">
        <f>VLOOKUP(C668,[7]sheet1!$D:$I,6,0)</f>
        <v>0</v>
      </c>
      <c r="P668" s="4">
        <f>VLOOKUP(C668,[8]sheet1!$D:$I,6,0)</f>
        <v>0</v>
      </c>
      <c r="Q668" s="4">
        <f t="shared" si="10"/>
        <v>0</v>
      </c>
      <c r="R668" s="3">
        <v>0</v>
      </c>
      <c r="S668" s="3">
        <v>4</v>
      </c>
      <c r="T668" s="19">
        <v>0</v>
      </c>
      <c r="U668" s="3">
        <v>0</v>
      </c>
      <c r="V668" s="3">
        <v>0</v>
      </c>
      <c r="W668">
        <v>0</v>
      </c>
      <c r="X668" s="3">
        <v>0</v>
      </c>
      <c r="Y668">
        <v>0</v>
      </c>
      <c r="Z668" s="3">
        <v>0</v>
      </c>
      <c r="AA668" t="s">
        <v>49</v>
      </c>
      <c r="AB668" t="s">
        <v>49</v>
      </c>
      <c r="AC668" t="s">
        <v>49</v>
      </c>
      <c r="AD668" t="s">
        <v>49</v>
      </c>
      <c r="AE668">
        <v>0</v>
      </c>
      <c r="AF668" s="3">
        <v>0</v>
      </c>
      <c r="AG668" t="s">
        <v>49</v>
      </c>
      <c r="AH668" t="s">
        <v>49</v>
      </c>
      <c r="AI668" t="s">
        <v>49</v>
      </c>
      <c r="AJ668" t="s">
        <v>49</v>
      </c>
      <c r="AK668" t="s">
        <v>49</v>
      </c>
      <c r="AL668" t="s">
        <v>49</v>
      </c>
      <c r="AM668" t="s">
        <v>49</v>
      </c>
      <c r="AN668" s="3">
        <v>4</v>
      </c>
      <c r="AO668" s="19">
        <v>0</v>
      </c>
      <c r="AP668" s="19">
        <v>0</v>
      </c>
      <c r="AQ668" s="19">
        <v>0.25</v>
      </c>
      <c r="AR668" s="19">
        <v>0.25</v>
      </c>
      <c r="AS668" s="19">
        <v>0</v>
      </c>
      <c r="AT668" s="19">
        <v>0</v>
      </c>
      <c r="AU668" s="3">
        <v>0</v>
      </c>
      <c r="AV668" s="3">
        <v>0</v>
      </c>
      <c r="AW668" s="19">
        <v>0</v>
      </c>
      <c r="AX668" s="3">
        <v>0</v>
      </c>
      <c r="AY668" s="3">
        <v>0</v>
      </c>
    </row>
    <row r="669" spans="1:51">
      <c r="A669" s="3">
        <v>10691120</v>
      </c>
      <c r="B669" t="s">
        <v>1067</v>
      </c>
      <c r="C669" s="3">
        <v>11411907</v>
      </c>
      <c r="D669" t="s">
        <v>44</v>
      </c>
      <c r="E669" t="s">
        <v>100</v>
      </c>
      <c r="F669" t="s">
        <v>65</v>
      </c>
      <c r="G669" t="s">
        <v>47</v>
      </c>
      <c r="H669" s="16">
        <v>0</v>
      </c>
      <c r="I669" s="4">
        <f>VLOOKUP(C669,[1]sheet1!$D:$I,6,0)</f>
        <v>369</v>
      </c>
      <c r="J669" s="4">
        <f>VLOOKUP(C669,[2]sheet1!$D:$I,6,0)</f>
        <v>0</v>
      </c>
      <c r="K669" s="4">
        <f>VLOOKUP(C669,[3]sheet1!$D:$I,6,0)</f>
        <v>0</v>
      </c>
      <c r="L669" s="4">
        <f>VLOOKUP(C669,[4]sheet1!$D:$I,6,0)</f>
        <v>318</v>
      </c>
      <c r="M669" s="4">
        <f>VLOOKUP(C669,[5]sheet1!$D:$I,6,0)</f>
        <v>328</v>
      </c>
      <c r="N669" s="4">
        <f>VLOOKUP(C669,[6]sheet1!$D:$I,6,0)</f>
        <v>0</v>
      </c>
      <c r="O669" s="4">
        <f>VLOOKUP(C669,[7]sheet1!$D:$I,6,0)</f>
        <v>369</v>
      </c>
      <c r="P669" s="4">
        <f>VLOOKUP(C669,[8]sheet1!$D:$I,6,0)</f>
        <v>0</v>
      </c>
      <c r="Q669" s="4">
        <f t="shared" si="10"/>
        <v>1384</v>
      </c>
      <c r="R669" s="3">
        <v>0</v>
      </c>
      <c r="S669" s="3">
        <v>98</v>
      </c>
      <c r="T669" s="19">
        <v>0</v>
      </c>
      <c r="U669" s="3">
        <v>2</v>
      </c>
      <c r="V669" s="3">
        <v>0</v>
      </c>
      <c r="W669">
        <v>0</v>
      </c>
      <c r="X669" s="3">
        <v>0</v>
      </c>
      <c r="Y669">
        <v>0</v>
      </c>
      <c r="Z669" s="3">
        <v>0</v>
      </c>
      <c r="AA669" t="s">
        <v>139</v>
      </c>
      <c r="AB669" t="s">
        <v>49</v>
      </c>
      <c r="AC669">
        <v>311.93</v>
      </c>
      <c r="AD669" t="s">
        <v>49</v>
      </c>
      <c r="AE669">
        <v>0</v>
      </c>
      <c r="AF669" s="3">
        <v>0</v>
      </c>
      <c r="AG669" t="s">
        <v>49</v>
      </c>
      <c r="AH669">
        <v>0</v>
      </c>
      <c r="AI669" t="s">
        <v>49</v>
      </c>
      <c r="AJ669" t="s">
        <v>49</v>
      </c>
      <c r="AK669" t="s">
        <v>49</v>
      </c>
      <c r="AL669" t="s">
        <v>49</v>
      </c>
      <c r="AM669" t="s">
        <v>49</v>
      </c>
      <c r="AN669" s="3">
        <v>111</v>
      </c>
      <c r="AO669" s="19">
        <v>0</v>
      </c>
      <c r="AP669" s="19">
        <v>0</v>
      </c>
      <c r="AQ669" s="19">
        <v>0.8265</v>
      </c>
      <c r="AR669" s="19">
        <v>0.4796</v>
      </c>
      <c r="AS669" s="19">
        <v>0.5</v>
      </c>
      <c r="AT669" s="19">
        <v>1</v>
      </c>
      <c r="AU669" s="3">
        <v>0</v>
      </c>
      <c r="AV669" s="3">
        <v>0</v>
      </c>
      <c r="AW669" s="19">
        <v>0</v>
      </c>
      <c r="AX669" s="3">
        <v>0</v>
      </c>
      <c r="AY669" s="3">
        <v>0</v>
      </c>
    </row>
    <row r="670" spans="1:51">
      <c r="A670" s="3">
        <v>10565149</v>
      </c>
      <c r="B670" t="s">
        <v>1068</v>
      </c>
      <c r="C670" s="3">
        <v>12422004</v>
      </c>
      <c r="D670" t="s">
        <v>44</v>
      </c>
      <c r="E670" t="s">
        <v>133</v>
      </c>
      <c r="F670" t="s">
        <v>65</v>
      </c>
      <c r="G670" t="s">
        <v>47</v>
      </c>
      <c r="H670" s="16">
        <v>0</v>
      </c>
      <c r="I670" s="4">
        <f>VLOOKUP(C670,[1]sheet1!$D:$I,6,0)</f>
        <v>0</v>
      </c>
      <c r="J670" s="4">
        <f>VLOOKUP(C670,[2]sheet1!$D:$I,6,0)</f>
        <v>0</v>
      </c>
      <c r="K670" s="4">
        <f>VLOOKUP(C670,[3]sheet1!$D:$I,6,0)</f>
        <v>0</v>
      </c>
      <c r="L670" s="4">
        <f>VLOOKUP(C670,[4]sheet1!$D:$I,6,0)</f>
        <v>0</v>
      </c>
      <c r="M670" s="4">
        <f>VLOOKUP(C670,[5]sheet1!$D:$I,6,0)</f>
        <v>0</v>
      </c>
      <c r="N670" s="4">
        <f>VLOOKUP(C670,[6]sheet1!$D:$I,6,0)</f>
        <v>0</v>
      </c>
      <c r="O670" s="4">
        <f>VLOOKUP(C670,[7]sheet1!$D:$I,6,0)</f>
        <v>0</v>
      </c>
      <c r="P670" s="4">
        <f>VLOOKUP(C670,[8]sheet1!$D:$I,6,0)</f>
        <v>0</v>
      </c>
      <c r="Q670" s="4">
        <f t="shared" si="10"/>
        <v>0</v>
      </c>
      <c r="R670" s="3">
        <v>0</v>
      </c>
      <c r="S670" s="3">
        <v>70</v>
      </c>
      <c r="T670" s="19">
        <v>0</v>
      </c>
      <c r="U670" s="3">
        <v>1</v>
      </c>
      <c r="V670" s="3">
        <v>0</v>
      </c>
      <c r="W670">
        <v>0</v>
      </c>
      <c r="X670" s="3">
        <v>0</v>
      </c>
      <c r="Y670">
        <v>0</v>
      </c>
      <c r="Z670" s="3">
        <v>0</v>
      </c>
      <c r="AA670" t="s">
        <v>394</v>
      </c>
      <c r="AB670" t="s">
        <v>49</v>
      </c>
      <c r="AC670">
        <v>303.13</v>
      </c>
      <c r="AD670" t="s">
        <v>49</v>
      </c>
      <c r="AE670">
        <v>0</v>
      </c>
      <c r="AF670" s="3">
        <v>0</v>
      </c>
      <c r="AG670" t="s">
        <v>49</v>
      </c>
      <c r="AH670">
        <v>0</v>
      </c>
      <c r="AI670" t="s">
        <v>49</v>
      </c>
      <c r="AJ670" t="s">
        <v>49</v>
      </c>
      <c r="AK670" t="s">
        <v>49</v>
      </c>
      <c r="AL670" t="s">
        <v>49</v>
      </c>
      <c r="AM670" t="s">
        <v>49</v>
      </c>
      <c r="AN670" s="3">
        <v>81</v>
      </c>
      <c r="AO670" s="19">
        <v>0</v>
      </c>
      <c r="AP670" s="19">
        <v>0</v>
      </c>
      <c r="AQ670" s="19">
        <v>0.8429</v>
      </c>
      <c r="AR670" s="19">
        <v>0.2429</v>
      </c>
      <c r="AS670" s="19">
        <v>1</v>
      </c>
      <c r="AT670" s="19">
        <v>0</v>
      </c>
      <c r="AU670" s="3">
        <v>0</v>
      </c>
      <c r="AV670" s="3">
        <v>0</v>
      </c>
      <c r="AW670" s="19">
        <v>0</v>
      </c>
      <c r="AX670" s="3">
        <v>0</v>
      </c>
      <c r="AY670" s="3">
        <v>0</v>
      </c>
    </row>
    <row r="671" spans="1:51">
      <c r="A671" s="3">
        <v>10561103</v>
      </c>
      <c r="B671" t="s">
        <v>1069</v>
      </c>
      <c r="C671" s="3">
        <v>12421238</v>
      </c>
      <c r="D671" t="s">
        <v>44</v>
      </c>
      <c r="E671" t="s">
        <v>109</v>
      </c>
      <c r="F671" t="s">
        <v>65</v>
      </c>
      <c r="G671" t="s">
        <v>47</v>
      </c>
      <c r="H671" s="16">
        <v>0</v>
      </c>
      <c r="I671" s="4">
        <f>VLOOKUP(C671,[1]sheet1!$D:$I,6,0)</f>
        <v>0</v>
      </c>
      <c r="J671" s="4">
        <f>VLOOKUP(C671,[2]sheet1!$D:$I,6,0)</f>
        <v>0</v>
      </c>
      <c r="K671" s="4">
        <f>VLOOKUP(C671,[3]sheet1!$D:$I,6,0)</f>
        <v>0</v>
      </c>
      <c r="L671" s="4">
        <f>VLOOKUP(C671,[4]sheet1!$D:$I,6,0)</f>
        <v>0</v>
      </c>
      <c r="M671" s="4">
        <f>VLOOKUP(C671,[5]sheet1!$D:$I,6,0)</f>
        <v>0</v>
      </c>
      <c r="N671" s="4">
        <f>VLOOKUP(C671,[6]sheet1!$D:$I,6,0)</f>
        <v>0</v>
      </c>
      <c r="O671" s="4">
        <f>VLOOKUP(C671,[7]sheet1!$D:$I,6,0)</f>
        <v>221</v>
      </c>
      <c r="P671" s="4">
        <f>VLOOKUP(C671,[8]sheet1!$D:$I,6,0)</f>
        <v>0</v>
      </c>
      <c r="Q671" s="4">
        <f t="shared" si="10"/>
        <v>221</v>
      </c>
      <c r="R671" s="3">
        <v>0</v>
      </c>
      <c r="S671" s="3">
        <v>15</v>
      </c>
      <c r="T671" s="19">
        <v>0</v>
      </c>
      <c r="U671" s="3">
        <v>0</v>
      </c>
      <c r="V671" s="3">
        <v>0</v>
      </c>
      <c r="W671">
        <v>0</v>
      </c>
      <c r="X671" s="3">
        <v>0</v>
      </c>
      <c r="Y671">
        <v>0</v>
      </c>
      <c r="Z671" s="3">
        <v>0</v>
      </c>
      <c r="AA671" t="s">
        <v>49</v>
      </c>
      <c r="AB671" t="s">
        <v>49</v>
      </c>
      <c r="AC671" t="s">
        <v>49</v>
      </c>
      <c r="AD671" t="s">
        <v>49</v>
      </c>
      <c r="AE671">
        <v>0</v>
      </c>
      <c r="AF671" s="3">
        <v>0</v>
      </c>
      <c r="AG671" t="s">
        <v>49</v>
      </c>
      <c r="AH671" t="s">
        <v>49</v>
      </c>
      <c r="AI671" t="s">
        <v>49</v>
      </c>
      <c r="AJ671" t="s">
        <v>49</v>
      </c>
      <c r="AK671" t="s">
        <v>49</v>
      </c>
      <c r="AL671" t="s">
        <v>49</v>
      </c>
      <c r="AM671" t="s">
        <v>49</v>
      </c>
      <c r="AN671" s="3">
        <v>16</v>
      </c>
      <c r="AO671" s="19">
        <v>0</v>
      </c>
      <c r="AP671" s="19">
        <v>0</v>
      </c>
      <c r="AQ671" s="19">
        <v>0.6667</v>
      </c>
      <c r="AR671" s="19">
        <v>0.3333</v>
      </c>
      <c r="AS671" s="19">
        <v>0</v>
      </c>
      <c r="AT671" s="19">
        <v>0</v>
      </c>
      <c r="AU671" s="3">
        <v>0</v>
      </c>
      <c r="AV671" s="3">
        <v>0</v>
      </c>
      <c r="AW671" s="19">
        <v>0</v>
      </c>
      <c r="AX671" s="3">
        <v>0</v>
      </c>
      <c r="AY671" s="3">
        <v>0</v>
      </c>
    </row>
    <row r="672" spans="1:51">
      <c r="A672" s="3">
        <v>10521505</v>
      </c>
      <c r="B672" t="s">
        <v>1070</v>
      </c>
      <c r="C672" s="3">
        <v>11011901</v>
      </c>
      <c r="D672" t="s">
        <v>44</v>
      </c>
      <c r="E672" t="s">
        <v>249</v>
      </c>
      <c r="F672" t="s">
        <v>65</v>
      </c>
      <c r="G672" t="s">
        <v>47</v>
      </c>
      <c r="H672" s="16">
        <v>0</v>
      </c>
      <c r="I672" s="4">
        <f>VLOOKUP(C672,[1]sheet1!$D:$I,6,0)</f>
        <v>0</v>
      </c>
      <c r="J672" s="4">
        <f>VLOOKUP(C672,[2]sheet1!$D:$I,6,0)</f>
        <v>0</v>
      </c>
      <c r="K672" s="4">
        <f>VLOOKUP(C672,[3]sheet1!$D:$I,6,0)</f>
        <v>0</v>
      </c>
      <c r="L672" s="4">
        <f>VLOOKUP(C672,[4]sheet1!$D:$I,6,0)</f>
        <v>0</v>
      </c>
      <c r="M672" s="4">
        <f>VLOOKUP(C672,[5]sheet1!$D:$I,6,0)</f>
        <v>0</v>
      </c>
      <c r="N672" s="4">
        <f>VLOOKUP(C672,[6]sheet1!$D:$I,6,0)</f>
        <v>0</v>
      </c>
      <c r="O672" s="4">
        <f>VLOOKUP(C672,[7]sheet1!$D:$I,6,0)</f>
        <v>0</v>
      </c>
      <c r="P672" s="4">
        <f>VLOOKUP(C672,[8]sheet1!$D:$I,6,0)</f>
        <v>0</v>
      </c>
      <c r="Q672" s="4">
        <f t="shared" si="10"/>
        <v>0</v>
      </c>
      <c r="R672" s="3">
        <v>0</v>
      </c>
      <c r="S672" s="3">
        <v>0</v>
      </c>
      <c r="T672" s="19">
        <v>0</v>
      </c>
      <c r="U672" s="3">
        <v>0</v>
      </c>
      <c r="V672" s="3">
        <v>0</v>
      </c>
      <c r="W672">
        <v>0</v>
      </c>
      <c r="X672" s="3">
        <v>0</v>
      </c>
      <c r="Y672">
        <v>0</v>
      </c>
      <c r="Z672" s="3">
        <v>0</v>
      </c>
      <c r="AA672" t="s">
        <v>183</v>
      </c>
      <c r="AB672" t="s">
        <v>49</v>
      </c>
      <c r="AC672">
        <v>146.83</v>
      </c>
      <c r="AD672" t="s">
        <v>49</v>
      </c>
      <c r="AE672">
        <v>0</v>
      </c>
      <c r="AF672" s="3">
        <v>0</v>
      </c>
      <c r="AG672" t="s">
        <v>49</v>
      </c>
      <c r="AH672">
        <v>0</v>
      </c>
      <c r="AI672" t="s">
        <v>49</v>
      </c>
      <c r="AJ672" t="s">
        <v>49</v>
      </c>
      <c r="AK672" t="s">
        <v>49</v>
      </c>
      <c r="AL672" t="s">
        <v>49</v>
      </c>
      <c r="AM672" t="s">
        <v>49</v>
      </c>
      <c r="AN672" s="3">
        <v>0</v>
      </c>
      <c r="AO672" s="19">
        <v>0</v>
      </c>
      <c r="AP672" s="19">
        <v>0</v>
      </c>
      <c r="AQ672" s="19">
        <v>0</v>
      </c>
      <c r="AR672" s="19">
        <v>0</v>
      </c>
      <c r="AS672" s="19">
        <v>0</v>
      </c>
      <c r="AT672" s="19">
        <v>0</v>
      </c>
      <c r="AU672" s="3">
        <v>0</v>
      </c>
      <c r="AV672" s="3">
        <v>0</v>
      </c>
      <c r="AW672" s="19">
        <v>0</v>
      </c>
      <c r="AX672" s="3">
        <v>0</v>
      </c>
      <c r="AY672" s="3">
        <v>0</v>
      </c>
    </row>
    <row r="673" spans="1:51">
      <c r="A673" s="3">
        <v>10519407</v>
      </c>
      <c r="B673" t="s">
        <v>1071</v>
      </c>
      <c r="C673" s="3">
        <v>12022104</v>
      </c>
      <c r="D673" t="s">
        <v>44</v>
      </c>
      <c r="E673" t="s">
        <v>133</v>
      </c>
      <c r="F673" t="s">
        <v>65</v>
      </c>
      <c r="G673" t="s">
        <v>47</v>
      </c>
      <c r="H673" s="16">
        <v>0</v>
      </c>
      <c r="I673" s="4">
        <f>VLOOKUP(C673,[1]sheet1!$D:$I,6,0)</f>
        <v>0</v>
      </c>
      <c r="J673" s="4">
        <f>VLOOKUP(C673,[2]sheet1!$D:$I,6,0)</f>
        <v>0</v>
      </c>
      <c r="K673" s="4">
        <f>VLOOKUP(C673,[3]sheet1!$D:$I,6,0)</f>
        <v>0</v>
      </c>
      <c r="L673" s="4">
        <f>VLOOKUP(C673,[4]sheet1!$D:$I,6,0)</f>
        <v>0</v>
      </c>
      <c r="M673" s="4">
        <f>VLOOKUP(C673,[5]sheet1!$D:$I,6,0)</f>
        <v>0</v>
      </c>
      <c r="N673" s="4">
        <f>VLOOKUP(C673,[6]sheet1!$D:$I,6,0)</f>
        <v>0</v>
      </c>
      <c r="O673" s="4">
        <f>VLOOKUP(C673,[7]sheet1!$D:$I,6,0)</f>
        <v>0</v>
      </c>
      <c r="P673" s="4">
        <f>VLOOKUP(C673,[8]sheet1!$D:$I,6,0)</f>
        <v>0</v>
      </c>
      <c r="Q673" s="4">
        <f t="shared" si="10"/>
        <v>0</v>
      </c>
      <c r="R673" s="3">
        <v>0</v>
      </c>
      <c r="S673" s="3">
        <v>70</v>
      </c>
      <c r="T673" s="19">
        <v>0</v>
      </c>
      <c r="U673" s="3">
        <v>0</v>
      </c>
      <c r="V673" s="3">
        <v>0</v>
      </c>
      <c r="W673">
        <v>0</v>
      </c>
      <c r="X673" s="3">
        <v>0</v>
      </c>
      <c r="Y673">
        <v>0</v>
      </c>
      <c r="Z673" s="3">
        <v>0</v>
      </c>
      <c r="AA673" t="s">
        <v>1072</v>
      </c>
      <c r="AB673" t="s">
        <v>49</v>
      </c>
      <c r="AC673">
        <v>16.8</v>
      </c>
      <c r="AD673" t="s">
        <v>49</v>
      </c>
      <c r="AE673">
        <v>0</v>
      </c>
      <c r="AF673" s="3">
        <v>0</v>
      </c>
      <c r="AG673" t="s">
        <v>49</v>
      </c>
      <c r="AH673">
        <v>0</v>
      </c>
      <c r="AI673" t="s">
        <v>49</v>
      </c>
      <c r="AJ673" t="s">
        <v>49</v>
      </c>
      <c r="AK673" t="s">
        <v>49</v>
      </c>
      <c r="AL673" t="s">
        <v>49</v>
      </c>
      <c r="AM673" t="s">
        <v>49</v>
      </c>
      <c r="AN673" s="3">
        <v>81</v>
      </c>
      <c r="AO673" s="19">
        <v>0</v>
      </c>
      <c r="AP673" s="19">
        <v>0</v>
      </c>
      <c r="AQ673" s="19">
        <v>0.9286</v>
      </c>
      <c r="AR673" s="19">
        <v>0.2</v>
      </c>
      <c r="AS673" s="19">
        <v>0</v>
      </c>
      <c r="AT673" s="19">
        <v>0</v>
      </c>
      <c r="AU673" s="3">
        <v>0</v>
      </c>
      <c r="AV673" s="3">
        <v>0</v>
      </c>
      <c r="AW673" s="19">
        <v>0</v>
      </c>
      <c r="AX673" s="3">
        <v>0</v>
      </c>
      <c r="AY673" s="3">
        <v>0</v>
      </c>
    </row>
    <row r="674" spans="1:51">
      <c r="A674" s="3">
        <v>10196376</v>
      </c>
      <c r="B674" t="s">
        <v>1073</v>
      </c>
      <c r="C674" s="3">
        <v>16123406</v>
      </c>
      <c r="D674" t="s">
        <v>44</v>
      </c>
      <c r="E674" t="s">
        <v>75</v>
      </c>
      <c r="F674" t="s">
        <v>65</v>
      </c>
      <c r="G674" t="s">
        <v>47</v>
      </c>
      <c r="H674" s="16">
        <v>0</v>
      </c>
      <c r="I674" s="4">
        <f>VLOOKUP(C674,[1]sheet1!$D:$I,6,0)</f>
        <v>0</v>
      </c>
      <c r="J674" s="4">
        <f>VLOOKUP(C674,[2]sheet1!$D:$I,6,0)</f>
        <v>0</v>
      </c>
      <c r="K674" s="4">
        <f>VLOOKUP(C674,[3]sheet1!$D:$I,6,0)</f>
        <v>0</v>
      </c>
      <c r="L674" s="4">
        <f>VLOOKUP(C674,[4]sheet1!$D:$I,6,0)</f>
        <v>0</v>
      </c>
      <c r="M674" s="4">
        <f>VLOOKUP(C674,[5]sheet1!$D:$I,6,0)</f>
        <v>0</v>
      </c>
      <c r="N674" s="4">
        <f>VLOOKUP(C674,[6]sheet1!$D:$I,6,0)</f>
        <v>0</v>
      </c>
      <c r="O674" s="4">
        <f>VLOOKUP(C674,[7]sheet1!$D:$I,6,0)</f>
        <v>0</v>
      </c>
      <c r="P674" s="4">
        <f>VLOOKUP(C674,[8]sheet1!$D:$I,6,0)</f>
        <v>0</v>
      </c>
      <c r="Q674" s="4">
        <f t="shared" si="10"/>
        <v>0</v>
      </c>
      <c r="R674" s="3">
        <v>0</v>
      </c>
      <c r="S674" s="3">
        <v>1</v>
      </c>
      <c r="T674" s="19">
        <v>0</v>
      </c>
      <c r="U674" s="3">
        <v>0</v>
      </c>
      <c r="V674" s="3">
        <v>0</v>
      </c>
      <c r="W674">
        <v>0</v>
      </c>
      <c r="X674" s="3">
        <v>0</v>
      </c>
      <c r="Y674">
        <v>0</v>
      </c>
      <c r="Z674" s="3">
        <v>0</v>
      </c>
      <c r="AA674" t="s">
        <v>514</v>
      </c>
      <c r="AB674" t="s">
        <v>49</v>
      </c>
      <c r="AC674">
        <v>69.77</v>
      </c>
      <c r="AD674" t="s">
        <v>49</v>
      </c>
      <c r="AE674">
        <v>0</v>
      </c>
      <c r="AF674" s="3">
        <v>0</v>
      </c>
      <c r="AG674" t="s">
        <v>49</v>
      </c>
      <c r="AH674">
        <v>0</v>
      </c>
      <c r="AI674" t="s">
        <v>49</v>
      </c>
      <c r="AJ674" t="s">
        <v>49</v>
      </c>
      <c r="AK674" t="s">
        <v>49</v>
      </c>
      <c r="AL674" t="s">
        <v>49</v>
      </c>
      <c r="AM674" t="s">
        <v>49</v>
      </c>
      <c r="AN674" s="3">
        <v>1</v>
      </c>
      <c r="AO674" s="19">
        <v>0</v>
      </c>
      <c r="AP674" s="19">
        <v>0</v>
      </c>
      <c r="AQ674" s="19">
        <v>1</v>
      </c>
      <c r="AR674" s="19">
        <v>0</v>
      </c>
      <c r="AS674" s="19">
        <v>0</v>
      </c>
      <c r="AT674" s="19">
        <v>0</v>
      </c>
      <c r="AU674" s="3">
        <v>0</v>
      </c>
      <c r="AV674" s="3">
        <v>0</v>
      </c>
      <c r="AW674" s="19">
        <v>0</v>
      </c>
      <c r="AX674" s="3">
        <v>0</v>
      </c>
      <c r="AY674" s="3">
        <v>0</v>
      </c>
    </row>
    <row r="675" spans="1:51">
      <c r="A675" s="3">
        <v>10187893</v>
      </c>
      <c r="B675" t="s">
        <v>1074</v>
      </c>
      <c r="C675" s="3">
        <v>1116023410</v>
      </c>
      <c r="D675" t="s">
        <v>44</v>
      </c>
      <c r="E675" t="s">
        <v>304</v>
      </c>
      <c r="F675" t="s">
        <v>65</v>
      </c>
      <c r="G675" t="s">
        <v>47</v>
      </c>
      <c r="H675" s="16">
        <v>0</v>
      </c>
      <c r="I675" s="4">
        <f>VLOOKUP(C675,[1]sheet1!$D:$I,6,0)</f>
        <v>0</v>
      </c>
      <c r="J675" s="4">
        <f>VLOOKUP(C675,[2]sheet1!$D:$I,6,0)</f>
        <v>0</v>
      </c>
      <c r="K675" s="4">
        <f>VLOOKUP(C675,[3]sheet1!$D:$I,6,0)</f>
        <v>0</v>
      </c>
      <c r="L675" s="4">
        <f>VLOOKUP(C675,[4]sheet1!$D:$I,6,0)</f>
        <v>0</v>
      </c>
      <c r="M675" s="4">
        <f>VLOOKUP(C675,[5]sheet1!$D:$I,6,0)</f>
        <v>0</v>
      </c>
      <c r="N675" s="4">
        <f>VLOOKUP(C675,[6]sheet1!$D:$I,6,0)</f>
        <v>0</v>
      </c>
      <c r="O675" s="4">
        <f>VLOOKUP(C675,[7]sheet1!$D:$I,6,0)</f>
        <v>0</v>
      </c>
      <c r="P675" s="4">
        <f>VLOOKUP(C675,[8]sheet1!$D:$I,6,0)</f>
        <v>0</v>
      </c>
      <c r="Q675" s="4">
        <f t="shared" si="10"/>
        <v>0</v>
      </c>
      <c r="R675" s="3">
        <v>0</v>
      </c>
      <c r="S675" s="3">
        <v>0</v>
      </c>
      <c r="T675" s="19">
        <v>0</v>
      </c>
      <c r="U675" s="3">
        <v>0</v>
      </c>
      <c r="V675" s="3">
        <v>0</v>
      </c>
      <c r="W675">
        <v>0</v>
      </c>
      <c r="X675" s="3">
        <v>0</v>
      </c>
      <c r="Y675">
        <v>0</v>
      </c>
      <c r="Z675" s="3">
        <v>0</v>
      </c>
      <c r="AA675" t="s">
        <v>49</v>
      </c>
      <c r="AB675" t="s">
        <v>49</v>
      </c>
      <c r="AC675" t="s">
        <v>49</v>
      </c>
      <c r="AD675" t="s">
        <v>49</v>
      </c>
      <c r="AE675">
        <v>0</v>
      </c>
      <c r="AF675" s="3">
        <v>0</v>
      </c>
      <c r="AG675" t="s">
        <v>49</v>
      </c>
      <c r="AH675" t="s">
        <v>49</v>
      </c>
      <c r="AI675" t="s">
        <v>49</v>
      </c>
      <c r="AJ675" t="s">
        <v>49</v>
      </c>
      <c r="AK675" t="s">
        <v>49</v>
      </c>
      <c r="AL675" t="s">
        <v>49</v>
      </c>
      <c r="AM675" t="s">
        <v>49</v>
      </c>
      <c r="AN675" s="3">
        <v>0</v>
      </c>
      <c r="AO675" s="19">
        <v>0</v>
      </c>
      <c r="AP675" s="19">
        <v>0</v>
      </c>
      <c r="AQ675" s="19">
        <v>0</v>
      </c>
      <c r="AR675" s="19">
        <v>0</v>
      </c>
      <c r="AS675" s="19">
        <v>0</v>
      </c>
      <c r="AT675" s="19">
        <v>0</v>
      </c>
      <c r="AU675" s="3">
        <v>0</v>
      </c>
      <c r="AV675" s="3">
        <v>0</v>
      </c>
      <c r="AW675" s="19">
        <v>0</v>
      </c>
      <c r="AX675" s="3">
        <v>0</v>
      </c>
      <c r="AY675" s="3">
        <v>0</v>
      </c>
    </row>
    <row r="676" spans="1:51">
      <c r="A676" s="3">
        <v>10181509</v>
      </c>
      <c r="B676" t="s">
        <v>1075</v>
      </c>
      <c r="C676" s="3">
        <v>16325602</v>
      </c>
      <c r="D676" t="s">
        <v>44</v>
      </c>
      <c r="E676" t="s">
        <v>1076</v>
      </c>
      <c r="F676" t="s">
        <v>65</v>
      </c>
      <c r="G676" t="s">
        <v>47</v>
      </c>
      <c r="H676" s="16">
        <v>0</v>
      </c>
      <c r="I676" s="4">
        <f>VLOOKUP(C676,[1]sheet1!$D:$I,6,0)</f>
        <v>0</v>
      </c>
      <c r="J676" s="4">
        <f>VLOOKUP(C676,[2]sheet1!$D:$I,6,0)</f>
        <v>27</v>
      </c>
      <c r="K676" s="4">
        <f>VLOOKUP(C676,[3]sheet1!$D:$I,6,0)</f>
        <v>0</v>
      </c>
      <c r="L676" s="4">
        <f>VLOOKUP(C676,[4]sheet1!$D:$I,6,0)</f>
        <v>70</v>
      </c>
      <c r="M676" s="4">
        <f>VLOOKUP(C676,[5]sheet1!$D:$I,6,0)</f>
        <v>12</v>
      </c>
      <c r="N676" s="4">
        <f>VLOOKUP(C676,[6]sheet1!$D:$I,6,0)</f>
        <v>23</v>
      </c>
      <c r="O676" s="4">
        <f>VLOOKUP(C676,[7]sheet1!$D:$I,6,0)</f>
        <v>0</v>
      </c>
      <c r="P676" s="4">
        <f>VLOOKUP(C676,[8]sheet1!$D:$I,6,0)</f>
        <v>51</v>
      </c>
      <c r="Q676" s="4">
        <f t="shared" si="10"/>
        <v>183</v>
      </c>
      <c r="R676" s="3">
        <v>0</v>
      </c>
      <c r="S676" s="3">
        <v>25</v>
      </c>
      <c r="T676" s="19">
        <v>0</v>
      </c>
      <c r="U676" s="3">
        <v>2</v>
      </c>
      <c r="V676" s="3">
        <v>0</v>
      </c>
      <c r="W676">
        <v>0</v>
      </c>
      <c r="X676" s="3">
        <v>0</v>
      </c>
      <c r="Y676">
        <v>0</v>
      </c>
      <c r="Z676" s="3">
        <v>0</v>
      </c>
      <c r="AA676" t="s">
        <v>345</v>
      </c>
      <c r="AB676" t="s">
        <v>49</v>
      </c>
      <c r="AC676">
        <v>24.87</v>
      </c>
      <c r="AD676" t="s">
        <v>49</v>
      </c>
      <c r="AE676">
        <v>0</v>
      </c>
      <c r="AF676" s="3">
        <v>0</v>
      </c>
      <c r="AG676" t="s">
        <v>49</v>
      </c>
      <c r="AH676">
        <v>0</v>
      </c>
      <c r="AI676" t="s">
        <v>49</v>
      </c>
      <c r="AJ676" t="s">
        <v>49</v>
      </c>
      <c r="AK676" t="s">
        <v>49</v>
      </c>
      <c r="AL676" t="s">
        <v>49</v>
      </c>
      <c r="AM676" t="s">
        <v>49</v>
      </c>
      <c r="AN676" s="3">
        <v>32</v>
      </c>
      <c r="AO676" s="19">
        <v>0</v>
      </c>
      <c r="AP676" s="19">
        <v>0</v>
      </c>
      <c r="AQ676" s="19">
        <v>0.72</v>
      </c>
      <c r="AR676" s="19">
        <v>0.48</v>
      </c>
      <c r="AS676" s="19">
        <v>1</v>
      </c>
      <c r="AT676" s="19">
        <v>1</v>
      </c>
      <c r="AU676" s="3">
        <v>0</v>
      </c>
      <c r="AV676" s="3">
        <v>0</v>
      </c>
      <c r="AW676" s="19">
        <v>0</v>
      </c>
      <c r="AX676" s="3">
        <v>0</v>
      </c>
      <c r="AY676" s="3">
        <v>0</v>
      </c>
    </row>
    <row r="677" spans="1:51">
      <c r="A677" s="3">
        <v>10131703</v>
      </c>
      <c r="B677" t="s">
        <v>1077</v>
      </c>
      <c r="C677" s="3">
        <v>12421410</v>
      </c>
      <c r="D677" t="s">
        <v>44</v>
      </c>
      <c r="E677" t="s">
        <v>200</v>
      </c>
      <c r="F677" t="s">
        <v>65</v>
      </c>
      <c r="G677" t="s">
        <v>47</v>
      </c>
      <c r="H677" s="16">
        <v>0</v>
      </c>
      <c r="I677" s="4">
        <f>VLOOKUP(C677,[1]sheet1!$D:$I,6,0)</f>
        <v>0</v>
      </c>
      <c r="J677" s="4">
        <f>VLOOKUP(C677,[2]sheet1!$D:$I,6,0)</f>
        <v>0</v>
      </c>
      <c r="K677" s="4">
        <f>VLOOKUP(C677,[3]sheet1!$D:$I,6,0)</f>
        <v>0</v>
      </c>
      <c r="L677" s="4">
        <f>VLOOKUP(C677,[4]sheet1!$D:$I,6,0)</f>
        <v>0</v>
      </c>
      <c r="M677" s="4">
        <f>VLOOKUP(C677,[5]sheet1!$D:$I,6,0)</f>
        <v>201</v>
      </c>
      <c r="N677" s="4">
        <f>VLOOKUP(C677,[6]sheet1!$D:$I,6,0)</f>
        <v>0</v>
      </c>
      <c r="O677" s="4">
        <f>VLOOKUP(C677,[7]sheet1!$D:$I,6,0)</f>
        <v>0</v>
      </c>
      <c r="P677" s="4">
        <f>VLOOKUP(C677,[8]sheet1!$D:$I,6,0)</f>
        <v>0</v>
      </c>
      <c r="Q677" s="4">
        <f t="shared" si="10"/>
        <v>201</v>
      </c>
      <c r="R677" s="3">
        <v>0</v>
      </c>
      <c r="S677" s="3">
        <v>25</v>
      </c>
      <c r="T677" s="19">
        <v>0</v>
      </c>
      <c r="U677" s="3">
        <v>0</v>
      </c>
      <c r="V677" s="3">
        <v>0</v>
      </c>
      <c r="W677">
        <v>0</v>
      </c>
      <c r="X677" s="3">
        <v>0</v>
      </c>
      <c r="Y677">
        <v>0</v>
      </c>
      <c r="Z677" s="3">
        <v>0</v>
      </c>
      <c r="AA677" t="s">
        <v>49</v>
      </c>
      <c r="AB677" t="s">
        <v>49</v>
      </c>
      <c r="AC677" t="s">
        <v>49</v>
      </c>
      <c r="AD677" t="s">
        <v>49</v>
      </c>
      <c r="AE677">
        <v>0</v>
      </c>
      <c r="AF677" s="3">
        <v>0</v>
      </c>
      <c r="AG677" t="s">
        <v>49</v>
      </c>
      <c r="AH677" t="s">
        <v>49</v>
      </c>
      <c r="AI677" t="s">
        <v>49</v>
      </c>
      <c r="AJ677" t="s">
        <v>49</v>
      </c>
      <c r="AK677" t="s">
        <v>49</v>
      </c>
      <c r="AL677" t="s">
        <v>49</v>
      </c>
      <c r="AM677" t="s">
        <v>49</v>
      </c>
      <c r="AN677" s="3">
        <v>30</v>
      </c>
      <c r="AO677" s="19">
        <v>0</v>
      </c>
      <c r="AP677" s="19">
        <v>0</v>
      </c>
      <c r="AQ677" s="19">
        <v>0.6</v>
      </c>
      <c r="AR677" s="19">
        <v>0.24</v>
      </c>
      <c r="AS677" s="19">
        <v>0</v>
      </c>
      <c r="AT677" s="19">
        <v>0</v>
      </c>
      <c r="AU677" s="3">
        <v>0</v>
      </c>
      <c r="AV677" s="3">
        <v>0</v>
      </c>
      <c r="AW677" s="19">
        <v>0</v>
      </c>
      <c r="AX677" s="3">
        <v>0</v>
      </c>
      <c r="AY677" s="3">
        <v>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H677"/>
  <sheetViews>
    <sheetView tabSelected="1" zoomScale="90" zoomScaleNormal="90" topLeftCell="A280" workbookViewId="0">
      <selection activeCell="A1" sqref="A1:F280"/>
    </sheetView>
  </sheetViews>
  <sheetFormatPr defaultColWidth="9" defaultRowHeight="13.5" outlineLevelCol="7"/>
  <cols>
    <col min="1" max="1" width="15.625" customWidth="1"/>
    <col min="2" max="2" width="13.375" customWidth="1"/>
    <col min="3" max="3" width="11.375" style="1" customWidth="1"/>
    <col min="4" max="4" width="11.75" customWidth="1"/>
    <col min="5" max="5" width="13.75" customWidth="1"/>
    <col min="6" max="6" width="26.375" customWidth="1"/>
  </cols>
  <sheetData>
    <row r="1" ht="18.75" spans="1:6">
      <c r="A1" s="2" t="s">
        <v>2</v>
      </c>
      <c r="B1" s="2" t="s">
        <v>4</v>
      </c>
      <c r="C1" s="2" t="s">
        <v>1078</v>
      </c>
      <c r="D1" s="2" t="s">
        <v>1079</v>
      </c>
      <c r="E1" s="2" t="s">
        <v>1080</v>
      </c>
      <c r="F1" s="2" t="s">
        <v>1081</v>
      </c>
    </row>
    <row r="2" hidden="1" spans="1:6">
      <c r="A2" s="3">
        <v>11421507</v>
      </c>
      <c r="B2" t="s">
        <v>45</v>
      </c>
      <c r="C2" s="4">
        <v>119303.7</v>
      </c>
      <c r="D2">
        <f>VLOOKUP(A2,[9]sheet1!$C:$H,6,0)</f>
        <v>45414</v>
      </c>
    </row>
    <row r="3" hidden="1" spans="1:6">
      <c r="A3" s="3">
        <v>12421220</v>
      </c>
      <c r="B3" t="s">
        <v>51</v>
      </c>
      <c r="C3" s="4">
        <v>47171.61</v>
      </c>
      <c r="D3">
        <f>VLOOKUP(A3,[9]sheet1!$C:$H,6,0)</f>
        <v>28704</v>
      </c>
    </row>
    <row r="4" hidden="1" spans="1:6">
      <c r="A4" s="3">
        <v>11421509</v>
      </c>
      <c r="B4" t="s">
        <v>54</v>
      </c>
      <c r="C4" s="4">
        <v>28286.35</v>
      </c>
      <c r="D4">
        <f>VLOOKUP(A4,[9]sheet1!$C:$H,6,0)</f>
        <v>24724</v>
      </c>
    </row>
    <row r="5" hidden="1" spans="1:6">
      <c r="A5" s="3">
        <v>115214024</v>
      </c>
      <c r="B5" t="s">
        <v>57</v>
      </c>
      <c r="C5" s="4">
        <v>44569.44</v>
      </c>
      <c r="D5">
        <f>VLOOKUP(A5,[9]sheet1!$C:$H,6,0)</f>
        <v>13670</v>
      </c>
    </row>
    <row r="6" hidden="1" spans="1:6">
      <c r="A6" s="3">
        <v>115215019</v>
      </c>
      <c r="B6" t="s">
        <v>45</v>
      </c>
      <c r="C6" s="4">
        <v>27028.92</v>
      </c>
      <c r="D6">
        <f>VLOOKUP(A6,[9]sheet1!$C:$H,6,0)</f>
        <v>3497</v>
      </c>
    </row>
    <row r="7" hidden="1" spans="1:6">
      <c r="A7" s="3">
        <v>11421241</v>
      </c>
      <c r="B7" t="s">
        <v>51</v>
      </c>
      <c r="C7" s="4">
        <v>11765</v>
      </c>
      <c r="D7">
        <f>VLOOKUP(A7,[9]sheet1!$C:$H,6,0)</f>
        <v>2422</v>
      </c>
    </row>
    <row r="8" hidden="1" spans="1:6">
      <c r="A8" t="s">
        <v>63</v>
      </c>
      <c r="B8" t="s">
        <v>64</v>
      </c>
      <c r="C8" s="4">
        <v>11482</v>
      </c>
      <c r="D8">
        <f>VLOOKUP(A8,[9]sheet1!$C:$H,6,0)</f>
        <v>21998</v>
      </c>
    </row>
    <row r="9" hidden="1" spans="1:6">
      <c r="A9" s="3">
        <v>11421415</v>
      </c>
      <c r="B9" t="s">
        <v>57</v>
      </c>
      <c r="C9" s="4">
        <v>38180.9</v>
      </c>
      <c r="D9" t="e">
        <f>VLOOKUP(A9,[9]sheet1!$C:$H,6,0)</f>
        <v>#N/A</v>
      </c>
    </row>
    <row r="10" hidden="1" spans="1:6">
      <c r="A10" s="3">
        <v>115214021</v>
      </c>
      <c r="B10" t="s">
        <v>57</v>
      </c>
      <c r="C10" s="4">
        <v>20881.93</v>
      </c>
      <c r="D10">
        <f>VLOOKUP(A10,[9]sheet1!$C:$H,6,0)</f>
        <v>92943</v>
      </c>
    </row>
    <row r="11" hidden="1" spans="1:6">
      <c r="A11" s="3">
        <v>115215025</v>
      </c>
      <c r="B11" t="s">
        <v>72</v>
      </c>
      <c r="C11" s="4">
        <v>24358.28</v>
      </c>
      <c r="D11">
        <f>VLOOKUP(A11,[9]sheet1!$C:$H,6,0)</f>
        <v>11106</v>
      </c>
    </row>
    <row r="12" hidden="1" spans="1:6">
      <c r="A12" s="3">
        <v>16403404</v>
      </c>
      <c r="B12" t="s">
        <v>75</v>
      </c>
      <c r="C12" s="4">
        <v>3435</v>
      </c>
      <c r="D12">
        <f>VLOOKUP(A12,[9]sheet1!$C:$H,6,0)</f>
        <v>2325</v>
      </c>
    </row>
    <row r="13" hidden="1" spans="1:6">
      <c r="A13" s="3">
        <v>16402503</v>
      </c>
      <c r="B13" t="s">
        <v>78</v>
      </c>
      <c r="C13" s="4">
        <v>22561</v>
      </c>
      <c r="D13">
        <f>VLOOKUP(A13,[9]sheet1!$C:$H,6,0)</f>
        <v>3816</v>
      </c>
    </row>
    <row r="14" hidden="1" spans="1:6">
      <c r="A14" s="3">
        <v>11421201</v>
      </c>
      <c r="B14" t="s">
        <v>51</v>
      </c>
      <c r="C14" s="4">
        <v>9842.9</v>
      </c>
      <c r="D14">
        <f>VLOOKUP(A14,[9]sheet1!$C:$H,6,0)</f>
        <v>51335</v>
      </c>
    </row>
    <row r="15" hidden="1" spans="1:6">
      <c r="A15" s="3">
        <v>115214025</v>
      </c>
      <c r="B15" t="s">
        <v>57</v>
      </c>
      <c r="C15" s="4">
        <v>16867.87</v>
      </c>
      <c r="D15">
        <f>VLOOKUP(A15,[9]sheet1!$C:$H,6,0)</f>
        <v>21674</v>
      </c>
    </row>
    <row r="16" hidden="1" spans="1:6">
      <c r="A16" s="3">
        <v>11321405</v>
      </c>
      <c r="B16" t="s">
        <v>57</v>
      </c>
      <c r="C16" s="4">
        <v>16415</v>
      </c>
      <c r="D16">
        <f>VLOOKUP(A16,[9]sheet1!$C:$H,6,0)</f>
        <v>26278</v>
      </c>
    </row>
    <row r="17" hidden="1" spans="1:4">
      <c r="A17" s="3">
        <v>135101022</v>
      </c>
      <c r="B17" t="s">
        <v>84</v>
      </c>
      <c r="C17" s="4">
        <v>9449</v>
      </c>
      <c r="D17">
        <f>VLOOKUP(A17,[9]sheet1!$C:$H,6,0)</f>
        <v>13998</v>
      </c>
    </row>
    <row r="18" hidden="1" spans="1:4">
      <c r="A18" s="3">
        <v>115214005</v>
      </c>
      <c r="B18" t="s">
        <v>57</v>
      </c>
      <c r="C18" s="4">
        <v>11364</v>
      </c>
      <c r="D18">
        <f>VLOOKUP(A18,[9]sheet1!$C:$H,6,0)</f>
        <v>234</v>
      </c>
    </row>
    <row r="19" hidden="1" spans="1:4">
      <c r="A19" s="3">
        <v>116202507</v>
      </c>
      <c r="B19" t="s">
        <v>78</v>
      </c>
      <c r="C19" s="4">
        <v>11736.52</v>
      </c>
      <c r="D19">
        <f>VLOOKUP(A19,[9]sheet1!$C:$H,6,0)</f>
        <v>28315</v>
      </c>
    </row>
    <row r="20" hidden="1" spans="1:4">
      <c r="A20" s="3">
        <v>12421534</v>
      </c>
      <c r="B20" t="s">
        <v>90</v>
      </c>
      <c r="C20" s="4">
        <v>11740</v>
      </c>
      <c r="D20">
        <f>VLOOKUP(A20,[9]sheet1!$C:$H,6,0)</f>
        <v>15593</v>
      </c>
    </row>
    <row r="21" hidden="1" spans="1:4">
      <c r="A21" s="3">
        <v>115116021</v>
      </c>
      <c r="B21" t="s">
        <v>54</v>
      </c>
      <c r="C21" s="4">
        <v>5232</v>
      </c>
      <c r="D21" t="e">
        <f>VLOOKUP(A21,[9]sheet1!$C:$H,6,0)</f>
        <v>#N/A</v>
      </c>
    </row>
    <row r="22" hidden="1" spans="1:4">
      <c r="A22" s="3">
        <v>115215047</v>
      </c>
      <c r="B22" t="s">
        <v>54</v>
      </c>
      <c r="C22" s="4">
        <v>7736</v>
      </c>
      <c r="D22">
        <f>VLOOKUP(A22,[9]sheet1!$C:$H,6,0)</f>
        <v>474</v>
      </c>
    </row>
    <row r="23" hidden="1" spans="1:4">
      <c r="A23" s="3">
        <v>16402511</v>
      </c>
      <c r="B23" t="s">
        <v>78</v>
      </c>
      <c r="C23" s="4">
        <v>5569</v>
      </c>
      <c r="D23">
        <f>VLOOKUP(A23,[9]sheet1!$C:$H,6,0)</f>
        <v>7570</v>
      </c>
    </row>
    <row r="24" hidden="1" spans="1:4">
      <c r="A24" s="3">
        <v>165041001</v>
      </c>
      <c r="B24" t="s">
        <v>97</v>
      </c>
      <c r="C24" s="4">
        <v>912</v>
      </c>
      <c r="D24">
        <f>VLOOKUP(A24,[9]sheet1!$C:$H,6,0)</f>
        <v>2806</v>
      </c>
    </row>
    <row r="25" hidden="1" spans="1:4">
      <c r="A25" s="3">
        <v>115181001</v>
      </c>
      <c r="B25" t="s">
        <v>100</v>
      </c>
      <c r="C25" s="4">
        <v>26685</v>
      </c>
      <c r="D25">
        <f>VLOOKUP(A25,[9]sheet1!$C:$H,6,0)</f>
        <v>3850</v>
      </c>
    </row>
    <row r="26" hidden="1" spans="1:4">
      <c r="A26" t="s">
        <v>103</v>
      </c>
      <c r="B26" t="s">
        <v>104</v>
      </c>
      <c r="C26" s="4">
        <v>19740</v>
      </c>
      <c r="D26">
        <f>VLOOKUP(A26,[9]sheet1!$C:$H,6,0)</f>
        <v>0</v>
      </c>
    </row>
    <row r="27" hidden="1" spans="1:4">
      <c r="A27" t="s">
        <v>107</v>
      </c>
      <c r="B27" t="s">
        <v>104</v>
      </c>
      <c r="C27" s="4">
        <v>22873</v>
      </c>
      <c r="D27">
        <f>VLOOKUP(A27,[9]sheet1!$C:$H,6,0)</f>
        <v>17667</v>
      </c>
    </row>
    <row r="28" hidden="1" spans="1:4">
      <c r="A28" s="3">
        <v>12421250</v>
      </c>
      <c r="B28" t="s">
        <v>109</v>
      </c>
      <c r="C28" s="4">
        <v>9357.33</v>
      </c>
      <c r="D28">
        <f>VLOOKUP(A28,[9]sheet1!$C:$H,6,0)</f>
        <v>16255</v>
      </c>
    </row>
    <row r="29" hidden="1" spans="1:4">
      <c r="A29" t="s">
        <v>111</v>
      </c>
      <c r="B29" t="s">
        <v>104</v>
      </c>
      <c r="C29" s="4">
        <v>8636</v>
      </c>
      <c r="D29">
        <f>VLOOKUP(A29,[9]sheet1!$C:$H,6,0)</f>
        <v>0</v>
      </c>
    </row>
    <row r="30" hidden="1" spans="1:4">
      <c r="A30" s="3">
        <v>11331801</v>
      </c>
      <c r="B30" t="s">
        <v>114</v>
      </c>
      <c r="C30" s="4">
        <v>3842.52</v>
      </c>
      <c r="D30">
        <f>VLOOKUP(A30,[9]sheet1!$C:$H,6,0)</f>
        <v>2150</v>
      </c>
    </row>
    <row r="31" hidden="1" spans="1:4">
      <c r="A31" s="3">
        <v>115110021</v>
      </c>
      <c r="B31" t="s">
        <v>117</v>
      </c>
      <c r="C31" s="4">
        <v>4449</v>
      </c>
      <c r="D31">
        <f>VLOOKUP(A31,[9]sheet1!$C:$H,6,0)</f>
        <v>1371</v>
      </c>
    </row>
    <row r="32" hidden="1" spans="1:4">
      <c r="A32" t="s">
        <v>120</v>
      </c>
      <c r="B32" t="s">
        <v>104</v>
      </c>
      <c r="C32" s="4">
        <v>3296</v>
      </c>
      <c r="D32">
        <f>VLOOKUP(A32,[9]sheet1!$C:$H,6,0)</f>
        <v>998</v>
      </c>
    </row>
    <row r="33" hidden="1" spans="1:6">
      <c r="A33" t="s">
        <v>123</v>
      </c>
      <c r="B33" t="s">
        <v>57</v>
      </c>
      <c r="C33" s="4">
        <v>7144</v>
      </c>
      <c r="D33">
        <f>VLOOKUP(A33,[9]sheet1!$C:$H,6,0)</f>
        <v>2229</v>
      </c>
    </row>
    <row r="34" hidden="1" spans="1:6">
      <c r="A34" s="3">
        <v>16202612</v>
      </c>
      <c r="B34" t="s">
        <v>78</v>
      </c>
      <c r="C34" s="4">
        <v>1135.7</v>
      </c>
      <c r="D34">
        <f>VLOOKUP(A34,[9]sheet1!$C:$H,6,0)</f>
        <v>315</v>
      </c>
    </row>
    <row r="35" hidden="1" spans="1:6">
      <c r="A35" s="3">
        <v>12421440</v>
      </c>
      <c r="B35" t="s">
        <v>128</v>
      </c>
      <c r="C35" s="4">
        <v>12507</v>
      </c>
      <c r="D35">
        <f>VLOOKUP(A35,[9]sheet1!$C:$H,6,0)</f>
        <v>15943</v>
      </c>
    </row>
    <row r="36" hidden="1" spans="1:6">
      <c r="A36" t="s">
        <v>131</v>
      </c>
      <c r="B36" t="s">
        <v>104</v>
      </c>
      <c r="C36" s="4">
        <v>5739</v>
      </c>
      <c r="D36">
        <f>VLOOKUP(A36,[9]sheet1!$C:$H,6,0)</f>
        <v>998</v>
      </c>
    </row>
    <row r="37" hidden="1" spans="1:6">
      <c r="A37" s="3">
        <v>12422002</v>
      </c>
      <c r="B37" t="s">
        <v>133</v>
      </c>
      <c r="C37" s="4">
        <v>2982</v>
      </c>
      <c r="D37">
        <f>VLOOKUP(A37,[9]sheet1!$C:$H,6,0)</f>
        <v>284</v>
      </c>
    </row>
    <row r="38" hidden="1" spans="1:6">
      <c r="A38" s="3">
        <v>11421519</v>
      </c>
      <c r="B38" t="s">
        <v>45</v>
      </c>
      <c r="C38" s="4">
        <v>3572</v>
      </c>
      <c r="D38" t="e">
        <f>VLOOKUP(A38,[9]sheet1!$C:$H,6,0)</f>
        <v>#N/A</v>
      </c>
    </row>
    <row r="39" hidden="1" spans="1:6">
      <c r="A39" s="3">
        <v>11421533</v>
      </c>
      <c r="B39" t="s">
        <v>45</v>
      </c>
      <c r="C39" s="4">
        <v>12267</v>
      </c>
      <c r="D39">
        <f>VLOOKUP(A39,[9]sheet1!$C:$H,6,0)</f>
        <v>95442</v>
      </c>
    </row>
    <row r="40" ht="121.5" spans="1:6">
      <c r="A40" s="5">
        <v>115107016</v>
      </c>
      <c r="B40" t="s">
        <v>185</v>
      </c>
      <c r="C40" s="6">
        <v>1655</v>
      </c>
      <c r="D40">
        <f>VLOOKUP(A40,[9]sheet1!$C:$H,6,0)</f>
        <v>0</v>
      </c>
      <c r="E40" s="7">
        <f>D40/C40-1</f>
        <v>-1</v>
      </c>
      <c r="F40" s="8" t="s">
        <v>1082</v>
      </c>
    </row>
    <row r="41" hidden="1" spans="1:6">
      <c r="A41" s="3">
        <v>12340106</v>
      </c>
      <c r="B41" t="s">
        <v>141</v>
      </c>
      <c r="C41" s="4">
        <v>14914</v>
      </c>
      <c r="D41">
        <f>VLOOKUP(A41,[9]sheet1!$C:$H,6,0)</f>
        <v>44779</v>
      </c>
    </row>
    <row r="42" spans="1:6">
      <c r="A42" s="9">
        <v>114351091</v>
      </c>
      <c r="B42" t="s">
        <v>143</v>
      </c>
      <c r="C42" s="6">
        <v>709</v>
      </c>
      <c r="D42">
        <f>VLOOKUP(A42,[9]sheet1!$C:$H,6,0)</f>
        <v>0</v>
      </c>
      <c r="E42" s="7">
        <f>D42/C42-1</f>
        <v>-1</v>
      </c>
      <c r="F42" s="8" t="s">
        <v>1083</v>
      </c>
    </row>
    <row r="43" hidden="1" spans="1:6">
      <c r="A43" s="3">
        <v>115302007</v>
      </c>
      <c r="B43" t="s">
        <v>146</v>
      </c>
      <c r="C43" s="4">
        <v>9454</v>
      </c>
      <c r="D43">
        <f>VLOOKUP(A43,[9]sheet1!$C:$H,6,0)</f>
        <v>7316</v>
      </c>
    </row>
    <row r="44" hidden="1" spans="1:6">
      <c r="A44" s="3">
        <v>115220001</v>
      </c>
      <c r="B44" t="s">
        <v>149</v>
      </c>
      <c r="C44" s="4">
        <v>7106</v>
      </c>
      <c r="D44">
        <f>VLOOKUP(A44,[9]sheet1!$C:$H,6,0)</f>
        <v>0</v>
      </c>
    </row>
    <row r="45" hidden="1" spans="1:6">
      <c r="A45" s="3">
        <v>125215020</v>
      </c>
      <c r="B45" t="s">
        <v>90</v>
      </c>
      <c r="C45" s="4">
        <v>7628</v>
      </c>
      <c r="D45">
        <f>VLOOKUP(A45,[9]sheet1!$C:$H,6,0)</f>
        <v>23591</v>
      </c>
    </row>
    <row r="46" hidden="1" spans="1:6">
      <c r="A46" t="s">
        <v>154</v>
      </c>
      <c r="B46" t="s">
        <v>51</v>
      </c>
      <c r="C46" s="4">
        <v>5126</v>
      </c>
      <c r="D46">
        <f>VLOOKUP(A46,[9]sheet1!$C:$H,6,0)</f>
        <v>1196</v>
      </c>
    </row>
    <row r="47" hidden="1" spans="1:6">
      <c r="A47" s="3">
        <v>105025008</v>
      </c>
      <c r="B47" t="s">
        <v>78</v>
      </c>
      <c r="C47" s="4">
        <v>1660</v>
      </c>
      <c r="D47">
        <f>VLOOKUP(A47,[9]sheet1!$C:$H,6,0)</f>
        <v>326</v>
      </c>
    </row>
    <row r="48" hidden="1" spans="1:6">
      <c r="A48" t="s">
        <v>158</v>
      </c>
      <c r="B48" t="s">
        <v>159</v>
      </c>
      <c r="C48" s="4">
        <v>1892</v>
      </c>
      <c r="D48">
        <f>VLOOKUP(A48,[9]sheet1!$C:$H,6,0)</f>
        <v>14625</v>
      </c>
    </row>
    <row r="49" hidden="1" spans="1:6">
      <c r="A49" s="3">
        <v>105212020</v>
      </c>
      <c r="B49" t="s">
        <v>51</v>
      </c>
      <c r="C49" s="4">
        <v>7011</v>
      </c>
      <c r="D49">
        <f>VLOOKUP(A49,[9]sheet1!$C:$H,6,0)</f>
        <v>3770</v>
      </c>
    </row>
    <row r="50" hidden="1" spans="1:6">
      <c r="A50" s="3">
        <v>12425112</v>
      </c>
      <c r="B50" t="s">
        <v>109</v>
      </c>
      <c r="C50" s="4">
        <v>2677</v>
      </c>
      <c r="D50">
        <f>VLOOKUP(A50,[9]sheet1!$C:$H,6,0)</f>
        <v>0</v>
      </c>
    </row>
    <row r="51" hidden="1" spans="1:6">
      <c r="A51" s="3">
        <v>12421254</v>
      </c>
      <c r="B51" t="s">
        <v>109</v>
      </c>
      <c r="C51" s="4">
        <v>4036</v>
      </c>
      <c r="D51">
        <f>VLOOKUP(A51,[9]sheet1!$C:$H,6,0)</f>
        <v>3284</v>
      </c>
    </row>
    <row r="52" hidden="1" spans="1:6">
      <c r="A52" s="3">
        <v>11340105</v>
      </c>
      <c r="B52" t="s">
        <v>104</v>
      </c>
      <c r="C52" s="4">
        <v>15219</v>
      </c>
      <c r="D52">
        <f>VLOOKUP(A52,[9]sheet1!$C:$H,6,0)</f>
        <v>41365</v>
      </c>
    </row>
    <row r="53" hidden="1" spans="1:6">
      <c r="A53" s="3">
        <v>12040106</v>
      </c>
      <c r="B53" t="s">
        <v>141</v>
      </c>
      <c r="C53" s="4">
        <v>7015</v>
      </c>
      <c r="D53">
        <f>VLOOKUP(A53,[9]sheet1!$C:$H,6,0)</f>
        <v>8101</v>
      </c>
    </row>
    <row r="54" hidden="1" spans="1:6">
      <c r="A54" s="3">
        <v>115215045</v>
      </c>
      <c r="B54" t="s">
        <v>54</v>
      </c>
      <c r="C54" s="4">
        <v>5209.1</v>
      </c>
      <c r="D54">
        <f>VLOOKUP(A54,[9]sheet1!$C:$H,6,0)</f>
        <v>31808</v>
      </c>
    </row>
    <row r="55" hidden="1" spans="1:6">
      <c r="A55" s="3">
        <v>115220021</v>
      </c>
      <c r="B55" t="s">
        <v>149</v>
      </c>
      <c r="C55" s="4">
        <v>12221</v>
      </c>
      <c r="D55" t="e">
        <f>VLOOKUP(A55,[9]sheet1!$C:$H,6,0)</f>
        <v>#N/A</v>
      </c>
    </row>
    <row r="56" hidden="1" spans="1:6">
      <c r="A56" s="3">
        <v>115215039</v>
      </c>
      <c r="B56" t="s">
        <v>45</v>
      </c>
      <c r="C56" s="4">
        <v>2981</v>
      </c>
      <c r="D56">
        <f>VLOOKUP(A56,[9]sheet1!$C:$H,6,0)</f>
        <v>14132</v>
      </c>
    </row>
    <row r="57" hidden="1" spans="1:6">
      <c r="A57" s="3">
        <v>105112021</v>
      </c>
      <c r="B57" t="s">
        <v>51</v>
      </c>
      <c r="C57" s="4">
        <v>1647</v>
      </c>
      <c r="D57">
        <f>VLOOKUP(A57,[9]sheet1!$C:$H,6,0)</f>
        <v>2054</v>
      </c>
    </row>
    <row r="58" hidden="1" spans="1:6">
      <c r="A58" s="3">
        <v>114311233</v>
      </c>
      <c r="B58" t="s">
        <v>174</v>
      </c>
      <c r="C58" s="4">
        <v>1883</v>
      </c>
      <c r="D58">
        <f>VLOOKUP(A58,[9]sheet1!$C:$H,6,0)</f>
        <v>0</v>
      </c>
    </row>
    <row r="59" hidden="1" spans="1:6">
      <c r="A59" s="3">
        <v>164334405</v>
      </c>
      <c r="B59" t="s">
        <v>177</v>
      </c>
      <c r="C59" s="4">
        <v>752</v>
      </c>
      <c r="D59">
        <f>VLOOKUP(A59,[9]sheet1!$C:$H,6,0)</f>
        <v>0</v>
      </c>
    </row>
    <row r="60" hidden="1" spans="1:6">
      <c r="A60" s="3">
        <v>11421429</v>
      </c>
      <c r="B60" t="s">
        <v>179</v>
      </c>
      <c r="C60" s="4">
        <v>2786.06</v>
      </c>
      <c r="D60">
        <f>VLOOKUP(A60,[9]sheet1!$C:$H,6,0)</f>
        <v>1171</v>
      </c>
    </row>
    <row r="61" hidden="1" spans="1:6">
      <c r="A61" s="3">
        <v>165025069</v>
      </c>
      <c r="B61" t="s">
        <v>78</v>
      </c>
      <c r="C61" s="4">
        <v>690</v>
      </c>
      <c r="D61">
        <f>VLOOKUP(A61,[9]sheet1!$C:$H,6,0)</f>
        <v>1100</v>
      </c>
    </row>
    <row r="62" hidden="1" spans="1:6">
      <c r="A62" s="3">
        <v>12421252</v>
      </c>
      <c r="B62" t="s">
        <v>109</v>
      </c>
      <c r="C62" s="4">
        <v>996</v>
      </c>
      <c r="D62">
        <f>VLOOKUP(A62,[9]sheet1!$C:$H,6,0)</f>
        <v>1106</v>
      </c>
    </row>
    <row r="63" spans="1:6">
      <c r="A63" s="10">
        <v>114314377</v>
      </c>
      <c r="B63" t="s">
        <v>185</v>
      </c>
      <c r="C63" s="6">
        <v>264</v>
      </c>
      <c r="D63">
        <f>VLOOKUP(A63,[9]sheet1!$C:$H,6,0)</f>
        <v>0</v>
      </c>
      <c r="E63" s="7">
        <f>D63/C63-1</f>
        <v>-1</v>
      </c>
      <c r="F63" s="8" t="s">
        <v>1084</v>
      </c>
    </row>
    <row r="64" hidden="1" spans="1:6">
      <c r="A64" s="3">
        <v>12421228</v>
      </c>
      <c r="B64" t="s">
        <v>109</v>
      </c>
      <c r="C64" s="4">
        <v>1481</v>
      </c>
      <c r="D64">
        <f>VLOOKUP(A64,[9]sheet1!$C:$H,6,0)</f>
        <v>0</v>
      </c>
    </row>
    <row r="65" hidden="1" spans="1:4">
      <c r="A65" s="3">
        <v>11421425</v>
      </c>
      <c r="B65" t="s">
        <v>188</v>
      </c>
      <c r="C65" s="4">
        <v>813</v>
      </c>
      <c r="D65">
        <f>VLOOKUP(A65,[9]sheet1!$C:$H,6,0)</f>
        <v>1904</v>
      </c>
    </row>
    <row r="66" hidden="1" spans="1:4">
      <c r="A66" s="3">
        <v>16023101</v>
      </c>
      <c r="B66" t="s">
        <v>191</v>
      </c>
      <c r="C66" s="4">
        <v>30</v>
      </c>
      <c r="D66" t="e">
        <f>VLOOKUP(A66,[9]sheet1!$C:$H,6,0)</f>
        <v>#N/A</v>
      </c>
    </row>
    <row r="67" hidden="1" spans="1:4">
      <c r="A67" s="3">
        <v>6902507</v>
      </c>
      <c r="B67" t="s">
        <v>78</v>
      </c>
      <c r="C67" s="4">
        <v>1918</v>
      </c>
      <c r="D67" t="e">
        <f>VLOOKUP(A67,[9]sheet1!$C:$H,6,0)</f>
        <v>#N/A</v>
      </c>
    </row>
    <row r="68" hidden="1" spans="1:4">
      <c r="A68" s="3">
        <v>11410201</v>
      </c>
      <c r="B68" t="s">
        <v>146</v>
      </c>
      <c r="C68" s="4">
        <v>9748</v>
      </c>
      <c r="D68">
        <f>VLOOKUP(A68,[9]sheet1!$C:$H,6,0)</f>
        <v>4463</v>
      </c>
    </row>
    <row r="69" hidden="1" spans="1:4">
      <c r="A69" s="3">
        <v>11331011</v>
      </c>
      <c r="B69" t="s">
        <v>117</v>
      </c>
      <c r="C69" s="4">
        <v>792</v>
      </c>
      <c r="D69">
        <f>VLOOKUP(A69,[9]sheet1!$C:$H,6,0)</f>
        <v>0</v>
      </c>
    </row>
    <row r="70" hidden="1" spans="1:4">
      <c r="A70" s="3">
        <v>12340130</v>
      </c>
      <c r="B70" t="s">
        <v>104</v>
      </c>
      <c r="C70" s="4">
        <v>1315</v>
      </c>
      <c r="D70">
        <f>VLOOKUP(A70,[9]sheet1!$C:$H,6,0)</f>
        <v>0</v>
      </c>
    </row>
    <row r="71" hidden="1" spans="1:4">
      <c r="A71" s="3">
        <v>12131106</v>
      </c>
      <c r="B71" t="s">
        <v>198</v>
      </c>
      <c r="C71" s="4">
        <v>331</v>
      </c>
      <c r="D71" t="e">
        <f>VLOOKUP(A71,[9]sheet1!$C:$H,6,0)</f>
        <v>#N/A</v>
      </c>
    </row>
    <row r="72" hidden="1" spans="1:4">
      <c r="A72" s="3">
        <v>12321406</v>
      </c>
      <c r="B72" t="s">
        <v>200</v>
      </c>
      <c r="C72" s="4">
        <v>261</v>
      </c>
      <c r="D72">
        <f>VLOOKUP(A72,[9]sheet1!$C:$H,6,0)</f>
        <v>864</v>
      </c>
    </row>
    <row r="73" hidden="1" spans="1:4">
      <c r="A73" s="3">
        <v>12321414</v>
      </c>
      <c r="B73" t="s">
        <v>200</v>
      </c>
      <c r="C73" s="4">
        <v>1357</v>
      </c>
      <c r="D73" t="e">
        <f>VLOOKUP(A73,[9]sheet1!$C:$H,6,0)</f>
        <v>#N/A</v>
      </c>
    </row>
    <row r="74" hidden="1" spans="1:4">
      <c r="A74" s="3">
        <v>11321207</v>
      </c>
      <c r="B74" t="s">
        <v>51</v>
      </c>
      <c r="C74" s="4">
        <v>1741</v>
      </c>
      <c r="D74" t="e">
        <f>VLOOKUP(A74,[9]sheet1!$C:$H,6,0)</f>
        <v>#N/A</v>
      </c>
    </row>
    <row r="75" hidden="1" spans="1:4">
      <c r="A75" s="3">
        <v>12321218</v>
      </c>
      <c r="B75" t="s">
        <v>109</v>
      </c>
      <c r="C75" s="4">
        <v>3947.65</v>
      </c>
      <c r="D75">
        <f>VLOOKUP(A75,[9]sheet1!$C:$H,6,0)</f>
        <v>15148</v>
      </c>
    </row>
    <row r="76" hidden="1" spans="1:4">
      <c r="A76" s="3">
        <v>12321222</v>
      </c>
      <c r="B76" t="s">
        <v>109</v>
      </c>
      <c r="C76" s="4">
        <v>124</v>
      </c>
      <c r="D76">
        <f>VLOOKUP(A76,[9]sheet1!$C:$H,6,0)</f>
        <v>2008</v>
      </c>
    </row>
    <row r="77" hidden="1" spans="1:4">
      <c r="A77" s="3">
        <v>125110022</v>
      </c>
      <c r="B77" t="s">
        <v>206</v>
      </c>
      <c r="C77" s="4">
        <v>2192</v>
      </c>
      <c r="D77">
        <f>VLOOKUP(A77,[9]sheet1!$C:$H,6,0)</f>
        <v>896</v>
      </c>
    </row>
    <row r="78" hidden="1" spans="1:4">
      <c r="A78" s="3">
        <v>12321248</v>
      </c>
      <c r="B78" t="s">
        <v>109</v>
      </c>
      <c r="C78" s="4">
        <v>1100</v>
      </c>
      <c r="D78" t="e">
        <f>VLOOKUP(A78,[9]sheet1!$C:$H,6,0)</f>
        <v>#N/A</v>
      </c>
    </row>
    <row r="79" hidden="1" spans="1:4">
      <c r="A79" s="3">
        <v>12121262</v>
      </c>
      <c r="B79" t="s">
        <v>109</v>
      </c>
      <c r="C79" s="4">
        <v>1116</v>
      </c>
      <c r="D79">
        <f>VLOOKUP(A79,[9]sheet1!$C:$H,6,0)</f>
        <v>0</v>
      </c>
    </row>
    <row r="80" hidden="1" spans="1:4">
      <c r="A80" t="s">
        <v>210</v>
      </c>
      <c r="B80" t="s">
        <v>211</v>
      </c>
      <c r="C80" s="4">
        <v>103</v>
      </c>
      <c r="D80">
        <f>VLOOKUP(A80,[9]sheet1!$C:$H,6,0)</f>
        <v>47</v>
      </c>
    </row>
    <row r="81" hidden="1" spans="1:6">
      <c r="A81" t="s">
        <v>213</v>
      </c>
      <c r="B81" t="s">
        <v>141</v>
      </c>
      <c r="C81" s="4">
        <v>772</v>
      </c>
      <c r="D81">
        <f>VLOOKUP(A81,[9]sheet1!$C:$H,6,0)</f>
        <v>1336</v>
      </c>
    </row>
    <row r="82" hidden="1" spans="1:6">
      <c r="A82" t="s">
        <v>216</v>
      </c>
      <c r="B82" t="s">
        <v>141</v>
      </c>
      <c r="C82" s="4">
        <v>4028</v>
      </c>
      <c r="D82">
        <f>VLOOKUP(A82,[9]sheet1!$C:$H,6,0)</f>
        <v>2686</v>
      </c>
    </row>
    <row r="83" hidden="1" spans="1:6">
      <c r="A83" s="3">
        <v>115302003</v>
      </c>
      <c r="B83" t="s">
        <v>146</v>
      </c>
      <c r="C83" s="4">
        <v>7136</v>
      </c>
      <c r="D83">
        <f>VLOOKUP(A83,[9]sheet1!$C:$H,6,0)</f>
        <v>8840</v>
      </c>
    </row>
    <row r="84" hidden="1" spans="1:6">
      <c r="A84" s="3">
        <v>125302008</v>
      </c>
      <c r="B84" t="s">
        <v>220</v>
      </c>
      <c r="C84" s="4">
        <v>6085</v>
      </c>
      <c r="D84">
        <f>VLOOKUP(A84,[9]sheet1!$C:$H,6,0)</f>
        <v>3073</v>
      </c>
    </row>
    <row r="85" hidden="1" spans="1:6">
      <c r="A85" t="s">
        <v>222</v>
      </c>
      <c r="B85" t="s">
        <v>104</v>
      </c>
      <c r="C85" s="4">
        <v>4843</v>
      </c>
      <c r="D85">
        <f>VLOOKUP(A85,[9]sheet1!$C:$H,6,0)</f>
        <v>1109</v>
      </c>
    </row>
    <row r="86" hidden="1" spans="1:6">
      <c r="A86" s="3">
        <v>105301056</v>
      </c>
      <c r="B86" t="s">
        <v>104</v>
      </c>
      <c r="C86" s="4">
        <v>13427</v>
      </c>
      <c r="D86">
        <f>VLOOKUP(A86,[9]sheet1!$C:$H,6,0)</f>
        <v>990</v>
      </c>
    </row>
    <row r="87" hidden="1" spans="1:6">
      <c r="A87" s="3">
        <v>115151007</v>
      </c>
      <c r="B87" t="s">
        <v>227</v>
      </c>
      <c r="C87" s="4">
        <v>4240.68</v>
      </c>
      <c r="D87">
        <f>VLOOKUP(A87,[9]sheet1!$C:$H,6,0)</f>
        <v>349</v>
      </c>
    </row>
    <row r="88" hidden="1" spans="1:6">
      <c r="A88" s="3">
        <v>125214016</v>
      </c>
      <c r="B88" t="s">
        <v>229</v>
      </c>
      <c r="C88" s="4" t="e">
        <v>#N/A</v>
      </c>
      <c r="D88">
        <f>VLOOKUP(A88,[9]sheet1!$C:$H,6,0)</f>
        <v>30040</v>
      </c>
    </row>
    <row r="89" hidden="1" spans="1:6">
      <c r="A89" s="3">
        <v>135212024</v>
      </c>
      <c r="B89" t="s">
        <v>232</v>
      </c>
      <c r="C89" s="4">
        <v>730</v>
      </c>
      <c r="D89">
        <f>VLOOKUP(A89,[9]sheet1!$C:$H,6,0)</f>
        <v>394</v>
      </c>
    </row>
    <row r="90" hidden="1" spans="1:6">
      <c r="A90" s="3">
        <v>125214022</v>
      </c>
      <c r="B90" t="s">
        <v>200</v>
      </c>
      <c r="C90" s="4">
        <v>6286.52</v>
      </c>
      <c r="D90">
        <f>VLOOKUP(A90,[9]sheet1!$C:$H,6,0)</f>
        <v>2430</v>
      </c>
    </row>
    <row r="91" hidden="1" spans="1:6">
      <c r="A91" s="3">
        <v>115215001</v>
      </c>
      <c r="B91" t="s">
        <v>54</v>
      </c>
      <c r="C91" s="4">
        <v>3092</v>
      </c>
      <c r="D91">
        <f>VLOOKUP(A91,[9]sheet1!$C:$H,6,0)</f>
        <v>8842</v>
      </c>
    </row>
    <row r="92" hidden="1" spans="1:6">
      <c r="A92" s="3">
        <v>115212005</v>
      </c>
      <c r="B92" t="s">
        <v>51</v>
      </c>
      <c r="C92" s="4">
        <v>332</v>
      </c>
      <c r="D92">
        <f>VLOOKUP(A92,[9]sheet1!$C:$H,6,0)</f>
        <v>4646</v>
      </c>
    </row>
    <row r="93" spans="1:6">
      <c r="A93" s="10">
        <v>114306149</v>
      </c>
      <c r="B93" t="s">
        <v>143</v>
      </c>
      <c r="C93" s="6">
        <v>394</v>
      </c>
      <c r="D93">
        <f>VLOOKUP(A93,[9]sheet1!$C:$H,6,0)</f>
        <v>0</v>
      </c>
      <c r="E93" s="7">
        <f>D93/C93-1</f>
        <v>-1</v>
      </c>
      <c r="F93" s="8" t="s">
        <v>1084</v>
      </c>
    </row>
    <row r="94" hidden="1" spans="1:6">
      <c r="A94" s="3">
        <v>125119036</v>
      </c>
      <c r="B94" t="s">
        <v>100</v>
      </c>
      <c r="C94" s="4">
        <v>1943</v>
      </c>
      <c r="D94">
        <f>VLOOKUP(A94,[9]sheet1!$C:$H,6,0)</f>
        <v>0</v>
      </c>
    </row>
    <row r="95" hidden="1" spans="1:6">
      <c r="A95" s="3">
        <v>115119035</v>
      </c>
      <c r="B95" t="s">
        <v>100</v>
      </c>
      <c r="C95" s="4">
        <v>5091</v>
      </c>
      <c r="D95">
        <f>VLOOKUP(A95,[9]sheet1!$C:$H,6,0)</f>
        <v>4990</v>
      </c>
    </row>
    <row r="96" hidden="1" spans="1:6">
      <c r="A96" s="3">
        <v>135101017</v>
      </c>
      <c r="B96" t="s">
        <v>84</v>
      </c>
      <c r="C96" s="4">
        <v>4233</v>
      </c>
      <c r="D96">
        <f>VLOOKUP(A96,[9]sheet1!$C:$H,6,0)</f>
        <v>1987</v>
      </c>
    </row>
    <row r="97" hidden="1" spans="1:4">
      <c r="A97" s="3">
        <v>125212004</v>
      </c>
      <c r="B97" t="s">
        <v>109</v>
      </c>
      <c r="C97" s="4">
        <v>1465</v>
      </c>
      <c r="D97">
        <f>VLOOKUP(A97,[9]sheet1!$C:$H,6,0)</f>
        <v>2233</v>
      </c>
    </row>
    <row r="98" hidden="1" spans="1:4">
      <c r="A98" s="3">
        <v>115102001</v>
      </c>
      <c r="B98" t="s">
        <v>146</v>
      </c>
      <c r="C98" s="4">
        <v>6581</v>
      </c>
      <c r="D98">
        <f>VLOOKUP(A98,[9]sheet1!$C:$H,6,0)</f>
        <v>2244</v>
      </c>
    </row>
    <row r="99" hidden="1" spans="1:4">
      <c r="A99" s="3">
        <v>125301055</v>
      </c>
      <c r="B99" t="s">
        <v>141</v>
      </c>
      <c r="C99" s="4">
        <v>1667</v>
      </c>
      <c r="D99">
        <f>VLOOKUP(A99,[9]sheet1!$C:$H,6,0)</f>
        <v>6146</v>
      </c>
    </row>
    <row r="100" hidden="1" spans="1:4">
      <c r="A100" s="3">
        <v>115301054</v>
      </c>
      <c r="B100" t="s">
        <v>104</v>
      </c>
      <c r="C100" s="4">
        <v>10709.69</v>
      </c>
      <c r="D100">
        <f>VLOOKUP(A100,[9]sheet1!$C:$H,6,0)</f>
        <v>7258</v>
      </c>
    </row>
    <row r="101" hidden="1" spans="1:4">
      <c r="A101" t="s">
        <v>248</v>
      </c>
      <c r="B101" t="s">
        <v>249</v>
      </c>
      <c r="C101" s="4">
        <v>362</v>
      </c>
      <c r="D101">
        <f>VLOOKUP(A101,[9]sheet1!$C:$H,6,0)</f>
        <v>2510</v>
      </c>
    </row>
    <row r="102" hidden="1" spans="1:4">
      <c r="A102" s="3">
        <v>115119025</v>
      </c>
      <c r="B102" t="s">
        <v>252</v>
      </c>
      <c r="C102" s="4">
        <v>3495</v>
      </c>
      <c r="D102">
        <f>VLOOKUP(A102,[9]sheet1!$C:$H,6,0)</f>
        <v>14099</v>
      </c>
    </row>
    <row r="103" hidden="1" spans="1:4">
      <c r="A103" t="s">
        <v>254</v>
      </c>
      <c r="B103" t="s">
        <v>104</v>
      </c>
      <c r="C103" s="4">
        <v>7431</v>
      </c>
      <c r="D103">
        <f>VLOOKUP(A103,[9]sheet1!$C:$H,6,0)</f>
        <v>8238</v>
      </c>
    </row>
    <row r="104" hidden="1" spans="1:4">
      <c r="A104" s="3">
        <v>16323204</v>
      </c>
      <c r="B104" t="s">
        <v>97</v>
      </c>
      <c r="C104" s="4">
        <v>104</v>
      </c>
      <c r="D104">
        <f>VLOOKUP(A104,[9]sheet1!$C:$H,6,0)</f>
        <v>0</v>
      </c>
    </row>
    <row r="105" hidden="1" spans="1:4">
      <c r="A105" s="3">
        <v>124408252</v>
      </c>
      <c r="B105" t="s">
        <v>258</v>
      </c>
      <c r="C105" s="4">
        <v>962</v>
      </c>
      <c r="D105">
        <f>VLOOKUP(A105,[9]sheet1!$C:$H,6,0)</f>
        <v>0</v>
      </c>
    </row>
    <row r="106" hidden="1" spans="1:4">
      <c r="A106" s="3">
        <v>114310191</v>
      </c>
      <c r="B106" t="s">
        <v>117</v>
      </c>
      <c r="C106" s="4">
        <v>4107</v>
      </c>
      <c r="D106">
        <f>VLOOKUP(A106,[9]sheet1!$C:$H,6,0)</f>
        <v>1872</v>
      </c>
    </row>
    <row r="107" hidden="1" spans="1:4">
      <c r="A107" s="3">
        <v>124408268</v>
      </c>
      <c r="B107" t="s">
        <v>258</v>
      </c>
      <c r="C107" s="4">
        <v>1331</v>
      </c>
      <c r="D107">
        <f>VLOOKUP(A107,[9]sheet1!$C:$H,6,0)</f>
        <v>0</v>
      </c>
    </row>
    <row r="108" hidden="1" spans="1:4">
      <c r="A108" s="3">
        <v>124401010</v>
      </c>
      <c r="B108" t="s">
        <v>141</v>
      </c>
      <c r="C108" s="4">
        <v>3797</v>
      </c>
      <c r="D108" t="e">
        <f>VLOOKUP(A108,[9]sheet1!$C:$H,6,0)</f>
        <v>#N/A</v>
      </c>
    </row>
    <row r="109" hidden="1" spans="1:4">
      <c r="A109" t="s">
        <v>266</v>
      </c>
      <c r="B109" t="s">
        <v>267</v>
      </c>
      <c r="C109" s="4">
        <v>577</v>
      </c>
      <c r="D109">
        <f>VLOOKUP(A109,[9]sheet1!$C:$H,6,0)</f>
        <v>0</v>
      </c>
    </row>
    <row r="110" hidden="1" spans="1:4">
      <c r="A110" t="s">
        <v>269</v>
      </c>
      <c r="B110" t="s">
        <v>146</v>
      </c>
      <c r="C110" s="4">
        <v>926</v>
      </c>
      <c r="D110">
        <f>VLOOKUP(A110,[9]sheet1!$C:$H,6,0)</f>
        <v>432</v>
      </c>
    </row>
    <row r="111" hidden="1" spans="1:4">
      <c r="A111" t="s">
        <v>272</v>
      </c>
      <c r="B111" t="s">
        <v>104</v>
      </c>
      <c r="C111" s="4">
        <v>14166</v>
      </c>
      <c r="D111">
        <f>VLOOKUP(A111,[9]sheet1!$C:$H,6,0)</f>
        <v>5128</v>
      </c>
    </row>
    <row r="112" hidden="1" spans="1:4">
      <c r="A112" s="3">
        <v>124301070</v>
      </c>
      <c r="B112" t="s">
        <v>104</v>
      </c>
      <c r="C112" s="4">
        <v>11381.45</v>
      </c>
      <c r="D112">
        <f>VLOOKUP(A112,[9]sheet1!$C:$H,6,0)</f>
        <v>1660</v>
      </c>
    </row>
    <row r="113" hidden="1" spans="1:8">
      <c r="A113" s="3">
        <v>114319003</v>
      </c>
      <c r="B113" t="s">
        <v>100</v>
      </c>
      <c r="C113" s="4">
        <v>6644</v>
      </c>
      <c r="D113">
        <f>VLOOKUP(A113,[9]sheet1!$C:$H,6,0)</f>
        <v>666</v>
      </c>
    </row>
    <row r="114" hidden="1" spans="1:8">
      <c r="A114" s="3">
        <v>114311231</v>
      </c>
      <c r="B114" t="s">
        <v>277</v>
      </c>
      <c r="C114" s="4">
        <v>721</v>
      </c>
      <c r="D114">
        <f>VLOOKUP(A114,[9]sheet1!$C:$H,6,0)</f>
        <v>0</v>
      </c>
    </row>
    <row r="115" hidden="1" spans="1:8">
      <c r="A115" s="3">
        <v>16843502</v>
      </c>
      <c r="B115" t="s">
        <v>280</v>
      </c>
      <c r="C115" s="4">
        <v>-12</v>
      </c>
      <c r="D115" t="e">
        <f>VLOOKUP(A115,[9]sheet1!$C:$H,6,0)</f>
        <v>#N/A</v>
      </c>
    </row>
    <row r="116" hidden="1" spans="1:8">
      <c r="A116" t="s">
        <v>282</v>
      </c>
      <c r="B116" t="s">
        <v>283</v>
      </c>
      <c r="C116" s="4">
        <v>238</v>
      </c>
      <c r="D116" t="e">
        <f>VLOOKUP(A116,[9]sheet1!$C:$H,6,0)</f>
        <v>#N/A</v>
      </c>
    </row>
    <row r="117" hidden="1" spans="1:8">
      <c r="A117" s="3">
        <v>164026416</v>
      </c>
      <c r="B117" t="s">
        <v>78</v>
      </c>
      <c r="C117" s="4">
        <v>322</v>
      </c>
      <c r="D117">
        <f>VLOOKUP(A117,[9]sheet1!$C:$H,6,0)</f>
        <v>672</v>
      </c>
    </row>
    <row r="118" hidden="1" spans="1:8">
      <c r="A118" s="3">
        <v>114301033</v>
      </c>
      <c r="B118" t="s">
        <v>104</v>
      </c>
      <c r="C118" s="4">
        <v>4660</v>
      </c>
      <c r="D118">
        <f>VLOOKUP(A118,[9]sheet1!$C:$H,6,0)</f>
        <v>0</v>
      </c>
    </row>
    <row r="119" hidden="1" spans="1:8">
      <c r="A119" s="3">
        <v>124301006</v>
      </c>
      <c r="B119" t="s">
        <v>104</v>
      </c>
      <c r="C119" s="4">
        <v>12913</v>
      </c>
      <c r="D119">
        <f>VLOOKUP(A119,[9]sheet1!$C:$H,6,0)</f>
        <v>1917</v>
      </c>
    </row>
    <row r="120" hidden="1" spans="1:8">
      <c r="A120" s="3">
        <v>16402501</v>
      </c>
      <c r="B120" t="s">
        <v>78</v>
      </c>
      <c r="C120" s="4">
        <v>1036</v>
      </c>
      <c r="D120">
        <f>VLOOKUP(A120,[9]sheet1!$C:$H,6,0)</f>
        <v>778</v>
      </c>
    </row>
    <row r="121" hidden="1" spans="1:8">
      <c r="A121" s="3">
        <v>11411909</v>
      </c>
      <c r="B121" t="s">
        <v>100</v>
      </c>
      <c r="C121" s="4">
        <v>2707.76</v>
      </c>
      <c r="D121">
        <f>VLOOKUP(A121,[9]sheet1!$C:$H,6,0)</f>
        <v>279</v>
      </c>
    </row>
    <row r="122" ht="40.5" spans="1:8">
      <c r="A122" s="9">
        <v>124306148</v>
      </c>
      <c r="B122" t="s">
        <v>138</v>
      </c>
      <c r="C122" s="6">
        <v>1393</v>
      </c>
      <c r="D122">
        <f>VLOOKUP(A122,[9]sheet1!$C:$H,6,0)</f>
        <v>0</v>
      </c>
      <c r="E122" s="7">
        <f>D122/C122-1</f>
        <v>-1</v>
      </c>
      <c r="F122" s="11" t="s">
        <v>1085</v>
      </c>
      <c r="G122" s="12"/>
      <c r="H122" s="12"/>
    </row>
    <row r="123" spans="1:8">
      <c r="A123" s="13" t="s">
        <v>961</v>
      </c>
      <c r="B123" t="s">
        <v>143</v>
      </c>
      <c r="C123" s="6">
        <v>866</v>
      </c>
      <c r="D123">
        <f>VLOOKUP(A123,[9]sheet1!$C:$H,6,0)</f>
        <v>0</v>
      </c>
      <c r="E123" s="7">
        <f>D123/C123-1</f>
        <v>-1</v>
      </c>
      <c r="F123" s="8" t="s">
        <v>1086</v>
      </c>
    </row>
    <row r="124" hidden="1" spans="1:8">
      <c r="A124" s="3">
        <v>12421230</v>
      </c>
      <c r="B124" t="s">
        <v>109</v>
      </c>
      <c r="C124" s="4">
        <v>0</v>
      </c>
      <c r="D124">
        <f>VLOOKUP(A124,[9]sheet1!$C:$H,6,0)</f>
        <v>0</v>
      </c>
    </row>
    <row r="125" hidden="1" spans="1:8">
      <c r="A125" s="3">
        <v>12421212</v>
      </c>
      <c r="B125" t="s">
        <v>109</v>
      </c>
      <c r="C125" s="4">
        <v>0</v>
      </c>
      <c r="D125">
        <f>VLOOKUP(A125,[9]sheet1!$C:$H,6,0)</f>
        <v>219</v>
      </c>
    </row>
    <row r="126" hidden="1" spans="1:8">
      <c r="A126" s="3">
        <v>11421411</v>
      </c>
      <c r="B126" t="s">
        <v>57</v>
      </c>
      <c r="C126" s="4">
        <v>0</v>
      </c>
      <c r="D126">
        <f>VLOOKUP(A126,[9]sheet1!$C:$H,6,0)</f>
        <v>0</v>
      </c>
    </row>
    <row r="127" hidden="1" spans="1:8">
      <c r="A127" s="3">
        <v>11421409</v>
      </c>
      <c r="B127" t="s">
        <v>57</v>
      </c>
      <c r="C127" s="4">
        <v>0</v>
      </c>
      <c r="D127" t="e">
        <f>VLOOKUP(A127,[9]sheet1!$C:$H,6,0)</f>
        <v>#N/A</v>
      </c>
    </row>
    <row r="128" hidden="1" spans="1:8">
      <c r="A128" s="3">
        <v>11421211</v>
      </c>
      <c r="B128" t="s">
        <v>51</v>
      </c>
      <c r="C128" s="4">
        <v>0</v>
      </c>
      <c r="D128">
        <f>VLOOKUP(A128,[9]sheet1!$C:$H,6,0)</f>
        <v>438</v>
      </c>
    </row>
    <row r="129" hidden="1" spans="1:4">
      <c r="A129" s="3">
        <v>12421538</v>
      </c>
      <c r="B129" t="s">
        <v>299</v>
      </c>
      <c r="C129" s="4">
        <v>0</v>
      </c>
      <c r="D129" t="e">
        <f>VLOOKUP(A129,[9]sheet1!$C:$H,6,0)</f>
        <v>#N/A</v>
      </c>
    </row>
    <row r="130" hidden="1" spans="1:4">
      <c r="A130" s="3">
        <v>12421508</v>
      </c>
      <c r="B130" t="s">
        <v>90</v>
      </c>
      <c r="C130" s="4">
        <v>2844</v>
      </c>
      <c r="D130">
        <f>VLOOKUP(A130,[9]sheet1!$C:$H,6,0)</f>
        <v>1932</v>
      </c>
    </row>
    <row r="131" hidden="1" spans="1:4">
      <c r="A131" t="s">
        <v>302</v>
      </c>
      <c r="B131" t="s">
        <v>104</v>
      </c>
      <c r="C131" s="4">
        <v>5755</v>
      </c>
      <c r="D131">
        <f>VLOOKUP(A131,[9]sheet1!$C:$H,6,0)</f>
        <v>699</v>
      </c>
    </row>
    <row r="132" hidden="1" spans="1:4">
      <c r="A132" s="3">
        <v>16423433</v>
      </c>
      <c r="B132" t="s">
        <v>304</v>
      </c>
      <c r="C132" s="4">
        <v>54</v>
      </c>
      <c r="D132">
        <f>VLOOKUP(A132,[9]sheet1!$C:$H,6,0)</f>
        <v>65</v>
      </c>
    </row>
    <row r="133" hidden="1" spans="1:4">
      <c r="A133" s="3">
        <v>11421503</v>
      </c>
      <c r="B133" t="s">
        <v>45</v>
      </c>
      <c r="C133" s="4">
        <v>281</v>
      </c>
      <c r="D133">
        <f>VLOOKUP(A133,[9]sheet1!$C:$H,6,0)</f>
        <v>2117</v>
      </c>
    </row>
    <row r="134" hidden="1" spans="1:4">
      <c r="A134" s="3">
        <v>11421215</v>
      </c>
      <c r="B134" t="s">
        <v>51</v>
      </c>
      <c r="C134" s="4">
        <v>0</v>
      </c>
      <c r="D134">
        <f>VLOOKUP(A134,[9]sheet1!$C:$H,6,0)</f>
        <v>0</v>
      </c>
    </row>
    <row r="135" hidden="1" spans="1:4">
      <c r="A135" s="3">
        <v>12421226</v>
      </c>
      <c r="B135" t="s">
        <v>109</v>
      </c>
      <c r="C135" s="4">
        <v>482</v>
      </c>
      <c r="D135" t="e">
        <f>VLOOKUP(A135,[9]sheet1!$C:$H,6,0)</f>
        <v>#N/A</v>
      </c>
    </row>
    <row r="136" hidden="1" spans="1:4">
      <c r="A136" s="3">
        <v>12410306</v>
      </c>
      <c r="B136" t="s">
        <v>311</v>
      </c>
      <c r="C136" s="4">
        <v>0</v>
      </c>
      <c r="D136">
        <f>VLOOKUP(A136,[9]sheet1!$C:$H,6,0)</f>
        <v>0</v>
      </c>
    </row>
    <row r="137" hidden="1" spans="1:4">
      <c r="A137" s="3">
        <v>11340157</v>
      </c>
      <c r="B137" t="s">
        <v>104</v>
      </c>
      <c r="C137" s="4">
        <v>0</v>
      </c>
      <c r="D137" t="e">
        <f>VLOOKUP(A137,[9]sheet1!$C:$H,6,0)</f>
        <v>#N/A</v>
      </c>
    </row>
    <row r="138" hidden="1" spans="1:4">
      <c r="A138" s="3">
        <v>12421502</v>
      </c>
      <c r="B138" t="s">
        <v>315</v>
      </c>
      <c r="C138" s="4">
        <v>0</v>
      </c>
      <c r="D138">
        <f>VLOOKUP(A138,[9]sheet1!$C:$H,6,0)</f>
        <v>0</v>
      </c>
    </row>
    <row r="139" hidden="1" spans="1:4">
      <c r="A139" s="3">
        <v>11421501</v>
      </c>
      <c r="B139" t="s">
        <v>54</v>
      </c>
      <c r="C139" s="4">
        <v>0</v>
      </c>
      <c r="D139">
        <f>VLOOKUP(A139,[9]sheet1!$C:$H,6,0)</f>
        <v>741</v>
      </c>
    </row>
    <row r="140" hidden="1" spans="1:4">
      <c r="A140" s="3">
        <v>16423408</v>
      </c>
      <c r="B140" t="s">
        <v>304</v>
      </c>
      <c r="C140" s="4">
        <v>0</v>
      </c>
      <c r="D140" t="e">
        <f>VLOOKUP(A140,[9]sheet1!$C:$H,6,0)</f>
        <v>#N/A</v>
      </c>
    </row>
    <row r="141" hidden="1" spans="1:4">
      <c r="A141" s="3">
        <v>116423401</v>
      </c>
      <c r="B141" t="s">
        <v>64</v>
      </c>
      <c r="C141" s="4">
        <v>228</v>
      </c>
      <c r="D141">
        <f>VLOOKUP(A141,[9]sheet1!$C:$H,6,0)</f>
        <v>756</v>
      </c>
    </row>
    <row r="142" hidden="1" spans="1:4">
      <c r="A142" s="3">
        <v>16423407</v>
      </c>
      <c r="B142" t="s">
        <v>304</v>
      </c>
      <c r="C142" s="4">
        <v>0</v>
      </c>
      <c r="D142">
        <f>VLOOKUP(A142,[9]sheet1!$C:$H,6,0)</f>
        <v>0</v>
      </c>
    </row>
    <row r="143" hidden="1" spans="1:4">
      <c r="A143" s="3">
        <v>164332401</v>
      </c>
      <c r="B143" t="s">
        <v>323</v>
      </c>
      <c r="C143" s="4">
        <v>0</v>
      </c>
      <c r="D143" t="e">
        <f>VLOOKUP(A143,[9]sheet1!$C:$H,6,0)</f>
        <v>#N/A</v>
      </c>
    </row>
    <row r="144" hidden="1" spans="1:4">
      <c r="A144" s="3">
        <v>16424601</v>
      </c>
      <c r="B144" t="s">
        <v>325</v>
      </c>
      <c r="C144" s="4">
        <v>0</v>
      </c>
      <c r="D144">
        <f>VLOOKUP(A144,[9]sheet1!$C:$H,6,0)</f>
        <v>0</v>
      </c>
    </row>
    <row r="145" hidden="1" spans="1:4">
      <c r="A145" s="3">
        <v>11410305</v>
      </c>
      <c r="B145" t="s">
        <v>328</v>
      </c>
      <c r="C145" s="4">
        <v>0</v>
      </c>
      <c r="D145">
        <f>VLOOKUP(A145,[9]sheet1!$C:$H,6,0)</f>
        <v>0</v>
      </c>
    </row>
    <row r="146" hidden="1" spans="1:4">
      <c r="A146" s="3">
        <v>11410303</v>
      </c>
      <c r="B146" t="s">
        <v>330</v>
      </c>
      <c r="C146" s="4">
        <v>1730</v>
      </c>
      <c r="D146">
        <f>VLOOKUP(A146,[9]sheet1!$C:$H,6,0)</f>
        <v>0</v>
      </c>
    </row>
    <row r="147" hidden="1" spans="1:4">
      <c r="A147" s="3">
        <v>116123408</v>
      </c>
      <c r="B147" t="s">
        <v>304</v>
      </c>
      <c r="C147" s="4">
        <v>108</v>
      </c>
      <c r="D147">
        <f>VLOOKUP(A147,[9]sheet1!$C:$H,6,0)</f>
        <v>0</v>
      </c>
    </row>
    <row r="148" hidden="1" spans="1:4">
      <c r="A148" s="3">
        <v>16223401</v>
      </c>
      <c r="B148" t="s">
        <v>304</v>
      </c>
      <c r="C148" s="4">
        <v>0</v>
      </c>
      <c r="D148" t="e">
        <f>VLOOKUP(A148,[9]sheet1!$C:$H,6,0)</f>
        <v>#N/A</v>
      </c>
    </row>
    <row r="149" hidden="1" spans="1:4">
      <c r="A149" s="3">
        <v>116223402</v>
      </c>
      <c r="B149" t="s">
        <v>304</v>
      </c>
      <c r="C149" s="4">
        <v>0</v>
      </c>
      <c r="D149">
        <f>VLOOKUP(A149,[9]sheet1!$C:$H,6,0)</f>
        <v>0</v>
      </c>
    </row>
    <row r="150" hidden="1" spans="1:4">
      <c r="A150" s="3">
        <v>16225604</v>
      </c>
      <c r="B150" t="s">
        <v>338</v>
      </c>
      <c r="C150" s="4">
        <v>0</v>
      </c>
      <c r="D150" t="e">
        <f>VLOOKUP(A150,[9]sheet1!$C:$H,6,0)</f>
        <v>#N/A</v>
      </c>
    </row>
    <row r="151" hidden="1" spans="1:4">
      <c r="A151" s="3">
        <v>16423401</v>
      </c>
      <c r="B151" t="s">
        <v>64</v>
      </c>
      <c r="C151" s="4">
        <v>0</v>
      </c>
      <c r="D151">
        <f>VLOOKUP(A151,[9]sheet1!$C:$H,6,0)</f>
        <v>0</v>
      </c>
    </row>
    <row r="152" hidden="1" spans="1:4">
      <c r="A152" s="3">
        <v>16423406</v>
      </c>
      <c r="B152" t="s">
        <v>304</v>
      </c>
      <c r="C152" s="4">
        <v>0</v>
      </c>
      <c r="D152">
        <f>VLOOKUP(A152,[9]sheet1!$C:$H,6,0)</f>
        <v>0</v>
      </c>
    </row>
    <row r="153" hidden="1" spans="1:4">
      <c r="A153" s="3">
        <v>16425601</v>
      </c>
      <c r="B153" t="s">
        <v>338</v>
      </c>
      <c r="C153" s="4">
        <v>221</v>
      </c>
      <c r="D153">
        <f>VLOOKUP(A153,[9]sheet1!$C:$H,6,0)</f>
        <v>0</v>
      </c>
    </row>
    <row r="154" hidden="1" spans="1:4">
      <c r="A154" s="3">
        <v>12421214</v>
      </c>
      <c r="B154" t="s">
        <v>109</v>
      </c>
      <c r="C154" s="4">
        <v>0</v>
      </c>
      <c r="D154">
        <f>VLOOKUP(A154,[9]sheet1!$C:$H,6,0)</f>
        <v>0</v>
      </c>
    </row>
    <row r="155" hidden="1" spans="1:4">
      <c r="A155" s="3">
        <v>16023203</v>
      </c>
      <c r="B155" t="s">
        <v>97</v>
      </c>
      <c r="C155" s="4">
        <v>0</v>
      </c>
      <c r="D155">
        <f>VLOOKUP(A155,[9]sheet1!$C:$H,6,0)</f>
        <v>37</v>
      </c>
    </row>
    <row r="156" hidden="1" spans="1:4">
      <c r="A156" s="3">
        <v>16943407</v>
      </c>
      <c r="B156" t="s">
        <v>177</v>
      </c>
      <c r="C156" s="4">
        <v>0</v>
      </c>
      <c r="D156" t="e">
        <f>VLOOKUP(A156,[9]sheet1!$C:$H,6,0)</f>
        <v>#N/A</v>
      </c>
    </row>
    <row r="157" hidden="1" spans="1:4">
      <c r="A157" s="3">
        <v>16903501</v>
      </c>
      <c r="B157" t="s">
        <v>348</v>
      </c>
      <c r="C157" s="4">
        <v>0</v>
      </c>
      <c r="D157" t="e">
        <f>VLOOKUP(A157,[9]sheet1!$C:$H,6,0)</f>
        <v>#N/A</v>
      </c>
    </row>
    <row r="158" hidden="1" spans="1:4">
      <c r="A158" s="3">
        <v>12421426</v>
      </c>
      <c r="B158" t="s">
        <v>200</v>
      </c>
      <c r="C158" s="4">
        <v>166</v>
      </c>
      <c r="D158">
        <f>VLOOKUP(A158,[9]sheet1!$C:$H,6,0)</f>
        <v>1740</v>
      </c>
    </row>
    <row r="159" hidden="1" spans="1:4">
      <c r="A159" s="3">
        <v>12421412</v>
      </c>
      <c r="B159" t="s">
        <v>200</v>
      </c>
      <c r="C159" s="4">
        <v>379</v>
      </c>
      <c r="D159">
        <f>VLOOKUP(A159,[9]sheet1!$C:$H,6,0)</f>
        <v>1590</v>
      </c>
    </row>
    <row r="160" hidden="1" spans="1:4">
      <c r="A160" s="3">
        <v>11331905</v>
      </c>
      <c r="B160" t="s">
        <v>249</v>
      </c>
      <c r="C160" s="4">
        <v>0</v>
      </c>
      <c r="D160">
        <f>VLOOKUP(A160,[9]sheet1!$C:$H,6,0)</f>
        <v>0</v>
      </c>
    </row>
    <row r="161" hidden="1" spans="1:4">
      <c r="A161" s="3">
        <v>16043429</v>
      </c>
      <c r="B161" t="s">
        <v>177</v>
      </c>
      <c r="C161" s="4">
        <v>0</v>
      </c>
      <c r="D161">
        <f>VLOOKUP(A161,[9]sheet1!$C:$H,6,0)</f>
        <v>0</v>
      </c>
    </row>
    <row r="162" hidden="1" spans="1:4">
      <c r="A162" s="3">
        <v>16302836</v>
      </c>
      <c r="B162" t="s">
        <v>355</v>
      </c>
      <c r="C162" s="4">
        <v>0</v>
      </c>
      <c r="D162" t="e">
        <f>VLOOKUP(A162,[9]sheet1!$C:$H,6,0)</f>
        <v>#N/A</v>
      </c>
    </row>
    <row r="163" hidden="1" spans="1:4">
      <c r="A163" s="3">
        <v>11325109</v>
      </c>
      <c r="B163" t="s">
        <v>227</v>
      </c>
      <c r="C163" s="4">
        <v>687</v>
      </c>
      <c r="D163" t="e">
        <f>VLOOKUP(A163,[9]sheet1!$C:$H,6,0)</f>
        <v>#N/A</v>
      </c>
    </row>
    <row r="164" hidden="1" spans="1:4">
      <c r="A164" t="s">
        <v>359</v>
      </c>
      <c r="B164" t="s">
        <v>249</v>
      </c>
      <c r="C164" s="4">
        <v>0</v>
      </c>
      <c r="D164">
        <f>VLOOKUP(A164,[9]sheet1!$C:$H,6,0)</f>
        <v>0</v>
      </c>
    </row>
    <row r="165" hidden="1" spans="1:4">
      <c r="A165" t="s">
        <v>361</v>
      </c>
      <c r="B165" t="s">
        <v>249</v>
      </c>
      <c r="C165" s="4">
        <v>0</v>
      </c>
      <c r="D165">
        <f>VLOOKUP(A165,[9]sheet1!$C:$H,6,0)</f>
        <v>0</v>
      </c>
    </row>
    <row r="166" hidden="1" spans="1:4">
      <c r="A166" t="s">
        <v>363</v>
      </c>
      <c r="B166" t="s">
        <v>249</v>
      </c>
      <c r="C166" s="4">
        <v>0</v>
      </c>
      <c r="D166">
        <f>VLOOKUP(A166,[9]sheet1!$C:$H,6,0)</f>
        <v>0</v>
      </c>
    </row>
    <row r="167" hidden="1" spans="1:4">
      <c r="A167" s="3">
        <v>12340820</v>
      </c>
      <c r="B167" t="s">
        <v>365</v>
      </c>
      <c r="C167" s="4">
        <v>0</v>
      </c>
      <c r="D167" t="e">
        <f>VLOOKUP(A167,[9]sheet1!$C:$H,6,0)</f>
        <v>#N/A</v>
      </c>
    </row>
    <row r="168" hidden="1" spans="1:4">
      <c r="A168" s="3">
        <v>12331028</v>
      </c>
      <c r="B168" t="s">
        <v>117</v>
      </c>
      <c r="C168" s="4">
        <v>0</v>
      </c>
      <c r="D168" t="e">
        <f>VLOOKUP(A168,[9]sheet1!$C:$H,6,0)</f>
        <v>#N/A</v>
      </c>
    </row>
    <row r="169" hidden="1" spans="1:4">
      <c r="A169" s="3">
        <v>12331032</v>
      </c>
      <c r="B169" t="s">
        <v>117</v>
      </c>
      <c r="C169" s="4">
        <v>631</v>
      </c>
      <c r="D169" t="e">
        <f>VLOOKUP(A169,[9]sheet1!$C:$H,6,0)</f>
        <v>#N/A</v>
      </c>
    </row>
    <row r="170" hidden="1" spans="1:4">
      <c r="A170" s="3">
        <v>12340806</v>
      </c>
      <c r="B170" t="s">
        <v>258</v>
      </c>
      <c r="C170" s="4">
        <v>1757</v>
      </c>
      <c r="D170">
        <f>VLOOKUP(A170,[9]sheet1!$C:$H,6,0)</f>
        <v>0</v>
      </c>
    </row>
    <row r="171" hidden="1" spans="1:4">
      <c r="A171" s="3">
        <v>12331030</v>
      </c>
      <c r="B171" t="s">
        <v>117</v>
      </c>
      <c r="C171" s="4">
        <v>0</v>
      </c>
      <c r="D171" t="e">
        <f>VLOOKUP(A171,[9]sheet1!$C:$H,6,0)</f>
        <v>#N/A</v>
      </c>
    </row>
    <row r="172" hidden="1" spans="1:4">
      <c r="A172" s="3">
        <v>11340805</v>
      </c>
      <c r="B172" t="s">
        <v>365</v>
      </c>
      <c r="C172" s="4">
        <v>0</v>
      </c>
      <c r="D172">
        <f>VLOOKUP(A172,[9]sheet1!$C:$H,6,0)</f>
        <v>0</v>
      </c>
    </row>
    <row r="173" hidden="1" spans="1:4">
      <c r="A173" s="3">
        <v>11331021</v>
      </c>
      <c r="B173" t="s">
        <v>117</v>
      </c>
      <c r="C173" s="4">
        <v>0</v>
      </c>
      <c r="D173" t="e">
        <f>VLOOKUP(A173,[9]sheet1!$C:$H,6,0)</f>
        <v>#N/A</v>
      </c>
    </row>
    <row r="174" hidden="1" spans="1:4">
      <c r="A174" s="3">
        <v>11331057</v>
      </c>
      <c r="B174" t="s">
        <v>117</v>
      </c>
      <c r="C174" s="4">
        <v>0</v>
      </c>
      <c r="D174" t="e">
        <f>VLOOKUP(A174,[9]sheet1!$C:$H,6,0)</f>
        <v>#N/A</v>
      </c>
    </row>
    <row r="175" hidden="1" spans="1:4">
      <c r="A175" s="3">
        <v>12340836</v>
      </c>
      <c r="B175" t="s">
        <v>365</v>
      </c>
      <c r="C175" s="4">
        <v>0</v>
      </c>
      <c r="D175">
        <f>VLOOKUP(A175,[9]sheet1!$C:$H,6,0)</f>
        <v>2194</v>
      </c>
    </row>
    <row r="176" hidden="1" spans="1:4">
      <c r="A176" s="3">
        <v>12331058</v>
      </c>
      <c r="B176" t="s">
        <v>206</v>
      </c>
      <c r="C176" s="4">
        <v>0</v>
      </c>
      <c r="D176" t="e">
        <f>VLOOKUP(A176,[9]sheet1!$C:$H,6,0)</f>
        <v>#N/A</v>
      </c>
    </row>
    <row r="177" hidden="1" spans="1:4">
      <c r="A177" s="3">
        <v>11340821</v>
      </c>
      <c r="B177" t="s">
        <v>365</v>
      </c>
      <c r="C177" s="4">
        <v>8258</v>
      </c>
      <c r="D177">
        <f>VLOOKUP(A177,[9]sheet1!$C:$H,6,0)</f>
        <v>1242</v>
      </c>
    </row>
    <row r="178" hidden="1" spans="1:4">
      <c r="A178" s="3">
        <v>12340828</v>
      </c>
      <c r="B178" t="s">
        <v>365</v>
      </c>
      <c r="C178" s="4">
        <v>0</v>
      </c>
      <c r="D178" t="e">
        <f>VLOOKUP(A178,[9]sheet1!$C:$H,6,0)</f>
        <v>#N/A</v>
      </c>
    </row>
    <row r="179" hidden="1" spans="1:4">
      <c r="A179" s="3">
        <v>12340812</v>
      </c>
      <c r="B179" t="s">
        <v>365</v>
      </c>
      <c r="C179" s="4">
        <v>0</v>
      </c>
      <c r="D179" t="e">
        <f>VLOOKUP(A179,[9]sheet1!$C:$H,6,0)</f>
        <v>#N/A</v>
      </c>
    </row>
    <row r="180" hidden="1" spans="1:4">
      <c r="A180" s="3">
        <v>12340134</v>
      </c>
      <c r="B180" t="s">
        <v>104</v>
      </c>
      <c r="C180" s="4">
        <v>0</v>
      </c>
      <c r="D180" t="e">
        <f>VLOOKUP(A180,[9]sheet1!$C:$H,6,0)</f>
        <v>#N/A</v>
      </c>
    </row>
    <row r="181" hidden="1" spans="1:4">
      <c r="A181" s="3">
        <v>114408281</v>
      </c>
      <c r="B181" t="s">
        <v>365</v>
      </c>
      <c r="C181" s="4">
        <v>5180.77</v>
      </c>
      <c r="D181">
        <f>VLOOKUP(A181,[9]sheet1!$C:$H,6,0)</f>
        <v>727</v>
      </c>
    </row>
    <row r="182" hidden="1" spans="1:4">
      <c r="A182" s="3">
        <v>12340804</v>
      </c>
      <c r="B182" t="s">
        <v>258</v>
      </c>
      <c r="C182" s="4">
        <v>0</v>
      </c>
      <c r="D182">
        <f>VLOOKUP(A182,[9]sheet1!$C:$H,6,0)</f>
        <v>727</v>
      </c>
    </row>
    <row r="183" hidden="1" spans="1:4">
      <c r="A183" s="3">
        <v>12340814</v>
      </c>
      <c r="B183" t="s">
        <v>365</v>
      </c>
      <c r="C183" s="4">
        <v>0</v>
      </c>
      <c r="D183">
        <f>VLOOKUP(A183,[9]sheet1!$C:$H,6,0)</f>
        <v>0</v>
      </c>
    </row>
    <row r="184" hidden="1" spans="1:4">
      <c r="A184" s="3">
        <v>11340139</v>
      </c>
      <c r="B184" t="s">
        <v>104</v>
      </c>
      <c r="C184" s="4">
        <v>0</v>
      </c>
      <c r="D184">
        <f>VLOOKUP(A184,[9]sheet1!$C:$H,6,0)</f>
        <v>0</v>
      </c>
    </row>
    <row r="185" hidden="1" spans="1:4">
      <c r="A185" s="3">
        <v>12331018</v>
      </c>
      <c r="B185" t="s">
        <v>117</v>
      </c>
      <c r="C185" s="4">
        <v>0</v>
      </c>
      <c r="D185" t="e">
        <f>VLOOKUP(A185,[9]sheet1!$C:$H,6,0)</f>
        <v>#N/A</v>
      </c>
    </row>
    <row r="186" hidden="1" spans="1:4">
      <c r="A186" s="3">
        <v>12331026</v>
      </c>
      <c r="B186" t="s">
        <v>206</v>
      </c>
      <c r="C186" s="4">
        <v>0</v>
      </c>
      <c r="D186">
        <f>VLOOKUP(A186,[9]sheet1!$C:$H,6,0)</f>
        <v>0</v>
      </c>
    </row>
    <row r="187" hidden="1" spans="1:4">
      <c r="A187" s="3">
        <v>11331027</v>
      </c>
      <c r="B187" t="s">
        <v>117</v>
      </c>
      <c r="C187" s="4">
        <v>0</v>
      </c>
      <c r="D187" t="e">
        <f>VLOOKUP(A187,[9]sheet1!$C:$H,6,0)</f>
        <v>#N/A</v>
      </c>
    </row>
    <row r="188" hidden="1" spans="1:4">
      <c r="A188" s="3">
        <v>12331008</v>
      </c>
      <c r="B188" t="s">
        <v>206</v>
      </c>
      <c r="C188" s="4">
        <v>0</v>
      </c>
      <c r="D188" t="e">
        <f>VLOOKUP(A188,[9]sheet1!$C:$H,6,0)</f>
        <v>#N/A</v>
      </c>
    </row>
    <row r="189" hidden="1" spans="1:4">
      <c r="A189" s="3">
        <v>12331004</v>
      </c>
      <c r="B189" t="s">
        <v>206</v>
      </c>
      <c r="C189" s="4">
        <v>0</v>
      </c>
      <c r="D189">
        <f>VLOOKUP(A189,[9]sheet1!$C:$H,6,0)</f>
        <v>0</v>
      </c>
    </row>
    <row r="190" hidden="1" spans="1:4">
      <c r="A190" s="3">
        <v>12331012</v>
      </c>
      <c r="B190" t="s">
        <v>206</v>
      </c>
      <c r="C190" s="4">
        <v>488</v>
      </c>
      <c r="D190">
        <f>VLOOKUP(A190,[9]sheet1!$C:$H,6,0)</f>
        <v>0</v>
      </c>
    </row>
    <row r="191" hidden="1" spans="1:4">
      <c r="A191" s="3">
        <v>11331003</v>
      </c>
      <c r="B191" t="s">
        <v>117</v>
      </c>
      <c r="C191" s="4">
        <v>800</v>
      </c>
      <c r="D191">
        <f>VLOOKUP(A191,[9]sheet1!$C:$H,6,0)</f>
        <v>493</v>
      </c>
    </row>
    <row r="192" hidden="1" spans="1:4">
      <c r="A192" s="3">
        <v>12340822</v>
      </c>
      <c r="B192" t="s">
        <v>258</v>
      </c>
      <c r="C192" s="4">
        <v>587</v>
      </c>
      <c r="D192">
        <f>VLOOKUP(A192,[9]sheet1!$C:$H,6,0)</f>
        <v>592</v>
      </c>
    </row>
    <row r="193" ht="121.5" spans="1:6">
      <c r="A193" s="9">
        <v>115306017</v>
      </c>
      <c r="B193" t="s">
        <v>143</v>
      </c>
      <c r="C193" s="6">
        <v>4670.78</v>
      </c>
      <c r="D193">
        <f>VLOOKUP(A193,[9]sheet1!$C:$H,6,0)</f>
        <v>2325</v>
      </c>
      <c r="E193" s="7">
        <f>D193/C193-1</f>
        <v>-0.502224467861899</v>
      </c>
      <c r="F193" s="8" t="s">
        <v>1087</v>
      </c>
    </row>
    <row r="194" ht="148.5" spans="1:6">
      <c r="A194" s="9">
        <v>114306147</v>
      </c>
      <c r="B194" t="s">
        <v>143</v>
      </c>
      <c r="C194" s="6">
        <v>1398</v>
      </c>
      <c r="D194">
        <f>VLOOKUP(A194,[9]sheet1!$C:$H,6,0)</f>
        <v>922</v>
      </c>
      <c r="E194" s="7">
        <f>D194/C194-1</f>
        <v>-0.340486409155937</v>
      </c>
      <c r="F194" s="8" t="s">
        <v>1088</v>
      </c>
    </row>
    <row r="195" hidden="1" spans="1:6">
      <c r="A195" t="s">
        <v>402</v>
      </c>
      <c r="B195" t="s">
        <v>51</v>
      </c>
      <c r="C195" s="4">
        <v>0</v>
      </c>
      <c r="D195">
        <f>VLOOKUP(A195,[9]sheet1!$C:$H,6,0)</f>
        <v>0</v>
      </c>
    </row>
    <row r="196" hidden="1" spans="1:6">
      <c r="A196" s="3">
        <v>12933728</v>
      </c>
      <c r="B196" t="s">
        <v>404</v>
      </c>
      <c r="C196" s="4">
        <v>0</v>
      </c>
      <c r="D196" t="e">
        <f>VLOOKUP(A196,[9]sheet1!$C:$H,6,0)</f>
        <v>#N/A</v>
      </c>
    </row>
    <row r="197" hidden="1" spans="1:6">
      <c r="A197" s="3">
        <v>114301085</v>
      </c>
      <c r="B197" t="s">
        <v>104</v>
      </c>
      <c r="C197" s="4">
        <v>1768</v>
      </c>
      <c r="D197">
        <f>VLOOKUP(A197,[9]sheet1!$C:$H,6,0)</f>
        <v>0</v>
      </c>
    </row>
    <row r="198" hidden="1" spans="1:6">
      <c r="A198" s="3">
        <v>11235109</v>
      </c>
      <c r="B198" t="s">
        <v>227</v>
      </c>
      <c r="C198" s="4">
        <v>0</v>
      </c>
      <c r="D198" t="e">
        <f>VLOOKUP(A198,[9]sheet1!$C:$H,6,0)</f>
        <v>#N/A</v>
      </c>
    </row>
    <row r="199" hidden="1" spans="1:6">
      <c r="A199" s="3">
        <v>11140127</v>
      </c>
      <c r="B199" t="s">
        <v>104</v>
      </c>
      <c r="C199" s="4">
        <v>0</v>
      </c>
      <c r="D199" t="e">
        <f>VLOOKUP(A199,[9]sheet1!$C:$H,6,0)</f>
        <v>#N/A</v>
      </c>
    </row>
    <row r="200" hidden="1" spans="1:6">
      <c r="A200" s="3">
        <v>12131002</v>
      </c>
      <c r="B200" t="s">
        <v>206</v>
      </c>
      <c r="C200" s="4">
        <v>0</v>
      </c>
      <c r="D200" t="e">
        <f>VLOOKUP(A200,[9]sheet1!$C:$H,6,0)</f>
        <v>#N/A</v>
      </c>
    </row>
    <row r="201" ht="108" spans="1:6">
      <c r="A201" s="9">
        <v>115107003</v>
      </c>
      <c r="B201" t="s">
        <v>185</v>
      </c>
      <c r="C201" s="6">
        <v>11550.63</v>
      </c>
      <c r="D201">
        <f>VLOOKUP(A201,[9]sheet1!$C:$H,6,0)</f>
        <v>10449</v>
      </c>
      <c r="E201" s="7">
        <f>D201/C201-1</f>
        <v>-0.0953740185600267</v>
      </c>
      <c r="F201" s="8" t="s">
        <v>1089</v>
      </c>
    </row>
    <row r="202" hidden="1" spans="1:6">
      <c r="A202" s="3">
        <v>12221258</v>
      </c>
      <c r="B202" t="s">
        <v>109</v>
      </c>
      <c r="C202" s="4">
        <v>0</v>
      </c>
      <c r="D202" t="e">
        <f>VLOOKUP(A202,[9]sheet1!$C:$H,6,0)</f>
        <v>#N/A</v>
      </c>
    </row>
    <row r="203" hidden="1" spans="1:6">
      <c r="A203" s="3">
        <v>112221210</v>
      </c>
      <c r="B203" t="s">
        <v>109</v>
      </c>
      <c r="C203" s="4">
        <v>0</v>
      </c>
      <c r="D203" t="e">
        <f>VLOOKUP(A203,[9]sheet1!$C:$H,6,0)</f>
        <v>#N/A</v>
      </c>
    </row>
    <row r="204" hidden="1" spans="1:6">
      <c r="A204" s="3">
        <v>12133802</v>
      </c>
      <c r="B204" t="s">
        <v>415</v>
      </c>
      <c r="C204" s="4">
        <v>0</v>
      </c>
      <c r="D204" t="e">
        <f>VLOOKUP(A204,[9]sheet1!$C:$H,6,0)</f>
        <v>#N/A</v>
      </c>
    </row>
    <row r="205" hidden="1" spans="1:6">
      <c r="A205" s="3">
        <v>12340164</v>
      </c>
      <c r="B205" t="s">
        <v>104</v>
      </c>
      <c r="C205" s="4">
        <v>4751</v>
      </c>
      <c r="D205">
        <f>VLOOKUP(A205,[9]sheet1!$C:$H,6,0)</f>
        <v>8934</v>
      </c>
    </row>
    <row r="206" hidden="1" spans="1:6">
      <c r="A206" s="3">
        <v>112325110</v>
      </c>
      <c r="B206" t="s">
        <v>418</v>
      </c>
      <c r="C206" s="4">
        <v>0</v>
      </c>
      <c r="D206" t="e">
        <f>VLOOKUP(A206,[9]sheet1!$C:$H,6,0)</f>
        <v>#N/A</v>
      </c>
    </row>
    <row r="207" hidden="1" spans="1:6">
      <c r="A207" s="3">
        <v>12340132</v>
      </c>
      <c r="B207" t="s">
        <v>104</v>
      </c>
      <c r="C207" s="4">
        <v>0</v>
      </c>
      <c r="D207">
        <f>VLOOKUP(A207,[9]sheet1!$C:$H,6,0)</f>
        <v>0</v>
      </c>
    </row>
    <row r="208" hidden="1" spans="1:6">
      <c r="A208" s="3">
        <v>16202509</v>
      </c>
      <c r="B208" t="s">
        <v>78</v>
      </c>
      <c r="C208" s="4">
        <v>418</v>
      </c>
      <c r="D208" t="e">
        <f>VLOOKUP(A208,[9]sheet1!$C:$H,6,0)</f>
        <v>#N/A</v>
      </c>
    </row>
    <row r="209" hidden="1" spans="1:4">
      <c r="A209" s="3">
        <v>12340104</v>
      </c>
      <c r="B209" t="s">
        <v>141</v>
      </c>
      <c r="C209" s="4">
        <v>0</v>
      </c>
      <c r="D209">
        <f>VLOOKUP(A209,[9]sheet1!$C:$H,6,0)</f>
        <v>1005</v>
      </c>
    </row>
    <row r="210" hidden="1" spans="1:4">
      <c r="A210" t="s">
        <v>425</v>
      </c>
      <c r="B210" t="s">
        <v>249</v>
      </c>
      <c r="C210" s="4">
        <v>0</v>
      </c>
      <c r="D210" t="e">
        <f>VLOOKUP(A210,[9]sheet1!$C:$H,6,0)</f>
        <v>#N/A</v>
      </c>
    </row>
    <row r="211" hidden="1" spans="1:4">
      <c r="A211" t="s">
        <v>427</v>
      </c>
      <c r="B211" t="s">
        <v>249</v>
      </c>
      <c r="C211" s="4">
        <v>0</v>
      </c>
      <c r="D211">
        <f>VLOOKUP(A211,[9]sheet1!$C:$H,6,0)</f>
        <v>0</v>
      </c>
    </row>
    <row r="212" hidden="1" spans="1:4">
      <c r="A212" s="3">
        <v>12231034</v>
      </c>
      <c r="B212" t="s">
        <v>206</v>
      </c>
      <c r="C212" s="4">
        <v>0</v>
      </c>
      <c r="D212" t="e">
        <f>VLOOKUP(A212,[9]sheet1!$C:$H,6,0)</f>
        <v>#N/A</v>
      </c>
    </row>
    <row r="213" hidden="1" spans="1:4">
      <c r="A213" s="3">
        <v>12231026</v>
      </c>
      <c r="B213" t="s">
        <v>206</v>
      </c>
      <c r="C213" s="4">
        <v>0</v>
      </c>
      <c r="D213">
        <f>VLOOKUP(A213,[9]sheet1!$C:$H,6,0)</f>
        <v>0</v>
      </c>
    </row>
    <row r="214" hidden="1" spans="1:4">
      <c r="A214" s="3">
        <v>11813705</v>
      </c>
      <c r="B214" t="s">
        <v>432</v>
      </c>
      <c r="C214" s="4">
        <v>0</v>
      </c>
      <c r="D214">
        <f>VLOOKUP(A214,[9]sheet1!$C:$H,6,0)</f>
        <v>0</v>
      </c>
    </row>
    <row r="215" hidden="1" spans="1:4">
      <c r="A215" s="3">
        <v>11133803</v>
      </c>
      <c r="B215" t="s">
        <v>188</v>
      </c>
      <c r="C215" s="4">
        <v>0</v>
      </c>
      <c r="D215" t="e">
        <f>VLOOKUP(A215,[9]sheet1!$C:$H,6,0)</f>
        <v>#N/A</v>
      </c>
    </row>
    <row r="216" hidden="1" spans="1:4">
      <c r="A216" s="3">
        <v>13321435</v>
      </c>
      <c r="B216" t="s">
        <v>436</v>
      </c>
      <c r="C216" s="4">
        <v>0</v>
      </c>
      <c r="D216">
        <f>VLOOKUP(A216,[9]sheet1!$C:$H,6,0)</f>
        <v>0</v>
      </c>
    </row>
    <row r="217" hidden="1" spans="1:4">
      <c r="A217" s="3">
        <v>23930709</v>
      </c>
      <c r="B217" t="s">
        <v>438</v>
      </c>
      <c r="C217" s="4">
        <v>0</v>
      </c>
      <c r="D217">
        <f>VLOOKUP(A217,[9]sheet1!$C:$H,6,0)</f>
        <v>149</v>
      </c>
    </row>
    <row r="218" hidden="1" spans="1:4">
      <c r="A218" s="3">
        <v>12121216</v>
      </c>
      <c r="B218" t="s">
        <v>109</v>
      </c>
      <c r="C218" s="4">
        <v>0</v>
      </c>
      <c r="D218" t="e">
        <f>VLOOKUP(A218,[9]sheet1!$C:$H,6,0)</f>
        <v>#N/A</v>
      </c>
    </row>
    <row r="219" hidden="1" spans="1:4">
      <c r="A219" s="3">
        <v>13131023</v>
      </c>
      <c r="B219" t="s">
        <v>442</v>
      </c>
      <c r="C219" s="4">
        <v>0</v>
      </c>
      <c r="D219" t="e">
        <f>VLOOKUP(A219,[9]sheet1!$C:$H,6,0)</f>
        <v>#N/A</v>
      </c>
    </row>
    <row r="220" hidden="1" spans="1:4">
      <c r="A220" s="3">
        <v>13231017</v>
      </c>
      <c r="B220" t="s">
        <v>283</v>
      </c>
      <c r="C220" s="4">
        <v>0</v>
      </c>
      <c r="D220" t="e">
        <f>VLOOKUP(A220,[9]sheet1!$C:$H,6,0)</f>
        <v>#N/A</v>
      </c>
    </row>
    <row r="221" hidden="1" spans="1:4">
      <c r="A221" s="3">
        <v>12131004</v>
      </c>
      <c r="B221" t="s">
        <v>206</v>
      </c>
      <c r="C221" s="4">
        <v>0</v>
      </c>
      <c r="D221" t="e">
        <f>VLOOKUP(A221,[9]sheet1!$C:$H,6,0)</f>
        <v>#N/A</v>
      </c>
    </row>
    <row r="222" hidden="1" spans="1:4">
      <c r="A222" s="3">
        <v>13131026</v>
      </c>
      <c r="B222" t="s">
        <v>446</v>
      </c>
      <c r="C222" s="4">
        <v>0</v>
      </c>
      <c r="D222" t="e">
        <f>VLOOKUP(A222,[9]sheet1!$C:$H,6,0)</f>
        <v>#N/A</v>
      </c>
    </row>
    <row r="223" hidden="1" spans="1:4">
      <c r="A223" s="3">
        <v>13131501</v>
      </c>
      <c r="B223" t="s">
        <v>448</v>
      </c>
      <c r="C223" s="4">
        <v>0</v>
      </c>
      <c r="D223" t="e">
        <f>VLOOKUP(A223,[9]sheet1!$C:$H,6,0)</f>
        <v>#N/A</v>
      </c>
    </row>
    <row r="224" hidden="1" spans="1:4">
      <c r="A224" s="3">
        <v>13221533</v>
      </c>
      <c r="B224" t="s">
        <v>448</v>
      </c>
      <c r="C224" s="4">
        <v>0</v>
      </c>
      <c r="D224" t="e">
        <f>VLOOKUP(A224,[9]sheet1!$C:$H,6,0)</f>
        <v>#N/A</v>
      </c>
    </row>
    <row r="225" hidden="1" spans="1:4">
      <c r="A225" s="3">
        <v>12123812</v>
      </c>
      <c r="B225" t="s">
        <v>451</v>
      </c>
      <c r="C225" s="4">
        <v>0</v>
      </c>
      <c r="D225" t="e">
        <f>VLOOKUP(A225,[9]sheet1!$C:$H,6,0)</f>
        <v>#N/A</v>
      </c>
    </row>
    <row r="226" hidden="1" spans="1:4">
      <c r="A226" s="3">
        <v>13113706</v>
      </c>
      <c r="B226" t="s">
        <v>453</v>
      </c>
      <c r="C226" s="4">
        <v>0</v>
      </c>
      <c r="D226" t="e">
        <f>VLOOKUP(A226,[9]sheet1!$C:$H,6,0)</f>
        <v>#N/A</v>
      </c>
    </row>
    <row r="227" hidden="1" spans="1:4">
      <c r="A227" s="3">
        <v>13221525</v>
      </c>
      <c r="B227" t="s">
        <v>448</v>
      </c>
      <c r="C227" s="4">
        <v>0</v>
      </c>
      <c r="D227" t="e">
        <f>VLOOKUP(A227,[9]sheet1!$C:$H,6,0)</f>
        <v>#N/A</v>
      </c>
    </row>
    <row r="228" hidden="1" spans="1:4">
      <c r="A228" s="3">
        <v>113221526</v>
      </c>
      <c r="B228" t="s">
        <v>448</v>
      </c>
      <c r="C228" s="4">
        <v>0</v>
      </c>
      <c r="D228" t="e">
        <f>VLOOKUP(A228,[9]sheet1!$C:$H,6,0)</f>
        <v>#N/A</v>
      </c>
    </row>
    <row r="229" hidden="1" spans="1:4">
      <c r="A229" s="3">
        <v>12133704</v>
      </c>
      <c r="B229" t="s">
        <v>404</v>
      </c>
      <c r="C229" s="4">
        <v>0</v>
      </c>
      <c r="D229" t="e">
        <f>VLOOKUP(A229,[9]sheet1!$C:$H,6,0)</f>
        <v>#N/A</v>
      </c>
    </row>
    <row r="230" hidden="1" spans="1:4">
      <c r="A230" s="3">
        <v>11133707</v>
      </c>
      <c r="B230" t="s">
        <v>432</v>
      </c>
      <c r="C230" s="4">
        <v>0</v>
      </c>
      <c r="D230" t="e">
        <f>VLOOKUP(A230,[9]sheet1!$C:$H,6,0)</f>
        <v>#N/A</v>
      </c>
    </row>
    <row r="231" hidden="1" spans="1:4">
      <c r="A231" s="3">
        <v>11133805</v>
      </c>
      <c r="B231" t="s">
        <v>188</v>
      </c>
      <c r="C231" s="4">
        <v>0</v>
      </c>
      <c r="D231" t="e">
        <f>VLOOKUP(A231,[9]sheet1!$C:$H,6,0)</f>
        <v>#N/A</v>
      </c>
    </row>
    <row r="232" hidden="1" spans="1:4">
      <c r="A232" s="3">
        <v>11131105</v>
      </c>
      <c r="B232" t="s">
        <v>174</v>
      </c>
      <c r="C232" s="4">
        <v>0</v>
      </c>
      <c r="D232" t="e">
        <f>VLOOKUP(A232,[9]sheet1!$C:$H,6,0)</f>
        <v>#N/A</v>
      </c>
    </row>
    <row r="233" hidden="1" spans="1:4">
      <c r="A233" s="3">
        <v>112221508</v>
      </c>
      <c r="B233" t="s">
        <v>461</v>
      </c>
      <c r="C233" s="4">
        <v>0</v>
      </c>
      <c r="D233" t="e">
        <f>VLOOKUP(A233,[9]sheet1!$C:$H,6,0)</f>
        <v>#N/A</v>
      </c>
    </row>
    <row r="234" hidden="1" spans="1:4">
      <c r="A234" s="3">
        <v>13213709</v>
      </c>
      <c r="B234" t="s">
        <v>442</v>
      </c>
      <c r="C234" s="4">
        <v>0</v>
      </c>
      <c r="D234" t="e">
        <f>VLOOKUP(A234,[9]sheet1!$C:$H,6,0)</f>
        <v>#N/A</v>
      </c>
    </row>
    <row r="235" hidden="1" spans="1:4">
      <c r="A235" s="3">
        <v>13121426</v>
      </c>
      <c r="B235" t="s">
        <v>436</v>
      </c>
      <c r="C235" s="4">
        <v>0</v>
      </c>
      <c r="D235">
        <f>VLOOKUP(A235,[9]sheet1!$C:$H,6,0)</f>
        <v>0</v>
      </c>
    </row>
    <row r="236" hidden="1" spans="1:4">
      <c r="A236" s="3">
        <v>111121427</v>
      </c>
      <c r="B236" t="s">
        <v>57</v>
      </c>
      <c r="C236" s="4">
        <v>162</v>
      </c>
      <c r="D236" t="e">
        <f>VLOOKUP(A236,[9]sheet1!$C:$H,6,0)</f>
        <v>#N/A</v>
      </c>
    </row>
    <row r="237" hidden="1" spans="1:4">
      <c r="A237" s="3">
        <v>13231018</v>
      </c>
      <c r="B237" t="s">
        <v>453</v>
      </c>
      <c r="C237" s="4">
        <v>0</v>
      </c>
      <c r="D237">
        <f>VLOOKUP(A237,[9]sheet1!$C:$H,6,0)</f>
        <v>0</v>
      </c>
    </row>
    <row r="238" hidden="1" spans="1:4">
      <c r="A238" s="3">
        <v>112221424</v>
      </c>
      <c r="B238" t="s">
        <v>467</v>
      </c>
      <c r="C238" s="4">
        <v>0</v>
      </c>
      <c r="D238" t="e">
        <f>VLOOKUP(A238,[9]sheet1!$C:$H,6,0)</f>
        <v>#N/A</v>
      </c>
    </row>
    <row r="239" hidden="1" spans="1:4">
      <c r="A239" s="3">
        <v>13213805</v>
      </c>
      <c r="B239" t="s">
        <v>436</v>
      </c>
      <c r="C239" s="4">
        <v>0</v>
      </c>
      <c r="D239" t="e">
        <f>VLOOKUP(A239,[9]sheet1!$C:$H,6,0)</f>
        <v>#N/A</v>
      </c>
    </row>
    <row r="240" hidden="1" spans="1:4">
      <c r="A240" s="3">
        <v>13121220</v>
      </c>
      <c r="B240" t="s">
        <v>232</v>
      </c>
      <c r="C240" s="4">
        <v>0</v>
      </c>
      <c r="D240" t="e">
        <f>VLOOKUP(A240,[9]sheet1!$C:$H,6,0)</f>
        <v>#N/A</v>
      </c>
    </row>
    <row r="241" hidden="1" spans="1:4">
      <c r="A241" s="3">
        <v>112121402</v>
      </c>
      <c r="B241" t="s">
        <v>467</v>
      </c>
      <c r="C241" s="4">
        <v>0</v>
      </c>
      <c r="D241" t="e">
        <f>VLOOKUP(A241,[9]sheet1!$C:$H,6,0)</f>
        <v>#N/A</v>
      </c>
    </row>
    <row r="242" hidden="1" spans="1:4">
      <c r="A242" s="3">
        <v>113021234</v>
      </c>
      <c r="B242" t="s">
        <v>232</v>
      </c>
      <c r="C242" s="4">
        <v>0</v>
      </c>
      <c r="D242" t="e">
        <f>VLOOKUP(A242,[9]sheet1!$C:$H,6,0)</f>
        <v>#N/A</v>
      </c>
    </row>
    <row r="243" hidden="1" spans="1:4">
      <c r="A243" s="3">
        <v>113121276</v>
      </c>
      <c r="B243" t="s">
        <v>232</v>
      </c>
      <c r="C243" s="4">
        <v>0</v>
      </c>
      <c r="D243">
        <f>VLOOKUP(A243,[9]sheet1!$C:$H,6,0)</f>
        <v>0</v>
      </c>
    </row>
    <row r="244" hidden="1" spans="1:4">
      <c r="A244" s="3">
        <v>13113805</v>
      </c>
      <c r="B244" t="s">
        <v>436</v>
      </c>
      <c r="C244" s="4">
        <v>0</v>
      </c>
      <c r="D244">
        <f>VLOOKUP(A244,[9]sheet1!$C:$H,6,0)</f>
        <v>0</v>
      </c>
    </row>
    <row r="245" hidden="1" spans="1:4">
      <c r="A245" s="3">
        <v>113231543</v>
      </c>
      <c r="B245" t="s">
        <v>448</v>
      </c>
      <c r="C245" s="4">
        <v>0</v>
      </c>
      <c r="D245" t="e">
        <f>VLOOKUP(A245,[9]sheet1!$C:$H,6,0)</f>
        <v>#N/A</v>
      </c>
    </row>
    <row r="246" hidden="1" spans="1:4">
      <c r="A246" s="3">
        <v>11021525</v>
      </c>
      <c r="B246" t="s">
        <v>54</v>
      </c>
      <c r="C246" s="4">
        <v>0</v>
      </c>
      <c r="D246">
        <f>VLOOKUP(A246,[9]sheet1!$C:$H,6,0)</f>
        <v>0</v>
      </c>
    </row>
    <row r="247" hidden="1" spans="1:4">
      <c r="A247" s="3">
        <v>13221427</v>
      </c>
      <c r="B247" t="s">
        <v>436</v>
      </c>
      <c r="C247" s="4">
        <v>0</v>
      </c>
      <c r="D247" t="e">
        <f>VLOOKUP(A247,[9]sheet1!$C:$H,6,0)</f>
        <v>#N/A</v>
      </c>
    </row>
    <row r="248" hidden="1" spans="1:4">
      <c r="A248" s="3">
        <v>13245112</v>
      </c>
      <c r="B248" t="s">
        <v>84</v>
      </c>
      <c r="C248" s="4">
        <v>0</v>
      </c>
      <c r="D248">
        <f>VLOOKUP(A248,[9]sheet1!$C:$H,6,0)</f>
        <v>0</v>
      </c>
    </row>
    <row r="249" hidden="1" spans="1:4">
      <c r="A249" s="3">
        <v>113115106</v>
      </c>
      <c r="B249" t="s">
        <v>84</v>
      </c>
      <c r="C249" s="4">
        <v>0</v>
      </c>
      <c r="D249" t="e">
        <f>VLOOKUP(A249,[9]sheet1!$C:$H,6,0)</f>
        <v>#N/A</v>
      </c>
    </row>
    <row r="250" hidden="1" spans="1:4">
      <c r="A250" s="3">
        <v>13040127</v>
      </c>
      <c r="B250" t="s">
        <v>84</v>
      </c>
      <c r="C250" s="4">
        <v>0</v>
      </c>
      <c r="D250">
        <f>VLOOKUP(A250,[9]sheet1!$C:$H,6,0)</f>
        <v>357</v>
      </c>
    </row>
    <row r="251" hidden="1" spans="1:4">
      <c r="A251" s="3">
        <v>13921412</v>
      </c>
      <c r="B251" t="s">
        <v>436</v>
      </c>
      <c r="C251" s="4">
        <v>0</v>
      </c>
      <c r="D251" t="e">
        <f>VLOOKUP(A251,[9]sheet1!$C:$H,6,0)</f>
        <v>#N/A</v>
      </c>
    </row>
    <row r="252" hidden="1" spans="1:4">
      <c r="A252" s="3">
        <v>11115101</v>
      </c>
      <c r="B252" t="s">
        <v>227</v>
      </c>
      <c r="C252" s="4">
        <v>0</v>
      </c>
      <c r="D252" t="e">
        <f>VLOOKUP(A252,[9]sheet1!$C:$H,6,0)</f>
        <v>#N/A</v>
      </c>
    </row>
    <row r="253" hidden="1" spans="1:4">
      <c r="A253" s="3">
        <v>13930611</v>
      </c>
      <c r="B253" t="s">
        <v>84</v>
      </c>
      <c r="C253" s="4">
        <v>0</v>
      </c>
      <c r="D253">
        <f>VLOOKUP(A253,[9]sheet1!$C:$H,6,0)</f>
        <v>318</v>
      </c>
    </row>
    <row r="254" hidden="1" spans="1:4">
      <c r="A254" s="3">
        <v>113321236</v>
      </c>
      <c r="B254" t="s">
        <v>232</v>
      </c>
      <c r="C254" s="4">
        <v>0</v>
      </c>
      <c r="D254" t="e">
        <f>VLOOKUP(A254,[9]sheet1!$C:$H,6,0)</f>
        <v>#N/A</v>
      </c>
    </row>
    <row r="255" hidden="1" spans="1:4">
      <c r="A255" s="3">
        <v>13221249</v>
      </c>
      <c r="B255" t="s">
        <v>232</v>
      </c>
      <c r="C255" s="4">
        <v>0</v>
      </c>
      <c r="D255" t="e">
        <f>VLOOKUP(A255,[9]sheet1!$C:$H,6,0)</f>
        <v>#N/A</v>
      </c>
    </row>
    <row r="256" hidden="1" spans="1:4">
      <c r="A256" s="3">
        <v>13031019</v>
      </c>
      <c r="B256" t="s">
        <v>446</v>
      </c>
      <c r="C256" s="4">
        <v>0</v>
      </c>
      <c r="D256" t="e">
        <f>VLOOKUP(A256,[9]sheet1!$C:$H,6,0)</f>
        <v>#N/A</v>
      </c>
    </row>
    <row r="257" hidden="1" spans="1:4">
      <c r="A257" s="3">
        <v>13121530</v>
      </c>
      <c r="B257" t="s">
        <v>448</v>
      </c>
      <c r="C257" s="4">
        <v>0</v>
      </c>
      <c r="D257" t="e">
        <f>VLOOKUP(A257,[9]sheet1!$C:$H,6,0)</f>
        <v>#N/A</v>
      </c>
    </row>
    <row r="258" hidden="1" spans="1:4">
      <c r="A258" s="3">
        <v>13133807</v>
      </c>
      <c r="B258" t="s">
        <v>436</v>
      </c>
      <c r="C258" s="4">
        <v>0</v>
      </c>
      <c r="D258" t="e">
        <f>VLOOKUP(A258,[9]sheet1!$C:$H,6,0)</f>
        <v>#N/A</v>
      </c>
    </row>
    <row r="259" hidden="1" spans="1:4">
      <c r="A259" s="3">
        <v>13121274</v>
      </c>
      <c r="B259" t="s">
        <v>232</v>
      </c>
      <c r="C259" s="4">
        <v>111</v>
      </c>
      <c r="D259">
        <f>VLOOKUP(A259,[9]sheet1!$C:$H,6,0)</f>
        <v>0</v>
      </c>
    </row>
    <row r="260" hidden="1" spans="1:4">
      <c r="A260" s="3">
        <v>13321235</v>
      </c>
      <c r="B260" t="s">
        <v>232</v>
      </c>
      <c r="C260" s="4">
        <v>0</v>
      </c>
      <c r="D260">
        <f>VLOOKUP(A260,[9]sheet1!$C:$H,6,0)</f>
        <v>0</v>
      </c>
    </row>
    <row r="261" hidden="1" spans="1:4">
      <c r="A261" s="3">
        <v>13221245</v>
      </c>
      <c r="B261" t="s">
        <v>232</v>
      </c>
      <c r="C261" s="4">
        <v>0</v>
      </c>
      <c r="D261">
        <f>VLOOKUP(A261,[9]sheet1!$C:$H,6,0)</f>
        <v>0</v>
      </c>
    </row>
    <row r="262" hidden="1" spans="1:4">
      <c r="A262" s="3">
        <v>13031113</v>
      </c>
      <c r="B262" t="s">
        <v>436</v>
      </c>
      <c r="C262" s="4">
        <v>0</v>
      </c>
      <c r="D262" t="e">
        <f>VLOOKUP(A262,[9]sheet1!$C:$H,6,0)</f>
        <v>#N/A</v>
      </c>
    </row>
    <row r="263" hidden="1" spans="1:4">
      <c r="A263" s="3">
        <v>13121436</v>
      </c>
      <c r="B263" t="s">
        <v>436</v>
      </c>
      <c r="C263" s="4">
        <v>0</v>
      </c>
      <c r="D263">
        <f>VLOOKUP(A263,[9]sheet1!$C:$H,6,0)</f>
        <v>0</v>
      </c>
    </row>
    <row r="264" hidden="1" spans="1:4">
      <c r="A264" s="3">
        <v>112031026</v>
      </c>
      <c r="B264" t="s">
        <v>206</v>
      </c>
      <c r="C264" s="4">
        <v>0</v>
      </c>
      <c r="D264" t="e">
        <f>VLOOKUP(A264,[9]sheet1!$C:$H,6,0)</f>
        <v>#N/A</v>
      </c>
    </row>
    <row r="265" hidden="1" spans="1:4">
      <c r="A265" s="3">
        <v>12140128</v>
      </c>
      <c r="B265" t="s">
        <v>141</v>
      </c>
      <c r="C265" s="4">
        <v>0</v>
      </c>
      <c r="D265" t="e">
        <f>VLOOKUP(A265,[9]sheet1!$C:$H,6,0)</f>
        <v>#N/A</v>
      </c>
    </row>
    <row r="266" hidden="1" spans="1:4">
      <c r="A266" s="3">
        <v>12121418</v>
      </c>
      <c r="B266" t="s">
        <v>415</v>
      </c>
      <c r="C266" s="4">
        <v>0</v>
      </c>
      <c r="D266" t="e">
        <f>VLOOKUP(A266,[9]sheet1!$C:$H,6,0)</f>
        <v>#N/A</v>
      </c>
    </row>
    <row r="267" hidden="1" spans="1:4">
      <c r="A267" s="3">
        <v>12221402</v>
      </c>
      <c r="B267" t="s">
        <v>200</v>
      </c>
      <c r="C267" s="4">
        <v>0</v>
      </c>
      <c r="D267" t="e">
        <f>VLOOKUP(A267,[9]sheet1!$C:$H,6,0)</f>
        <v>#N/A</v>
      </c>
    </row>
    <row r="268" hidden="1" spans="1:4">
      <c r="A268" s="3">
        <v>112321408</v>
      </c>
      <c r="B268" t="s">
        <v>200</v>
      </c>
      <c r="C268" s="4">
        <v>0</v>
      </c>
      <c r="D268">
        <f>VLOOKUP(A268,[9]sheet1!$C:$H,6,0)</f>
        <v>0</v>
      </c>
    </row>
    <row r="269" hidden="1" spans="1:4">
      <c r="A269" s="3">
        <v>124408280</v>
      </c>
      <c r="B269" t="s">
        <v>258</v>
      </c>
      <c r="C269" s="4">
        <v>0</v>
      </c>
      <c r="D269">
        <f>VLOOKUP(A269,[9]sheet1!$C:$H,6,0)</f>
        <v>0</v>
      </c>
    </row>
    <row r="270" hidden="1" spans="1:4">
      <c r="A270" s="3">
        <v>111021401</v>
      </c>
      <c r="B270" t="s">
        <v>179</v>
      </c>
      <c r="C270" s="4">
        <v>198</v>
      </c>
      <c r="D270">
        <f>VLOOKUP(A270,[9]sheet1!$C:$H,6,0)</f>
        <v>0</v>
      </c>
    </row>
    <row r="271" hidden="1" spans="1:4">
      <c r="A271" s="3">
        <v>12940130</v>
      </c>
      <c r="B271" t="s">
        <v>141</v>
      </c>
      <c r="C271" s="4">
        <v>0</v>
      </c>
      <c r="D271">
        <f>VLOOKUP(A271,[9]sheet1!$C:$H,6,0)</f>
        <v>0</v>
      </c>
    </row>
    <row r="272" hidden="1" spans="1:4">
      <c r="A272" s="3">
        <v>112321426</v>
      </c>
      <c r="B272" t="s">
        <v>508</v>
      </c>
      <c r="C272" s="4">
        <v>594</v>
      </c>
      <c r="D272" t="e">
        <f>VLOOKUP(A272,[9]sheet1!$C:$H,6,0)</f>
        <v>#N/A</v>
      </c>
    </row>
    <row r="273" hidden="1" spans="1:6">
      <c r="A273" s="3">
        <v>12321502</v>
      </c>
      <c r="B273" t="s">
        <v>90</v>
      </c>
      <c r="C273" s="4">
        <v>0</v>
      </c>
      <c r="D273" t="e">
        <f>VLOOKUP(A273,[9]sheet1!$C:$H,6,0)</f>
        <v>#N/A</v>
      </c>
    </row>
    <row r="274" ht="142" customHeight="1" spans="1:6">
      <c r="A274" s="14" t="s">
        <v>724</v>
      </c>
      <c r="B274" t="s">
        <v>143</v>
      </c>
      <c r="C274" s="6">
        <v>946</v>
      </c>
      <c r="D274">
        <f>VLOOKUP(A274,[9]sheet1!$C:$H,6,0)</f>
        <v>940</v>
      </c>
      <c r="E274" s="7">
        <f>D274/C274-1</f>
        <v>-0.0063424947145877</v>
      </c>
      <c r="F274" s="8" t="s">
        <v>1090</v>
      </c>
    </row>
    <row r="275" ht="81" spans="1:6">
      <c r="A275" s="5">
        <v>115106003</v>
      </c>
      <c r="B275" t="s">
        <v>143</v>
      </c>
      <c r="C275" s="6">
        <v>1788</v>
      </c>
      <c r="D275">
        <f>VLOOKUP(A275,[9]sheet1!$C:$H,6,0)</f>
        <v>2413</v>
      </c>
      <c r="E275" s="7">
        <f>D275/C275-1</f>
        <v>0.349552572706935</v>
      </c>
      <c r="F275" s="8" t="s">
        <v>1091</v>
      </c>
    </row>
    <row r="276" hidden="1" spans="1:6">
      <c r="A276" s="3">
        <v>11121411</v>
      </c>
      <c r="B276" t="s">
        <v>57</v>
      </c>
      <c r="C276" s="4">
        <v>2153</v>
      </c>
      <c r="D276">
        <f>VLOOKUP(A276,[9]sheet1!$C:$H,6,0)</f>
        <v>7253</v>
      </c>
    </row>
    <row r="277" hidden="1" spans="1:6">
      <c r="A277" s="3">
        <v>12021510</v>
      </c>
      <c r="B277" t="s">
        <v>299</v>
      </c>
      <c r="C277" s="4">
        <v>507</v>
      </c>
      <c r="D277" t="e">
        <f>VLOOKUP(A277,[9]sheet1!$C:$H,6,0)</f>
        <v>#N/A</v>
      </c>
    </row>
    <row r="278" hidden="1" spans="1:6">
      <c r="A278" s="3">
        <v>11231103</v>
      </c>
      <c r="B278" t="s">
        <v>174</v>
      </c>
      <c r="C278" s="4">
        <v>0</v>
      </c>
      <c r="D278" t="e">
        <f>VLOOKUP(A278,[9]sheet1!$C:$H,6,0)</f>
        <v>#N/A</v>
      </c>
    </row>
    <row r="279" hidden="1" spans="1:6">
      <c r="A279" s="3">
        <v>12221536</v>
      </c>
      <c r="B279" t="s">
        <v>159</v>
      </c>
      <c r="C279" s="4">
        <v>420</v>
      </c>
      <c r="D279" t="e">
        <f>VLOOKUP(A279,[9]sheet1!$C:$H,6,0)</f>
        <v>#N/A</v>
      </c>
    </row>
    <row r="280" ht="27" spans="1:6">
      <c r="A280" s="3">
        <v>11411405</v>
      </c>
      <c r="B280" t="s">
        <v>185</v>
      </c>
      <c r="C280" s="6">
        <v>702</v>
      </c>
      <c r="D280">
        <f>VLOOKUP(A280,[9]sheet1!$C:$H,6,0)</f>
        <v>1744</v>
      </c>
      <c r="E280" s="7">
        <f>D280/C280-1</f>
        <v>1.48433048433048</v>
      </c>
      <c r="F280" s="8" t="s">
        <v>1092</v>
      </c>
    </row>
    <row r="281" hidden="1" spans="1:6">
      <c r="A281" s="3">
        <v>12321402</v>
      </c>
      <c r="B281" t="s">
        <v>200</v>
      </c>
      <c r="C281" s="4">
        <v>0</v>
      </c>
      <c r="D281" t="e">
        <f>VLOOKUP(A281,[9]sheet1!$C:$H,6,0)</f>
        <v>#N/A</v>
      </c>
    </row>
    <row r="282" hidden="1" spans="1:6">
      <c r="A282" s="3">
        <v>12221514</v>
      </c>
      <c r="B282" t="s">
        <v>90</v>
      </c>
      <c r="C282" s="4">
        <v>808</v>
      </c>
      <c r="D282" t="e">
        <f>VLOOKUP(A282,[9]sheet1!$C:$H,6,0)</f>
        <v>#N/A</v>
      </c>
    </row>
    <row r="283" hidden="1" spans="1:6">
      <c r="A283" s="3">
        <v>12231104</v>
      </c>
      <c r="B283" t="s">
        <v>198</v>
      </c>
      <c r="C283" s="4">
        <v>0</v>
      </c>
      <c r="D283" t="e">
        <f>VLOOKUP(A283,[9]sheet1!$C:$H,6,0)</f>
        <v>#N/A</v>
      </c>
    </row>
    <row r="284" spans="1:6">
      <c r="A284" s="3">
        <v>12330602</v>
      </c>
      <c r="B284" t="s">
        <v>138</v>
      </c>
      <c r="C284" s="15">
        <v>381</v>
      </c>
      <c r="D284">
        <f>VLOOKUP(A284,[9]sheet1!$C:$H,6,0)</f>
        <v>1174</v>
      </c>
      <c r="E284" s="7">
        <f>D284/C284-1</f>
        <v>2.08136482939633</v>
      </c>
    </row>
    <row r="285" hidden="1" spans="1:6">
      <c r="A285" s="3">
        <v>11321401</v>
      </c>
      <c r="B285" t="s">
        <v>57</v>
      </c>
      <c r="C285" s="4">
        <v>0</v>
      </c>
      <c r="D285" t="e">
        <f>VLOOKUP(A285,[9]sheet1!$C:$H,6,0)</f>
        <v>#N/A</v>
      </c>
    </row>
    <row r="286" spans="1:6">
      <c r="A286" s="3">
        <v>125306018</v>
      </c>
      <c r="B286" t="s">
        <v>138</v>
      </c>
      <c r="C286" s="15">
        <v>2704</v>
      </c>
      <c r="D286">
        <f>VLOOKUP(A286,[9]sheet1!$C:$H,6,0)</f>
        <v>9410</v>
      </c>
      <c r="E286" s="7">
        <f>D286/C286-1</f>
        <v>2.48002958579882</v>
      </c>
    </row>
    <row r="287" spans="1:6">
      <c r="A287" s="3">
        <v>125306018</v>
      </c>
      <c r="B287" t="s">
        <v>138</v>
      </c>
      <c r="C287" s="15">
        <v>2367</v>
      </c>
      <c r="D287">
        <f>VLOOKUP(A287,[9]sheet1!$C:$H,6,0)</f>
        <v>9410</v>
      </c>
      <c r="E287" s="7">
        <f>D287/C287-1</f>
        <v>2.97549640895648</v>
      </c>
    </row>
    <row r="288" hidden="1" spans="1:6">
      <c r="A288" s="3">
        <v>11021509</v>
      </c>
      <c r="B288" t="s">
        <v>54</v>
      </c>
      <c r="C288" s="4">
        <v>0</v>
      </c>
      <c r="D288" t="e">
        <f>VLOOKUP(A288,[9]sheet1!$C:$H,6,0)</f>
        <v>#N/A</v>
      </c>
    </row>
    <row r="289" hidden="1" spans="1:5">
      <c r="A289" s="3">
        <v>12213804</v>
      </c>
      <c r="B289" t="s">
        <v>527</v>
      </c>
      <c r="C289" s="4">
        <v>0</v>
      </c>
      <c r="D289" t="e">
        <f>VLOOKUP(A289,[9]sheet1!$C:$H,6,0)</f>
        <v>#N/A</v>
      </c>
    </row>
    <row r="290" spans="1:5">
      <c r="A290" t="s">
        <v>933</v>
      </c>
      <c r="B290" t="s">
        <v>185</v>
      </c>
      <c r="C290" s="15">
        <v>744</v>
      </c>
      <c r="D290">
        <f>VLOOKUP(A290,[9]sheet1!$C:$H,6,0)</f>
        <v>3054</v>
      </c>
      <c r="E290" s="7">
        <f>D290/C290-1</f>
        <v>3.10483870967742</v>
      </c>
    </row>
    <row r="291" hidden="1" spans="1:5">
      <c r="A291" s="3">
        <v>12033806</v>
      </c>
      <c r="B291" t="s">
        <v>527</v>
      </c>
      <c r="C291" s="4">
        <v>0</v>
      </c>
      <c r="D291" t="e">
        <f>VLOOKUP(A291,[9]sheet1!$C:$H,6,0)</f>
        <v>#N/A</v>
      </c>
    </row>
    <row r="292" hidden="1" spans="1:5">
      <c r="A292" t="s">
        <v>532</v>
      </c>
      <c r="B292" t="s">
        <v>299</v>
      </c>
      <c r="C292" s="4">
        <v>297</v>
      </c>
      <c r="D292" t="e">
        <f>VLOOKUP(A292,[9]sheet1!$C:$H,6,0)</f>
        <v>#N/A</v>
      </c>
    </row>
    <row r="293" hidden="1" spans="1:5">
      <c r="A293" s="3">
        <v>112040112</v>
      </c>
      <c r="B293" t="s">
        <v>141</v>
      </c>
      <c r="C293" s="4">
        <v>0</v>
      </c>
      <c r="D293" t="e">
        <f>VLOOKUP(A293,[9]sheet1!$C:$H,6,0)</f>
        <v>#N/A</v>
      </c>
    </row>
    <row r="294" spans="1:5">
      <c r="A294" s="3">
        <v>125306018</v>
      </c>
      <c r="B294" t="s">
        <v>138</v>
      </c>
      <c r="C294" s="15">
        <v>361</v>
      </c>
      <c r="D294">
        <f>VLOOKUP(A294,[9]sheet1!$C:$H,6,0)</f>
        <v>9410</v>
      </c>
      <c r="E294" s="7">
        <f>D294/C294-1</f>
        <v>25.0664819944598</v>
      </c>
    </row>
    <row r="295" hidden="1" spans="1:5">
      <c r="A295" s="3">
        <v>11231443</v>
      </c>
      <c r="B295" t="s">
        <v>57</v>
      </c>
      <c r="C295" s="4">
        <v>0</v>
      </c>
      <c r="D295" t="e">
        <f>VLOOKUP(A295,[9]sheet1!$C:$H,6,0)</f>
        <v>#N/A</v>
      </c>
    </row>
    <row r="296" hidden="1" spans="1:5">
      <c r="A296" s="3">
        <v>12215104</v>
      </c>
      <c r="B296" t="s">
        <v>418</v>
      </c>
      <c r="C296" s="4">
        <v>0</v>
      </c>
      <c r="D296" t="e">
        <f>VLOOKUP(A296,[9]sheet1!$C:$H,6,0)</f>
        <v>#N/A</v>
      </c>
    </row>
    <row r="297" hidden="1" spans="1:5">
      <c r="A297" s="3">
        <v>112213710</v>
      </c>
      <c r="B297" t="s">
        <v>432</v>
      </c>
      <c r="C297" s="4">
        <v>0</v>
      </c>
      <c r="D297" t="e">
        <f>VLOOKUP(A297,[9]sheet1!$C:$H,6,0)</f>
        <v>#N/A</v>
      </c>
    </row>
    <row r="298" hidden="1" spans="1:5">
      <c r="A298" s="3">
        <v>111240115</v>
      </c>
      <c r="B298" t="s">
        <v>104</v>
      </c>
      <c r="C298" s="4">
        <v>0</v>
      </c>
      <c r="D298">
        <f>VLOOKUP(A298,[9]sheet1!$C:$H,6,0)</f>
        <v>0</v>
      </c>
    </row>
    <row r="299" hidden="1" spans="1:5">
      <c r="A299" s="3">
        <v>12321204</v>
      </c>
      <c r="B299" t="s">
        <v>109</v>
      </c>
      <c r="C299" s="4">
        <v>0</v>
      </c>
      <c r="D299" t="e">
        <f>VLOOKUP(A299,[9]sheet1!$C:$H,6,0)</f>
        <v>#N/A</v>
      </c>
    </row>
    <row r="300" hidden="1" spans="1:5">
      <c r="A300" s="3">
        <v>11240203</v>
      </c>
      <c r="B300" t="s">
        <v>146</v>
      </c>
      <c r="C300" s="4">
        <v>0</v>
      </c>
      <c r="D300">
        <f>VLOOKUP(A300,[9]sheet1!$C:$H,6,0)</f>
        <v>0</v>
      </c>
    </row>
    <row r="301" hidden="1" spans="1:5">
      <c r="A301" s="3">
        <v>11040107</v>
      </c>
      <c r="B301" t="s">
        <v>104</v>
      </c>
      <c r="C301" s="4">
        <v>0</v>
      </c>
      <c r="D301">
        <f>VLOOKUP(A301,[9]sheet1!$C:$H,6,0)</f>
        <v>0</v>
      </c>
    </row>
    <row r="302" hidden="1" spans="1:5">
      <c r="A302" s="3">
        <v>12221522</v>
      </c>
      <c r="B302" t="s">
        <v>299</v>
      </c>
      <c r="C302" s="4">
        <v>0</v>
      </c>
      <c r="D302" t="e">
        <f>VLOOKUP(A302,[9]sheet1!$C:$H,6,0)</f>
        <v>#N/A</v>
      </c>
    </row>
    <row r="303" spans="1:5">
      <c r="A303" s="3">
        <v>12411402</v>
      </c>
      <c r="B303" t="s">
        <v>290</v>
      </c>
      <c r="C303" s="15">
        <v>684</v>
      </c>
      <c r="D303" t="e">
        <f>VLOOKUP(A303,[9]sheet1!$C:$H,6,0)</f>
        <v>#N/A</v>
      </c>
      <c r="E303" s="7" t="e">
        <f>D303/C303-1</f>
        <v>#N/A</v>
      </c>
    </row>
    <row r="304" spans="1:5">
      <c r="A304" s="3">
        <v>11411401</v>
      </c>
      <c r="B304" t="s">
        <v>185</v>
      </c>
      <c r="C304" s="15">
        <v>342</v>
      </c>
      <c r="D304" t="e">
        <f>VLOOKUP(A304,[9]sheet1!$C:$H,6,0)</f>
        <v>#N/A</v>
      </c>
      <c r="E304" s="7" t="e">
        <f>D304/C304-1</f>
        <v>#N/A</v>
      </c>
    </row>
    <row r="305" hidden="1" spans="1:5">
      <c r="A305" s="3">
        <v>12313706</v>
      </c>
      <c r="B305" t="s">
        <v>404</v>
      </c>
      <c r="C305" s="4">
        <v>0</v>
      </c>
      <c r="D305" t="e">
        <f>VLOOKUP(A305,[9]sheet1!$C:$H,6,0)</f>
        <v>#N/A</v>
      </c>
    </row>
    <row r="306" hidden="1" spans="1:5">
      <c r="A306" s="3">
        <v>11213803</v>
      </c>
      <c r="B306" t="s">
        <v>188</v>
      </c>
      <c r="C306" s="4">
        <v>0</v>
      </c>
      <c r="D306" t="e">
        <f>VLOOKUP(A306,[9]sheet1!$C:$H,6,0)</f>
        <v>#N/A</v>
      </c>
    </row>
    <row r="307" hidden="1" spans="1:5">
      <c r="A307" s="3">
        <v>12221504</v>
      </c>
      <c r="B307" t="s">
        <v>461</v>
      </c>
      <c r="C307" s="4">
        <v>0</v>
      </c>
      <c r="D307" t="e">
        <f>VLOOKUP(A307,[9]sheet1!$C:$H,6,0)</f>
        <v>#N/A</v>
      </c>
    </row>
    <row r="308" hidden="1" spans="1:5">
      <c r="A308" s="3">
        <v>12031016</v>
      </c>
      <c r="B308" t="s">
        <v>206</v>
      </c>
      <c r="C308" s="4">
        <v>0</v>
      </c>
      <c r="D308" t="e">
        <f>VLOOKUP(A308,[9]sheet1!$C:$H,6,0)</f>
        <v>#N/A</v>
      </c>
    </row>
    <row r="309" hidden="1" spans="1:5">
      <c r="A309" s="3">
        <v>12131022</v>
      </c>
      <c r="B309" t="s">
        <v>206</v>
      </c>
      <c r="C309" s="4">
        <v>0</v>
      </c>
      <c r="D309">
        <f>VLOOKUP(A309,[9]sheet1!$C:$H,6,0)</f>
        <v>0</v>
      </c>
    </row>
    <row r="310" hidden="1" spans="1:5">
      <c r="A310" s="3">
        <v>112140110</v>
      </c>
      <c r="B310" t="s">
        <v>141</v>
      </c>
      <c r="C310" s="4">
        <v>0</v>
      </c>
      <c r="D310" t="e">
        <f>VLOOKUP(A310,[9]sheet1!$C:$H,6,0)</f>
        <v>#N/A</v>
      </c>
    </row>
    <row r="311" hidden="1" spans="1:5">
      <c r="A311" s="3">
        <v>12121218</v>
      </c>
      <c r="B311" t="s">
        <v>109</v>
      </c>
      <c r="C311" s="4">
        <v>0</v>
      </c>
      <c r="D311" t="e">
        <f>VLOOKUP(A311,[9]sheet1!$C:$H,6,0)</f>
        <v>#N/A</v>
      </c>
    </row>
    <row r="312" hidden="1" spans="1:5">
      <c r="A312" s="3">
        <v>12321224</v>
      </c>
      <c r="B312" t="s">
        <v>51</v>
      </c>
      <c r="C312" s="4">
        <v>3988</v>
      </c>
      <c r="D312" t="e">
        <f>VLOOKUP(A312,[9]sheet1!$C:$H,6,0)</f>
        <v>#N/A</v>
      </c>
    </row>
    <row r="313" hidden="1" spans="1:5">
      <c r="A313" s="3">
        <v>16804501</v>
      </c>
      <c r="B313" t="s">
        <v>557</v>
      </c>
      <c r="C313" s="4">
        <v>0</v>
      </c>
      <c r="D313" t="e">
        <f>VLOOKUP(A313,[9]sheet1!$C:$H,6,0)</f>
        <v>#N/A</v>
      </c>
    </row>
    <row r="314" hidden="1" spans="1:5">
      <c r="A314" s="3">
        <v>11221203</v>
      </c>
      <c r="B314" t="s">
        <v>51</v>
      </c>
      <c r="C314" s="4">
        <v>0</v>
      </c>
      <c r="D314" t="e">
        <f>VLOOKUP(A314,[9]sheet1!$C:$H,6,0)</f>
        <v>#N/A</v>
      </c>
    </row>
    <row r="315" hidden="1" spans="1:5">
      <c r="A315" s="3">
        <v>12221202</v>
      </c>
      <c r="B315" t="s">
        <v>109</v>
      </c>
      <c r="C315" s="4">
        <v>0</v>
      </c>
      <c r="D315">
        <f>VLOOKUP(A315,[9]sheet1!$C:$H,6,0)</f>
        <v>1121</v>
      </c>
    </row>
    <row r="316" hidden="1" spans="1:5">
      <c r="A316" s="3">
        <v>12215102</v>
      </c>
      <c r="B316" t="s">
        <v>418</v>
      </c>
      <c r="C316" s="4">
        <v>0</v>
      </c>
      <c r="D316" t="e">
        <f>VLOOKUP(A316,[9]sheet1!$C:$H,6,0)</f>
        <v>#N/A</v>
      </c>
    </row>
    <row r="317" hidden="1" spans="1:5">
      <c r="A317" s="3">
        <v>12121412</v>
      </c>
      <c r="B317" t="s">
        <v>200</v>
      </c>
      <c r="C317" s="4">
        <v>0</v>
      </c>
      <c r="D317">
        <f>VLOOKUP(A317,[9]sheet1!$C:$H,6,0)</f>
        <v>318</v>
      </c>
    </row>
    <row r="318" hidden="1" spans="1:5">
      <c r="A318" s="3">
        <v>12231006</v>
      </c>
      <c r="B318" t="s">
        <v>206</v>
      </c>
      <c r="C318" s="4">
        <v>0</v>
      </c>
      <c r="D318" t="e">
        <f>VLOOKUP(A318,[9]sheet1!$C:$H,6,0)</f>
        <v>#N/A</v>
      </c>
    </row>
    <row r="319" hidden="1" spans="1:5">
      <c r="A319" s="3">
        <v>12231004</v>
      </c>
      <c r="B319" t="s">
        <v>206</v>
      </c>
      <c r="C319" s="4">
        <v>0</v>
      </c>
      <c r="D319" t="e">
        <f>VLOOKUP(A319,[9]sheet1!$C:$H,6,0)</f>
        <v>#N/A</v>
      </c>
    </row>
    <row r="320" spans="1:5">
      <c r="A320" s="3">
        <v>11330601</v>
      </c>
      <c r="B320" t="s">
        <v>143</v>
      </c>
      <c r="C320" s="15">
        <v>0</v>
      </c>
      <c r="D320" t="e">
        <f>VLOOKUP(A320,[9]sheet1!$C:$H,6,0)</f>
        <v>#N/A</v>
      </c>
      <c r="E320" s="7" t="e">
        <f>D320/C320-1</f>
        <v>#N/A</v>
      </c>
    </row>
    <row r="321" hidden="1" spans="1:5">
      <c r="A321" s="3">
        <v>12131006</v>
      </c>
      <c r="B321" t="s">
        <v>206</v>
      </c>
      <c r="C321" s="4">
        <v>0</v>
      </c>
      <c r="D321" t="e">
        <f>VLOOKUP(A321,[9]sheet1!$C:$H,6,0)</f>
        <v>#N/A</v>
      </c>
    </row>
    <row r="322" spans="1:5">
      <c r="A322" s="3">
        <v>12330706</v>
      </c>
      <c r="B322" t="s">
        <v>290</v>
      </c>
      <c r="C322" s="15">
        <v>0</v>
      </c>
      <c r="D322" t="e">
        <f>VLOOKUP(A322,[9]sheet1!$C:$H,6,0)</f>
        <v>#N/A</v>
      </c>
      <c r="E322" s="7" t="e">
        <f>D322/C322-1</f>
        <v>#N/A</v>
      </c>
    </row>
    <row r="323" hidden="1" spans="1:5">
      <c r="A323" s="3">
        <v>11240121</v>
      </c>
      <c r="B323" t="s">
        <v>104</v>
      </c>
      <c r="C323" s="4">
        <v>0</v>
      </c>
      <c r="D323" t="e">
        <f>VLOOKUP(A323,[9]sheet1!$C:$H,6,0)</f>
        <v>#N/A</v>
      </c>
    </row>
    <row r="324" hidden="1" spans="1:5">
      <c r="A324" s="3">
        <v>12231016</v>
      </c>
      <c r="B324" t="s">
        <v>206</v>
      </c>
      <c r="C324" s="4">
        <v>0</v>
      </c>
      <c r="D324" t="e">
        <f>VLOOKUP(A324,[9]sheet1!$C:$H,6,0)</f>
        <v>#N/A</v>
      </c>
    </row>
    <row r="325" hidden="1" spans="1:5">
      <c r="A325" s="3">
        <v>12231032</v>
      </c>
      <c r="B325" t="s">
        <v>206</v>
      </c>
      <c r="C325" s="4">
        <v>0</v>
      </c>
      <c r="D325" t="e">
        <f>VLOOKUP(A325,[9]sheet1!$C:$H,6,0)</f>
        <v>#N/A</v>
      </c>
    </row>
    <row r="326" hidden="1" spans="1:5">
      <c r="A326" s="3">
        <v>12231802</v>
      </c>
      <c r="B326" t="s">
        <v>114</v>
      </c>
      <c r="C326" s="4">
        <v>0</v>
      </c>
      <c r="D326">
        <f>VLOOKUP(A326,[9]sheet1!$C:$H,6,0)</f>
        <v>0</v>
      </c>
    </row>
    <row r="327" hidden="1" spans="1:5">
      <c r="A327" s="3">
        <v>12240834</v>
      </c>
      <c r="B327" t="s">
        <v>258</v>
      </c>
      <c r="C327" s="4">
        <v>0</v>
      </c>
      <c r="D327" t="e">
        <f>VLOOKUP(A327,[9]sheet1!$C:$H,6,0)</f>
        <v>#N/A</v>
      </c>
    </row>
    <row r="328" spans="1:5">
      <c r="A328" s="3">
        <v>12130710</v>
      </c>
      <c r="B328" t="s">
        <v>290</v>
      </c>
      <c r="C328" s="15">
        <v>0</v>
      </c>
      <c r="D328" t="e">
        <f>VLOOKUP(A328,[9]sheet1!$C:$H,6,0)</f>
        <v>#N/A</v>
      </c>
      <c r="E328" s="7" t="e">
        <f>D328/C328-1</f>
        <v>#N/A</v>
      </c>
    </row>
    <row r="329" hidden="1" spans="1:5">
      <c r="A329" s="3">
        <v>11140809</v>
      </c>
      <c r="B329" t="s">
        <v>365</v>
      </c>
      <c r="C329" s="4">
        <v>0</v>
      </c>
      <c r="D329">
        <f>VLOOKUP(A329,[9]sheet1!$C:$H,6,0)</f>
        <v>0</v>
      </c>
    </row>
    <row r="330" hidden="1" spans="1:5">
      <c r="A330" s="3">
        <v>12140810</v>
      </c>
      <c r="B330" t="s">
        <v>258</v>
      </c>
      <c r="C330" s="4">
        <v>0</v>
      </c>
      <c r="D330" t="e">
        <f>VLOOKUP(A330,[9]sheet1!$C:$H,6,0)</f>
        <v>#N/A</v>
      </c>
    </row>
    <row r="331" hidden="1" spans="1:5">
      <c r="A331" s="3">
        <v>12740808</v>
      </c>
      <c r="B331" t="s">
        <v>365</v>
      </c>
      <c r="C331" s="4">
        <v>0</v>
      </c>
      <c r="D331">
        <f>VLOOKUP(A331,[9]sheet1!$C:$H,6,0)</f>
        <v>0</v>
      </c>
    </row>
    <row r="332" hidden="1" spans="1:5">
      <c r="A332" s="3">
        <v>11140813</v>
      </c>
      <c r="B332" t="s">
        <v>365</v>
      </c>
      <c r="C332" s="4">
        <v>0</v>
      </c>
      <c r="D332">
        <f>VLOOKUP(A332,[9]sheet1!$C:$H,6,0)</f>
        <v>0</v>
      </c>
    </row>
    <row r="333" hidden="1" spans="1:5">
      <c r="A333" s="3">
        <v>11240301</v>
      </c>
      <c r="B333" t="s">
        <v>330</v>
      </c>
      <c r="C333" s="4">
        <v>0</v>
      </c>
      <c r="D333" t="e">
        <f>VLOOKUP(A333,[9]sheet1!$C:$H,6,0)</f>
        <v>#N/A</v>
      </c>
    </row>
    <row r="334" hidden="1" spans="1:5">
      <c r="A334" s="3">
        <v>12140814</v>
      </c>
      <c r="B334" t="s">
        <v>258</v>
      </c>
      <c r="C334" s="4">
        <v>0</v>
      </c>
      <c r="D334">
        <f>VLOOKUP(A334,[9]sheet1!$C:$H,6,0)</f>
        <v>0</v>
      </c>
    </row>
    <row r="335" hidden="1" spans="1:5">
      <c r="A335" s="3">
        <v>12140804</v>
      </c>
      <c r="B335" t="s">
        <v>258</v>
      </c>
      <c r="C335" s="4">
        <v>0</v>
      </c>
      <c r="D335" t="e">
        <f>VLOOKUP(A335,[9]sheet1!$C:$H,6,0)</f>
        <v>#N/A</v>
      </c>
    </row>
    <row r="336" hidden="1" spans="1:5">
      <c r="A336" s="3">
        <v>12131802</v>
      </c>
      <c r="B336" t="s">
        <v>114</v>
      </c>
      <c r="C336" s="4">
        <v>0</v>
      </c>
      <c r="D336" t="e">
        <f>VLOOKUP(A336,[9]sheet1!$C:$H,6,0)</f>
        <v>#N/A</v>
      </c>
    </row>
    <row r="337" hidden="1" spans="1:4">
      <c r="A337" s="3">
        <v>11240823</v>
      </c>
      <c r="B337" t="s">
        <v>365</v>
      </c>
      <c r="C337" s="4">
        <v>1627</v>
      </c>
      <c r="D337" t="e">
        <f>VLOOKUP(A337,[9]sheet1!$C:$H,6,0)</f>
        <v>#N/A</v>
      </c>
    </row>
    <row r="338" hidden="1" spans="1:4">
      <c r="A338" s="3">
        <v>11140101</v>
      </c>
      <c r="B338" t="s">
        <v>104</v>
      </c>
      <c r="C338" s="4">
        <v>0</v>
      </c>
      <c r="D338">
        <f>VLOOKUP(A338,[9]sheet1!$C:$H,6,0)</f>
        <v>0</v>
      </c>
    </row>
    <row r="339" hidden="1" spans="1:4">
      <c r="A339" s="3">
        <v>12140102</v>
      </c>
      <c r="B339" t="s">
        <v>141</v>
      </c>
      <c r="C339" s="4">
        <v>0</v>
      </c>
      <c r="D339">
        <f>VLOOKUP(A339,[9]sheet1!$C:$H,6,0)</f>
        <v>0</v>
      </c>
    </row>
    <row r="340" hidden="1" spans="1:4">
      <c r="A340" s="3">
        <v>11140121</v>
      </c>
      <c r="B340" t="s">
        <v>104</v>
      </c>
      <c r="C340" s="4">
        <v>0</v>
      </c>
      <c r="D340" t="e">
        <f>VLOOKUP(A340,[9]sheet1!$C:$H,6,0)</f>
        <v>#N/A</v>
      </c>
    </row>
    <row r="341" hidden="1" spans="1:4">
      <c r="A341" s="3">
        <v>11240828</v>
      </c>
      <c r="B341" t="s">
        <v>258</v>
      </c>
      <c r="C341" s="4">
        <v>0</v>
      </c>
      <c r="D341">
        <f>VLOOKUP(A341,[9]sheet1!$C:$H,6,0)</f>
        <v>0</v>
      </c>
    </row>
    <row r="342" hidden="1" spans="1:4">
      <c r="A342" s="3">
        <v>114408279</v>
      </c>
      <c r="B342" t="s">
        <v>365</v>
      </c>
      <c r="C342" s="4">
        <v>0</v>
      </c>
      <c r="D342">
        <f>VLOOKUP(A342,[9]sheet1!$C:$H,6,0)</f>
        <v>0</v>
      </c>
    </row>
    <row r="343" hidden="1" spans="1:4">
      <c r="A343" s="3">
        <v>12240822</v>
      </c>
      <c r="B343" t="s">
        <v>258</v>
      </c>
      <c r="C343" s="4">
        <v>0</v>
      </c>
      <c r="D343" t="e">
        <f>VLOOKUP(A343,[9]sheet1!$C:$H,6,0)</f>
        <v>#N/A</v>
      </c>
    </row>
    <row r="344" hidden="1" spans="1:4">
      <c r="A344" s="3">
        <v>12231022</v>
      </c>
      <c r="B344" t="s">
        <v>117</v>
      </c>
      <c r="C344" s="4">
        <v>0</v>
      </c>
      <c r="D344" t="e">
        <f>VLOOKUP(A344,[9]sheet1!$C:$H,6,0)</f>
        <v>#N/A</v>
      </c>
    </row>
    <row r="345" hidden="1" spans="1:4">
      <c r="A345" s="3">
        <v>12231024</v>
      </c>
      <c r="B345" t="s">
        <v>117</v>
      </c>
      <c r="C345" s="4">
        <v>379</v>
      </c>
      <c r="D345" t="e">
        <f>VLOOKUP(A345,[9]sheet1!$C:$H,6,0)</f>
        <v>#N/A</v>
      </c>
    </row>
    <row r="346" hidden="1" spans="1:4">
      <c r="A346" s="3">
        <v>11240821</v>
      </c>
      <c r="B346" t="s">
        <v>365</v>
      </c>
      <c r="C346" s="4">
        <v>0</v>
      </c>
      <c r="D346" t="e">
        <f>VLOOKUP(A346,[9]sheet1!$C:$H,6,0)</f>
        <v>#N/A</v>
      </c>
    </row>
    <row r="347" hidden="1" spans="1:4">
      <c r="A347" s="3">
        <v>12240112</v>
      </c>
      <c r="B347" t="s">
        <v>141</v>
      </c>
      <c r="C347" s="4">
        <v>1058</v>
      </c>
      <c r="D347">
        <f>VLOOKUP(A347,[9]sheet1!$C:$H,6,0)</f>
        <v>1928</v>
      </c>
    </row>
    <row r="348" hidden="1" spans="1:4">
      <c r="A348" s="3">
        <v>11240129</v>
      </c>
      <c r="B348" t="s">
        <v>104</v>
      </c>
      <c r="C348" s="4">
        <v>0</v>
      </c>
      <c r="D348">
        <f>VLOOKUP(A348,[9]sheet1!$C:$H,6,0)</f>
        <v>0</v>
      </c>
    </row>
    <row r="349" hidden="1" spans="1:4">
      <c r="A349" s="3">
        <v>11040139</v>
      </c>
      <c r="B349" t="s">
        <v>104</v>
      </c>
      <c r="C349" s="4">
        <v>0</v>
      </c>
      <c r="D349">
        <f>VLOOKUP(A349,[9]sheet1!$C:$H,6,0)</f>
        <v>0</v>
      </c>
    </row>
    <row r="350" hidden="1" spans="1:4">
      <c r="A350" s="3">
        <v>11231031</v>
      </c>
      <c r="B350" t="s">
        <v>117</v>
      </c>
      <c r="C350" s="4">
        <v>0</v>
      </c>
      <c r="D350" t="e">
        <f>VLOOKUP(A350,[9]sheet1!$C:$H,6,0)</f>
        <v>#N/A</v>
      </c>
    </row>
    <row r="351" hidden="1" spans="1:4">
      <c r="A351" s="3">
        <v>112240824</v>
      </c>
      <c r="B351" t="s">
        <v>601</v>
      </c>
      <c r="C351" s="4">
        <v>0</v>
      </c>
      <c r="D351" t="e">
        <f>VLOOKUP(A351,[9]sheet1!$C:$H,6,0)</f>
        <v>#N/A</v>
      </c>
    </row>
    <row r="352" hidden="1" spans="1:4">
      <c r="A352" s="3">
        <v>112240128</v>
      </c>
      <c r="B352" t="s">
        <v>104</v>
      </c>
      <c r="C352" s="4">
        <v>4648</v>
      </c>
      <c r="D352">
        <f>VLOOKUP(A352,[9]sheet1!$C:$H,6,0)</f>
        <v>899</v>
      </c>
    </row>
    <row r="353" hidden="1" spans="1:5">
      <c r="A353" s="3">
        <v>111230705</v>
      </c>
      <c r="B353" t="s">
        <v>146</v>
      </c>
      <c r="C353" s="4">
        <v>0</v>
      </c>
      <c r="D353" t="e">
        <f>VLOOKUP(A353,[9]sheet1!$C:$H,6,0)</f>
        <v>#N/A</v>
      </c>
    </row>
    <row r="354" hidden="1" spans="1:5">
      <c r="A354" s="3">
        <v>11040105</v>
      </c>
      <c r="B354" t="s">
        <v>104</v>
      </c>
      <c r="C354" s="4">
        <v>2209</v>
      </c>
      <c r="D354">
        <f>VLOOKUP(A354,[9]sheet1!$C:$H,6,0)</f>
        <v>1014</v>
      </c>
    </row>
    <row r="355" hidden="1" spans="1:5">
      <c r="A355" s="3">
        <v>12040134</v>
      </c>
      <c r="B355" t="s">
        <v>141</v>
      </c>
      <c r="C355" s="4">
        <v>0</v>
      </c>
      <c r="D355" t="e">
        <f>VLOOKUP(A355,[9]sheet1!$C:$H,6,0)</f>
        <v>#N/A</v>
      </c>
    </row>
    <row r="356" hidden="1" spans="1:5">
      <c r="A356" s="3">
        <v>11133703</v>
      </c>
      <c r="B356" t="s">
        <v>432</v>
      </c>
      <c r="C356" s="4">
        <v>0</v>
      </c>
      <c r="D356" t="e">
        <f>VLOOKUP(A356,[9]sheet1!$C:$H,6,0)</f>
        <v>#N/A</v>
      </c>
    </row>
    <row r="357" hidden="1" spans="1:5">
      <c r="A357" s="3">
        <v>12221528</v>
      </c>
      <c r="B357" t="s">
        <v>461</v>
      </c>
      <c r="C357" s="4">
        <v>0</v>
      </c>
      <c r="D357" t="e">
        <f>VLOOKUP(A357,[9]sheet1!$C:$H,6,0)</f>
        <v>#N/A</v>
      </c>
    </row>
    <row r="358" hidden="1" spans="1:5">
      <c r="A358" s="3">
        <v>12140112</v>
      </c>
      <c r="B358" t="s">
        <v>141</v>
      </c>
      <c r="C358" s="4">
        <v>0</v>
      </c>
      <c r="D358" t="e">
        <f>VLOOKUP(A358,[9]sheet1!$C:$H,6,0)</f>
        <v>#N/A</v>
      </c>
    </row>
    <row r="359" spans="1:5">
      <c r="A359" s="3">
        <v>11130701</v>
      </c>
      <c r="B359" t="s">
        <v>185</v>
      </c>
      <c r="C359" s="15">
        <v>0</v>
      </c>
      <c r="D359" t="e">
        <f>VLOOKUP(A359,[9]sheet1!$C:$H,6,0)</f>
        <v>#N/A</v>
      </c>
      <c r="E359" s="7" t="e">
        <f>D359/C359-1</f>
        <v>#N/A</v>
      </c>
    </row>
    <row r="360" hidden="1" spans="1:5">
      <c r="A360" s="3">
        <v>11121269</v>
      </c>
      <c r="B360" t="s">
        <v>51</v>
      </c>
      <c r="C360" s="4">
        <v>402</v>
      </c>
      <c r="D360" t="e">
        <f>VLOOKUP(A360,[9]sheet1!$C:$H,6,0)</f>
        <v>#N/A</v>
      </c>
    </row>
    <row r="361" hidden="1" spans="1:5">
      <c r="A361" s="3">
        <v>11221219</v>
      </c>
      <c r="B361" t="s">
        <v>51</v>
      </c>
      <c r="C361" s="4">
        <v>0</v>
      </c>
      <c r="D361" t="e">
        <f>VLOOKUP(A361,[9]sheet1!$C:$H,6,0)</f>
        <v>#N/A</v>
      </c>
    </row>
    <row r="362" hidden="1" spans="1:5">
      <c r="A362" s="3">
        <v>12221440</v>
      </c>
      <c r="B362" t="s">
        <v>200</v>
      </c>
      <c r="C362" s="4">
        <v>0</v>
      </c>
      <c r="D362">
        <f>VLOOKUP(A362,[9]sheet1!$C:$H,6,0)</f>
        <v>495</v>
      </c>
    </row>
    <row r="363" hidden="1" spans="1:5">
      <c r="A363" s="3">
        <v>112221430</v>
      </c>
      <c r="B363" t="s">
        <v>57</v>
      </c>
      <c r="C363" s="4">
        <v>0</v>
      </c>
      <c r="D363" t="e">
        <f>VLOOKUP(A363,[9]sheet1!$C:$H,6,0)</f>
        <v>#N/A</v>
      </c>
    </row>
    <row r="364" hidden="1" spans="1:5">
      <c r="A364" s="3">
        <v>112121202</v>
      </c>
      <c r="B364" t="s">
        <v>109</v>
      </c>
      <c r="C364" s="4">
        <v>1106</v>
      </c>
      <c r="D364" t="e">
        <f>VLOOKUP(A364,[9]sheet1!$C:$H,6,0)</f>
        <v>#N/A</v>
      </c>
    </row>
    <row r="365" hidden="1" spans="1:5">
      <c r="A365" s="3">
        <v>112221530</v>
      </c>
      <c r="B365" t="s">
        <v>54</v>
      </c>
      <c r="C365" s="4">
        <v>0</v>
      </c>
      <c r="D365" t="e">
        <f>VLOOKUP(A365,[9]sheet1!$C:$H,6,0)</f>
        <v>#N/A</v>
      </c>
    </row>
    <row r="366" hidden="1" spans="1:5">
      <c r="A366" t="s">
        <v>618</v>
      </c>
      <c r="B366" t="s">
        <v>619</v>
      </c>
      <c r="C366" s="4">
        <v>48</v>
      </c>
      <c r="D366">
        <f>VLOOKUP(A366,[9]sheet1!$C:$H,6,0)</f>
        <v>65</v>
      </c>
    </row>
    <row r="367" hidden="1" spans="1:5">
      <c r="A367" t="s">
        <v>621</v>
      </c>
      <c r="B367" t="s">
        <v>619</v>
      </c>
      <c r="C367" s="4">
        <v>141</v>
      </c>
      <c r="D367">
        <f>VLOOKUP(A367,[9]sheet1!$C:$H,6,0)</f>
        <v>2792</v>
      </c>
    </row>
    <row r="368" hidden="1" spans="1:5">
      <c r="A368" s="3">
        <v>115376009</v>
      </c>
      <c r="B368" t="s">
        <v>330</v>
      </c>
      <c r="C368" s="4">
        <v>0</v>
      </c>
      <c r="D368">
        <f>VLOOKUP(A368,[9]sheet1!$C:$H,6,0)</f>
        <v>0</v>
      </c>
    </row>
    <row r="369" hidden="1" spans="1:5">
      <c r="A369" t="s">
        <v>624</v>
      </c>
      <c r="B369" t="s">
        <v>619</v>
      </c>
      <c r="C369" s="4">
        <v>147</v>
      </c>
      <c r="D369">
        <f>VLOOKUP(A369,[9]sheet1!$C:$H,6,0)</f>
        <v>159</v>
      </c>
    </row>
    <row r="370" hidden="1" spans="1:5">
      <c r="A370" t="s">
        <v>627</v>
      </c>
      <c r="B370" t="s">
        <v>619</v>
      </c>
      <c r="C370" s="4">
        <v>1112</v>
      </c>
      <c r="D370">
        <f>VLOOKUP(A370,[9]sheet1!$C:$H,6,0)</f>
        <v>1410</v>
      </c>
    </row>
    <row r="371" hidden="1" spans="1:5">
      <c r="A371" t="s">
        <v>629</v>
      </c>
      <c r="B371" t="s">
        <v>630</v>
      </c>
      <c r="C371" s="4">
        <v>0</v>
      </c>
      <c r="D371" t="e">
        <f>VLOOKUP(A371,[9]sheet1!$C:$H,6,0)</f>
        <v>#N/A</v>
      </c>
    </row>
    <row r="372" hidden="1" spans="1:5">
      <c r="A372" s="3">
        <v>105025023</v>
      </c>
      <c r="B372" t="s">
        <v>632</v>
      </c>
      <c r="C372" s="4">
        <v>0</v>
      </c>
      <c r="D372">
        <f>VLOOKUP(A372,[9]sheet1!$C:$H,6,0)</f>
        <v>433</v>
      </c>
    </row>
    <row r="373" hidden="1" spans="1:5">
      <c r="A373" s="3">
        <v>165025027</v>
      </c>
      <c r="B373" t="s">
        <v>78</v>
      </c>
      <c r="C373" s="4">
        <v>0</v>
      </c>
      <c r="D373">
        <f>VLOOKUP(A373,[9]sheet1!$C:$H,6,0)</f>
        <v>902</v>
      </c>
    </row>
    <row r="374" hidden="1" spans="1:5">
      <c r="A374" s="3">
        <v>125316033</v>
      </c>
      <c r="B374" t="s">
        <v>461</v>
      </c>
      <c r="C374" s="4">
        <v>434</v>
      </c>
      <c r="D374">
        <f>VLOOKUP(A374,[9]sheet1!$C:$H,6,0)</f>
        <v>897</v>
      </c>
    </row>
    <row r="375" hidden="1" spans="1:5">
      <c r="A375" t="s">
        <v>638</v>
      </c>
      <c r="B375" t="s">
        <v>141</v>
      </c>
      <c r="C375" s="4">
        <v>3878</v>
      </c>
      <c r="D375">
        <f>VLOOKUP(A375,[9]sheet1!$C:$H,6,0)</f>
        <v>0</v>
      </c>
    </row>
    <row r="376" hidden="1" spans="1:5">
      <c r="A376" t="s">
        <v>640</v>
      </c>
      <c r="B376" t="s">
        <v>141</v>
      </c>
      <c r="C376" s="4">
        <v>1334</v>
      </c>
      <c r="D376">
        <f>VLOOKUP(A376,[9]sheet1!$C:$H,6,0)</f>
        <v>690</v>
      </c>
    </row>
    <row r="377" hidden="1" spans="1:5">
      <c r="A377" t="s">
        <v>642</v>
      </c>
      <c r="B377" t="s">
        <v>141</v>
      </c>
      <c r="C377" s="4">
        <v>0</v>
      </c>
      <c r="D377">
        <f>VLOOKUP(A377,[9]sheet1!$C:$H,6,0)</f>
        <v>0</v>
      </c>
    </row>
    <row r="378" spans="1:5">
      <c r="A378" s="3">
        <v>12830708</v>
      </c>
      <c r="B378" t="s">
        <v>290</v>
      </c>
      <c r="C378" s="15">
        <v>0</v>
      </c>
      <c r="D378">
        <f>VLOOKUP(A378,[9]sheet1!$C:$H,6,0)</f>
        <v>0</v>
      </c>
      <c r="E378" s="7" t="e">
        <f>D378/C378-1</f>
        <v>#DIV/0!</v>
      </c>
    </row>
    <row r="379" spans="1:5">
      <c r="A379" s="3">
        <v>11830603</v>
      </c>
      <c r="B379" t="s">
        <v>143</v>
      </c>
      <c r="C379" s="15">
        <v>0</v>
      </c>
      <c r="D379" t="e">
        <f>VLOOKUP(A379,[9]sheet1!$C:$H,6,0)</f>
        <v>#N/A</v>
      </c>
      <c r="E379" s="7" t="e">
        <f>D379/C379-1</f>
        <v>#N/A</v>
      </c>
    </row>
    <row r="380" hidden="1" spans="1:5">
      <c r="A380" s="3">
        <v>105101023</v>
      </c>
      <c r="B380" t="s">
        <v>104</v>
      </c>
      <c r="C380" s="4">
        <v>0</v>
      </c>
      <c r="D380">
        <f>VLOOKUP(A380,[9]sheet1!$C:$H,6,0)</f>
        <v>0</v>
      </c>
    </row>
    <row r="381" hidden="1" spans="1:5">
      <c r="A381" s="3">
        <v>105301083</v>
      </c>
      <c r="B381" t="s">
        <v>104</v>
      </c>
      <c r="C381" s="4">
        <v>1750</v>
      </c>
      <c r="D381">
        <f>VLOOKUP(A381,[9]sheet1!$C:$H,6,0)</f>
        <v>6144</v>
      </c>
    </row>
    <row r="382" hidden="1" spans="1:5">
      <c r="A382" s="3">
        <v>105301051</v>
      </c>
      <c r="B382" t="s">
        <v>104</v>
      </c>
      <c r="C382" s="4">
        <v>5088</v>
      </c>
      <c r="D382">
        <f>VLOOKUP(A382,[9]sheet1!$C:$H,6,0)</f>
        <v>0</v>
      </c>
    </row>
    <row r="383" hidden="1" spans="1:5">
      <c r="A383" s="3">
        <v>125302004</v>
      </c>
      <c r="B383" t="s">
        <v>220</v>
      </c>
      <c r="C383" s="4">
        <v>0</v>
      </c>
      <c r="D383">
        <f>VLOOKUP(A383,[9]sheet1!$C:$H,6,0)</f>
        <v>3896</v>
      </c>
    </row>
    <row r="384" hidden="1" spans="1:5">
      <c r="A384" s="3">
        <v>105301059</v>
      </c>
      <c r="B384" t="s">
        <v>104</v>
      </c>
      <c r="C384" s="4">
        <v>4973</v>
      </c>
      <c r="D384">
        <f>VLOOKUP(A384,[9]sheet1!$C:$H,6,0)</f>
        <v>2670</v>
      </c>
    </row>
    <row r="385" hidden="1" spans="1:5">
      <c r="A385" s="3">
        <v>115316032</v>
      </c>
      <c r="B385" t="s">
        <v>54</v>
      </c>
      <c r="C385" s="4">
        <v>2527</v>
      </c>
      <c r="D385">
        <f>VLOOKUP(A385,[9]sheet1!$C:$H,6,0)</f>
        <v>2226</v>
      </c>
    </row>
    <row r="386" hidden="1" spans="1:5">
      <c r="A386" t="s">
        <v>654</v>
      </c>
      <c r="B386" t="s">
        <v>141</v>
      </c>
      <c r="C386" s="4">
        <v>581</v>
      </c>
      <c r="D386">
        <f>VLOOKUP(A386,[9]sheet1!$C:$H,6,0)</f>
        <v>10849</v>
      </c>
    </row>
    <row r="387" hidden="1" spans="1:5">
      <c r="A387" t="s">
        <v>656</v>
      </c>
      <c r="B387" t="s">
        <v>141</v>
      </c>
      <c r="C387" s="4">
        <v>0</v>
      </c>
      <c r="D387" t="e">
        <f>VLOOKUP(A387,[9]sheet1!$C:$H,6,0)</f>
        <v>#N/A</v>
      </c>
    </row>
    <row r="388" hidden="1" spans="1:5">
      <c r="A388" t="s">
        <v>658</v>
      </c>
      <c r="B388" t="s">
        <v>104</v>
      </c>
      <c r="C388" s="4">
        <v>2244</v>
      </c>
      <c r="D388">
        <f>VLOOKUP(A388,[9]sheet1!$C:$H,6,0)</f>
        <v>0</v>
      </c>
    </row>
    <row r="389" hidden="1" spans="1:5">
      <c r="A389" s="3">
        <v>125220002</v>
      </c>
      <c r="B389" t="s">
        <v>149</v>
      </c>
      <c r="C389" s="4">
        <v>0</v>
      </c>
      <c r="D389">
        <f>VLOOKUP(A389,[9]sheet1!$C:$H,6,0)</f>
        <v>0</v>
      </c>
    </row>
    <row r="390" spans="1:5">
      <c r="A390" s="3">
        <v>12830604</v>
      </c>
      <c r="B390" t="s">
        <v>138</v>
      </c>
      <c r="C390" s="15">
        <v>0</v>
      </c>
      <c r="D390">
        <f>VLOOKUP(A390,[9]sheet1!$C:$H,6,0)</f>
        <v>0</v>
      </c>
      <c r="E390" s="7" t="e">
        <f>D390/C390-1</f>
        <v>#DIV/0!</v>
      </c>
    </row>
    <row r="391" hidden="1" spans="1:5">
      <c r="A391" s="3">
        <v>135101016</v>
      </c>
      <c r="B391" t="s">
        <v>84</v>
      </c>
      <c r="C391" s="4">
        <v>0</v>
      </c>
      <c r="D391">
        <f>VLOOKUP(A391,[9]sheet1!$C:$H,6,0)</f>
        <v>0</v>
      </c>
    </row>
    <row r="392" hidden="1" spans="1:5">
      <c r="A392" s="3">
        <v>125251019</v>
      </c>
      <c r="B392" t="s">
        <v>418</v>
      </c>
      <c r="C392" s="4">
        <v>0</v>
      </c>
      <c r="D392">
        <f>VLOOKUP(A392,[9]sheet1!$C:$H,6,0)</f>
        <v>0</v>
      </c>
    </row>
    <row r="393" hidden="1" spans="1:5">
      <c r="A393" s="3">
        <v>115251018</v>
      </c>
      <c r="B393" t="s">
        <v>227</v>
      </c>
      <c r="C393" s="4">
        <v>0</v>
      </c>
      <c r="D393">
        <f>VLOOKUP(A393,[9]sheet1!$C:$H,6,0)</f>
        <v>0</v>
      </c>
    </row>
    <row r="394" hidden="1" spans="1:5">
      <c r="A394" s="3">
        <v>105101076</v>
      </c>
      <c r="B394" t="s">
        <v>104</v>
      </c>
      <c r="C394" s="4">
        <v>0</v>
      </c>
      <c r="D394" t="e">
        <f>VLOOKUP(A394,[9]sheet1!$C:$H,6,0)</f>
        <v>#N/A</v>
      </c>
    </row>
    <row r="395" hidden="1" spans="1:5">
      <c r="A395" s="3">
        <v>135178022</v>
      </c>
      <c r="B395" t="s">
        <v>667</v>
      </c>
      <c r="C395" s="4">
        <v>0</v>
      </c>
      <c r="D395">
        <f>VLOOKUP(A395,[9]sheet1!$C:$H,6,0)</f>
        <v>262</v>
      </c>
    </row>
    <row r="396" hidden="1" spans="1:5">
      <c r="A396" s="3">
        <v>115119029</v>
      </c>
      <c r="B396" t="s">
        <v>252</v>
      </c>
      <c r="C396" s="4">
        <v>662</v>
      </c>
      <c r="D396">
        <f>VLOOKUP(A396,[9]sheet1!$C:$H,6,0)</f>
        <v>1720</v>
      </c>
    </row>
    <row r="397" hidden="1" spans="1:5">
      <c r="A397" s="3">
        <v>125119030</v>
      </c>
      <c r="B397" t="s">
        <v>252</v>
      </c>
      <c r="C397" s="4">
        <v>0</v>
      </c>
      <c r="D397">
        <f>VLOOKUP(A397,[9]sheet1!$C:$H,6,0)</f>
        <v>664</v>
      </c>
    </row>
    <row r="398" hidden="1" spans="1:5">
      <c r="A398" s="3">
        <v>1124301070</v>
      </c>
      <c r="B398" t="s">
        <v>104</v>
      </c>
      <c r="C398" s="4">
        <v>3241.21</v>
      </c>
      <c r="D398">
        <f>VLOOKUP(A398,[9]sheet1!$C:$H,6,0)</f>
        <v>5030</v>
      </c>
    </row>
    <row r="399" hidden="1" spans="1:5">
      <c r="A399" s="3">
        <v>115214007</v>
      </c>
      <c r="B399" t="s">
        <v>179</v>
      </c>
      <c r="C399" s="4" t="e">
        <v>#N/A</v>
      </c>
      <c r="D399">
        <f>VLOOKUP(A399,[9]sheet1!$C:$H,6,0)</f>
        <v>14016</v>
      </c>
    </row>
    <row r="400" hidden="1" spans="1:5">
      <c r="A400" s="3">
        <v>125181002</v>
      </c>
      <c r="B400" t="s">
        <v>100</v>
      </c>
      <c r="C400" s="4">
        <v>532</v>
      </c>
      <c r="D400">
        <f>VLOOKUP(A400,[9]sheet1!$C:$H,6,0)</f>
        <v>550</v>
      </c>
    </row>
    <row r="401" hidden="1" spans="1:4">
      <c r="A401" s="3">
        <v>115215009</v>
      </c>
      <c r="B401" t="s">
        <v>45</v>
      </c>
      <c r="C401" s="4">
        <v>432</v>
      </c>
      <c r="D401" t="e">
        <f>VLOOKUP(A401,[9]sheet1!$C:$H,6,0)</f>
        <v>#N/A</v>
      </c>
    </row>
    <row r="402" hidden="1" spans="1:4">
      <c r="A402" s="3">
        <v>115122023</v>
      </c>
      <c r="B402" t="s">
        <v>100</v>
      </c>
      <c r="C402" s="4">
        <v>0</v>
      </c>
      <c r="D402">
        <f>VLOOKUP(A402,[9]sheet1!$C:$H,6,0)</f>
        <v>0</v>
      </c>
    </row>
    <row r="403" hidden="1" spans="1:4">
      <c r="A403" s="3">
        <v>125122024</v>
      </c>
      <c r="B403" t="s">
        <v>100</v>
      </c>
      <c r="C403" s="4">
        <v>0</v>
      </c>
      <c r="D403">
        <f>VLOOKUP(A403,[9]sheet1!$C:$H,6,0)</f>
        <v>665</v>
      </c>
    </row>
    <row r="404" hidden="1" spans="1:4">
      <c r="A404" s="3">
        <v>125215048</v>
      </c>
      <c r="B404" t="s">
        <v>159</v>
      </c>
      <c r="C404" s="4">
        <v>460.22</v>
      </c>
      <c r="D404">
        <f>VLOOKUP(A404,[9]sheet1!$C:$H,6,0)</f>
        <v>1288</v>
      </c>
    </row>
    <row r="405" hidden="1" spans="1:4">
      <c r="A405" s="3">
        <v>115214015</v>
      </c>
      <c r="B405" t="s">
        <v>57</v>
      </c>
      <c r="C405" s="4">
        <v>1227</v>
      </c>
      <c r="D405">
        <f>VLOOKUP(A405,[9]sheet1!$C:$H,6,0)</f>
        <v>1120</v>
      </c>
    </row>
    <row r="406" hidden="1" spans="1:4">
      <c r="A406" s="3">
        <v>135215035</v>
      </c>
      <c r="B406" t="s">
        <v>448</v>
      </c>
      <c r="C406" s="4">
        <v>84</v>
      </c>
      <c r="D406">
        <f>VLOOKUP(A406,[9]sheet1!$C:$H,6,0)</f>
        <v>345</v>
      </c>
    </row>
    <row r="407" hidden="1" spans="1:4">
      <c r="A407" s="3">
        <v>125214019</v>
      </c>
      <c r="B407" t="s">
        <v>508</v>
      </c>
      <c r="C407" s="4">
        <v>257</v>
      </c>
      <c r="D407">
        <f>VLOOKUP(A407,[9]sheet1!$C:$H,6,0)</f>
        <v>4756</v>
      </c>
    </row>
    <row r="408" hidden="1" spans="1:4">
      <c r="A408" s="3">
        <v>135212023</v>
      </c>
      <c r="B408" t="s">
        <v>232</v>
      </c>
      <c r="C408" s="4">
        <v>2166</v>
      </c>
      <c r="D408">
        <f>VLOOKUP(A408,[9]sheet1!$C:$H,6,0)</f>
        <v>3308</v>
      </c>
    </row>
    <row r="409" hidden="1" spans="1:4">
      <c r="A409" s="3">
        <v>135215036</v>
      </c>
      <c r="B409" t="s">
        <v>448</v>
      </c>
      <c r="C409" s="4">
        <v>0</v>
      </c>
      <c r="D409">
        <f>VLOOKUP(A409,[9]sheet1!$C:$H,6,0)</f>
        <v>112</v>
      </c>
    </row>
    <row r="410" hidden="1" spans="1:4">
      <c r="A410" s="3">
        <v>135214018</v>
      </c>
      <c r="B410" t="s">
        <v>685</v>
      </c>
      <c r="C410" s="4">
        <v>111</v>
      </c>
      <c r="D410">
        <f>VLOOKUP(A410,[9]sheet1!$C:$H,6,0)</f>
        <v>94</v>
      </c>
    </row>
    <row r="411" hidden="1" spans="1:4">
      <c r="A411" s="3">
        <v>115215005</v>
      </c>
      <c r="B411" t="s">
        <v>72</v>
      </c>
      <c r="C411" s="4">
        <v>0</v>
      </c>
      <c r="D411">
        <f>VLOOKUP(A411,[9]sheet1!$C:$H,6,0)</f>
        <v>2310</v>
      </c>
    </row>
    <row r="412" hidden="1" spans="1:4">
      <c r="A412" s="3">
        <v>125119028</v>
      </c>
      <c r="B412" t="s">
        <v>100</v>
      </c>
      <c r="C412" s="4">
        <v>0</v>
      </c>
      <c r="D412">
        <f>VLOOKUP(A412,[9]sheet1!$C:$H,6,0)</f>
        <v>1135</v>
      </c>
    </row>
    <row r="413" hidden="1" spans="1:4">
      <c r="A413" s="3">
        <v>115215037</v>
      </c>
      <c r="B413" t="s">
        <v>45</v>
      </c>
      <c r="C413" s="4">
        <v>804</v>
      </c>
      <c r="D413">
        <f>VLOOKUP(A413,[9]sheet1!$C:$H,6,0)</f>
        <v>40940</v>
      </c>
    </row>
    <row r="414" hidden="1" spans="1:4">
      <c r="A414" s="3">
        <v>125215046</v>
      </c>
      <c r="B414" t="s">
        <v>461</v>
      </c>
      <c r="C414" s="4">
        <v>0</v>
      </c>
      <c r="D414">
        <f>VLOOKUP(A414,[9]sheet1!$C:$H,6,0)</f>
        <v>574</v>
      </c>
    </row>
    <row r="415" hidden="1" spans="1:4">
      <c r="A415" s="3">
        <v>115215030</v>
      </c>
      <c r="B415" t="s">
        <v>54</v>
      </c>
      <c r="C415" s="4">
        <v>1461</v>
      </c>
      <c r="D415" t="e">
        <f>VLOOKUP(A415,[9]sheet1!$C:$H,6,0)</f>
        <v>#N/A</v>
      </c>
    </row>
    <row r="416" hidden="1" spans="1:4">
      <c r="A416" s="3">
        <v>115119027</v>
      </c>
      <c r="B416" t="s">
        <v>252</v>
      </c>
      <c r="C416" s="4">
        <v>0</v>
      </c>
      <c r="D416">
        <f>VLOOKUP(A416,[9]sheet1!$C:$H,6,0)</f>
        <v>2234</v>
      </c>
    </row>
    <row r="417" hidden="1" spans="1:5">
      <c r="A417" s="3">
        <v>105101011</v>
      </c>
      <c r="B417" t="s">
        <v>104</v>
      </c>
      <c r="C417" s="4">
        <v>0</v>
      </c>
      <c r="D417">
        <f>VLOOKUP(A417,[9]sheet1!$C:$H,6,0)</f>
        <v>0</v>
      </c>
    </row>
    <row r="418" hidden="1" spans="1:5">
      <c r="A418" s="3">
        <v>125215038</v>
      </c>
      <c r="B418" t="s">
        <v>90</v>
      </c>
      <c r="C418" s="4">
        <v>0</v>
      </c>
      <c r="D418">
        <f>VLOOKUP(A418,[9]sheet1!$C:$H,6,0)</f>
        <v>24510</v>
      </c>
    </row>
    <row r="419" hidden="1" spans="1:5">
      <c r="A419" s="3">
        <v>115215021</v>
      </c>
      <c r="B419" t="s">
        <v>54</v>
      </c>
      <c r="C419" s="4">
        <v>384</v>
      </c>
      <c r="D419" t="e">
        <f>VLOOKUP(A419,[9]sheet1!$C:$H,6,0)</f>
        <v>#N/A</v>
      </c>
    </row>
    <row r="420" hidden="1" spans="1:5">
      <c r="A420" s="3">
        <v>125215022</v>
      </c>
      <c r="B420" t="s">
        <v>299</v>
      </c>
      <c r="C420" s="4">
        <v>173.9</v>
      </c>
      <c r="D420" t="e">
        <f>VLOOKUP(A420,[9]sheet1!$C:$H,6,0)</f>
        <v>#N/A</v>
      </c>
    </row>
    <row r="421" hidden="1" spans="1:5">
      <c r="A421" s="3">
        <v>115212003</v>
      </c>
      <c r="B421" t="s">
        <v>51</v>
      </c>
      <c r="C421" s="4">
        <v>1675</v>
      </c>
      <c r="D421">
        <f>VLOOKUP(A421,[9]sheet1!$C:$H,6,0)</f>
        <v>29461</v>
      </c>
    </row>
    <row r="422" hidden="1" spans="1:5">
      <c r="A422" s="3">
        <v>125220022</v>
      </c>
      <c r="B422" t="s">
        <v>149</v>
      </c>
      <c r="C422" s="4">
        <v>429</v>
      </c>
      <c r="D422">
        <f>VLOOKUP(A422,[9]sheet1!$C:$H,6,0)</f>
        <v>437</v>
      </c>
    </row>
    <row r="423" hidden="1" spans="1:5">
      <c r="A423" s="3">
        <v>115278007</v>
      </c>
      <c r="B423" t="s">
        <v>277</v>
      </c>
      <c r="C423" s="4">
        <v>0</v>
      </c>
      <c r="D423" t="e">
        <f>VLOOKUP(A423,[9]sheet1!$C:$H,6,0)</f>
        <v>#N/A</v>
      </c>
    </row>
    <row r="424" hidden="1" spans="1:5">
      <c r="A424" s="3">
        <v>115151005</v>
      </c>
      <c r="B424" t="s">
        <v>227</v>
      </c>
      <c r="C424" s="4">
        <v>1816</v>
      </c>
      <c r="D424">
        <f>VLOOKUP(A424,[9]sheet1!$C:$H,6,0)</f>
        <v>1795</v>
      </c>
    </row>
    <row r="425" hidden="1" spans="1:5">
      <c r="A425" s="3">
        <v>115114001</v>
      </c>
      <c r="B425" t="s">
        <v>57</v>
      </c>
      <c r="C425" s="4">
        <v>0</v>
      </c>
      <c r="D425" t="e">
        <f>VLOOKUP(A425,[9]sheet1!$C:$H,6,0)</f>
        <v>#N/A</v>
      </c>
    </row>
    <row r="426" spans="1:5">
      <c r="A426" s="3">
        <v>12230702</v>
      </c>
      <c r="B426" t="s">
        <v>290</v>
      </c>
      <c r="C426" s="15">
        <v>0</v>
      </c>
      <c r="D426">
        <f>VLOOKUP(A426,[9]sheet1!$C:$H,6,0)</f>
        <v>0</v>
      </c>
      <c r="E426" s="7" t="e">
        <f>D426/C426-1</f>
        <v>#DIV/0!</v>
      </c>
    </row>
    <row r="427" spans="1:5">
      <c r="A427" s="3">
        <v>11230701</v>
      </c>
      <c r="B427" t="s">
        <v>185</v>
      </c>
      <c r="C427" s="15">
        <v>0</v>
      </c>
      <c r="D427">
        <f>VLOOKUP(A427,[9]sheet1!$C:$H,6,0)</f>
        <v>0</v>
      </c>
      <c r="E427" s="7" t="e">
        <f>D427/C427-1</f>
        <v>#DIV/0!</v>
      </c>
    </row>
    <row r="428" spans="1:5">
      <c r="A428" s="3">
        <v>12230618</v>
      </c>
      <c r="B428" t="s">
        <v>138</v>
      </c>
      <c r="C428" s="15">
        <v>0</v>
      </c>
      <c r="D428" t="e">
        <f>VLOOKUP(A428,[9]sheet1!$C:$H,6,0)</f>
        <v>#N/A</v>
      </c>
      <c r="E428" s="7" t="e">
        <f>D428/C428-1</f>
        <v>#N/A</v>
      </c>
    </row>
    <row r="429" spans="1:5">
      <c r="A429" s="3">
        <v>12130608</v>
      </c>
      <c r="B429" t="s">
        <v>138</v>
      </c>
      <c r="C429" s="15">
        <v>0</v>
      </c>
      <c r="D429">
        <f>VLOOKUP(A429,[9]sheet1!$C:$H,6,0)</f>
        <v>0</v>
      </c>
      <c r="E429" s="7" t="e">
        <f>D429/C429-1</f>
        <v>#DIV/0!</v>
      </c>
    </row>
    <row r="430" hidden="1" spans="1:5">
      <c r="A430" t="s">
        <v>710</v>
      </c>
      <c r="B430" t="s">
        <v>141</v>
      </c>
      <c r="C430" s="4">
        <v>514</v>
      </c>
      <c r="D430">
        <f>VLOOKUP(A430,[9]sheet1!$C:$H,6,0)</f>
        <v>2990</v>
      </c>
    </row>
    <row r="431" hidden="1" spans="1:5">
      <c r="A431" s="3">
        <v>115101013</v>
      </c>
      <c r="B431" t="s">
        <v>104</v>
      </c>
      <c r="C431" s="4">
        <v>1144</v>
      </c>
      <c r="D431">
        <f>VLOOKUP(A431,[9]sheet1!$C:$H,6,0)</f>
        <v>2691</v>
      </c>
    </row>
    <row r="432" hidden="1" spans="1:5">
      <c r="A432" s="3">
        <v>115101001</v>
      </c>
      <c r="B432" t="s">
        <v>104</v>
      </c>
      <c r="C432" s="4">
        <v>1109</v>
      </c>
      <c r="D432">
        <f>VLOOKUP(A432,[9]sheet1!$C:$H,6,0)</f>
        <v>590</v>
      </c>
    </row>
    <row r="433" hidden="1" spans="1:5">
      <c r="A433" s="3">
        <v>125212014</v>
      </c>
      <c r="B433" t="s">
        <v>109</v>
      </c>
      <c r="C433" s="4">
        <v>0</v>
      </c>
      <c r="D433" t="e">
        <f>VLOOKUP(A433,[9]sheet1!$C:$H,6,0)</f>
        <v>#N/A</v>
      </c>
    </row>
    <row r="434" hidden="1" spans="1:5">
      <c r="A434" t="s">
        <v>717</v>
      </c>
      <c r="B434" t="s">
        <v>220</v>
      </c>
      <c r="C434" s="4">
        <v>0</v>
      </c>
      <c r="D434">
        <f>VLOOKUP(A434,[9]sheet1!$C:$H,6,0)</f>
        <v>727</v>
      </c>
    </row>
    <row r="435" hidden="1" spans="1:5">
      <c r="A435" s="3">
        <v>115212013</v>
      </c>
      <c r="B435" t="s">
        <v>51</v>
      </c>
      <c r="C435" s="4">
        <v>524</v>
      </c>
      <c r="D435" t="e">
        <f>VLOOKUP(A435,[9]sheet1!$C:$H,6,0)</f>
        <v>#N/A</v>
      </c>
    </row>
    <row r="436" hidden="1" spans="1:5">
      <c r="A436" s="3">
        <v>1105212020</v>
      </c>
      <c r="B436" t="s">
        <v>51</v>
      </c>
      <c r="C436" s="4">
        <v>0</v>
      </c>
      <c r="D436" t="e">
        <f>VLOOKUP(A436,[9]sheet1!$C:$H,6,0)</f>
        <v>#N/A</v>
      </c>
    </row>
    <row r="437" hidden="1" spans="1:5">
      <c r="A437" s="3">
        <v>115101019</v>
      </c>
      <c r="B437" t="s">
        <v>104</v>
      </c>
      <c r="C437" s="4">
        <v>0</v>
      </c>
      <c r="D437" t="e">
        <f>VLOOKUP(A437,[9]sheet1!$C:$H,6,0)</f>
        <v>#N/A</v>
      </c>
    </row>
    <row r="438" hidden="1" spans="1:5">
      <c r="A438" s="3">
        <v>135116010</v>
      </c>
      <c r="B438" t="s">
        <v>448</v>
      </c>
      <c r="C438" s="4">
        <v>0</v>
      </c>
      <c r="D438">
        <f>VLOOKUP(A438,[9]sheet1!$C:$H,6,0)</f>
        <v>0</v>
      </c>
    </row>
    <row r="439" spans="1:5">
      <c r="A439" s="3">
        <v>12130702</v>
      </c>
      <c r="B439" t="s">
        <v>290</v>
      </c>
      <c r="C439" s="15">
        <v>330</v>
      </c>
      <c r="D439" t="e">
        <f>VLOOKUP(A439,[9]sheet1!$C:$H,6,0)</f>
        <v>#N/A</v>
      </c>
      <c r="E439" s="7" t="e">
        <f>D439/C439-1</f>
        <v>#N/A</v>
      </c>
    </row>
    <row r="440" hidden="1" spans="1:5">
      <c r="A440" t="s">
        <v>726</v>
      </c>
      <c r="B440" t="s">
        <v>100</v>
      </c>
      <c r="C440" s="4">
        <v>730</v>
      </c>
      <c r="D440">
        <f>VLOOKUP(A440,[9]sheet1!$C:$H,6,0)</f>
        <v>0</v>
      </c>
    </row>
    <row r="441" hidden="1" spans="1:5">
      <c r="A441" s="3">
        <v>115119031</v>
      </c>
      <c r="B441" t="s">
        <v>100</v>
      </c>
      <c r="C441" s="4">
        <v>711</v>
      </c>
      <c r="D441">
        <f>VLOOKUP(A441,[9]sheet1!$C:$H,6,0)</f>
        <v>4471</v>
      </c>
    </row>
    <row r="442" hidden="1" spans="1:5">
      <c r="A442" s="3">
        <v>115101007</v>
      </c>
      <c r="B442" t="s">
        <v>104</v>
      </c>
      <c r="C442" s="4">
        <v>0</v>
      </c>
      <c r="D442">
        <f>VLOOKUP(A442,[9]sheet1!$C:$H,6,0)</f>
        <v>0</v>
      </c>
    </row>
    <row r="443" spans="1:5">
      <c r="A443" s="3">
        <v>12230706</v>
      </c>
      <c r="B443" t="s">
        <v>290</v>
      </c>
      <c r="C443" s="15">
        <v>0</v>
      </c>
      <c r="D443" t="e">
        <f>VLOOKUP(A443,[9]sheet1!$C:$H,6,0)</f>
        <v>#N/A</v>
      </c>
      <c r="E443" s="7" t="e">
        <f>D443/C443-1</f>
        <v>#N/A</v>
      </c>
    </row>
    <row r="444" hidden="1" spans="1:5">
      <c r="A444" s="3">
        <v>1125116008</v>
      </c>
      <c r="B444" t="s">
        <v>299</v>
      </c>
      <c r="C444" s="4">
        <v>0</v>
      </c>
      <c r="D444" t="e">
        <f>VLOOKUP(A444,[9]sheet1!$C:$H,6,0)</f>
        <v>#N/A</v>
      </c>
    </row>
    <row r="445" hidden="1" spans="1:5">
      <c r="A445" s="3">
        <v>1115116007</v>
      </c>
      <c r="B445" t="s">
        <v>54</v>
      </c>
      <c r="C445" s="4">
        <v>0</v>
      </c>
      <c r="D445">
        <f>VLOOKUP(A445,[9]sheet1!$C:$H,6,0)</f>
        <v>834</v>
      </c>
    </row>
    <row r="446" hidden="1" spans="1:5">
      <c r="A446" s="3">
        <v>125151008</v>
      </c>
      <c r="B446" t="s">
        <v>418</v>
      </c>
      <c r="C446" s="4">
        <v>0</v>
      </c>
      <c r="D446">
        <f>VLOOKUP(A446,[9]sheet1!$C:$H,6,0)</f>
        <v>0</v>
      </c>
    </row>
    <row r="447" hidden="1" spans="1:5">
      <c r="A447" s="3">
        <v>1125178002</v>
      </c>
      <c r="B447" t="s">
        <v>527</v>
      </c>
      <c r="C447" s="4">
        <v>281</v>
      </c>
      <c r="D447">
        <f>VLOOKUP(A447,[9]sheet1!$C:$H,6,0)</f>
        <v>7618</v>
      </c>
    </row>
    <row r="448" hidden="1" spans="1:5">
      <c r="A448" s="3">
        <v>125151010</v>
      </c>
      <c r="B448" t="s">
        <v>418</v>
      </c>
      <c r="C448" s="4">
        <v>744</v>
      </c>
      <c r="D448" t="e">
        <f>VLOOKUP(A448,[9]sheet1!$C:$H,6,0)</f>
        <v>#N/A</v>
      </c>
    </row>
    <row r="449" hidden="1" spans="1:4">
      <c r="A449" s="3">
        <v>115151009</v>
      </c>
      <c r="B449" t="s">
        <v>227</v>
      </c>
      <c r="C449" s="4">
        <v>372</v>
      </c>
      <c r="D449" t="e">
        <f>VLOOKUP(A449,[9]sheet1!$C:$H,6,0)</f>
        <v>#N/A</v>
      </c>
    </row>
    <row r="450" hidden="1" spans="1:4">
      <c r="A450" s="3">
        <v>1125101020</v>
      </c>
      <c r="B450" t="s">
        <v>141</v>
      </c>
      <c r="C450" s="4">
        <v>0</v>
      </c>
      <c r="D450">
        <f>VLOOKUP(A450,[9]sheet1!$C:$H,6,0)</f>
        <v>0</v>
      </c>
    </row>
    <row r="451" hidden="1" spans="1:4">
      <c r="A451" s="3">
        <v>1125101008</v>
      </c>
      <c r="B451" t="s">
        <v>141</v>
      </c>
      <c r="C451" s="4">
        <v>432</v>
      </c>
      <c r="D451">
        <f>VLOOKUP(A451,[9]sheet1!$C:$H,6,0)</f>
        <v>460</v>
      </c>
    </row>
    <row r="452" hidden="1" spans="1:4">
      <c r="A452" t="s">
        <v>743</v>
      </c>
      <c r="B452" t="s">
        <v>227</v>
      </c>
      <c r="C452" s="4">
        <v>0</v>
      </c>
      <c r="D452">
        <f>VLOOKUP(A452,[9]sheet1!$C:$H,6,0)</f>
        <v>0</v>
      </c>
    </row>
    <row r="453" hidden="1" spans="1:4">
      <c r="A453" t="s">
        <v>745</v>
      </c>
      <c r="B453" t="s">
        <v>117</v>
      </c>
      <c r="C453" s="4">
        <v>0</v>
      </c>
      <c r="D453" t="e">
        <f>VLOOKUP(A453,[9]sheet1!$C:$H,6,0)</f>
        <v>#N/A</v>
      </c>
    </row>
    <row r="454" hidden="1" spans="1:4">
      <c r="A454" t="s">
        <v>747</v>
      </c>
      <c r="B454" t="s">
        <v>461</v>
      </c>
      <c r="C454" s="4">
        <v>0</v>
      </c>
      <c r="D454">
        <f>VLOOKUP(A454,[9]sheet1!$C:$H,6,0)</f>
        <v>0</v>
      </c>
    </row>
    <row r="455" hidden="1" spans="1:4">
      <c r="A455" s="3">
        <v>124310206</v>
      </c>
      <c r="B455" t="s">
        <v>206</v>
      </c>
      <c r="C455" s="4">
        <v>0</v>
      </c>
      <c r="D455">
        <f>VLOOKUP(A455,[9]sheet1!$C:$H,6,0)</f>
        <v>0</v>
      </c>
    </row>
    <row r="456" hidden="1" spans="1:4">
      <c r="A456" s="3">
        <v>114310205</v>
      </c>
      <c r="B456" t="s">
        <v>751</v>
      </c>
      <c r="C456" s="4">
        <v>0</v>
      </c>
      <c r="D456" t="e">
        <f>VLOOKUP(A456,[9]sheet1!$C:$H,6,0)</f>
        <v>#N/A</v>
      </c>
    </row>
    <row r="457" hidden="1" spans="1:4">
      <c r="A457" s="3">
        <v>105025005</v>
      </c>
      <c r="B457" t="s">
        <v>78</v>
      </c>
      <c r="C457" s="4">
        <v>0</v>
      </c>
      <c r="D457" t="e">
        <f>VLOOKUP(A457,[9]sheet1!$C:$H,6,0)</f>
        <v>#N/A</v>
      </c>
    </row>
    <row r="458" hidden="1" spans="1:4">
      <c r="A458" s="3">
        <v>11340303</v>
      </c>
      <c r="B458" t="s">
        <v>330</v>
      </c>
      <c r="C458" s="4">
        <v>2489</v>
      </c>
      <c r="D458">
        <f>VLOOKUP(A458,[9]sheet1!$C:$H,6,0)</f>
        <v>1780</v>
      </c>
    </row>
    <row r="459" hidden="1" spans="1:4">
      <c r="A459" s="3">
        <v>105025003</v>
      </c>
      <c r="B459" t="s">
        <v>78</v>
      </c>
      <c r="C459" s="4">
        <v>0</v>
      </c>
      <c r="D459">
        <f>VLOOKUP(A459,[9]sheet1!$C:$H,6,0)</f>
        <v>370</v>
      </c>
    </row>
    <row r="460" hidden="1" spans="1:4">
      <c r="A460" s="3">
        <v>16123410</v>
      </c>
      <c r="B460" t="s">
        <v>304</v>
      </c>
      <c r="C460" s="4">
        <v>0</v>
      </c>
      <c r="D460" t="e">
        <f>VLOOKUP(A460,[9]sheet1!$C:$H,6,0)</f>
        <v>#N/A</v>
      </c>
    </row>
    <row r="461" hidden="1" spans="1:4">
      <c r="A461" s="3">
        <v>16223409</v>
      </c>
      <c r="B461" t="s">
        <v>304</v>
      </c>
      <c r="C461" s="4">
        <v>0</v>
      </c>
      <c r="D461">
        <f>VLOOKUP(A461,[9]sheet1!$C:$H,6,0)</f>
        <v>0</v>
      </c>
    </row>
    <row r="462" hidden="1" spans="1:4">
      <c r="A462" s="3">
        <v>116206303</v>
      </c>
      <c r="B462" t="s">
        <v>758</v>
      </c>
      <c r="C462" s="4" t="e">
        <v>#N/A</v>
      </c>
      <c r="D462" t="e">
        <f>VLOOKUP(A462,[9]sheet1!$C:$H,6,0)</f>
        <v>#N/A</v>
      </c>
    </row>
    <row r="463" hidden="1" spans="1:4">
      <c r="A463" s="3">
        <v>16123407</v>
      </c>
      <c r="B463" t="s">
        <v>304</v>
      </c>
      <c r="C463" s="4">
        <v>0</v>
      </c>
      <c r="D463" t="e">
        <f>VLOOKUP(A463,[9]sheet1!$C:$H,6,0)</f>
        <v>#N/A</v>
      </c>
    </row>
    <row r="464" hidden="1" spans="1:4">
      <c r="A464" s="3">
        <v>16423417</v>
      </c>
      <c r="B464" t="s">
        <v>304</v>
      </c>
      <c r="C464" s="4">
        <v>125</v>
      </c>
      <c r="D464" t="e">
        <f>VLOOKUP(A464,[9]sheet1!$C:$H,6,0)</f>
        <v>#N/A</v>
      </c>
    </row>
    <row r="465" hidden="1" spans="1:5">
      <c r="A465" s="3">
        <v>16123409</v>
      </c>
      <c r="B465" t="s">
        <v>304</v>
      </c>
      <c r="C465" s="4">
        <v>0</v>
      </c>
      <c r="D465" t="e">
        <f>VLOOKUP(A465,[9]sheet1!$C:$H,6,0)</f>
        <v>#N/A</v>
      </c>
    </row>
    <row r="466" hidden="1" spans="1:5">
      <c r="A466" s="3">
        <v>16123403</v>
      </c>
      <c r="B466" t="s">
        <v>64</v>
      </c>
      <c r="C466" s="4">
        <v>0</v>
      </c>
      <c r="D466" t="e">
        <f>VLOOKUP(A466,[9]sheet1!$C:$H,6,0)</f>
        <v>#N/A</v>
      </c>
    </row>
    <row r="467" hidden="1" spans="1:5">
      <c r="A467" s="3">
        <v>16223101</v>
      </c>
      <c r="B467" t="s">
        <v>191</v>
      </c>
      <c r="C467" s="4">
        <v>44</v>
      </c>
      <c r="D467">
        <f>VLOOKUP(A467,[9]sheet1!$C:$H,6,0)</f>
        <v>55</v>
      </c>
    </row>
    <row r="468" hidden="1" spans="1:5">
      <c r="A468" s="3">
        <v>16043428</v>
      </c>
      <c r="B468" t="s">
        <v>64</v>
      </c>
      <c r="C468" s="4">
        <v>0</v>
      </c>
      <c r="D468" t="e">
        <f>VLOOKUP(A468,[9]sheet1!$C:$H,6,0)</f>
        <v>#N/A</v>
      </c>
    </row>
    <row r="469" hidden="1" spans="1:5">
      <c r="A469" s="3">
        <v>16423418</v>
      </c>
      <c r="B469" t="s">
        <v>75</v>
      </c>
      <c r="C469" s="4">
        <v>0</v>
      </c>
      <c r="D469" t="e">
        <f>VLOOKUP(A469,[9]sheet1!$C:$H,6,0)</f>
        <v>#N/A</v>
      </c>
    </row>
    <row r="470" hidden="1" spans="1:5">
      <c r="A470" s="3">
        <v>16143205</v>
      </c>
      <c r="B470" t="s">
        <v>768</v>
      </c>
      <c r="C470" s="4">
        <v>0</v>
      </c>
      <c r="D470">
        <f>VLOOKUP(A470,[9]sheet1!$C:$H,6,0)</f>
        <v>0</v>
      </c>
    </row>
    <row r="471" hidden="1" spans="1:5">
      <c r="A471" s="3">
        <v>16323402</v>
      </c>
      <c r="B471" t="s">
        <v>304</v>
      </c>
      <c r="C471" s="4">
        <v>0</v>
      </c>
      <c r="D471" t="e">
        <f>VLOOKUP(A471,[9]sheet1!$C:$H,6,0)</f>
        <v>#N/A</v>
      </c>
    </row>
    <row r="472" hidden="1" spans="1:5">
      <c r="A472" s="3">
        <v>16243103</v>
      </c>
      <c r="B472" t="s">
        <v>771</v>
      </c>
      <c r="C472" s="4">
        <v>0</v>
      </c>
      <c r="D472" t="e">
        <f>VLOOKUP(A472,[9]sheet1!$C:$H,6,0)</f>
        <v>#N/A</v>
      </c>
    </row>
    <row r="473" hidden="1" spans="1:5">
      <c r="A473" s="3">
        <v>16343418</v>
      </c>
      <c r="B473" t="s">
        <v>773</v>
      </c>
      <c r="C473" s="4">
        <v>0</v>
      </c>
      <c r="D473" t="e">
        <f>VLOOKUP(A473,[9]sheet1!$C:$H,6,0)</f>
        <v>#N/A</v>
      </c>
    </row>
    <row r="474" hidden="1" spans="1:5">
      <c r="A474" s="3">
        <v>1124310184</v>
      </c>
      <c r="B474" t="s">
        <v>206</v>
      </c>
      <c r="C474" s="4">
        <v>0</v>
      </c>
      <c r="D474" t="e">
        <f>VLOOKUP(A474,[9]sheet1!$C:$H,6,0)</f>
        <v>#N/A</v>
      </c>
    </row>
    <row r="475" hidden="1" spans="1:5">
      <c r="A475" s="3">
        <v>124401056</v>
      </c>
      <c r="B475" t="s">
        <v>104</v>
      </c>
      <c r="C475" s="4">
        <v>0</v>
      </c>
      <c r="D475">
        <f>VLOOKUP(A475,[9]sheet1!$C:$H,6,0)</f>
        <v>0</v>
      </c>
    </row>
    <row r="476" spans="1:5">
      <c r="A476" s="3">
        <v>11130709</v>
      </c>
      <c r="B476" t="s">
        <v>185</v>
      </c>
      <c r="C476" s="15">
        <v>0</v>
      </c>
      <c r="D476" t="e">
        <f>VLOOKUP(A476,[9]sheet1!$C:$H,6,0)</f>
        <v>#N/A</v>
      </c>
      <c r="E476" s="7" t="e">
        <f>D476/C476-1</f>
        <v>#N/A</v>
      </c>
    </row>
    <row r="477" hidden="1" spans="1:5">
      <c r="A477" s="3">
        <v>114408263</v>
      </c>
      <c r="B477" t="s">
        <v>365</v>
      </c>
      <c r="C477" s="4">
        <v>0</v>
      </c>
      <c r="D477">
        <f>VLOOKUP(A477,[9]sheet1!$C:$H,6,0)</f>
        <v>0</v>
      </c>
    </row>
    <row r="478" hidden="1" spans="1:5">
      <c r="A478" s="3">
        <v>114401077</v>
      </c>
      <c r="B478" t="s">
        <v>104</v>
      </c>
      <c r="C478" s="4">
        <v>0</v>
      </c>
      <c r="D478">
        <f>VLOOKUP(A478,[9]sheet1!$C:$H,6,0)</f>
        <v>0</v>
      </c>
    </row>
    <row r="479" hidden="1" spans="1:5">
      <c r="A479" t="s">
        <v>782</v>
      </c>
      <c r="B479" t="s">
        <v>783</v>
      </c>
      <c r="C479" s="4">
        <v>0</v>
      </c>
      <c r="D479">
        <f>VLOOKUP(A479,[9]sheet1!$C:$H,6,0)</f>
        <v>0</v>
      </c>
    </row>
    <row r="480" hidden="1" spans="1:5">
      <c r="A480" s="3">
        <v>124310204</v>
      </c>
      <c r="B480" t="s">
        <v>206</v>
      </c>
      <c r="C480" s="4">
        <v>0</v>
      </c>
      <c r="D480" t="e">
        <f>VLOOKUP(A480,[9]sheet1!$C:$H,6,0)</f>
        <v>#N/A</v>
      </c>
    </row>
    <row r="481" spans="1:5">
      <c r="A481" s="3">
        <v>115306017</v>
      </c>
      <c r="B481" t="s">
        <v>143</v>
      </c>
      <c r="C481" s="15">
        <v>0</v>
      </c>
      <c r="D481">
        <f>VLOOKUP(A481,[9]sheet1!$C:$H,6,0)</f>
        <v>2325</v>
      </c>
      <c r="E481" s="7" t="e">
        <f>D481/C481-1</f>
        <v>#DIV/0!</v>
      </c>
    </row>
    <row r="482" hidden="1" spans="1:5">
      <c r="A482" t="s">
        <v>788</v>
      </c>
      <c r="B482" t="s">
        <v>789</v>
      </c>
      <c r="C482" s="4">
        <v>0</v>
      </c>
      <c r="D482">
        <f>VLOOKUP(A482,[9]sheet1!$C:$H,6,0)</f>
        <v>0</v>
      </c>
    </row>
    <row r="483" hidden="1" spans="1:5">
      <c r="A483" s="3">
        <v>114376411</v>
      </c>
      <c r="B483" t="s">
        <v>330</v>
      </c>
      <c r="C483" s="4">
        <v>0</v>
      </c>
      <c r="D483" t="e">
        <f>VLOOKUP(A483,[9]sheet1!$C:$H,6,0)</f>
        <v>#N/A</v>
      </c>
    </row>
    <row r="484" hidden="1" spans="1:5">
      <c r="A484" t="s">
        <v>792</v>
      </c>
      <c r="B484" t="s">
        <v>365</v>
      </c>
      <c r="C484" s="4">
        <v>0</v>
      </c>
      <c r="D484">
        <f>VLOOKUP(A484,[9]sheet1!$C:$H,6,0)</f>
        <v>0</v>
      </c>
    </row>
    <row r="485" hidden="1" spans="1:5">
      <c r="A485" s="3">
        <v>114401061</v>
      </c>
      <c r="B485" t="s">
        <v>104</v>
      </c>
      <c r="C485" s="4">
        <v>0</v>
      </c>
      <c r="D485">
        <f>VLOOKUP(A485,[9]sheet1!$C:$H,6,0)</f>
        <v>0</v>
      </c>
    </row>
    <row r="486" hidden="1" spans="1:5">
      <c r="A486" s="3">
        <v>114408259</v>
      </c>
      <c r="B486" t="s">
        <v>365</v>
      </c>
      <c r="C486" s="4">
        <v>0</v>
      </c>
      <c r="D486">
        <f>VLOOKUP(A486,[9]sheet1!$C:$H,6,0)</f>
        <v>0</v>
      </c>
    </row>
    <row r="487" hidden="1" spans="1:5">
      <c r="A487" s="3">
        <v>114408257</v>
      </c>
      <c r="B487" t="s">
        <v>365</v>
      </c>
      <c r="C487" s="4">
        <v>0</v>
      </c>
      <c r="D487">
        <f>VLOOKUP(A487,[9]sheet1!$C:$H,6,0)</f>
        <v>0</v>
      </c>
    </row>
    <row r="488" hidden="1" spans="1:5">
      <c r="A488" s="3">
        <v>124301066</v>
      </c>
      <c r="B488" t="s">
        <v>141</v>
      </c>
      <c r="C488" s="4">
        <v>0</v>
      </c>
      <c r="D488">
        <f>VLOOKUP(A488,[9]sheet1!$C:$H,6,0)</f>
        <v>0</v>
      </c>
    </row>
    <row r="489" hidden="1" spans="1:5">
      <c r="A489" s="3">
        <v>124408254</v>
      </c>
      <c r="B489" t="s">
        <v>365</v>
      </c>
      <c r="C489" s="4">
        <v>0</v>
      </c>
      <c r="D489">
        <f>VLOOKUP(A489,[9]sheet1!$C:$H,6,0)</f>
        <v>0</v>
      </c>
    </row>
    <row r="490" hidden="1" spans="1:5">
      <c r="A490" s="3">
        <v>124403128</v>
      </c>
      <c r="B490" t="s">
        <v>328</v>
      </c>
      <c r="C490" s="4">
        <v>0</v>
      </c>
      <c r="D490">
        <f>VLOOKUP(A490,[9]sheet1!$C:$H,6,0)</f>
        <v>0</v>
      </c>
    </row>
    <row r="491" hidden="1" spans="1:5">
      <c r="A491" s="3">
        <v>114301071</v>
      </c>
      <c r="B491" t="s">
        <v>104</v>
      </c>
      <c r="C491" s="4">
        <v>0</v>
      </c>
      <c r="D491">
        <f>VLOOKUP(A491,[9]sheet1!$C:$H,6,0)</f>
        <v>0</v>
      </c>
    </row>
    <row r="492" hidden="1" spans="1:5">
      <c r="A492" s="3">
        <v>114408277</v>
      </c>
      <c r="B492" t="s">
        <v>365</v>
      </c>
      <c r="C492" s="4">
        <v>1776</v>
      </c>
      <c r="D492">
        <f>VLOOKUP(A492,[9]sheet1!$C:$H,6,0)</f>
        <v>0</v>
      </c>
    </row>
    <row r="493" hidden="1" spans="1:5">
      <c r="A493" s="3">
        <v>134401045</v>
      </c>
      <c r="B493" t="s">
        <v>84</v>
      </c>
      <c r="C493" s="4">
        <v>0</v>
      </c>
      <c r="D493">
        <f>VLOOKUP(A493,[9]sheet1!$C:$H,6,0)</f>
        <v>0</v>
      </c>
    </row>
    <row r="494" hidden="1" spans="1:5">
      <c r="A494" s="3">
        <v>124403126</v>
      </c>
      <c r="B494" t="s">
        <v>328</v>
      </c>
      <c r="C494" s="4">
        <v>0</v>
      </c>
      <c r="D494">
        <f>VLOOKUP(A494,[9]sheet1!$C:$H,6,0)</f>
        <v>0</v>
      </c>
    </row>
    <row r="495" hidden="1" spans="1:5">
      <c r="A495" s="3">
        <v>114408273</v>
      </c>
      <c r="B495" t="s">
        <v>365</v>
      </c>
      <c r="C495" s="4">
        <v>0</v>
      </c>
      <c r="D495">
        <f>VLOOKUP(A495,[9]sheet1!$C:$H,6,0)</f>
        <v>0</v>
      </c>
    </row>
    <row r="496" hidden="1" spans="1:5">
      <c r="A496" s="3">
        <v>134408270</v>
      </c>
      <c r="B496" t="s">
        <v>815</v>
      </c>
      <c r="C496" s="4">
        <v>0</v>
      </c>
      <c r="D496">
        <f>VLOOKUP(A496,[9]sheet1!$C:$H,6,0)</f>
        <v>0</v>
      </c>
    </row>
    <row r="497" hidden="1" spans="1:4">
      <c r="A497" t="s">
        <v>818</v>
      </c>
      <c r="B497" t="s">
        <v>258</v>
      </c>
      <c r="C497" s="4">
        <v>0</v>
      </c>
      <c r="D497">
        <f>VLOOKUP(A497,[9]sheet1!$C:$H,6,0)</f>
        <v>0</v>
      </c>
    </row>
    <row r="498" hidden="1" spans="1:4">
      <c r="A498" s="3">
        <v>124408240</v>
      </c>
      <c r="B498" t="s">
        <v>365</v>
      </c>
      <c r="C498" s="4">
        <v>0</v>
      </c>
      <c r="D498">
        <f>VLOOKUP(A498,[9]sheet1!$C:$H,6,0)</f>
        <v>0</v>
      </c>
    </row>
    <row r="499" hidden="1" spans="1:4">
      <c r="A499" t="s">
        <v>822</v>
      </c>
      <c r="B499" t="s">
        <v>104</v>
      </c>
      <c r="C499" s="4">
        <v>0</v>
      </c>
      <c r="D499">
        <f>VLOOKUP(A499,[9]sheet1!$C:$H,6,0)</f>
        <v>0</v>
      </c>
    </row>
    <row r="500" hidden="1" spans="1:4">
      <c r="A500" t="s">
        <v>825</v>
      </c>
      <c r="B500" t="s">
        <v>258</v>
      </c>
      <c r="C500" s="4">
        <v>0</v>
      </c>
      <c r="D500">
        <f>VLOOKUP(A500,[9]sheet1!$C:$H,6,0)</f>
        <v>0</v>
      </c>
    </row>
    <row r="501" hidden="1" spans="1:4">
      <c r="A501" s="3">
        <v>134301043</v>
      </c>
      <c r="B501" t="s">
        <v>84</v>
      </c>
      <c r="C501" s="4">
        <v>1116</v>
      </c>
      <c r="D501">
        <f>VLOOKUP(A501,[9]sheet1!$C:$H,6,0)</f>
        <v>351</v>
      </c>
    </row>
    <row r="502" hidden="1" spans="1:4">
      <c r="A502" t="s">
        <v>829</v>
      </c>
      <c r="B502" t="s">
        <v>461</v>
      </c>
      <c r="C502" s="4">
        <v>0</v>
      </c>
      <c r="D502" t="e">
        <f>VLOOKUP(A502,[9]sheet1!$C:$H,6,0)</f>
        <v>#N/A</v>
      </c>
    </row>
    <row r="503" hidden="1" spans="1:4">
      <c r="A503" t="s">
        <v>831</v>
      </c>
      <c r="B503" t="s">
        <v>117</v>
      </c>
      <c r="C503" s="4">
        <v>0</v>
      </c>
      <c r="D503" t="e">
        <f>VLOOKUP(A503,[9]sheet1!$C:$H,6,0)</f>
        <v>#N/A</v>
      </c>
    </row>
    <row r="504" hidden="1" spans="1:4">
      <c r="A504" t="s">
        <v>833</v>
      </c>
      <c r="B504" t="s">
        <v>206</v>
      </c>
      <c r="C504" s="4">
        <v>351</v>
      </c>
      <c r="D504">
        <f>VLOOKUP(A504,[9]sheet1!$C:$H,6,0)</f>
        <v>0</v>
      </c>
    </row>
    <row r="505" hidden="1" spans="1:4">
      <c r="A505" s="3">
        <v>134409343</v>
      </c>
      <c r="B505" t="s">
        <v>667</v>
      </c>
      <c r="C505" s="4">
        <v>0</v>
      </c>
      <c r="D505">
        <f>VLOOKUP(A505,[9]sheet1!$C:$H,6,0)</f>
        <v>0</v>
      </c>
    </row>
    <row r="506" hidden="1" spans="1:4">
      <c r="A506" s="3">
        <v>114311235</v>
      </c>
      <c r="B506" t="s">
        <v>277</v>
      </c>
      <c r="C506" s="4">
        <v>0</v>
      </c>
      <c r="D506" t="e">
        <f>VLOOKUP(A506,[9]sheet1!$C:$H,6,0)</f>
        <v>#N/A</v>
      </c>
    </row>
    <row r="507" hidden="1" spans="1:4">
      <c r="A507" s="3">
        <v>134301049</v>
      </c>
      <c r="B507" t="s">
        <v>84</v>
      </c>
      <c r="C507" s="4">
        <v>1416</v>
      </c>
      <c r="D507">
        <f>VLOOKUP(A507,[9]sheet1!$C:$H,6,0)</f>
        <v>437</v>
      </c>
    </row>
    <row r="508" hidden="1" spans="1:4">
      <c r="A508" s="3">
        <v>134408267</v>
      </c>
      <c r="B508" t="s">
        <v>815</v>
      </c>
      <c r="C508" s="4">
        <v>0</v>
      </c>
      <c r="D508">
        <f>VLOOKUP(A508,[9]sheet1!$C:$H,6,0)</f>
        <v>0</v>
      </c>
    </row>
    <row r="509" hidden="1" spans="1:4">
      <c r="A509" s="3">
        <v>134306146</v>
      </c>
      <c r="B509" t="s">
        <v>442</v>
      </c>
      <c r="C509" s="4">
        <v>0</v>
      </c>
      <c r="D509">
        <f>VLOOKUP(A509,[9]sheet1!$C:$H,6,0)</f>
        <v>0</v>
      </c>
    </row>
    <row r="510" hidden="1" spans="1:4">
      <c r="A510" s="3">
        <v>114408265</v>
      </c>
      <c r="B510" t="s">
        <v>365</v>
      </c>
      <c r="C510" s="4">
        <v>0</v>
      </c>
      <c r="D510">
        <f>VLOOKUP(A510,[9]sheet1!$C:$H,6,0)</f>
        <v>0</v>
      </c>
    </row>
    <row r="511" hidden="1" spans="1:4">
      <c r="A511" s="3">
        <v>114319017</v>
      </c>
      <c r="B511" t="s">
        <v>100</v>
      </c>
      <c r="C511" s="4">
        <v>0</v>
      </c>
      <c r="D511">
        <f>VLOOKUP(A511,[9]sheet1!$C:$H,6,0)</f>
        <v>1365</v>
      </c>
    </row>
    <row r="512" hidden="1" spans="1:4">
      <c r="A512" t="s">
        <v>844</v>
      </c>
      <c r="B512" t="s">
        <v>258</v>
      </c>
      <c r="C512" s="4">
        <v>0</v>
      </c>
      <c r="D512">
        <f>VLOOKUP(A512,[9]sheet1!$C:$H,6,0)</f>
        <v>0</v>
      </c>
    </row>
    <row r="513" hidden="1" spans="1:5">
      <c r="A513" s="3">
        <v>114408255</v>
      </c>
      <c r="B513" t="s">
        <v>365</v>
      </c>
      <c r="C513" s="4">
        <v>0</v>
      </c>
      <c r="D513">
        <f>VLOOKUP(A513,[9]sheet1!$C:$H,6,0)</f>
        <v>0</v>
      </c>
    </row>
    <row r="514" hidden="1" spans="1:5">
      <c r="A514" s="3">
        <v>124408258</v>
      </c>
      <c r="B514" t="s">
        <v>258</v>
      </c>
      <c r="C514" s="4">
        <v>0</v>
      </c>
      <c r="D514">
        <f>VLOOKUP(A514,[9]sheet1!$C:$H,6,0)</f>
        <v>0</v>
      </c>
    </row>
    <row r="515" hidden="1" spans="1:5">
      <c r="A515" s="3">
        <v>114401069</v>
      </c>
      <c r="B515" t="s">
        <v>104</v>
      </c>
      <c r="C515" s="4">
        <v>1930</v>
      </c>
      <c r="D515">
        <f>VLOOKUP(A515,[9]sheet1!$C:$H,6,0)</f>
        <v>0</v>
      </c>
    </row>
    <row r="516" hidden="1" spans="1:5">
      <c r="A516" s="3">
        <v>114301015</v>
      </c>
      <c r="B516" t="s">
        <v>104</v>
      </c>
      <c r="C516" s="4">
        <v>0</v>
      </c>
      <c r="D516">
        <f>VLOOKUP(A516,[9]sheet1!$C:$H,6,0)</f>
        <v>0</v>
      </c>
    </row>
    <row r="517" hidden="1" spans="1:5">
      <c r="A517" s="3">
        <v>124311236</v>
      </c>
      <c r="B517" t="s">
        <v>198</v>
      </c>
      <c r="C517" s="4">
        <v>0</v>
      </c>
      <c r="D517" t="e">
        <f>VLOOKUP(A517,[9]sheet1!$C:$H,6,0)</f>
        <v>#N/A</v>
      </c>
    </row>
    <row r="518" hidden="1" spans="1:5">
      <c r="A518" s="3">
        <v>114408251</v>
      </c>
      <c r="B518" t="s">
        <v>365</v>
      </c>
      <c r="C518" s="4">
        <v>0</v>
      </c>
      <c r="D518" t="e">
        <f>VLOOKUP(A518,[9]sheet1!$C:$H,6,0)</f>
        <v>#N/A</v>
      </c>
    </row>
    <row r="519" hidden="1" spans="1:5">
      <c r="A519" t="s">
        <v>855</v>
      </c>
      <c r="B519" t="s">
        <v>258</v>
      </c>
      <c r="C519" s="4">
        <v>0</v>
      </c>
      <c r="D519">
        <f>VLOOKUP(A519,[9]sheet1!$C:$H,6,0)</f>
        <v>0</v>
      </c>
    </row>
    <row r="520" hidden="1" spans="1:5">
      <c r="A520" s="3">
        <v>114409341</v>
      </c>
      <c r="B520" t="s">
        <v>857</v>
      </c>
      <c r="C520" s="4">
        <v>432</v>
      </c>
      <c r="D520">
        <f>VLOOKUP(A520,[9]sheet1!$C:$H,6,0)</f>
        <v>0</v>
      </c>
    </row>
    <row r="521" hidden="1" spans="1:5">
      <c r="A521" s="3">
        <v>124304118</v>
      </c>
      <c r="B521" t="s">
        <v>860</v>
      </c>
      <c r="C521" s="4">
        <v>0</v>
      </c>
      <c r="D521">
        <f>VLOOKUP(A521,[9]sheet1!$C:$H,6,0)</f>
        <v>0</v>
      </c>
    </row>
    <row r="522" hidden="1" spans="1:5">
      <c r="A522" t="s">
        <v>862</v>
      </c>
      <c r="B522" t="s">
        <v>860</v>
      </c>
      <c r="C522" s="4">
        <v>0</v>
      </c>
      <c r="D522">
        <f>VLOOKUP(A522,[9]sheet1!$C:$H,6,0)</f>
        <v>0</v>
      </c>
    </row>
    <row r="523" hidden="1" spans="1:5">
      <c r="A523" s="3">
        <v>114301079</v>
      </c>
      <c r="B523" t="s">
        <v>104</v>
      </c>
      <c r="C523" s="4">
        <v>2841</v>
      </c>
      <c r="D523">
        <f>VLOOKUP(A523,[9]sheet1!$C:$H,6,0)</f>
        <v>931</v>
      </c>
    </row>
    <row r="524" hidden="1" spans="1:5">
      <c r="A524" t="s">
        <v>865</v>
      </c>
      <c r="B524" t="s">
        <v>100</v>
      </c>
      <c r="C524" s="4">
        <v>790</v>
      </c>
      <c r="D524">
        <f>VLOOKUP(A524,[9]sheet1!$C:$H,6,0)</f>
        <v>0</v>
      </c>
    </row>
    <row r="525" hidden="1" spans="1:5">
      <c r="A525" t="s">
        <v>867</v>
      </c>
      <c r="B525" t="s">
        <v>206</v>
      </c>
      <c r="C525" s="4">
        <v>0</v>
      </c>
      <c r="D525" t="e">
        <f>VLOOKUP(A525,[9]sheet1!$C:$H,6,0)</f>
        <v>#N/A</v>
      </c>
    </row>
    <row r="526" spans="1:5">
      <c r="A526" s="3">
        <v>115106014</v>
      </c>
      <c r="B526" t="s">
        <v>143</v>
      </c>
      <c r="C526" s="15">
        <v>0</v>
      </c>
      <c r="D526">
        <f>VLOOKUP(A526,[9]sheet1!$C:$H,6,0)</f>
        <v>0</v>
      </c>
      <c r="E526" s="7" t="e">
        <f>D526/C526-1</f>
        <v>#DIV/0!</v>
      </c>
    </row>
    <row r="527" hidden="1" spans="1:5">
      <c r="A527" s="3">
        <v>124310184</v>
      </c>
      <c r="B527" t="s">
        <v>404</v>
      </c>
      <c r="C527" s="4">
        <v>0</v>
      </c>
      <c r="D527" t="e">
        <f>VLOOKUP(A527,[9]sheet1!$C:$H,6,0)</f>
        <v>#N/A</v>
      </c>
    </row>
    <row r="528" hidden="1" spans="1:5">
      <c r="A528" s="3">
        <v>124377366</v>
      </c>
      <c r="B528" t="s">
        <v>871</v>
      </c>
      <c r="C528" s="4">
        <v>0</v>
      </c>
      <c r="D528">
        <f>VLOOKUP(A528,[9]sheet1!$C:$H,6,0)</f>
        <v>0</v>
      </c>
    </row>
    <row r="529" hidden="1" spans="1:5">
      <c r="A529" s="3">
        <v>114315395</v>
      </c>
      <c r="B529" t="s">
        <v>873</v>
      </c>
      <c r="C529" s="4">
        <v>0</v>
      </c>
      <c r="D529">
        <f>VLOOKUP(A529,[9]sheet1!$C:$H,6,0)</f>
        <v>0</v>
      </c>
    </row>
    <row r="530" hidden="1" spans="1:5">
      <c r="A530" s="3">
        <v>164334001</v>
      </c>
      <c r="B530" t="s">
        <v>773</v>
      </c>
      <c r="C530" s="4">
        <v>0</v>
      </c>
      <c r="D530">
        <f>VLOOKUP(A530,[9]sheet1!$C:$H,6,0)</f>
        <v>0</v>
      </c>
    </row>
    <row r="531" hidden="1" spans="1:5">
      <c r="A531" s="3">
        <v>124315398</v>
      </c>
      <c r="B531" t="s">
        <v>461</v>
      </c>
      <c r="C531" s="4">
        <v>0</v>
      </c>
      <c r="D531">
        <f>VLOOKUP(A531,[9]sheet1!$C:$H,6,0)</f>
        <v>0</v>
      </c>
    </row>
    <row r="532" hidden="1" spans="1:5">
      <c r="A532" s="3">
        <v>124301080</v>
      </c>
      <c r="B532" t="s">
        <v>141</v>
      </c>
      <c r="C532" s="4">
        <v>0</v>
      </c>
      <c r="D532">
        <f>VLOOKUP(A532,[9]sheet1!$C:$H,6,0)</f>
        <v>0</v>
      </c>
    </row>
    <row r="533" spans="1:5">
      <c r="A533" s="3">
        <v>125106002</v>
      </c>
      <c r="B533" t="s">
        <v>138</v>
      </c>
      <c r="C533" s="15">
        <v>0</v>
      </c>
      <c r="D533">
        <f>VLOOKUP(A533,[9]sheet1!$C:$H,6,0)</f>
        <v>0</v>
      </c>
      <c r="E533" s="7" t="e">
        <f>D533/C533-1</f>
        <v>#DIV/0!</v>
      </c>
    </row>
    <row r="534" hidden="1" spans="1:5">
      <c r="A534" s="3">
        <v>124311234</v>
      </c>
      <c r="B534" t="s">
        <v>198</v>
      </c>
      <c r="C534" s="4">
        <v>798</v>
      </c>
      <c r="D534">
        <f>VLOOKUP(A534,[9]sheet1!$C:$H,6,0)</f>
        <v>256</v>
      </c>
    </row>
    <row r="535" hidden="1" spans="1:5">
      <c r="A535" s="3">
        <v>124408246</v>
      </c>
      <c r="B535" t="s">
        <v>258</v>
      </c>
      <c r="C535" s="4">
        <v>0</v>
      </c>
      <c r="D535">
        <f>VLOOKUP(A535,[9]sheet1!$C:$H,6,0)</f>
        <v>0</v>
      </c>
    </row>
    <row r="536" hidden="1" spans="1:5">
      <c r="A536" t="s">
        <v>883</v>
      </c>
      <c r="B536" t="s">
        <v>104</v>
      </c>
      <c r="C536" s="4">
        <v>0</v>
      </c>
      <c r="D536" t="e">
        <f>VLOOKUP(A536,[9]sheet1!$C:$H,6,0)</f>
        <v>#N/A</v>
      </c>
    </row>
    <row r="537" hidden="1" spans="1:5">
      <c r="A537" s="3">
        <v>114408249</v>
      </c>
      <c r="B537" t="s">
        <v>365</v>
      </c>
      <c r="C537" s="4">
        <v>0</v>
      </c>
      <c r="D537" t="e">
        <f>VLOOKUP(A537,[9]sheet1!$C:$H,6,0)</f>
        <v>#N/A</v>
      </c>
    </row>
    <row r="538" hidden="1" spans="1:5">
      <c r="A538" t="s">
        <v>887</v>
      </c>
      <c r="B538" t="s">
        <v>100</v>
      </c>
      <c r="C538" s="4">
        <v>790</v>
      </c>
      <c r="D538" t="e">
        <f>VLOOKUP(A538,[9]sheet1!$C:$H,6,0)</f>
        <v>#N/A</v>
      </c>
    </row>
    <row r="539" hidden="1" spans="1:5">
      <c r="A539" s="3">
        <v>124318426</v>
      </c>
      <c r="B539" t="s">
        <v>114</v>
      </c>
      <c r="C539" s="4">
        <v>0</v>
      </c>
      <c r="D539">
        <f>VLOOKUP(A539,[9]sheet1!$C:$H,6,0)</f>
        <v>370</v>
      </c>
    </row>
    <row r="540" hidden="1" spans="1:5">
      <c r="A540" s="3">
        <v>124408244</v>
      </c>
      <c r="B540" t="s">
        <v>365</v>
      </c>
      <c r="C540" s="4">
        <v>0</v>
      </c>
      <c r="D540">
        <f>VLOOKUP(A540,[9]sheet1!$C:$H,6,0)</f>
        <v>0</v>
      </c>
    </row>
    <row r="541" spans="1:5">
      <c r="A541" t="s">
        <v>706</v>
      </c>
      <c r="B541" t="s">
        <v>290</v>
      </c>
      <c r="C541" s="15">
        <v>0</v>
      </c>
      <c r="D541">
        <f>VLOOKUP(A541,[9]sheet1!$C:$H,6,0)</f>
        <v>2876</v>
      </c>
      <c r="E541" s="7" t="e">
        <f>D541/C541-1</f>
        <v>#DIV/0!</v>
      </c>
    </row>
    <row r="542" hidden="1" spans="1:5">
      <c r="A542" s="3">
        <v>124401042</v>
      </c>
      <c r="B542" t="s">
        <v>141</v>
      </c>
      <c r="C542" s="4">
        <v>1864</v>
      </c>
      <c r="D542">
        <f>VLOOKUP(A542,[9]sheet1!$C:$H,6,0)</f>
        <v>6517</v>
      </c>
    </row>
    <row r="543" hidden="1" spans="1:5">
      <c r="A543" s="3">
        <v>114401041</v>
      </c>
      <c r="B543" t="s">
        <v>104</v>
      </c>
      <c r="C543" s="4">
        <v>12876</v>
      </c>
      <c r="D543">
        <f>VLOOKUP(A543,[9]sheet1!$C:$H,6,0)</f>
        <v>1861</v>
      </c>
    </row>
    <row r="544" hidden="1" spans="1:5">
      <c r="A544" t="s">
        <v>895</v>
      </c>
      <c r="B544" t="s">
        <v>45</v>
      </c>
      <c r="C544" s="4">
        <v>354</v>
      </c>
      <c r="D544" t="e">
        <f>VLOOKUP(A544,[9]sheet1!$C:$H,6,0)</f>
        <v>#N/A</v>
      </c>
    </row>
    <row r="545" hidden="1" spans="1:5">
      <c r="A545" s="3">
        <v>124376410</v>
      </c>
      <c r="B545" t="s">
        <v>330</v>
      </c>
      <c r="C545" s="4">
        <v>0</v>
      </c>
      <c r="D545">
        <f>VLOOKUP(A545,[9]sheet1!$C:$H,6,0)</f>
        <v>0</v>
      </c>
    </row>
    <row r="546" hidden="1" spans="1:5">
      <c r="A546" s="3">
        <v>124419012</v>
      </c>
      <c r="B546" t="s">
        <v>100</v>
      </c>
      <c r="C546" s="4">
        <v>0</v>
      </c>
      <c r="D546">
        <f>VLOOKUP(A546,[9]sheet1!$C:$H,6,0)</f>
        <v>0</v>
      </c>
    </row>
    <row r="547" hidden="1" spans="1:5">
      <c r="A547" s="3">
        <v>114419011</v>
      </c>
      <c r="B547" t="s">
        <v>100</v>
      </c>
      <c r="C547" s="4">
        <v>0</v>
      </c>
      <c r="D547">
        <f>VLOOKUP(A547,[9]sheet1!$C:$H,6,0)</f>
        <v>1090</v>
      </c>
    </row>
    <row r="548" hidden="1" spans="1:5">
      <c r="A548" s="3">
        <v>114408241</v>
      </c>
      <c r="B548" t="s">
        <v>601</v>
      </c>
      <c r="C548" s="4">
        <v>0</v>
      </c>
      <c r="D548">
        <f>VLOOKUP(A548,[9]sheet1!$C:$H,6,0)</f>
        <v>0</v>
      </c>
    </row>
    <row r="549" hidden="1" spans="1:5">
      <c r="A549" s="3">
        <v>134408269</v>
      </c>
      <c r="B549" t="s">
        <v>815</v>
      </c>
      <c r="C549" s="4">
        <v>0</v>
      </c>
      <c r="D549">
        <f>VLOOKUP(A549,[9]sheet1!$C:$H,6,0)</f>
        <v>0</v>
      </c>
    </row>
    <row r="550" hidden="1" spans="1:5">
      <c r="A550" s="3">
        <v>114408245</v>
      </c>
      <c r="B550" t="s">
        <v>601</v>
      </c>
      <c r="C550" s="4">
        <v>0</v>
      </c>
      <c r="D550" t="e">
        <f>VLOOKUP(A550,[9]sheet1!$C:$H,6,0)</f>
        <v>#N/A</v>
      </c>
    </row>
    <row r="551" hidden="1" spans="1:5">
      <c r="A551" s="3">
        <v>124376130</v>
      </c>
      <c r="B551" t="s">
        <v>906</v>
      </c>
      <c r="C551" s="4">
        <v>0</v>
      </c>
      <c r="D551" t="e">
        <f>VLOOKUP(A551,[9]sheet1!$C:$H,6,0)</f>
        <v>#N/A</v>
      </c>
    </row>
    <row r="552" hidden="1" spans="1:5">
      <c r="A552" s="3">
        <v>114310189</v>
      </c>
      <c r="B552" t="s">
        <v>117</v>
      </c>
      <c r="C552" s="4">
        <v>0</v>
      </c>
      <c r="D552">
        <f>VLOOKUP(A552,[9]sheet1!$C:$H,6,0)</f>
        <v>769</v>
      </c>
    </row>
    <row r="553" hidden="1" spans="1:5">
      <c r="A553" s="3">
        <v>124420014</v>
      </c>
      <c r="B553" t="s">
        <v>910</v>
      </c>
      <c r="C553" s="4">
        <v>0</v>
      </c>
      <c r="D553">
        <f>VLOOKUP(A553,[9]sheet1!$C:$H,6,0)</f>
        <v>0</v>
      </c>
    </row>
    <row r="554" hidden="1" spans="1:5">
      <c r="A554" s="3">
        <v>124315394</v>
      </c>
      <c r="B554" t="s">
        <v>461</v>
      </c>
      <c r="C554" s="4">
        <v>0</v>
      </c>
      <c r="D554">
        <f>VLOOKUP(A554,[9]sheet1!$C:$H,6,0)</f>
        <v>0</v>
      </c>
    </row>
    <row r="555" spans="1:5">
      <c r="A555" s="3">
        <v>115107001</v>
      </c>
      <c r="B555" t="s">
        <v>185</v>
      </c>
      <c r="C555" s="15">
        <v>0</v>
      </c>
      <c r="D555">
        <f>VLOOKUP(A555,[9]sheet1!$C:$H,6,0)</f>
        <v>1341</v>
      </c>
      <c r="E555" s="7" t="e">
        <f>D555/C555-1</f>
        <v>#DIV/0!</v>
      </c>
    </row>
    <row r="556" hidden="1" spans="1:5">
      <c r="A556" s="3">
        <v>124419008</v>
      </c>
      <c r="B556" t="s">
        <v>100</v>
      </c>
      <c r="C556" s="4">
        <v>5303</v>
      </c>
      <c r="D556">
        <f>VLOOKUP(A556,[9]sheet1!$C:$H,6,0)</f>
        <v>5812</v>
      </c>
    </row>
    <row r="557" hidden="1" spans="1:5">
      <c r="A557" s="3">
        <v>114315393</v>
      </c>
      <c r="B557" t="s">
        <v>54</v>
      </c>
      <c r="C557" s="4">
        <v>0</v>
      </c>
      <c r="D557">
        <f>VLOOKUP(A557,[9]sheet1!$C:$H,6,0)</f>
        <v>0</v>
      </c>
    </row>
    <row r="558" hidden="1" spans="1:5">
      <c r="A558" s="3">
        <v>124318424</v>
      </c>
      <c r="B558" t="s">
        <v>114</v>
      </c>
      <c r="C558" s="4">
        <v>0</v>
      </c>
      <c r="D558">
        <f>VLOOKUP(A558,[9]sheet1!$C:$H,6,0)</f>
        <v>0</v>
      </c>
    </row>
    <row r="559" hidden="1" spans="1:5">
      <c r="A559" s="3">
        <v>134307173</v>
      </c>
      <c r="B559" t="s">
        <v>667</v>
      </c>
      <c r="C559" s="4">
        <v>0</v>
      </c>
      <c r="D559" t="e">
        <f>VLOOKUP(A559,[9]sheet1!$C:$H,6,0)</f>
        <v>#N/A</v>
      </c>
    </row>
    <row r="560" hidden="1" spans="1:5">
      <c r="A560" s="3">
        <v>134310199</v>
      </c>
      <c r="B560" t="s">
        <v>453</v>
      </c>
      <c r="C560" s="4">
        <v>0</v>
      </c>
      <c r="D560" t="e">
        <f>VLOOKUP(A560,[9]sheet1!$C:$H,6,0)</f>
        <v>#N/A</v>
      </c>
    </row>
    <row r="561" spans="1:5">
      <c r="A561" s="3">
        <v>1125107002</v>
      </c>
      <c r="B561" t="s">
        <v>290</v>
      </c>
      <c r="C561" s="15">
        <v>0</v>
      </c>
      <c r="D561">
        <f>VLOOKUP(A561,[9]sheet1!$C:$H,6,0)</f>
        <v>0</v>
      </c>
      <c r="E561" s="7" t="e">
        <f>D561/C561-1</f>
        <v>#DIV/0!</v>
      </c>
    </row>
    <row r="562" hidden="1" spans="1:5">
      <c r="A562" s="3">
        <v>114376129</v>
      </c>
      <c r="B562" t="s">
        <v>330</v>
      </c>
      <c r="C562" s="4">
        <v>711</v>
      </c>
      <c r="D562">
        <f>VLOOKUP(A562,[9]sheet1!$C:$H,6,0)</f>
        <v>790</v>
      </c>
    </row>
    <row r="563" hidden="1" spans="1:5">
      <c r="A563" s="3">
        <v>114301065</v>
      </c>
      <c r="B563" t="s">
        <v>104</v>
      </c>
      <c r="C563" s="4">
        <v>0</v>
      </c>
      <c r="D563">
        <f>VLOOKUP(A563,[9]sheet1!$C:$H,6,0)</f>
        <v>0</v>
      </c>
    </row>
    <row r="564" hidden="1" spans="1:5">
      <c r="A564" s="3">
        <v>134310200</v>
      </c>
      <c r="B564" t="s">
        <v>442</v>
      </c>
      <c r="C564" s="4">
        <v>0</v>
      </c>
      <c r="D564">
        <f>VLOOKUP(A564,[9]sheet1!$C:$H,6,0)</f>
        <v>0</v>
      </c>
    </row>
    <row r="565" spans="1:5">
      <c r="A565" s="3">
        <v>124306142</v>
      </c>
      <c r="B565" t="s">
        <v>138</v>
      </c>
      <c r="C565" s="15">
        <v>866</v>
      </c>
      <c r="D565" t="e">
        <f>VLOOKUP(A565,[9]sheet1!$C:$H,6,0)</f>
        <v>#N/A</v>
      </c>
      <c r="E565" s="7" t="e">
        <f>D565/C565-1</f>
        <v>#N/A</v>
      </c>
    </row>
    <row r="566" hidden="1" spans="1:5">
      <c r="A566" s="3">
        <v>114310201</v>
      </c>
      <c r="B566" t="s">
        <v>117</v>
      </c>
      <c r="C566" s="4">
        <v>272</v>
      </c>
      <c r="D566">
        <f>VLOOKUP(A566,[9]sheet1!$C:$H,6,0)</f>
        <v>194</v>
      </c>
    </row>
    <row r="567" hidden="1" spans="1:5">
      <c r="A567" s="3">
        <v>11340305</v>
      </c>
      <c r="B567" t="s">
        <v>330</v>
      </c>
      <c r="C567" s="4">
        <v>1208</v>
      </c>
      <c r="D567">
        <f>VLOOKUP(A567,[9]sheet1!$C:$H,6,0)</f>
        <v>0</v>
      </c>
    </row>
    <row r="568" hidden="1" spans="1:5">
      <c r="A568" s="3">
        <v>114315385</v>
      </c>
      <c r="B568" t="s">
        <v>54</v>
      </c>
      <c r="C568" s="4">
        <v>0</v>
      </c>
      <c r="D568">
        <f>VLOOKUP(A568,[9]sheet1!$C:$H,6,0)</f>
        <v>988</v>
      </c>
    </row>
    <row r="569" hidden="1" spans="1:5">
      <c r="A569" s="3">
        <v>124315390</v>
      </c>
      <c r="B569" t="s">
        <v>873</v>
      </c>
      <c r="C569" s="4">
        <v>0</v>
      </c>
      <c r="D569">
        <f>VLOOKUP(A569,[9]sheet1!$C:$H,6,0)</f>
        <v>0</v>
      </c>
    </row>
    <row r="570" spans="1:5">
      <c r="A570" s="3">
        <v>124306144</v>
      </c>
      <c r="B570" t="s">
        <v>138</v>
      </c>
      <c r="C570" s="15">
        <v>0</v>
      </c>
      <c r="D570">
        <f>VLOOKUP(A570,[9]sheet1!$C:$H,6,0)</f>
        <v>0</v>
      </c>
      <c r="E570" s="7" t="e">
        <f>D570/C570-1</f>
        <v>#DIV/0!</v>
      </c>
    </row>
    <row r="571" hidden="1" spans="1:5">
      <c r="A571" s="3">
        <v>124315386</v>
      </c>
      <c r="B571" t="s">
        <v>461</v>
      </c>
      <c r="C571" s="4">
        <v>0</v>
      </c>
      <c r="D571">
        <f>VLOOKUP(A571,[9]sheet1!$C:$H,6,0)</f>
        <v>0</v>
      </c>
    </row>
    <row r="572" hidden="1" spans="1:5">
      <c r="A572" s="3">
        <v>134301031</v>
      </c>
      <c r="B572" t="s">
        <v>84</v>
      </c>
      <c r="C572" s="4">
        <v>0</v>
      </c>
      <c r="D572">
        <f>VLOOKUP(A572,[9]sheet1!$C:$H,6,0)</f>
        <v>0</v>
      </c>
    </row>
    <row r="573" spans="1:5">
      <c r="A573" t="s">
        <v>878</v>
      </c>
      <c r="B573" t="s">
        <v>138</v>
      </c>
      <c r="C573" s="15">
        <v>0</v>
      </c>
      <c r="D573" t="e">
        <f>VLOOKUP(A573,[9]sheet1!$C:$H,6,0)</f>
        <v>#N/A</v>
      </c>
      <c r="E573" s="7" t="e">
        <f>D573/C573-1</f>
        <v>#N/A</v>
      </c>
    </row>
    <row r="574" spans="1:5">
      <c r="A574" s="3">
        <v>114306151</v>
      </c>
      <c r="B574" t="s">
        <v>143</v>
      </c>
      <c r="C574" s="15">
        <v>1206</v>
      </c>
      <c r="D574" t="e">
        <f>VLOOKUP(A574,[9]sheet1!$C:$H,6,0)</f>
        <v>#N/A</v>
      </c>
      <c r="E574" s="7" t="e">
        <f>D574/C574-1</f>
        <v>#N/A</v>
      </c>
    </row>
    <row r="575" spans="1:5">
      <c r="A575" s="3">
        <v>124307170</v>
      </c>
      <c r="B575" t="s">
        <v>290</v>
      </c>
      <c r="C575" s="15">
        <v>0</v>
      </c>
      <c r="D575">
        <f>VLOOKUP(A575,[9]sheet1!$C:$H,6,0)</f>
        <v>0</v>
      </c>
      <c r="E575" s="7" t="e">
        <f>D575/C575-1</f>
        <v>#DIV/0!</v>
      </c>
    </row>
    <row r="576" spans="1:5">
      <c r="A576" s="3">
        <v>124307162</v>
      </c>
      <c r="B576" t="s">
        <v>290</v>
      </c>
      <c r="C576" s="15">
        <v>0</v>
      </c>
      <c r="D576" t="e">
        <f>VLOOKUP(A576,[9]sheet1!$C:$H,6,0)</f>
        <v>#N/A</v>
      </c>
      <c r="E576" s="7" t="e">
        <f>D576/C576-1</f>
        <v>#N/A</v>
      </c>
    </row>
    <row r="577" hidden="1" spans="1:5">
      <c r="A577" s="3">
        <v>12421552</v>
      </c>
      <c r="B577" t="s">
        <v>90</v>
      </c>
      <c r="C577" s="4">
        <v>368</v>
      </c>
      <c r="D577" t="e">
        <f>VLOOKUP(A577,[9]sheet1!$C:$H,6,0)</f>
        <v>#N/A</v>
      </c>
    </row>
    <row r="578" spans="1:5">
      <c r="A578" s="3">
        <v>114307175</v>
      </c>
      <c r="B578" t="s">
        <v>185</v>
      </c>
      <c r="C578" s="15">
        <v>0</v>
      </c>
      <c r="D578">
        <f>VLOOKUP(A578,[9]sheet1!$C:$H,6,0)</f>
        <v>0</v>
      </c>
      <c r="E578" s="7" t="e">
        <f>D578/C578-1</f>
        <v>#DIV/0!</v>
      </c>
    </row>
    <row r="579" hidden="1" spans="1:5">
      <c r="A579" s="3">
        <v>164334406</v>
      </c>
      <c r="B579" t="s">
        <v>773</v>
      </c>
      <c r="C579" s="4">
        <v>0</v>
      </c>
      <c r="D579">
        <f>VLOOKUP(A579,[9]sheet1!$C:$H,6,0)</f>
        <v>0</v>
      </c>
    </row>
    <row r="580" hidden="1" spans="1:5">
      <c r="A580" t="s">
        <v>941</v>
      </c>
      <c r="B580" t="s">
        <v>104</v>
      </c>
      <c r="C580" s="4">
        <v>0</v>
      </c>
      <c r="D580">
        <f>VLOOKUP(A580,[9]sheet1!$C:$H,6,0)</f>
        <v>632</v>
      </c>
    </row>
    <row r="581" hidden="1" spans="1:5">
      <c r="A581" t="s">
        <v>944</v>
      </c>
      <c r="B581" t="s">
        <v>220</v>
      </c>
      <c r="C581" s="4">
        <v>0</v>
      </c>
      <c r="D581">
        <f>VLOOKUP(A581,[9]sheet1!$C:$H,6,0)</f>
        <v>432</v>
      </c>
    </row>
    <row r="582" spans="1:5">
      <c r="A582" s="3">
        <v>114307161</v>
      </c>
      <c r="B582" t="s">
        <v>185</v>
      </c>
      <c r="C582" s="15">
        <v>1011</v>
      </c>
      <c r="D582" t="e">
        <f>VLOOKUP(A582,[9]sheet1!$C:$H,6,0)</f>
        <v>#N/A</v>
      </c>
      <c r="E582" s="7" t="e">
        <f>D582/C582-1</f>
        <v>#N/A</v>
      </c>
    </row>
    <row r="583" hidden="1" spans="1:5">
      <c r="A583" t="s">
        <v>947</v>
      </c>
      <c r="B583" t="s">
        <v>117</v>
      </c>
      <c r="C583" s="4">
        <v>798</v>
      </c>
      <c r="D583" t="e">
        <f>VLOOKUP(A583,[9]sheet1!$C:$H,6,0)</f>
        <v>#N/A</v>
      </c>
    </row>
    <row r="584" hidden="1" spans="1:5">
      <c r="A584" t="s">
        <v>949</v>
      </c>
      <c r="B584" t="s">
        <v>461</v>
      </c>
      <c r="C584" s="4">
        <v>0</v>
      </c>
      <c r="D584">
        <f>VLOOKUP(A584,[9]sheet1!$C:$H,6,0)</f>
        <v>0</v>
      </c>
    </row>
    <row r="585" hidden="1" spans="1:5">
      <c r="A585" t="s">
        <v>952</v>
      </c>
      <c r="B585" t="s">
        <v>104</v>
      </c>
      <c r="C585" s="4">
        <v>0</v>
      </c>
      <c r="D585">
        <f>VLOOKUP(A585,[9]sheet1!$C:$H,6,0)</f>
        <v>0</v>
      </c>
    </row>
    <row r="586" hidden="1" spans="1:5">
      <c r="A586" t="s">
        <v>955</v>
      </c>
      <c r="B586" t="s">
        <v>104</v>
      </c>
      <c r="C586" s="4">
        <v>0</v>
      </c>
      <c r="D586">
        <f>VLOOKUP(A586,[9]sheet1!$C:$H,6,0)</f>
        <v>0</v>
      </c>
    </row>
    <row r="587" hidden="1" spans="1:5">
      <c r="A587" t="s">
        <v>957</v>
      </c>
      <c r="B587" t="s">
        <v>227</v>
      </c>
      <c r="C587" s="4">
        <v>0</v>
      </c>
      <c r="D587" t="e">
        <f>VLOOKUP(A587,[9]sheet1!$C:$H,6,0)</f>
        <v>#N/A</v>
      </c>
    </row>
    <row r="588" hidden="1" spans="1:5">
      <c r="A588" t="s">
        <v>959</v>
      </c>
      <c r="B588" t="s">
        <v>252</v>
      </c>
      <c r="C588" s="4">
        <v>472</v>
      </c>
      <c r="D588">
        <f>VLOOKUP(A588,[9]sheet1!$C:$H,6,0)</f>
        <v>0</v>
      </c>
    </row>
    <row r="589" spans="1:5">
      <c r="A589" s="3">
        <v>114307169</v>
      </c>
      <c r="B589" t="s">
        <v>185</v>
      </c>
      <c r="C589" s="15">
        <v>0</v>
      </c>
      <c r="D589">
        <f>VLOOKUP(A589,[9]sheet1!$C:$H,6,0)</f>
        <v>0</v>
      </c>
      <c r="E589" s="7" t="e">
        <f>D589/C589-1</f>
        <v>#DIV/0!</v>
      </c>
    </row>
    <row r="590" hidden="1" spans="1:5">
      <c r="A590" s="3">
        <v>16402502</v>
      </c>
      <c r="B590" t="s">
        <v>78</v>
      </c>
      <c r="C590" s="4">
        <v>0</v>
      </c>
      <c r="D590">
        <f>VLOOKUP(A590,[9]sheet1!$C:$H,6,0)</f>
        <v>488</v>
      </c>
    </row>
    <row r="591" hidden="1" spans="1:5">
      <c r="A591" t="s">
        <v>964</v>
      </c>
      <c r="B591" t="s">
        <v>100</v>
      </c>
      <c r="C591" s="4">
        <v>0</v>
      </c>
      <c r="D591">
        <f>VLOOKUP(A591,[9]sheet1!$C:$H,6,0)</f>
        <v>0</v>
      </c>
    </row>
    <row r="592" hidden="1" spans="1:5">
      <c r="A592" t="s">
        <v>966</v>
      </c>
      <c r="B592" t="s">
        <v>100</v>
      </c>
      <c r="C592" s="4">
        <v>0</v>
      </c>
      <c r="D592">
        <f>VLOOKUP(A592,[9]sheet1!$C:$H,6,0)</f>
        <v>284</v>
      </c>
    </row>
    <row r="593" hidden="1" spans="1:5">
      <c r="A593" s="3">
        <v>164035001</v>
      </c>
      <c r="B593" t="s">
        <v>968</v>
      </c>
      <c r="C593" s="4">
        <v>0</v>
      </c>
      <c r="D593">
        <f>VLOOKUP(A593,[9]sheet1!$C:$H,6,0)</f>
        <v>0</v>
      </c>
    </row>
    <row r="594" hidden="1" spans="1:5">
      <c r="A594" t="s">
        <v>970</v>
      </c>
      <c r="B594" t="s">
        <v>200</v>
      </c>
      <c r="C594" s="4">
        <v>0</v>
      </c>
      <c r="D594" t="e">
        <f>VLOOKUP(A594,[9]sheet1!$C:$H,6,0)</f>
        <v>#N/A</v>
      </c>
    </row>
    <row r="595" hidden="1" spans="1:5">
      <c r="A595" t="s">
        <v>972</v>
      </c>
      <c r="B595" t="s">
        <v>220</v>
      </c>
      <c r="C595" s="4">
        <v>1880</v>
      </c>
      <c r="D595">
        <f>VLOOKUP(A595,[9]sheet1!$C:$H,6,0)</f>
        <v>8569</v>
      </c>
    </row>
    <row r="596" hidden="1" spans="1:5">
      <c r="A596" s="3">
        <v>124351094</v>
      </c>
      <c r="B596" t="s">
        <v>418</v>
      </c>
      <c r="C596" s="4">
        <v>0</v>
      </c>
      <c r="D596" t="e">
        <f>VLOOKUP(A596,[9]sheet1!$C:$H,6,0)</f>
        <v>#N/A</v>
      </c>
    </row>
    <row r="597" hidden="1" spans="1:5">
      <c r="A597" t="s">
        <v>975</v>
      </c>
      <c r="B597" t="s">
        <v>104</v>
      </c>
      <c r="C597" s="4">
        <v>0</v>
      </c>
      <c r="D597">
        <f>VLOOKUP(A597,[9]sheet1!$C:$H,6,0)</f>
        <v>0</v>
      </c>
    </row>
    <row r="598" hidden="1" spans="1:5">
      <c r="A598" s="3">
        <v>114314375</v>
      </c>
      <c r="B598" t="s">
        <v>57</v>
      </c>
      <c r="C598" s="4">
        <v>0</v>
      </c>
      <c r="D598">
        <f>VLOOKUP(A598,[9]sheet1!$C:$H,6,0)</f>
        <v>0</v>
      </c>
    </row>
    <row r="599" hidden="1" spans="1:5">
      <c r="A599" s="3">
        <v>124310190</v>
      </c>
      <c r="B599" t="s">
        <v>206</v>
      </c>
      <c r="C599" s="4">
        <v>0</v>
      </c>
      <c r="D599">
        <f>VLOOKUP(A599,[9]sheet1!$C:$H,6,0)</f>
        <v>0</v>
      </c>
    </row>
    <row r="600" spans="1:5">
      <c r="A600" t="s">
        <v>936</v>
      </c>
      <c r="B600" t="s">
        <v>138</v>
      </c>
      <c r="C600" s="15">
        <v>0</v>
      </c>
      <c r="D600">
        <f>VLOOKUP(A600,[9]sheet1!$C:$H,6,0)</f>
        <v>0</v>
      </c>
      <c r="E600" s="7" t="e">
        <f>D600/C600-1</f>
        <v>#DIV/0!</v>
      </c>
    </row>
    <row r="601" spans="1:5">
      <c r="A601" s="3">
        <v>124307168</v>
      </c>
      <c r="B601" t="s">
        <v>290</v>
      </c>
      <c r="C601" s="15">
        <v>0</v>
      </c>
      <c r="D601">
        <f>VLOOKUP(A601,[9]sheet1!$C:$H,6,0)</f>
        <v>0</v>
      </c>
      <c r="E601" s="7" t="e">
        <f>D601/C601-1</f>
        <v>#DIV/0!</v>
      </c>
    </row>
    <row r="602" hidden="1" spans="1:5">
      <c r="A602" s="3">
        <v>114301039</v>
      </c>
      <c r="B602" t="s">
        <v>104</v>
      </c>
      <c r="C602" s="4">
        <v>0</v>
      </c>
      <c r="D602">
        <f>VLOOKUP(A602,[9]sheet1!$C:$H,6,0)</f>
        <v>0</v>
      </c>
    </row>
    <row r="603" spans="1:5">
      <c r="A603" s="3">
        <v>124351092</v>
      </c>
      <c r="B603" t="s">
        <v>138</v>
      </c>
      <c r="C603" s="15">
        <v>0</v>
      </c>
      <c r="D603">
        <f>VLOOKUP(A603,[9]sheet1!$C:$H,6,0)</f>
        <v>0</v>
      </c>
      <c r="E603" s="7" t="e">
        <f>D603/C603-1</f>
        <v>#DIV/0!</v>
      </c>
    </row>
    <row r="604" spans="1:5">
      <c r="A604" s="3">
        <v>124314374</v>
      </c>
      <c r="B604" t="s">
        <v>290</v>
      </c>
      <c r="C604" s="15">
        <v>0</v>
      </c>
      <c r="D604">
        <f>VLOOKUP(A604,[9]sheet1!$C:$H,6,0)</f>
        <v>398</v>
      </c>
      <c r="E604" s="7" t="e">
        <f>D604/C604-1</f>
        <v>#DIV/0!</v>
      </c>
    </row>
    <row r="605" hidden="1" spans="1:5">
      <c r="A605" s="3">
        <v>164334403</v>
      </c>
      <c r="B605" t="s">
        <v>177</v>
      </c>
      <c r="C605" s="4">
        <v>457</v>
      </c>
      <c r="D605">
        <f>VLOOKUP(A605,[9]sheet1!$C:$H,6,0)</f>
        <v>150</v>
      </c>
    </row>
    <row r="606" hidden="1" spans="1:5">
      <c r="A606" t="s">
        <v>987</v>
      </c>
      <c r="B606" t="s">
        <v>141</v>
      </c>
      <c r="C606" s="4">
        <v>0</v>
      </c>
      <c r="D606">
        <f>VLOOKUP(A606,[9]sheet1!$C:$H,6,0)</f>
        <v>0</v>
      </c>
    </row>
    <row r="607" hidden="1" spans="1:5">
      <c r="A607" t="s">
        <v>989</v>
      </c>
      <c r="B607" t="s">
        <v>141</v>
      </c>
      <c r="C607" s="4">
        <v>0</v>
      </c>
      <c r="D607">
        <f>VLOOKUP(A607,[9]sheet1!$C:$H,6,0)</f>
        <v>0</v>
      </c>
    </row>
    <row r="608" hidden="1" spans="1:5">
      <c r="A608" s="3">
        <v>134334002</v>
      </c>
      <c r="B608" t="s">
        <v>991</v>
      </c>
      <c r="C608" s="4">
        <v>0</v>
      </c>
      <c r="D608">
        <f>VLOOKUP(A608,[9]sheet1!$C:$H,6,0)</f>
        <v>0</v>
      </c>
    </row>
    <row r="609" hidden="1" spans="1:5">
      <c r="A609" s="3">
        <v>116243501</v>
      </c>
      <c r="B609" t="s">
        <v>280</v>
      </c>
      <c r="C609" s="4">
        <v>0</v>
      </c>
      <c r="D609" t="e">
        <f>VLOOKUP(A609,[9]sheet1!$C:$H,6,0)</f>
        <v>#N/A</v>
      </c>
    </row>
    <row r="610" hidden="1" spans="1:5">
      <c r="A610" s="3">
        <v>164025003</v>
      </c>
      <c r="B610" t="s">
        <v>78</v>
      </c>
      <c r="C610" s="4">
        <v>0</v>
      </c>
      <c r="D610">
        <f>VLOOKUP(A610,[9]sheet1!$C:$H,6,0)</f>
        <v>0</v>
      </c>
    </row>
    <row r="611" hidden="1" spans="1:5">
      <c r="A611" s="3">
        <v>164334402</v>
      </c>
      <c r="B611" t="s">
        <v>177</v>
      </c>
      <c r="C611" s="4">
        <v>0</v>
      </c>
      <c r="D611">
        <f>VLOOKUP(A611,[9]sheet1!$C:$H,6,0)</f>
        <v>94</v>
      </c>
    </row>
    <row r="612" hidden="1" spans="1:5">
      <c r="A612" s="3">
        <v>114314371</v>
      </c>
      <c r="B612" t="s">
        <v>57</v>
      </c>
      <c r="C612" s="4">
        <v>646</v>
      </c>
      <c r="D612" t="e">
        <f>VLOOKUP(A612,[9]sheet1!$C:$H,6,0)</f>
        <v>#N/A</v>
      </c>
    </row>
    <row r="613" hidden="1" spans="1:5">
      <c r="A613" s="3">
        <v>114314373</v>
      </c>
      <c r="B613" t="s">
        <v>57</v>
      </c>
      <c r="C613" s="4">
        <v>0</v>
      </c>
      <c r="D613">
        <f>VLOOKUP(A613,[9]sheet1!$C:$H,6,0)</f>
        <v>0</v>
      </c>
    </row>
    <row r="614" spans="1:5">
      <c r="A614" s="3">
        <v>124307166</v>
      </c>
      <c r="B614" t="s">
        <v>290</v>
      </c>
      <c r="C614" s="15">
        <v>0</v>
      </c>
      <c r="D614">
        <f>VLOOKUP(A614,[9]sheet1!$C:$H,6,0)</f>
        <v>518</v>
      </c>
      <c r="E614" s="7" t="e">
        <f>D614/C614-1</f>
        <v>#DIV/0!</v>
      </c>
    </row>
    <row r="615" hidden="1" spans="1:5">
      <c r="A615" s="3">
        <v>114310203</v>
      </c>
      <c r="B615" t="s">
        <v>117</v>
      </c>
      <c r="C615" s="4">
        <v>624</v>
      </c>
      <c r="D615">
        <f>VLOOKUP(A615,[9]sheet1!$C:$H,6,0)</f>
        <v>234</v>
      </c>
    </row>
    <row r="616" spans="1:5">
      <c r="A616" s="3">
        <v>114306143</v>
      </c>
      <c r="B616" t="s">
        <v>143</v>
      </c>
      <c r="C616" s="15">
        <v>0</v>
      </c>
      <c r="D616">
        <f>VLOOKUP(A616,[9]sheet1!$C:$H,6,0)</f>
        <v>0</v>
      </c>
      <c r="E616" s="7" t="e">
        <f>D616/C616-1</f>
        <v>#DIV/0!</v>
      </c>
    </row>
    <row r="617" hidden="1" spans="1:5">
      <c r="A617" s="3">
        <v>114302083</v>
      </c>
      <c r="B617" t="s">
        <v>146</v>
      </c>
      <c r="C617" s="4">
        <v>0</v>
      </c>
      <c r="D617">
        <f>VLOOKUP(A617,[9]sheet1!$C:$H,6,0)</f>
        <v>0</v>
      </c>
    </row>
    <row r="618" spans="1:5">
      <c r="A618" s="3">
        <v>114307165</v>
      </c>
      <c r="B618" t="s">
        <v>185</v>
      </c>
      <c r="C618" s="15">
        <v>0</v>
      </c>
      <c r="D618">
        <f>VLOOKUP(A618,[9]sheet1!$C:$H,6,0)</f>
        <v>0</v>
      </c>
      <c r="E618" s="7" t="e">
        <f>D618/C618-1</f>
        <v>#DIV/0!</v>
      </c>
    </row>
    <row r="619" spans="1:5">
      <c r="A619" s="3">
        <v>114307163</v>
      </c>
      <c r="B619" t="s">
        <v>185</v>
      </c>
      <c r="C619" s="15">
        <v>0</v>
      </c>
      <c r="D619" t="e">
        <f>VLOOKUP(A619,[9]sheet1!$C:$H,6,0)</f>
        <v>#N/A</v>
      </c>
      <c r="E619" s="7" t="e">
        <f>D619/C619-1</f>
        <v>#N/A</v>
      </c>
    </row>
    <row r="620" spans="1:5">
      <c r="A620" s="3">
        <v>124307164</v>
      </c>
      <c r="B620" t="s">
        <v>290</v>
      </c>
      <c r="C620" s="15">
        <v>0</v>
      </c>
      <c r="D620">
        <f>VLOOKUP(A620,[9]sheet1!$C:$H,6,0)</f>
        <v>0</v>
      </c>
      <c r="E620" s="7" t="e">
        <f>D620/C620-1</f>
        <v>#DIV/0!</v>
      </c>
    </row>
    <row r="621" hidden="1" spans="1:5">
      <c r="A621" s="3">
        <v>124319004</v>
      </c>
      <c r="B621" t="s">
        <v>100</v>
      </c>
      <c r="C621" s="4">
        <v>656</v>
      </c>
      <c r="D621">
        <f>VLOOKUP(A621,[9]sheet1!$C:$H,6,0)</f>
        <v>0</v>
      </c>
    </row>
    <row r="622" hidden="1" spans="1:5">
      <c r="A622" s="3">
        <v>116403502</v>
      </c>
      <c r="B622" t="s">
        <v>348</v>
      </c>
      <c r="C622" s="4" t="e">
        <v>#N/A</v>
      </c>
      <c r="D622" t="e">
        <f>VLOOKUP(A622,[9]sheet1!$C:$H,6,0)</f>
        <v>#N/A</v>
      </c>
    </row>
    <row r="623" hidden="1" spans="1:5">
      <c r="A623" s="3">
        <v>12421414</v>
      </c>
      <c r="B623" t="s">
        <v>200</v>
      </c>
      <c r="C623" s="4">
        <v>0</v>
      </c>
      <c r="D623" t="e">
        <f>VLOOKUP(A623,[9]sheet1!$C:$H,6,0)</f>
        <v>#N/A</v>
      </c>
    </row>
    <row r="624" hidden="1" spans="1:5">
      <c r="A624" s="3">
        <v>12421512</v>
      </c>
      <c r="B624" t="s">
        <v>159</v>
      </c>
      <c r="C624" s="4">
        <v>151</v>
      </c>
      <c r="D624" t="e">
        <f>VLOOKUP(A624,[9]sheet1!$C:$H,6,0)</f>
        <v>#N/A</v>
      </c>
    </row>
    <row r="625" hidden="1" spans="1:4">
      <c r="A625" s="3">
        <v>12421510</v>
      </c>
      <c r="B625" t="s">
        <v>461</v>
      </c>
      <c r="C625" s="4">
        <v>0</v>
      </c>
      <c r="D625" t="e">
        <f>VLOOKUP(A625,[9]sheet1!$C:$H,6,0)</f>
        <v>#N/A</v>
      </c>
    </row>
    <row r="626" hidden="1" spans="1:4">
      <c r="A626" s="3">
        <v>124311232</v>
      </c>
      <c r="B626" t="s">
        <v>198</v>
      </c>
      <c r="C626" s="4">
        <v>0</v>
      </c>
      <c r="D626">
        <f>VLOOKUP(A626,[9]sheet1!$C:$H,6,0)</f>
        <v>234</v>
      </c>
    </row>
    <row r="627" hidden="1" spans="1:4">
      <c r="A627" s="3">
        <v>16402506</v>
      </c>
      <c r="B627" t="s">
        <v>78</v>
      </c>
      <c r="C627" s="4">
        <v>165</v>
      </c>
      <c r="D627">
        <f>VLOOKUP(A627,[9]sheet1!$C:$H,6,0)</f>
        <v>2210</v>
      </c>
    </row>
    <row r="628" hidden="1" spans="1:4">
      <c r="A628" t="s">
        <v>1014</v>
      </c>
      <c r="B628" t="s">
        <v>1015</v>
      </c>
      <c r="C628" s="4">
        <v>0</v>
      </c>
      <c r="D628">
        <f>VLOOKUP(A628,[9]sheet1!$C:$H,6,0)</f>
        <v>69</v>
      </c>
    </row>
    <row r="629" hidden="1" spans="1:4">
      <c r="A629" t="s">
        <v>1017</v>
      </c>
      <c r="B629" t="s">
        <v>1018</v>
      </c>
      <c r="C629" s="4">
        <v>0</v>
      </c>
      <c r="D629">
        <f>VLOOKUP(A629,[9]sheet1!$C:$H,6,0)</f>
        <v>354</v>
      </c>
    </row>
    <row r="630" hidden="1" spans="1:4">
      <c r="A630" s="3">
        <v>13421235</v>
      </c>
      <c r="B630" t="s">
        <v>232</v>
      </c>
      <c r="C630" s="4">
        <v>0</v>
      </c>
      <c r="D630" t="e">
        <f>VLOOKUP(A630,[9]sheet1!$C:$H,6,0)</f>
        <v>#N/A</v>
      </c>
    </row>
    <row r="631" hidden="1" spans="1:4">
      <c r="A631" s="3">
        <v>164026422</v>
      </c>
      <c r="B631" t="s">
        <v>78</v>
      </c>
      <c r="C631" s="4">
        <v>225</v>
      </c>
      <c r="D631" t="e">
        <f>VLOOKUP(A631,[9]sheet1!$C:$H,6,0)</f>
        <v>#N/A</v>
      </c>
    </row>
    <row r="632" hidden="1" spans="1:4">
      <c r="A632" s="3">
        <v>124222002</v>
      </c>
      <c r="B632" t="s">
        <v>100</v>
      </c>
      <c r="C632" s="4">
        <v>0</v>
      </c>
      <c r="D632">
        <f>VLOOKUP(A632,[9]sheet1!$C:$H,6,0)</f>
        <v>398</v>
      </c>
    </row>
    <row r="633" hidden="1" spans="1:4">
      <c r="A633" s="3">
        <v>13421546</v>
      </c>
      <c r="B633" t="s">
        <v>448</v>
      </c>
      <c r="C633" s="4">
        <v>0</v>
      </c>
      <c r="D633" t="e">
        <f>VLOOKUP(A633,[9]sheet1!$C:$H,6,0)</f>
        <v>#N/A</v>
      </c>
    </row>
    <row r="634" hidden="1" spans="1:4">
      <c r="A634" s="3">
        <v>124301032</v>
      </c>
      <c r="B634" t="s">
        <v>141</v>
      </c>
      <c r="C634" s="4">
        <v>0</v>
      </c>
      <c r="D634">
        <f>VLOOKUP(A634,[9]sheet1!$C:$H,6,0)</f>
        <v>299</v>
      </c>
    </row>
    <row r="635" hidden="1" spans="1:4">
      <c r="A635" s="3">
        <v>124301034</v>
      </c>
      <c r="B635" t="s">
        <v>141</v>
      </c>
      <c r="C635" s="4">
        <v>1724</v>
      </c>
      <c r="D635">
        <f>VLOOKUP(A635,[9]sheet1!$C:$H,6,0)</f>
        <v>0</v>
      </c>
    </row>
    <row r="636" hidden="1" spans="1:4">
      <c r="A636" s="3">
        <v>124301030</v>
      </c>
      <c r="B636" t="s">
        <v>141</v>
      </c>
      <c r="C636" s="4">
        <v>0</v>
      </c>
      <c r="D636">
        <f>VLOOKUP(A636,[9]sheet1!$C:$H,6,0)</f>
        <v>4017</v>
      </c>
    </row>
    <row r="637" hidden="1" spans="1:4">
      <c r="A637" t="s">
        <v>1027</v>
      </c>
      <c r="B637" t="s">
        <v>141</v>
      </c>
      <c r="C637" s="4">
        <v>0</v>
      </c>
      <c r="D637">
        <f>VLOOKUP(A637,[9]sheet1!$C:$H,6,0)</f>
        <v>0</v>
      </c>
    </row>
    <row r="638" hidden="1" spans="1:4">
      <c r="A638" s="3">
        <v>114101059</v>
      </c>
      <c r="B638" t="s">
        <v>104</v>
      </c>
      <c r="C638" s="4">
        <v>0</v>
      </c>
      <c r="D638">
        <f>VLOOKUP(A638,[9]sheet1!$C:$H,6,0)</f>
        <v>0</v>
      </c>
    </row>
    <row r="639" hidden="1" spans="1:4">
      <c r="A639" s="3">
        <v>114301037</v>
      </c>
      <c r="B639" t="s">
        <v>104</v>
      </c>
      <c r="C639" s="4">
        <v>6093</v>
      </c>
      <c r="D639">
        <f>VLOOKUP(A639,[9]sheet1!$C:$H,6,0)</f>
        <v>0</v>
      </c>
    </row>
    <row r="640" hidden="1" spans="1:4">
      <c r="A640" s="3">
        <v>112321516</v>
      </c>
      <c r="B640" t="s">
        <v>90</v>
      </c>
      <c r="C640" s="4">
        <v>0</v>
      </c>
      <c r="D640" t="e">
        <f>VLOOKUP(A640,[9]sheet1!$C:$H,6,0)</f>
        <v>#N/A</v>
      </c>
    </row>
    <row r="641" hidden="1" spans="1:4">
      <c r="A641" s="3">
        <v>113240815</v>
      </c>
      <c r="B641" t="s">
        <v>815</v>
      </c>
      <c r="C641" s="4">
        <v>0</v>
      </c>
      <c r="D641" t="e">
        <f>VLOOKUP(A641,[9]sheet1!$C:$H,6,0)</f>
        <v>#N/A</v>
      </c>
    </row>
    <row r="642" hidden="1" spans="1:4">
      <c r="A642" s="3">
        <v>114301087</v>
      </c>
      <c r="B642" t="s">
        <v>104</v>
      </c>
      <c r="C642" s="4">
        <v>2178</v>
      </c>
      <c r="D642">
        <f>VLOOKUP(A642,[9]sheet1!$C:$H,6,0)</f>
        <v>0</v>
      </c>
    </row>
    <row r="643" hidden="1" spans="1:4">
      <c r="A643" s="3">
        <v>124301038</v>
      </c>
      <c r="B643" t="s">
        <v>141</v>
      </c>
      <c r="C643" s="4">
        <v>1883</v>
      </c>
      <c r="D643">
        <f>VLOOKUP(A643,[9]sheet1!$C:$H,6,0)</f>
        <v>650</v>
      </c>
    </row>
    <row r="644" hidden="1" spans="1:4">
      <c r="A644" s="3">
        <v>111040303</v>
      </c>
      <c r="B644" t="s">
        <v>1035</v>
      </c>
      <c r="C644" s="4">
        <v>0</v>
      </c>
      <c r="D644" t="e">
        <f>VLOOKUP(A644,[9]sheet1!$C:$H,6,0)</f>
        <v>#N/A</v>
      </c>
    </row>
    <row r="645" hidden="1" spans="1:4">
      <c r="A645" s="3">
        <v>112340158</v>
      </c>
      <c r="B645" t="s">
        <v>141</v>
      </c>
      <c r="C645" s="4">
        <v>0</v>
      </c>
      <c r="D645">
        <f>VLOOKUP(A645,[9]sheet1!$C:$H,6,0)</f>
        <v>0</v>
      </c>
    </row>
    <row r="646" hidden="1" spans="1:4">
      <c r="A646" s="3">
        <v>16702609</v>
      </c>
      <c r="B646" t="s">
        <v>211</v>
      </c>
      <c r="C646" s="4">
        <v>0</v>
      </c>
      <c r="D646">
        <f>VLOOKUP(A646,[9]sheet1!$C:$H,6,0)</f>
        <v>113</v>
      </c>
    </row>
    <row r="647" hidden="1" spans="1:4">
      <c r="A647" s="3">
        <v>16702618</v>
      </c>
      <c r="B647" t="s">
        <v>1039</v>
      </c>
      <c r="C647" s="4">
        <v>49</v>
      </c>
      <c r="D647">
        <f>VLOOKUP(A647,[9]sheet1!$C:$H,6,0)</f>
        <v>0</v>
      </c>
    </row>
    <row r="648" hidden="1" spans="1:4">
      <c r="A648" s="3">
        <v>113140132</v>
      </c>
      <c r="B648" t="s">
        <v>84</v>
      </c>
      <c r="C648" s="4">
        <v>0</v>
      </c>
      <c r="D648" t="e">
        <f>VLOOKUP(A648,[9]sheet1!$C:$H,6,0)</f>
        <v>#N/A</v>
      </c>
    </row>
    <row r="649" hidden="1" spans="1:4">
      <c r="A649" s="3">
        <v>114301029</v>
      </c>
      <c r="B649" t="s">
        <v>104</v>
      </c>
      <c r="C649" s="4">
        <v>1073</v>
      </c>
      <c r="D649">
        <f>VLOOKUP(A649,[9]sheet1!$C:$H,6,0)</f>
        <v>1819</v>
      </c>
    </row>
    <row r="650" hidden="1" spans="1:4">
      <c r="A650" s="3">
        <v>124301002</v>
      </c>
      <c r="B650" t="s">
        <v>141</v>
      </c>
      <c r="C650" s="4">
        <v>0</v>
      </c>
      <c r="D650">
        <f>VLOOKUP(A650,[9]sheet1!$C:$H,6,0)</f>
        <v>0</v>
      </c>
    </row>
    <row r="651" hidden="1" spans="1:4">
      <c r="A651" s="3">
        <v>114301001</v>
      </c>
      <c r="B651" t="s">
        <v>104</v>
      </c>
      <c r="C651" s="4">
        <v>978</v>
      </c>
      <c r="D651">
        <f>VLOOKUP(A651,[9]sheet1!$C:$H,6,0)</f>
        <v>0</v>
      </c>
    </row>
    <row r="652" hidden="1" spans="1:4">
      <c r="A652" s="3">
        <v>124301024</v>
      </c>
      <c r="B652" t="s">
        <v>141</v>
      </c>
      <c r="C652" s="4">
        <v>1540</v>
      </c>
      <c r="D652">
        <f>VLOOKUP(A652,[9]sheet1!$C:$H,6,0)</f>
        <v>0</v>
      </c>
    </row>
    <row r="653" hidden="1" spans="1:4">
      <c r="A653" s="3">
        <v>114301023</v>
      </c>
      <c r="B653" t="s">
        <v>104</v>
      </c>
      <c r="C653" s="4">
        <v>759</v>
      </c>
      <c r="D653">
        <f>VLOOKUP(A653,[9]sheet1!$C:$H,6,0)</f>
        <v>499</v>
      </c>
    </row>
    <row r="654" hidden="1" spans="1:4">
      <c r="A654" s="3">
        <v>112331010</v>
      </c>
      <c r="B654" t="s">
        <v>206</v>
      </c>
      <c r="C654" s="4">
        <v>0</v>
      </c>
      <c r="D654" t="e">
        <f>VLOOKUP(A654,[9]sheet1!$C:$H,6,0)</f>
        <v>#N/A</v>
      </c>
    </row>
    <row r="655" hidden="1" spans="1:4">
      <c r="A655" s="3">
        <v>111331805</v>
      </c>
      <c r="B655" t="s">
        <v>114</v>
      </c>
      <c r="C655" s="4">
        <v>328</v>
      </c>
      <c r="D655" t="e">
        <f>VLOOKUP(A655,[9]sheet1!$C:$H,6,0)</f>
        <v>#N/A</v>
      </c>
    </row>
    <row r="656" hidden="1" spans="1:4">
      <c r="A656" s="3">
        <v>112331026</v>
      </c>
      <c r="B656" t="s">
        <v>206</v>
      </c>
      <c r="C656" s="4">
        <v>0</v>
      </c>
      <c r="D656">
        <f>VLOOKUP(A656,[9]sheet1!$C:$H,6,0)</f>
        <v>0</v>
      </c>
    </row>
    <row r="657" hidden="1" spans="1:5">
      <c r="A657" s="3">
        <v>111421301</v>
      </c>
      <c r="B657" t="s">
        <v>1051</v>
      </c>
      <c r="C657" s="4">
        <v>0</v>
      </c>
      <c r="D657" t="e">
        <f>VLOOKUP(A657,[9]sheet1!$C:$H,6,0)</f>
        <v>#N/A</v>
      </c>
    </row>
    <row r="658" spans="1:5">
      <c r="A658" s="3">
        <v>12415104</v>
      </c>
      <c r="B658" t="s">
        <v>138</v>
      </c>
      <c r="C658" s="15">
        <v>0</v>
      </c>
      <c r="D658">
        <f>VLOOKUP(A658,[9]sheet1!$C:$H,6,0)</f>
        <v>0</v>
      </c>
      <c r="E658" s="7" t="e">
        <f>D658/C658-1</f>
        <v>#DIV/0!</v>
      </c>
    </row>
    <row r="659" hidden="1" spans="1:5">
      <c r="A659" s="3">
        <v>11415103</v>
      </c>
      <c r="B659" t="s">
        <v>1054</v>
      </c>
      <c r="C659" s="4">
        <v>0</v>
      </c>
      <c r="D659">
        <f>VLOOKUP(A659,[9]sheet1!$C:$H,6,0)</f>
        <v>0</v>
      </c>
    </row>
    <row r="660" hidden="1" spans="1:5">
      <c r="A660" s="3">
        <v>12421216</v>
      </c>
      <c r="B660" t="s">
        <v>109</v>
      </c>
      <c r="C660" s="4">
        <v>0</v>
      </c>
      <c r="D660">
        <f>VLOOKUP(A660,[9]sheet1!$C:$H,6,0)</f>
        <v>446</v>
      </c>
    </row>
    <row r="661" hidden="1" spans="1:5">
      <c r="A661" s="3">
        <v>12421428</v>
      </c>
      <c r="B661" t="s">
        <v>1057</v>
      </c>
      <c r="C661" s="4">
        <v>0</v>
      </c>
      <c r="D661" t="e">
        <f>VLOOKUP(A661,[9]sheet1!$C:$H,6,0)</f>
        <v>#N/A</v>
      </c>
    </row>
    <row r="662" hidden="1" spans="1:5">
      <c r="A662" s="3">
        <v>11421419</v>
      </c>
      <c r="B662" t="s">
        <v>128</v>
      </c>
      <c r="C662" s="4">
        <v>0</v>
      </c>
      <c r="D662">
        <f>VLOOKUP(A662,[9]sheet1!$C:$H,6,0)</f>
        <v>31890</v>
      </c>
    </row>
    <row r="663" hidden="1" spans="1:5">
      <c r="A663" s="3">
        <v>11421301</v>
      </c>
      <c r="B663" t="s">
        <v>1051</v>
      </c>
      <c r="C663" s="4">
        <v>0</v>
      </c>
      <c r="D663">
        <f>VLOOKUP(A663,[9]sheet1!$C:$H,6,0)</f>
        <v>0</v>
      </c>
    </row>
    <row r="664" hidden="1" spans="1:5">
      <c r="A664" s="3">
        <v>16402504</v>
      </c>
      <c r="B664" t="s">
        <v>78</v>
      </c>
      <c r="C664" s="4">
        <v>154</v>
      </c>
      <c r="D664">
        <f>VLOOKUP(A664,[9]sheet1!$C:$H,6,0)</f>
        <v>0</v>
      </c>
    </row>
    <row r="665" hidden="1" spans="1:5">
      <c r="A665" s="3">
        <v>16402608</v>
      </c>
      <c r="B665" t="s">
        <v>1063</v>
      </c>
      <c r="C665" s="4">
        <v>0</v>
      </c>
      <c r="D665" t="e">
        <f>VLOOKUP(A665,[9]sheet1!$C:$H,6,0)</f>
        <v>#N/A</v>
      </c>
    </row>
    <row r="666" hidden="1" spans="1:5">
      <c r="A666" s="3">
        <v>12111901</v>
      </c>
      <c r="B666" t="s">
        <v>249</v>
      </c>
      <c r="C666" s="4">
        <v>295</v>
      </c>
      <c r="D666">
        <f>VLOOKUP(A666,[9]sheet1!$C:$H,6,0)</f>
        <v>0</v>
      </c>
    </row>
    <row r="667" hidden="1" spans="1:5">
      <c r="A667" s="3">
        <v>12331902</v>
      </c>
      <c r="B667" t="s">
        <v>100</v>
      </c>
      <c r="C667" s="4">
        <v>0</v>
      </c>
      <c r="D667">
        <f>VLOOKUP(A667,[9]sheet1!$C:$H,6,0)</f>
        <v>1345</v>
      </c>
    </row>
    <row r="668" hidden="1" spans="1:5">
      <c r="A668" s="3">
        <v>11111905</v>
      </c>
      <c r="B668" t="s">
        <v>249</v>
      </c>
      <c r="C668" s="4">
        <v>0</v>
      </c>
      <c r="D668" t="e">
        <f>VLOOKUP(A668,[9]sheet1!$C:$H,6,0)</f>
        <v>#N/A</v>
      </c>
    </row>
    <row r="669" hidden="1" spans="1:5">
      <c r="A669" s="3">
        <v>11411907</v>
      </c>
      <c r="B669" t="s">
        <v>100</v>
      </c>
      <c r="C669" s="4">
        <v>1384</v>
      </c>
      <c r="D669">
        <f>VLOOKUP(A669,[9]sheet1!$C:$H,6,0)</f>
        <v>279</v>
      </c>
    </row>
    <row r="670" hidden="1" spans="1:5">
      <c r="A670" s="3">
        <v>12422004</v>
      </c>
      <c r="B670" t="s">
        <v>133</v>
      </c>
      <c r="C670" s="4">
        <v>0</v>
      </c>
      <c r="D670">
        <f>VLOOKUP(A670,[9]sheet1!$C:$H,6,0)</f>
        <v>1008</v>
      </c>
    </row>
    <row r="671" hidden="1" spans="1:5">
      <c r="A671" s="3">
        <v>12421238</v>
      </c>
      <c r="B671" t="s">
        <v>109</v>
      </c>
      <c r="C671" s="4">
        <v>221</v>
      </c>
      <c r="D671" t="e">
        <f>VLOOKUP(A671,[9]sheet1!$C:$H,6,0)</f>
        <v>#N/A</v>
      </c>
    </row>
    <row r="672" hidden="1" spans="1:5">
      <c r="A672" s="3">
        <v>11011901</v>
      </c>
      <c r="B672" t="s">
        <v>249</v>
      </c>
      <c r="C672" s="4">
        <v>0</v>
      </c>
      <c r="D672">
        <f>VLOOKUP(A672,[9]sheet1!$C:$H,6,0)</f>
        <v>0</v>
      </c>
    </row>
    <row r="673" hidden="1" spans="1:4">
      <c r="A673" s="3">
        <v>12022104</v>
      </c>
      <c r="B673" t="s">
        <v>133</v>
      </c>
      <c r="C673" s="4">
        <v>0</v>
      </c>
      <c r="D673">
        <f>VLOOKUP(A673,[9]sheet1!$C:$H,6,0)</f>
        <v>168</v>
      </c>
    </row>
    <row r="674" hidden="1" spans="1:4">
      <c r="A674" s="3">
        <v>16123406</v>
      </c>
      <c r="B674" t="s">
        <v>75</v>
      </c>
      <c r="C674" s="4">
        <v>0</v>
      </c>
      <c r="D674">
        <f>VLOOKUP(A674,[9]sheet1!$C:$H,6,0)</f>
        <v>0</v>
      </c>
    </row>
    <row r="675" hidden="1" spans="1:4">
      <c r="A675" s="3">
        <v>1116023410</v>
      </c>
      <c r="B675" t="s">
        <v>304</v>
      </c>
      <c r="C675" s="4">
        <v>0</v>
      </c>
      <c r="D675" t="e">
        <f>VLOOKUP(A675,[9]sheet1!$C:$H,6,0)</f>
        <v>#N/A</v>
      </c>
    </row>
    <row r="676" hidden="1" spans="1:4">
      <c r="A676" s="3">
        <v>16325602</v>
      </c>
      <c r="B676" t="s">
        <v>1076</v>
      </c>
      <c r="C676" s="4">
        <v>183</v>
      </c>
      <c r="D676">
        <f>VLOOKUP(A676,[9]sheet1!$C:$H,6,0)</f>
        <v>185</v>
      </c>
    </row>
    <row r="677" hidden="1" spans="1:4">
      <c r="A677" s="3">
        <v>12421410</v>
      </c>
      <c r="B677" t="s">
        <v>200</v>
      </c>
      <c r="C677" s="4">
        <v>201</v>
      </c>
      <c r="D677" t="e">
        <f>VLOOKUP(A677,[9]sheet1!$C:$H,6,0)</f>
        <v>#N/A</v>
      </c>
    </row>
  </sheetData>
  <autoFilter xmlns:etc="http://www.wps.cn/officeDocument/2017/etCustomData" ref="A1:E677" etc:filterBottomFollowUsedRange="0">
    <filterColumn colId="1">
      <filters>
        <filter val="服装-外套-软壳衣"/>
        <filter val="女装-外套-软壳衣"/>
        <filter val="女装-长裤-软壳裤"/>
        <filter val="服装-长裤-软壳裤"/>
      </filters>
    </filterColumn>
    <sortState ref="A2:E677">
      <sortCondition ref="E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2026-06-10T01:26:00Z</dcterms:created>
  <dcterms:modified xsi:type="dcterms:W3CDTF">2026-07-13T03:06:13Z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637AC884E09B4CDC8B03393658427CE4_13</vt:lpwstr>
  </property>
  <property fmtid="{D5CDD505-2E9C-101B-9397-08002B2CF9AE}" pid="3" name="KSOProductBuildVer">
    <vt:lpwstr>2052-12.1.0.26895</vt:lpwstr>
  </property>
  <property fmtid="{D5CDD505-2E9C-101B-9397-08002B2CF9AE}" pid="4" name="CalculationRule">
    <vt:i4>0</vt:i4>
  </property>
</Properties>
</file>