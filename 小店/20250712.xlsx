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s>
  <externalReferences>
    <externalReference r:id="rId3"/>
    <externalReference r:id="rId4"/>
    <externalReference r:id="rId5"/>
    <externalReference r:id="rId6"/>
    <externalReference r:id="rId7"/>
    <externalReference r:id="rId8"/>
  </externalReferences>
  <definedNames>
    <definedName name="_xlnm._FilterDatabase" localSheetId="0" hidden="1">sheet1!$A$1:$AX$70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<sst xmlns="http://schemas.openxmlformats.org/spreadsheetml/2006/main" count="851" uniqueCount="205">
  <si>
    <t>SPUID</t>
  </si>
  <si>
    <t>商品标题</t>
  </si>
  <si>
    <t>商品货号</t>
  </si>
  <si>
    <t>品牌名称</t>
  </si>
  <si>
    <t>类目名称</t>
  </si>
  <si>
    <t>商品类型</t>
  </si>
  <si>
    <t>出价渠道</t>
  </si>
  <si>
    <t>支付金额</t>
  </si>
  <si>
    <t>总</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</si>
  <si>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</si>
  <si>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</si>
  <si>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</si>
  <si>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</si>
  <si>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</si>
  <si>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</si>
  <si>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</si>
  <si>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</si>
  <si>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</si>
  <si>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</si>
  <si>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</si>
  <si>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</si>
  <si>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</si>
  <si>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</si>
  <si>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</si>
  <si>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</si>
  <si>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</si>
  <si>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</si>
  <si>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</si>
  <si>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</si>
  <si>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</si>
  <si>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</si>
  <si>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</si>
  <si>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</si>
  <si>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</si>
  <si>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</si>
  <si>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</si>
  <si>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</si>
  <si>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</si>
  <si>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</si>
  <si>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</si>
  <si>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</si>
  <si>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</si>
  <si>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</si>
  <si>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</si>
  <si>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</si>
  <si>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</si>
  <si>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</si>
  <si>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</si>
  <si>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163-196</t>
  </si>
  <si>
    <t>-</t>
  </si>
  <si>
    <t>伯希和PELLIOT 小森林皮肤衣轻量化户外骑行宽松冰凉降温强劲轻薄凉感透气防紫外线UPF50+ 多巴胺连帽防晒服 男女同款</t>
  </si>
  <si>
    <t>服装-外套-防晒服</t>
  </si>
  <si>
    <t>274-290</t>
  </si>
  <si>
    <t>伯希和PELLIOT  岩壳 性能系列全防护单层硬壳防风防水专业登山服硬核外套耐磨时尚实用 冲锋衣 男女同款</t>
  </si>
  <si>
    <t>PE1124101048</t>
  </si>
  <si>
    <t>服装-外套-冲锋衣</t>
  </si>
  <si>
    <t>621-690</t>
  </si>
  <si>
    <t>伯希和PELLIOT  山壳 户外运动硬壳三层压胶单层防风防水登山服多巴胺宽松 冲锋衣 男女同款</t>
  </si>
  <si>
    <t>608-699</t>
  </si>
  <si>
    <t>伯希和PELLIOT  山野 经典2.0 徒步登山防水外套三合一可拆卸保暖抓绒内胆通勤时尚 冲锋衣 男款</t>
  </si>
  <si>
    <t>11340105-新加色</t>
  </si>
  <si>
    <t>440-499</t>
  </si>
  <si>
    <t>伯希和PELLIOT 小森林UPF50+舒适运动户外轻薄透气凉感纯色宽松防紫外线轻量连帽外套穿搭 防水超轻防晒服 男女同款</t>
  </si>
  <si>
    <t>12421220-新加色</t>
  </si>
  <si>
    <t>274-299</t>
  </si>
  <si>
    <t>伯希和PELLIOT 山壳 全天候硬壳户外工装裤防风防水登山徒步运动 透气耐磨时尚耐用多巴胺冲锋裤 男款</t>
  </si>
  <si>
    <t>服装-长裤-冲锋裤</t>
  </si>
  <si>
    <t>437-482</t>
  </si>
  <si>
    <t>伯希和PELLIOT  经典2.0 山野 户外徒步登山运动防风防水透气保暖抓绒内胆可拆卸通勤三合一 冲锋衣 男款</t>
  </si>
  <si>
    <t>437-489</t>
  </si>
  <si>
    <t>伯希和PELLIOT HT-远见 专业户外运动Vibram登山鞋网面透气全地形轻量 低帮 徒步鞋 男款</t>
  </si>
  <si>
    <t>鞋-运动鞋-登山鞋/徒步鞋</t>
  </si>
  <si>
    <t>499-499</t>
  </si>
  <si>
    <t>伯希和PELLIOT ct-驰风 户外运动通勤包裹性增高平衡缓震系带徒步轻量TPU透气Blast中底防撞击网面 越野跑鞋 鞋子男</t>
  </si>
  <si>
    <t>鞋-运动鞋-越野跑鞋</t>
  </si>
  <si>
    <t>354-399</t>
  </si>
  <si>
    <t>伯希和PELLIOT 小光盾专业版UPF50+防紫外线外套皮肤衣运动户外舒适百搭轻薄透气宽松 速干防晒服 男女同款</t>
  </si>
  <si>
    <t>235-235</t>
  </si>
  <si>
    <t>伯希和PELLIOT 小光盾 冰丝专upf50+皮肤衣业 透气防水防紫外线防晒服 女款</t>
  </si>
  <si>
    <t>女装-外套-防晒服</t>
  </si>
  <si>
    <t>119-119</t>
  </si>
  <si>
    <t>伯希和PELLIOT 经典1.0 户外薄款夏季登山裤防风超轻透气凉感耐脏耐洗抗皱耐磨立体剪裁显瘦快干裤弹力徒步裤运动休闲裤 男款</t>
  </si>
  <si>
    <t>服装-户外运动服-速干裤</t>
  </si>
  <si>
    <t>287-299</t>
  </si>
  <si>
    <t>伯希和PELLIOT 经典1.0系列 户外防晒舒适运动薄款长裤吸湿排汗轻盈透气不闷汗徒步凉感登山速干裤 男款</t>
  </si>
  <si>
    <t>196-198</t>
  </si>
  <si>
    <t>伯希和PELLIOT  岩壳新加色 宽松户外硬壳专业运动跑步百搭登山服外套  徒步滑雪 透气耐磨冲锋衣 男女同款</t>
  </si>
  <si>
    <t>124101048-新加色</t>
  </si>
  <si>
    <t>640-690</t>
  </si>
  <si>
    <t>伯希和PELLIOT 户外运动速干裤高弹透气徒步裤子休闲束脚跑步舒适百搭通勤长裤登山裤 男女同款</t>
  </si>
  <si>
    <t>服装-长裤-针织运动裤</t>
  </si>
  <si>
    <t>135-135</t>
  </si>
  <si>
    <t>伯希和PELLIOT 经典1.0 小光盾UPF50+户外轻薄透气休闲凉感连帽防紫外线皮肤衣防晒服 女款</t>
  </si>
  <si>
    <t>伯希和PELLIOT  山野 登山徒步抓绒内胆可拆卸三合一通勤穿搭  防水防风透气防泼水耐磨保暖冲锋衣 女款</t>
  </si>
  <si>
    <t>女装-外套-冲锋衣</t>
  </si>
  <si>
    <t>404-428</t>
  </si>
  <si>
    <t>伯希和PELLIOT 轻风2.0 UPF50+轻量轻薄凉感专业户外运动跑步百搭休闲 透气防紫外线超轻防晒服 男款</t>
  </si>
  <si>
    <t>246-269</t>
  </si>
  <si>
    <t>伯希和PELLIOT  山壳 全天候专业户外运动跑步时尚潮流硬壳登山服外套宽松  防水防风透气耐磨保暖冲锋衣 男女同款</t>
  </si>
  <si>
    <t>112340164-271037</t>
  </si>
  <si>
    <t>629-699</t>
  </si>
  <si>
    <t>伯希和PELLIOT 户外夏季凉感薄款登山徒步速干衣抑菌轻弹休闲百搭 运动柔软亲肤正肩打底短袖Polo衫 男女同款</t>
  </si>
  <si>
    <t>232-249</t>
  </si>
  <si>
    <t>伯希和PELLIOT 户外夏季速干圆领Polo衫款休闲短袖抑菌排汗登山徒步跑步健身运动T恤 男女同款</t>
  </si>
  <si>
    <t>服装-上衣-T恤</t>
  </si>
  <si>
    <t>125-139</t>
  </si>
  <si>
    <t>伯希和PELLIOT 经典2.0 排骨户外超轻东丽面料800蓬95%轻奢鹅绒防风轻量保暖立领百搭舒适防钻绒短款羽绒服 女款</t>
  </si>
  <si>
    <t>女装-外套-羽绒服</t>
  </si>
  <si>
    <t>650-650</t>
  </si>
  <si>
    <t>伯希和PELLIOT  北极星 40D eVent面料专业户外全天候三层硬壳运动军工级单层  徒步 防水防风冲锋衣 男女同款</t>
  </si>
  <si>
    <t>1681-1700</t>
  </si>
  <si>
    <t>伯希和PELLIOT  山野 3.0  徒步接缝全压胶三合一可拆卸内胆  防水防风透气耐磨保暖冲锋衣 男款</t>
  </si>
  <si>
    <t>542-589</t>
  </si>
  <si>
    <t>伯希和PELLIOT  山野  经典2.0 650蓬鹅绒内胆可拆卸登山户外三合一防水通勤保暖防风 冲锋衣 男款</t>
  </si>
  <si>
    <t>878-990</t>
  </si>
  <si>
    <t>伯希和PELLIOT  原石  户外三合一防风防水防雨透气保暖舒适耐磨时尚抓绒可拆连帽内胆 冲锋衣 男款</t>
  </si>
  <si>
    <t>451-499</t>
  </si>
  <si>
    <t>伯希和PELLIOT 经典1.0 户外运动修身高弹显瘦不闷热轻薄原纱凉感皮肤衣防紫外线舒适百搭防晒服 女款</t>
  </si>
  <si>
    <t>107-179</t>
  </si>
  <si>
    <t>伯希和PELLIOT 夏季东丽面料户外短袖原纱防晒抗菌运动上衣修身吸汗透气显瘦柔感亲肤半高领休闲内搭速干T恤 男款</t>
  </si>
  <si>
    <t>服装-户外运动服-速干T恤</t>
  </si>
  <si>
    <t>239-239</t>
  </si>
  <si>
    <t>伯希和PELLIOT 风盾 LT 系列 伯希和户外徒步登山裤CORDURA透气耐磨高弹运动裤跑步舒适休闲 软壳裤 男款</t>
  </si>
  <si>
    <t>服装-长裤-软壳裤</t>
  </si>
  <si>
    <t>550-550</t>
  </si>
  <si>
    <t>伯希和PELLIOT  山野 3.0  三合一运动户外舒适百搭通勤摇粒绒内胆腋下透气拉链  徒步 耐磨防水防风保暖冲锋衣 女款</t>
  </si>
  <si>
    <t>590-599</t>
  </si>
  <si>
    <t>伯希和PELLIOT  岩壳PRO 硬壳单冲升级RECCO防暴雨透气宽松户外专业全防护登山服时尚耐磨 冲锋衣 男女同款</t>
  </si>
  <si>
    <t>833-890</t>
  </si>
  <si>
    <t>伯希和PELLIOT 经典1.0 风盾C24  户外加绒保暖防风防泼水登山徒步耐磨运动跑步透气舒适高弹连帽夹克外套 软壳衣 男款</t>
  </si>
  <si>
    <t>服装-外套-软壳衣</t>
  </si>
  <si>
    <t>409-490</t>
  </si>
  <si>
    <t>伯希和PELLIOT  山野 户外运动机能通勤登山徒步抓绒内胆可拆卸三合一外套 冲锋衣 男女同款</t>
  </si>
  <si>
    <t>11340105-CF05</t>
  </si>
  <si>
    <t>441-464</t>
  </si>
  <si>
    <t>伯希和PELLIOT 经典1.0  户外高弹防刮耐磨透气舒适跑步运动裤CORDURA®科技面料可拆卸登山裤两截裤速干裤 男款</t>
  </si>
  <si>
    <t>214-214</t>
  </si>
  <si>
    <t>伯希和PELLIOT  户外运动冰丝防晒直筒UPF50+高弹钓鱼跑步吸湿轻薄舒适百搭透气速干裤 男款</t>
  </si>
  <si>
    <t>伯希和PELLIOT 经典1.0 轻风 防紫外线户外运动连帽轻量透气UPF50+ 专业皮肤衣轻薄防泼水多巴胺衣服防晒服 女款</t>
  </si>
  <si>
    <t>259-259</t>
  </si>
  <si>
    <t>伯希和PELLIOT 经典1.0 轻风 UPF50+户外轻量专业皮肤衣轻薄防泼水多巴胺防晒服 男女同款</t>
  </si>
  <si>
    <t>伯希和PELLIOT 经典1.0 户外运动跑步登山徒步速干短袖抗菌轻弹休闲百搭柔软亲肤舒适Polo衫 女款</t>
  </si>
  <si>
    <t>女装-上衣-Polo衫</t>
  </si>
  <si>
    <t>241-269</t>
  </si>
  <si>
    <t>伯希和PELLIOT 经典1.0 小森林CT 轻薄透气衣户外运动徒步UPF50+防紫外线皮肤衣可收纳轻量化舒适百搭 超轻速干防晒服 女款</t>
  </si>
  <si>
    <t>241-249</t>
  </si>
  <si>
    <t>伯希和PELLIOT  玫瑰山壳硬壳百搭宽松防风防水运动跑步登山服全天候三层压胶工艺 冲锋衣 男女同款</t>
  </si>
  <si>
    <t>12340164-新加色</t>
  </si>
  <si>
    <t>656-699</t>
  </si>
  <si>
    <t>伯希和PELLIOT 经典1.0 极光MAX 700蓬加长加厚防风御寒鹅绒百搭舒适保暖连帽长款羽绒服 女款</t>
  </si>
  <si>
    <t>1574-1790</t>
  </si>
  <si>
    <t>伯希和PELLIOT  经典1.0  户外运动防水防风登山服徒步夹克外套中长款收腰显瘦旅行休闲风衣  软壳衣  女款</t>
  </si>
  <si>
    <t>女装-外套-软壳衣</t>
  </si>
  <si>
    <t>389-399</t>
  </si>
  <si>
    <t>伯希和PELLIOT 经典1.0 城市户外运动吸湿排汗快干裤弹力轻薄柔软亲肤透气登山通勤百搭束脚长裤徒步休闲裤 男款</t>
  </si>
  <si>
    <t>伯希和PELLIOT 经典1.0 户外薄款登山徒步直筒高弹力清爽轻薄长裤专业防泼水耐磨透气运动跑步速干裤 男款</t>
  </si>
  <si>
    <t>273-299</t>
  </si>
  <si>
    <t>伯希和PELLIOT 城市户外系列UPF50+宽松弹力显瘦阔腿裤垂感透气百搭高腰束脚防晒休闲裤 女款</t>
  </si>
  <si>
    <t>女装-户外运动服-速干裤</t>
  </si>
  <si>
    <t>一品一商</t>
  </si>
  <si>
    <t>伯希和PELLIOT  经典1.0  风盾时尚轻便耐磨加绒保暖高弹运动夹克透气舒适休闲百搭外套  软壳衣  女款</t>
  </si>
  <si>
    <t>379-379</t>
  </si>
  <si>
    <t>伯希和PELLIOT 经典1.0系列 风盾  户外运动跑步徒步登山日常通勤开衫加绒高弹轻便耐磨外套时尚休闲舒适百搭夹克卫衣 软壳衣 男款</t>
  </si>
  <si>
    <t>伯希和PELLIOT 经典2.0 户外保暖防风保温亲肤内胆羊羔绒摇粒绒运动旅行舒适百搭穿搭开衫立领抓绒衣 男款</t>
  </si>
  <si>
    <t>服装-户外运动服-抓绒衣</t>
  </si>
  <si>
    <t>伯希和PELLIOT  山海户外露营登山徒步滑雪服装防风防水三合一内胆可拆卸连帽 冲锋衣 男女同款</t>
  </si>
  <si>
    <t>900-959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</si>
  <si>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</si>
  <si>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</si>
  <si>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</si>
  <si>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户外运动薄款原纱型吸湿时尚简约纯色防晒上衣跑步休闲弹力透气舒适速干短袖百搭Polo衫 女款</t>
  </si>
  <si>
    <t>伯希和PELLIOT  岩壳PRO 升级版时尚舒适户外运动全压胶登山服单层硬壳  徒步都市生活/旅游/通勤 防水防风透气耐磨冲锋衣 男女同款</t>
  </si>
  <si>
    <t>880-890</t>
  </si>
  <si>
    <t>伯希和PELLIOT 防风防水简约修身立领舒适百搭户外城市通勤骑行耐磨休闲外套时尚保暖夹克 男款</t>
  </si>
  <si>
    <t>服装-外套-夹克</t>
  </si>
  <si>
    <t>449-449</t>
  </si>
  <si>
    <t>伯希和PELLIOT 户外薄款透气跑步吸湿排汗抗菌修身短袖半高领柔软亲肤休闲半袖高弹面料速干专业运动T恤 男款</t>
  </si>
  <si>
    <t>伯希和PELLIOT  户外运动三防Teflon科技徒步登山服外套时尚宽松百搭硬壳单层专业 冲锋衣 男女同款</t>
  </si>
  <si>
    <t>590-590</t>
  </si>
  <si>
    <t>伯希和PELLIOT 经典2.0  轻风2.0防紫外线户外皮肤衣穿搭运动跑步轻薄透气外套防晒服 女款</t>
  </si>
  <si>
    <t>229-229</t>
  </si>
  <si>
    <t>伯希和PELLIOT 户外3L全压胶暴雨级防水防风透气专业登山徒步运动滑雪裤硬壳百搭舒适冲锋裤 男款</t>
  </si>
  <si>
    <t>790-790</t>
  </si>
  <si>
    <t>伯希和PELLIOT  MT-大师 eVent户外运动Vibram大底 防臭鞋垫舒适 减震防滑耐磨 高帮 徒步登山鞋 男款</t>
  </si>
  <si>
    <t>689-742</t>
  </si>
  <si>
    <t>伯希和PELLIOT P系列 暖盾2.0 专业Polartec200户外轻量保暖内胆摇粒绒防风舒适时尚连帽运动跑步秋季上衣卫衣抓绒衣 男款</t>
  </si>
  <si>
    <t>379-390</t>
  </si>
  <si>
    <t>伯希和PELLIOT MT-山岩2.0 户外运动靴男防滑耐磨高帮爬山专业 徒步鞋 男女同款</t>
  </si>
  <si>
    <t>伯希和PELLIOT 伞兵裤防泼拒水时尚宽松遮肉亲肤透气阔腿裤徒步登山运动速干裤 男女同款</t>
  </si>
  <si>
    <t>PE124314376</t>
  </si>
  <si>
    <t>341-341</t>
  </si>
  <si>
    <t>伯希和PELLIOT  追风  户外运动三合一抓绒内胆防风防暴雨保暖耐磨徒步登山服舒适连帽外套 冲锋衣 男女同款</t>
  </si>
  <si>
    <t>559-559</t>
  </si>
  <si>
    <t>伯希和PELLIOT  经典系列 原石 三合一户外防风透气防暴雨全天候多功能徒步登山服可拆卸摇粒绒内胆外套 冲锋衣 女款</t>
  </si>
  <si>
    <t>479-479</t>
  </si>
  <si>
    <t>伯希和PELLIOT   峰壳 单层户外运动跑步专业防暴雨防风耐磨徒步登山服外套基础百搭 冲锋衣 男女同款</t>
  </si>
  <si>
    <t>448-448</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</si>
  <si>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</si>
  <si>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</si>
  <si>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</si>
  <si>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</si>
  <si>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369-369</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</si>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</sst>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sz val="11"/>
      <color rgb="FF000000"/>
      <name val="宋体"/>
      <charset val="134"/>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7" tint="0.6"/>
        <bgColor indexed="64"/>
      </patternFill>
    </fill>
    <fill>
      <patternFill patternType="solid">
        <fgColor indexed="22"/>
        <bgColor indexed="64"/>
      </patternFill>
    </fill>
    <fill>
      <patternFill patternType="solid">
        <fgColor theme="7" tint="0.6"/>
        <bgColor indexed="64"/>
      </patternFill>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6"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7" borderId="6" applyNumberFormat="0" applyAlignment="0" applyProtection="0">
      <alignment vertical="center"/>
    </xf>
    <xf numFmtId="0" fontId="13" fillId="8" borderId="7" applyNumberFormat="0" applyAlignment="0" applyProtection="0">
      <alignment vertical="center"/>
    </xf>
    <xf numFmtId="0" fontId="14" fillId="8" borderId="6" applyNumberFormat="0" applyAlignment="0" applyProtection="0">
      <alignment vertical="center"/>
    </xf>
    <xf numFmtId="0" fontId="15" fillId="9"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cellStyleXfs>
  <cellXfs count="9">
    <xf numFmtId="0" fontId="0" fillId="0" borderId="0" xfId="0" applyFont="1">
      <alignment vertical="center"/>
    </xf>
    <xf numFmtId="0" fontId="1" fillId="0" borderId="1" xfId="0" applyFont="1" applyFill="1" applyBorder="1" applyAlignment="1" applyProtection="1">
      <alignment horizontal="center" vertical="center"/>
    </xf>
    <xf numFmtId="0" fontId="0" fillId="2" borderId="0" xfId="0" applyFont="1" applyFill="1">
      <alignment vertical="center"/>
    </xf>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0" fillId="0" borderId="0" xfId="0" applyNumberFormat="1" applyFont="1">
      <alignment vertical="center"/>
    </xf>
    <xf numFmtId="0" fontId="0" fillId="5" borderId="0" xfId="0" applyNumberFormat="1" applyFont="1" applyFill="1">
      <alignment vertical="center"/>
    </xf>
    <xf numFmtId="10" fontId="0" fillId="0" borderId="0" xfId="0" applyNumberFormat="1" applyFont="1">
      <alignment vertical="center"/>
    </xf>
    <xf numFmtId="0" fontId="0" fillId="2" borderId="0" xfId="0" applyNumberFormat="1"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FE699"/>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6.xml"/><Relationship Id="rId7" Type="http://schemas.openxmlformats.org/officeDocument/2006/relationships/externalLink" Target="externalLinks/externalLink5.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3" Type="http://schemas.openxmlformats.org/officeDocument/2006/relationships/externalLink" Target="externalLinks/externalLink1.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7.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7.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7.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7.1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7.1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7.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ow r="1">
          <cell r="C1" t="str">
            <v>商品货号</v>
          </cell>
          <cell r="D1" t="str">
            <v>品牌名称</v>
          </cell>
          <cell r="E1" t="str">
            <v>类目名称</v>
          </cell>
          <cell r="F1" t="str">
            <v>商品类型</v>
          </cell>
          <cell r="G1" t="str">
            <v>出价渠道</v>
          </cell>
          <cell r="H1" t="str">
            <v>支付金额</v>
          </cell>
          <cell r="I1" t="str">
            <v>支付订单数</v>
          </cell>
          <cell r="J1" t="str">
            <v>商详访问人数</v>
          </cell>
          <cell r="K1" t="str">
            <v>商详转化率</v>
          </cell>
          <cell r="L1" t="str">
            <v>收藏用户数</v>
          </cell>
          <cell r="M1" t="str">
            <v>我的销量</v>
          </cell>
          <cell r="N1" t="str">
            <v>退货金额（退款时间）</v>
          </cell>
          <cell r="O1" t="str">
            <v>退货订单数（退款时间）</v>
          </cell>
          <cell r="P1" t="str">
            <v>退货金额（支付时间）</v>
          </cell>
          <cell r="Q1" t="str">
            <v>退货订单数（支付时间）</v>
          </cell>
          <cell r="R1" t="str">
            <v>我的出价（元）</v>
          </cell>
          <cell r="S1" t="str">
            <v>平台最低价（元）</v>
          </cell>
          <cell r="T1" t="str">
            <v>当前单品收入</v>
          </cell>
          <cell r="U1" t="str">
            <v>当前单品利润</v>
          </cell>
          <cell r="V1" t="str">
            <v>支付笔单价</v>
          </cell>
          <cell r="W1" t="str">
            <v>支付用户数</v>
          </cell>
        </row>
        <row r="2">
          <cell r="C2">
            <v>12421220</v>
          </cell>
          <cell r="D2" t="str">
            <v>伯希和/PELLIOT</v>
          </cell>
          <cell r="E2" t="str">
            <v>服装-外套-防晒服</v>
          </cell>
          <cell r="F2" t="str">
            <v>一品多商</v>
          </cell>
          <cell r="G2" t="str">
            <v>品牌直发</v>
          </cell>
          <cell r="H2">
            <v>24810.93</v>
          </cell>
          <cell r="I2">
            <v>116</v>
          </cell>
          <cell r="J2">
            <v>2242</v>
          </cell>
          <cell r="K2">
            <v>633</v>
          </cell>
          <cell r="L2">
            <v>260</v>
          </cell>
          <cell r="M2">
            <v>116</v>
          </cell>
          <cell r="N2">
            <v>4610.78</v>
          </cell>
          <cell r="O2">
            <v>23</v>
          </cell>
          <cell r="P2">
            <v>7373.93</v>
          </cell>
          <cell r="Q2">
            <v>33</v>
          </cell>
          <cell r="R2" t="str">
            <v>274-290</v>
          </cell>
          <cell r="S2">
            <v>259</v>
          </cell>
          <cell r="T2">
            <v>230.32</v>
          </cell>
          <cell r="U2" t="str">
            <v>-</v>
          </cell>
          <cell r="V2">
            <v>213.89</v>
          </cell>
          <cell r="W2">
            <v>110</v>
          </cell>
        </row>
        <row r="3">
          <cell r="C3">
            <v>11421507</v>
          </cell>
          <cell r="D3" t="str">
            <v>伯希和/PELLIOT</v>
          </cell>
          <cell r="E3" t="str">
            <v>服装-上衣-Polo衫</v>
          </cell>
          <cell r="F3" t="str">
            <v>一品多商</v>
          </cell>
          <cell r="G3" t="str">
            <v>品牌直发</v>
          </cell>
          <cell r="H3">
            <v>8037</v>
          </cell>
          <cell r="I3">
            <v>64</v>
          </cell>
          <cell r="J3">
            <v>2593</v>
          </cell>
          <cell r="K3">
            <v>408</v>
          </cell>
          <cell r="L3">
            <v>276</v>
          </cell>
          <cell r="M3">
            <v>64</v>
          </cell>
          <cell r="N3">
            <v>1455</v>
          </cell>
          <cell r="O3">
            <v>11</v>
          </cell>
          <cell r="P3">
            <v>1706</v>
          </cell>
          <cell r="Q3">
            <v>13</v>
          </cell>
          <cell r="R3" t="str">
            <v>163-196</v>
          </cell>
          <cell r="S3">
            <v>154</v>
          </cell>
          <cell r="T3">
            <v>133.07</v>
          </cell>
          <cell r="U3" t="str">
            <v>-</v>
          </cell>
          <cell r="V3">
            <v>125.58</v>
          </cell>
          <cell r="W3">
            <v>61</v>
          </cell>
        </row>
        <row r="4">
          <cell r="C4" t="str">
            <v>PE1124101048</v>
          </cell>
          <cell r="D4" t="str">
            <v>伯希和/PELLIOT</v>
          </cell>
          <cell r="E4" t="str">
            <v>服装-外套-冲锋衣</v>
          </cell>
          <cell r="F4" t="str">
            <v>一品多商</v>
          </cell>
          <cell r="G4" t="str">
            <v>品牌直发</v>
          </cell>
          <cell r="H4">
            <v>23017</v>
          </cell>
          <cell r="I4">
            <v>41</v>
          </cell>
          <cell r="J4">
            <v>1888</v>
          </cell>
          <cell r="K4">
            <v>437</v>
          </cell>
          <cell r="L4">
            <v>208</v>
          </cell>
          <cell r="M4">
            <v>41</v>
          </cell>
          <cell r="N4">
            <v>5822</v>
          </cell>
          <cell r="O4">
            <v>11</v>
          </cell>
          <cell r="P4">
            <v>6500</v>
          </cell>
          <cell r="Q4">
            <v>11</v>
          </cell>
          <cell r="R4" t="str">
            <v>621-690</v>
          </cell>
          <cell r="S4">
            <v>499</v>
          </cell>
          <cell r="T4">
            <v>529.42</v>
          </cell>
          <cell r="U4" t="str">
            <v>-</v>
          </cell>
          <cell r="V4">
            <v>561.39</v>
          </cell>
          <cell r="W4">
            <v>37</v>
          </cell>
        </row>
        <row r="5">
          <cell r="C5">
            <v>12340164</v>
          </cell>
          <cell r="D5" t="str">
            <v>伯希和/PELLIOT</v>
          </cell>
          <cell r="E5" t="str">
            <v>服装-外套-冲锋衣</v>
          </cell>
          <cell r="F5" t="str">
            <v>一品多商</v>
          </cell>
          <cell r="G5" t="str">
            <v>品牌直发</v>
          </cell>
          <cell r="H5">
            <v>15668.61</v>
          </cell>
          <cell r="I5">
            <v>29</v>
          </cell>
          <cell r="J5">
            <v>1283</v>
          </cell>
          <cell r="K5">
            <v>558</v>
          </cell>
          <cell r="L5">
            <v>104</v>
          </cell>
          <cell r="M5">
            <v>29</v>
          </cell>
          <cell r="N5">
            <v>3636</v>
          </cell>
          <cell r="O5">
            <v>7</v>
          </cell>
          <cell r="P5">
            <v>3498</v>
          </cell>
          <cell r="Q5">
            <v>6</v>
          </cell>
          <cell r="R5" t="str">
            <v>608-699</v>
          </cell>
          <cell r="S5">
            <v>494</v>
          </cell>
          <cell r="T5">
            <v>518.13</v>
          </cell>
          <cell r="U5" t="str">
            <v>-</v>
          </cell>
          <cell r="V5">
            <v>540.3</v>
          </cell>
          <cell r="W5">
            <v>28</v>
          </cell>
        </row>
        <row r="6">
          <cell r="C6">
            <v>12340106</v>
          </cell>
          <cell r="D6" t="str">
            <v>伯希和/PELLIOT</v>
          </cell>
          <cell r="E6" t="str">
            <v>女装-外套-冲锋衣</v>
          </cell>
          <cell r="F6" t="str">
            <v>一品多商</v>
          </cell>
          <cell r="G6" t="str">
            <v>品牌直发</v>
          </cell>
          <cell r="H6">
            <v>8665</v>
          </cell>
          <cell r="I6">
            <v>21</v>
          </cell>
          <cell r="J6">
            <v>1431</v>
          </cell>
          <cell r="K6">
            <v>434</v>
          </cell>
          <cell r="L6">
            <v>120</v>
          </cell>
          <cell r="M6">
            <v>21</v>
          </cell>
          <cell r="N6">
            <v>3046</v>
          </cell>
          <cell r="O6">
            <v>7</v>
          </cell>
          <cell r="P6">
            <v>3900</v>
          </cell>
          <cell r="Q6">
            <v>10</v>
          </cell>
          <cell r="R6" t="str">
            <v>404-428</v>
          </cell>
          <cell r="S6">
            <v>365</v>
          </cell>
          <cell r="T6">
            <v>339.28</v>
          </cell>
          <cell r="U6" t="str">
            <v>-</v>
          </cell>
          <cell r="V6">
            <v>412.62</v>
          </cell>
          <cell r="W6">
            <v>21</v>
          </cell>
        </row>
        <row r="7">
          <cell r="C7" t="str">
            <v>11340105-新加色</v>
          </cell>
          <cell r="D7" t="str">
            <v>伯希和/PELLIOT</v>
          </cell>
          <cell r="E7" t="str">
            <v>服装-外套-冲锋衣</v>
          </cell>
          <cell r="F7" t="str">
            <v>一品多商</v>
          </cell>
          <cell r="G7" t="str">
            <v>品牌直发</v>
          </cell>
          <cell r="H7">
            <v>8757</v>
          </cell>
          <cell r="I7">
            <v>21</v>
          </cell>
          <cell r="J7">
            <v>1169</v>
          </cell>
          <cell r="K7">
            <v>477</v>
          </cell>
          <cell r="L7">
            <v>74</v>
          </cell>
          <cell r="M7">
            <v>21</v>
          </cell>
          <cell r="N7">
            <v>943</v>
          </cell>
          <cell r="O7">
            <v>2</v>
          </cell>
          <cell r="P7">
            <v>1712</v>
          </cell>
          <cell r="Q7">
            <v>4</v>
          </cell>
          <cell r="R7" t="str">
            <v>440-499</v>
          </cell>
          <cell r="S7">
            <v>401</v>
          </cell>
          <cell r="T7">
            <v>372.31</v>
          </cell>
          <cell r="U7" t="str">
            <v>-</v>
          </cell>
          <cell r="V7">
            <v>417</v>
          </cell>
          <cell r="W7">
            <v>17</v>
          </cell>
        </row>
        <row r="8">
          <cell r="C8" t="str">
            <v>12421220-新加色</v>
          </cell>
          <cell r="D8" t="str">
            <v>伯希和/PELLIOT</v>
          </cell>
          <cell r="E8" t="str">
            <v>服装-外套-防晒服</v>
          </cell>
          <cell r="F8" t="str">
            <v>一品多商</v>
          </cell>
          <cell r="G8" t="str">
            <v>品牌直发</v>
          </cell>
          <cell r="H8">
            <v>3356</v>
          </cell>
          <cell r="I8">
            <v>14</v>
          </cell>
          <cell r="J8">
            <v>842</v>
          </cell>
          <cell r="K8">
            <v>601</v>
          </cell>
          <cell r="L8">
            <v>42</v>
          </cell>
          <cell r="M8">
            <v>14</v>
          </cell>
          <cell r="N8">
            <v>0</v>
          </cell>
          <cell r="O8">
            <v>0</v>
          </cell>
          <cell r="P8">
            <v>989</v>
          </cell>
          <cell r="Q8">
            <v>4</v>
          </cell>
          <cell r="R8" t="str">
            <v>274-299</v>
          </cell>
          <cell r="S8">
            <v>257</v>
          </cell>
          <cell r="T8">
            <v>230.32</v>
          </cell>
          <cell r="U8" t="str">
            <v>-</v>
          </cell>
          <cell r="V8">
            <v>239.71</v>
          </cell>
          <cell r="W8">
            <v>14</v>
          </cell>
        </row>
        <row r="9">
          <cell r="C9">
            <v>12421228</v>
          </cell>
          <cell r="D9" t="str">
            <v>伯希和/PELLIOT</v>
          </cell>
          <cell r="E9" t="str">
            <v>女装-外套-防晒服</v>
          </cell>
          <cell r="F9" t="str">
            <v>一品多商</v>
          </cell>
          <cell r="G9" t="str">
            <v>品牌直发</v>
          </cell>
          <cell r="H9">
            <v>1008</v>
          </cell>
          <cell r="I9">
            <v>12</v>
          </cell>
          <cell r="J9">
            <v>491</v>
          </cell>
          <cell r="K9">
            <v>872</v>
          </cell>
          <cell r="L9">
            <v>15</v>
          </cell>
          <cell r="M9">
            <v>12</v>
          </cell>
          <cell r="N9">
            <v>198</v>
          </cell>
          <cell r="O9">
            <v>2</v>
          </cell>
          <cell r="P9">
            <v>99</v>
          </cell>
          <cell r="Q9">
            <v>1</v>
          </cell>
          <cell r="R9" t="str">
            <v>107-179</v>
          </cell>
          <cell r="S9">
            <v>107</v>
          </cell>
          <cell r="T9">
            <v>84.89</v>
          </cell>
          <cell r="U9" t="str">
            <v>-</v>
          </cell>
          <cell r="V9">
            <v>84</v>
          </cell>
          <cell r="W9">
            <v>10</v>
          </cell>
        </row>
        <row r="10">
          <cell r="C10">
            <v>115214024</v>
          </cell>
          <cell r="D10" t="str">
            <v>伯希和/PELLIOT</v>
          </cell>
          <cell r="E10" t="str">
            <v>服装-户外运动服-速干裤</v>
          </cell>
          <cell r="F10" t="str">
            <v>一品多商</v>
          </cell>
          <cell r="G10" t="str">
            <v>品牌直发</v>
          </cell>
          <cell r="H10">
            <v>2264</v>
          </cell>
          <cell r="I10">
            <v>12</v>
          </cell>
          <cell r="J10">
            <v>1266</v>
          </cell>
          <cell r="K10">
            <v>355</v>
          </cell>
          <cell r="L10">
            <v>40</v>
          </cell>
          <cell r="M10">
            <v>12</v>
          </cell>
          <cell r="N10">
            <v>433</v>
          </cell>
          <cell r="O10">
            <v>2</v>
          </cell>
          <cell r="P10">
            <v>643</v>
          </cell>
          <cell r="Q10">
            <v>4</v>
          </cell>
          <cell r="R10" t="str">
            <v>196-198</v>
          </cell>
          <cell r="S10">
            <v>174</v>
          </cell>
          <cell r="T10">
            <v>161.32</v>
          </cell>
          <cell r="U10" t="str">
            <v>-</v>
          </cell>
          <cell r="V10">
            <v>188.67</v>
          </cell>
          <cell r="W10">
            <v>11</v>
          </cell>
        </row>
        <row r="11">
          <cell r="C11">
            <v>11421201</v>
          </cell>
          <cell r="D11" t="str">
            <v>伯希和/PELLIOT</v>
          </cell>
          <cell r="E11" t="str">
            <v>服装-外套-防晒服</v>
          </cell>
          <cell r="F11" t="str">
            <v>一品多商</v>
          </cell>
          <cell r="G11" t="str">
            <v>品牌直发</v>
          </cell>
          <cell r="H11">
            <v>2018</v>
          </cell>
          <cell r="I11">
            <v>11</v>
          </cell>
          <cell r="J11">
            <v>1405</v>
          </cell>
          <cell r="K11">
            <v>306</v>
          </cell>
          <cell r="L11">
            <v>63</v>
          </cell>
          <cell r="M11">
            <v>11</v>
          </cell>
          <cell r="N11">
            <v>0</v>
          </cell>
          <cell r="O11">
            <v>0</v>
          </cell>
          <cell r="P11">
            <v>388</v>
          </cell>
          <cell r="Q11">
            <v>2</v>
          </cell>
          <cell r="R11" t="str">
            <v>259-259</v>
          </cell>
          <cell r="S11">
            <v>209</v>
          </cell>
          <cell r="T11">
            <v>217.3</v>
          </cell>
          <cell r="U11" t="str">
            <v>-</v>
          </cell>
          <cell r="V11">
            <v>183.45</v>
          </cell>
          <cell r="W11">
            <v>10</v>
          </cell>
        </row>
        <row r="12">
          <cell r="C12">
            <v>12421252</v>
          </cell>
          <cell r="D12" t="str">
            <v>伯希和/PELLIOT</v>
          </cell>
          <cell r="E12" t="str">
            <v>女装-外套-防晒服</v>
          </cell>
          <cell r="F12" t="str">
            <v>一品多商</v>
          </cell>
          <cell r="G12" t="str">
            <v>品牌直发</v>
          </cell>
          <cell r="H12">
            <v>1027</v>
          </cell>
          <cell r="I12">
            <v>10</v>
          </cell>
          <cell r="J12">
            <v>573</v>
          </cell>
          <cell r="K12">
            <v>747</v>
          </cell>
          <cell r="L12">
            <v>7</v>
          </cell>
          <cell r="M12">
            <v>10</v>
          </cell>
          <cell r="N12">
            <v>119</v>
          </cell>
          <cell r="O12">
            <v>1</v>
          </cell>
          <cell r="P12">
            <v>357</v>
          </cell>
          <cell r="Q12">
            <v>3</v>
          </cell>
          <cell r="R12" t="str">
            <v>119-119</v>
          </cell>
          <cell r="S12">
            <v>93</v>
          </cell>
          <cell r="T12">
            <v>95.3</v>
          </cell>
          <cell r="U12" t="str">
            <v>-</v>
          </cell>
          <cell r="V12">
            <v>102.7</v>
          </cell>
          <cell r="W12">
            <v>10</v>
          </cell>
        </row>
        <row r="13">
          <cell r="C13">
            <v>12321218</v>
          </cell>
          <cell r="D13" t="str">
            <v>伯希和/PELLIOT</v>
          </cell>
          <cell r="E13" t="str">
            <v>女装-外套-防晒服</v>
          </cell>
          <cell r="F13" t="str">
            <v>一品多商</v>
          </cell>
          <cell r="G13" t="str">
            <v>品牌直发</v>
          </cell>
          <cell r="H13">
            <v>819</v>
          </cell>
          <cell r="I13">
            <v>10</v>
          </cell>
          <cell r="J13">
            <v>1587</v>
          </cell>
          <cell r="K13">
            <v>270</v>
          </cell>
          <cell r="L13">
            <v>90</v>
          </cell>
          <cell r="M13">
            <v>10</v>
          </cell>
          <cell r="N13">
            <v>472</v>
          </cell>
          <cell r="O13">
            <v>5</v>
          </cell>
          <cell r="P13">
            <v>99</v>
          </cell>
          <cell r="Q13">
            <v>1</v>
          </cell>
          <cell r="R13" t="str">
            <v>-</v>
          </cell>
          <cell r="S13">
            <v>95</v>
          </cell>
          <cell r="T13" t="str">
            <v>-</v>
          </cell>
          <cell r="U13" t="str">
            <v>-</v>
          </cell>
          <cell r="V13">
            <v>81.9</v>
          </cell>
          <cell r="W13">
            <v>10</v>
          </cell>
        </row>
        <row r="14">
          <cell r="C14">
            <v>11410201</v>
          </cell>
          <cell r="D14" t="str">
            <v>伯希和/PELLIOT</v>
          </cell>
          <cell r="E14" t="str">
            <v>服装-长裤-冲锋裤</v>
          </cell>
          <cell r="F14" t="str">
            <v>一品多商</v>
          </cell>
          <cell r="G14" t="str">
            <v>品牌直发</v>
          </cell>
          <cell r="H14">
            <v>3530</v>
          </cell>
          <cell r="I14">
            <v>9</v>
          </cell>
          <cell r="J14">
            <v>1387</v>
          </cell>
          <cell r="K14">
            <v>292</v>
          </cell>
          <cell r="L14">
            <v>91</v>
          </cell>
          <cell r="M14">
            <v>9</v>
          </cell>
          <cell r="N14">
            <v>2067</v>
          </cell>
          <cell r="O14">
            <v>5</v>
          </cell>
          <cell r="P14">
            <v>1252</v>
          </cell>
          <cell r="Q14">
            <v>4</v>
          </cell>
          <cell r="R14" t="str">
            <v>437-482</v>
          </cell>
          <cell r="S14">
            <v>389</v>
          </cell>
          <cell r="T14">
            <v>371.71</v>
          </cell>
          <cell r="U14" t="str">
            <v>-</v>
          </cell>
          <cell r="V14">
            <v>392.22</v>
          </cell>
          <cell r="W14">
            <v>9</v>
          </cell>
        </row>
        <row r="15">
          <cell r="C15">
            <v>11421533</v>
          </cell>
          <cell r="D15" t="str">
            <v>伯希和/PELLIOT</v>
          </cell>
          <cell r="E15" t="str">
            <v>服装-上衣-Polo衫</v>
          </cell>
          <cell r="F15" t="str">
            <v>一品多商</v>
          </cell>
          <cell r="G15" t="str">
            <v>品牌直发</v>
          </cell>
          <cell r="H15">
            <v>1672</v>
          </cell>
          <cell r="I15">
            <v>8</v>
          </cell>
          <cell r="J15">
            <v>2348</v>
          </cell>
          <cell r="K15">
            <v>152</v>
          </cell>
          <cell r="L15">
            <v>240</v>
          </cell>
          <cell r="M15">
            <v>8</v>
          </cell>
          <cell r="N15">
            <v>216</v>
          </cell>
          <cell r="O15">
            <v>1</v>
          </cell>
          <cell r="P15">
            <v>457</v>
          </cell>
          <cell r="Q15">
            <v>2</v>
          </cell>
          <cell r="R15" t="str">
            <v>232-249</v>
          </cell>
          <cell r="S15">
            <v>201</v>
          </cell>
          <cell r="T15">
            <v>192.97</v>
          </cell>
          <cell r="U15" t="str">
            <v>-</v>
          </cell>
          <cell r="V15">
            <v>209</v>
          </cell>
          <cell r="W15">
            <v>7</v>
          </cell>
        </row>
        <row r="16">
          <cell r="C16">
            <v>115119035</v>
          </cell>
          <cell r="D16" t="str">
            <v>伯希和/PELLIOT</v>
          </cell>
          <cell r="E16" t="str">
            <v>鞋-运动鞋-登山鞋/徒步鞋</v>
          </cell>
          <cell r="F16" t="str">
            <v>一品多商</v>
          </cell>
          <cell r="G16" t="str">
            <v>品牌直发</v>
          </cell>
          <cell r="H16">
            <v>2931</v>
          </cell>
          <cell r="I16">
            <v>8</v>
          </cell>
          <cell r="J16">
            <v>1348</v>
          </cell>
          <cell r="K16">
            <v>265</v>
          </cell>
          <cell r="L16">
            <v>67</v>
          </cell>
          <cell r="M16">
            <v>8</v>
          </cell>
          <cell r="N16">
            <v>782</v>
          </cell>
          <cell r="O16">
            <v>2</v>
          </cell>
          <cell r="P16">
            <v>1155</v>
          </cell>
          <cell r="Q16">
            <v>3</v>
          </cell>
          <cell r="R16" t="str">
            <v>499-499</v>
          </cell>
          <cell r="S16">
            <v>399</v>
          </cell>
          <cell r="T16">
            <v>424.03</v>
          </cell>
          <cell r="U16" t="str">
            <v>-</v>
          </cell>
          <cell r="V16">
            <v>366.38</v>
          </cell>
          <cell r="W16">
            <v>7</v>
          </cell>
        </row>
        <row r="17">
          <cell r="C17">
            <v>115119025</v>
          </cell>
          <cell r="D17" t="str">
            <v>伯希和/PELLIOT</v>
          </cell>
          <cell r="E17" t="str">
            <v>鞋-运动鞋-越野跑鞋</v>
          </cell>
          <cell r="F17" t="str">
            <v>一品多商</v>
          </cell>
          <cell r="G17" t="str">
            <v>品牌直发</v>
          </cell>
          <cell r="H17">
            <v>2071</v>
          </cell>
          <cell r="I17">
            <v>7</v>
          </cell>
          <cell r="J17">
            <v>1205</v>
          </cell>
          <cell r="K17">
            <v>297</v>
          </cell>
          <cell r="L17">
            <v>50</v>
          </cell>
          <cell r="M17">
            <v>7</v>
          </cell>
          <cell r="N17">
            <v>0</v>
          </cell>
          <cell r="O17">
            <v>0</v>
          </cell>
          <cell r="P17">
            <v>308</v>
          </cell>
          <cell r="Q17">
            <v>1</v>
          </cell>
          <cell r="R17" t="str">
            <v>354-399</v>
          </cell>
          <cell r="S17">
            <v>322</v>
          </cell>
          <cell r="T17">
            <v>297.37</v>
          </cell>
          <cell r="U17" t="str">
            <v>-</v>
          </cell>
          <cell r="V17">
            <v>295.86</v>
          </cell>
          <cell r="W17">
            <v>7</v>
          </cell>
        </row>
        <row r="18">
          <cell r="C18" t="str">
            <v>11340105-CF05</v>
          </cell>
          <cell r="D18" t="str">
            <v>伯希和/PELLIOT</v>
          </cell>
          <cell r="E18" t="str">
            <v>服装-外套-冲锋衣</v>
          </cell>
          <cell r="F18" t="str">
            <v>一品多商</v>
          </cell>
          <cell r="G18" t="str">
            <v>品牌直发</v>
          </cell>
          <cell r="H18">
            <v>3006.3</v>
          </cell>
          <cell r="I18">
            <v>7</v>
          </cell>
          <cell r="J18">
            <v>824</v>
          </cell>
          <cell r="K18">
            <v>434</v>
          </cell>
          <cell r="L18">
            <v>27</v>
          </cell>
          <cell r="M18">
            <v>7</v>
          </cell>
          <cell r="N18">
            <v>0</v>
          </cell>
          <cell r="O18">
            <v>0</v>
          </cell>
          <cell r="P18">
            <v>454</v>
          </cell>
          <cell r="Q18">
            <v>1</v>
          </cell>
          <cell r="R18" t="str">
            <v>441-464</v>
          </cell>
          <cell r="S18">
            <v>420</v>
          </cell>
          <cell r="T18">
            <v>373.18</v>
          </cell>
          <cell r="U18" t="str">
            <v>-</v>
          </cell>
          <cell r="V18">
            <v>429.47</v>
          </cell>
          <cell r="W18">
            <v>7</v>
          </cell>
        </row>
        <row r="19">
          <cell r="C19">
            <v>11340105</v>
          </cell>
          <cell r="D19" t="str">
            <v>伯希和/PELLIOT</v>
          </cell>
          <cell r="E19" t="str">
            <v>服装-外套-冲锋衣</v>
          </cell>
          <cell r="F19" t="str">
            <v>一品多商</v>
          </cell>
          <cell r="G19" t="str">
            <v>品牌直发</v>
          </cell>
          <cell r="H19">
            <v>2572</v>
          </cell>
          <cell r="I19">
            <v>6</v>
          </cell>
          <cell r="J19">
            <v>1458</v>
          </cell>
          <cell r="K19">
            <v>227</v>
          </cell>
          <cell r="L19">
            <v>96</v>
          </cell>
          <cell r="M19">
            <v>6</v>
          </cell>
          <cell r="N19">
            <v>846</v>
          </cell>
          <cell r="O19">
            <v>3</v>
          </cell>
          <cell r="P19">
            <v>459</v>
          </cell>
          <cell r="Q19">
            <v>1</v>
          </cell>
          <cell r="R19" t="str">
            <v>437-489</v>
          </cell>
          <cell r="S19">
            <v>389</v>
          </cell>
          <cell r="T19">
            <v>369.71</v>
          </cell>
          <cell r="U19" t="str">
            <v>-</v>
          </cell>
          <cell r="V19">
            <v>428.67</v>
          </cell>
          <cell r="W19">
            <v>6</v>
          </cell>
        </row>
        <row r="20">
          <cell r="C20">
            <v>105212020</v>
          </cell>
          <cell r="D20" t="str">
            <v>伯希和/PELLIOT</v>
          </cell>
          <cell r="E20" t="str">
            <v>服装-外套-防晒服</v>
          </cell>
          <cell r="F20" t="str">
            <v>一品多商</v>
          </cell>
          <cell r="G20" t="str">
            <v>品牌直发</v>
          </cell>
          <cell r="H20">
            <v>1070</v>
          </cell>
          <cell r="I20">
            <v>4</v>
          </cell>
          <cell r="J20">
            <v>1060</v>
          </cell>
          <cell r="K20">
            <v>255</v>
          </cell>
          <cell r="L20">
            <v>31</v>
          </cell>
          <cell r="M20">
            <v>4</v>
          </cell>
          <cell r="N20">
            <v>0</v>
          </cell>
          <cell r="O20">
            <v>0</v>
          </cell>
          <cell r="P20">
            <v>568</v>
          </cell>
          <cell r="Q20">
            <v>2</v>
          </cell>
          <cell r="R20" t="str">
            <v>235-235</v>
          </cell>
          <cell r="S20">
            <v>222</v>
          </cell>
          <cell r="T20">
            <v>196.47</v>
          </cell>
          <cell r="U20" t="str">
            <v>-</v>
          </cell>
          <cell r="V20">
            <v>267.5</v>
          </cell>
          <cell r="W20">
            <v>4</v>
          </cell>
        </row>
        <row r="21">
          <cell r="C21">
            <v>11411909</v>
          </cell>
          <cell r="D21" t="str">
            <v>伯希和/PELLIOT</v>
          </cell>
          <cell r="E21" t="str">
            <v>鞋-运动鞋-登山鞋/徒步鞋</v>
          </cell>
          <cell r="F21" t="str">
            <v>一品多商</v>
          </cell>
          <cell r="G21" t="str">
            <v>品牌直发</v>
          </cell>
          <cell r="H21">
            <v>1305</v>
          </cell>
          <cell r="I21">
            <v>4</v>
          </cell>
          <cell r="J21">
            <v>560</v>
          </cell>
          <cell r="K21">
            <v>482</v>
          </cell>
          <cell r="L21">
            <v>5</v>
          </cell>
          <cell r="M21">
            <v>4</v>
          </cell>
          <cell r="N21">
            <v>344</v>
          </cell>
          <cell r="O21">
            <v>1</v>
          </cell>
          <cell r="P21">
            <v>344</v>
          </cell>
          <cell r="Q21">
            <v>1</v>
          </cell>
          <cell r="R21" t="str">
            <v>369-369</v>
          </cell>
          <cell r="S21">
            <v>258</v>
          </cell>
          <cell r="T21">
            <v>311.19</v>
          </cell>
          <cell r="U21" t="str">
            <v>-</v>
          </cell>
          <cell r="V21">
            <v>326.25</v>
          </cell>
          <cell r="W21">
            <v>4</v>
          </cell>
        </row>
        <row r="22">
          <cell r="C22">
            <v>11421425</v>
          </cell>
          <cell r="D22" t="str">
            <v>伯希和/PELLIOT</v>
          </cell>
          <cell r="E22" t="str">
            <v>服装-长裤-针织运动裤</v>
          </cell>
          <cell r="F22" t="str">
            <v>一品多商</v>
          </cell>
          <cell r="G22" t="str">
            <v>品牌直发</v>
          </cell>
          <cell r="H22">
            <v>445</v>
          </cell>
          <cell r="I22">
            <v>3</v>
          </cell>
          <cell r="J22">
            <v>437</v>
          </cell>
          <cell r="K22">
            <v>537</v>
          </cell>
          <cell r="L22">
            <v>6</v>
          </cell>
          <cell r="M22">
            <v>3</v>
          </cell>
          <cell r="N22">
            <v>0</v>
          </cell>
          <cell r="O22">
            <v>0</v>
          </cell>
          <cell r="P22">
            <v>160</v>
          </cell>
          <cell r="Q22">
            <v>1</v>
          </cell>
          <cell r="R22" t="str">
            <v>135-135</v>
          </cell>
          <cell r="S22">
            <v>108</v>
          </cell>
          <cell r="T22">
            <v>110.07</v>
          </cell>
          <cell r="U22" t="str">
            <v>-</v>
          </cell>
          <cell r="V22">
            <v>148.33</v>
          </cell>
          <cell r="W22">
            <v>3</v>
          </cell>
        </row>
        <row r="23">
          <cell r="C23">
            <v>115214025</v>
          </cell>
          <cell r="D23" t="str">
            <v>伯希和/PELLIOT</v>
          </cell>
          <cell r="E23" t="str">
            <v>服装-户外运动服-速干裤</v>
          </cell>
          <cell r="F23" t="str">
            <v>一品多商</v>
          </cell>
          <cell r="G23" t="str">
            <v>品牌直发</v>
          </cell>
          <cell r="H23">
            <v>720</v>
          </cell>
          <cell r="I23">
            <v>3</v>
          </cell>
          <cell r="J23">
            <v>659</v>
          </cell>
          <cell r="K23">
            <v>290</v>
          </cell>
          <cell r="L23">
            <v>19</v>
          </cell>
          <cell r="M23">
            <v>3</v>
          </cell>
          <cell r="N23">
            <v>260</v>
          </cell>
          <cell r="O23">
            <v>1</v>
          </cell>
          <cell r="P23">
            <v>514</v>
          </cell>
          <cell r="Q23">
            <v>2</v>
          </cell>
          <cell r="R23" t="str">
            <v>287-299</v>
          </cell>
          <cell r="S23">
            <v>259</v>
          </cell>
          <cell r="T23">
            <v>240.31</v>
          </cell>
          <cell r="U23" t="str">
            <v>-</v>
          </cell>
          <cell r="V23">
            <v>240</v>
          </cell>
          <cell r="W23">
            <v>2</v>
          </cell>
        </row>
        <row r="24">
          <cell r="C24">
            <v>115212003</v>
          </cell>
          <cell r="D24" t="str">
            <v>伯希和/PELLIOT</v>
          </cell>
          <cell r="E24" t="str">
            <v>服装-外套-防晒服</v>
          </cell>
          <cell r="F24" t="str">
            <v>一品多商</v>
          </cell>
          <cell r="G24" t="str">
            <v>品牌直发</v>
          </cell>
          <cell r="H24">
            <v>404</v>
          </cell>
          <cell r="I24">
            <v>2</v>
          </cell>
          <cell r="J24">
            <v>1007</v>
          </cell>
          <cell r="K24">
            <v>191</v>
          </cell>
          <cell r="L24">
            <v>28</v>
          </cell>
          <cell r="M24">
            <v>2</v>
          </cell>
          <cell r="N24">
            <v>220</v>
          </cell>
          <cell r="O24">
            <v>1</v>
          </cell>
          <cell r="P24">
            <v>0</v>
          </cell>
          <cell r="Q24">
            <v>0</v>
          </cell>
          <cell r="R24" t="str">
            <v>246-269</v>
          </cell>
          <cell r="S24">
            <v>246</v>
          </cell>
          <cell r="T24">
            <v>206.02</v>
          </cell>
          <cell r="U24" t="str">
            <v>-</v>
          </cell>
          <cell r="V24">
            <v>202</v>
          </cell>
          <cell r="W24">
            <v>2</v>
          </cell>
        </row>
        <row r="25">
          <cell r="C25">
            <v>115107003</v>
          </cell>
          <cell r="D25" t="str">
            <v>伯希和/PELLIOT</v>
          </cell>
          <cell r="E25" t="str">
            <v>服装-长裤-软壳裤</v>
          </cell>
          <cell r="F25" t="str">
            <v>一品多商</v>
          </cell>
          <cell r="G25" t="str">
            <v>品牌直发</v>
          </cell>
          <cell r="H25">
            <v>1002</v>
          </cell>
          <cell r="I25">
            <v>2</v>
          </cell>
          <cell r="J25">
            <v>731</v>
          </cell>
          <cell r="K25">
            <v>263</v>
          </cell>
          <cell r="L25">
            <v>14</v>
          </cell>
          <cell r="M25">
            <v>2</v>
          </cell>
          <cell r="N25">
            <v>0</v>
          </cell>
          <cell r="O25">
            <v>0</v>
          </cell>
          <cell r="P25">
            <v>0</v>
          </cell>
          <cell r="Q25">
            <v>0</v>
          </cell>
          <cell r="R25" t="str">
            <v>550-550</v>
          </cell>
          <cell r="S25">
            <v>429</v>
          </cell>
          <cell r="T25">
            <v>467.49</v>
          </cell>
          <cell r="U25" t="str">
            <v>-</v>
          </cell>
          <cell r="V25">
            <v>501</v>
          </cell>
          <cell r="W25">
            <v>2</v>
          </cell>
        </row>
        <row r="26">
          <cell r="C26">
            <v>12330602</v>
          </cell>
          <cell r="D26" t="str">
            <v>伯希和/PELLIOT</v>
          </cell>
          <cell r="E26" t="str">
            <v>女装-外套-软壳衣</v>
          </cell>
          <cell r="F26" t="str">
            <v>一品多商</v>
          </cell>
          <cell r="G26" t="str">
            <v>品牌直发</v>
          </cell>
          <cell r="H26">
            <v>361</v>
          </cell>
          <cell r="I26">
            <v>1</v>
          </cell>
          <cell r="J26">
            <v>297</v>
          </cell>
          <cell r="K26">
            <v>457</v>
          </cell>
          <cell r="L26">
            <v>2</v>
          </cell>
          <cell r="M26">
            <v>1</v>
          </cell>
          <cell r="N26">
            <v>0</v>
          </cell>
          <cell r="O26">
            <v>0</v>
          </cell>
          <cell r="P26">
            <v>0</v>
          </cell>
          <cell r="Q26">
            <v>0</v>
          </cell>
          <cell r="R26" t="str">
            <v>389-399</v>
          </cell>
          <cell r="S26">
            <v>296</v>
          </cell>
          <cell r="T26">
            <v>325.46</v>
          </cell>
          <cell r="U26" t="str">
            <v>-</v>
          </cell>
          <cell r="V26">
            <v>361</v>
          </cell>
          <cell r="W26">
            <v>1</v>
          </cell>
        </row>
        <row r="27">
          <cell r="C27">
            <v>12321414</v>
          </cell>
          <cell r="D27" t="str">
            <v>伯希和/PELLIOT</v>
          </cell>
          <cell r="E27" t="str">
            <v>女装-户外运动服-速干裤</v>
          </cell>
          <cell r="F27" t="str">
            <v>一品一商</v>
          </cell>
          <cell r="G27" t="str">
            <v>品牌直发</v>
          </cell>
          <cell r="H27">
            <v>127</v>
          </cell>
          <cell r="I27">
            <v>1</v>
          </cell>
          <cell r="J27">
            <v>121</v>
          </cell>
          <cell r="K27">
            <v>0.0083</v>
          </cell>
          <cell r="L27">
            <v>9</v>
          </cell>
          <cell r="M27">
            <v>1</v>
          </cell>
          <cell r="N27">
            <v>0</v>
          </cell>
          <cell r="O27">
            <v>0</v>
          </cell>
          <cell r="P27">
            <v>0</v>
          </cell>
          <cell r="Q27">
            <v>0</v>
          </cell>
          <cell r="R27" t="str">
            <v>-</v>
          </cell>
          <cell r="S27" t="str">
            <v>-</v>
          </cell>
          <cell r="T27" t="str">
            <v>-</v>
          </cell>
          <cell r="U27" t="str">
            <v>-</v>
          </cell>
          <cell r="V27">
            <v>127</v>
          </cell>
          <cell r="W27">
            <v>1</v>
          </cell>
        </row>
        <row r="28">
          <cell r="C28">
            <v>115215025</v>
          </cell>
          <cell r="D28" t="str">
            <v>伯希和/PELLIOT</v>
          </cell>
          <cell r="E28" t="str">
            <v>服装-户外运动服-速干T恤</v>
          </cell>
          <cell r="F28" t="str">
            <v>一品多商</v>
          </cell>
          <cell r="G28" t="str">
            <v>品牌直发</v>
          </cell>
          <cell r="H28">
            <v>257</v>
          </cell>
          <cell r="I28">
            <v>1</v>
          </cell>
          <cell r="J28">
            <v>1061</v>
          </cell>
          <cell r="K28">
            <v>127</v>
          </cell>
          <cell r="L28">
            <v>43</v>
          </cell>
          <cell r="M28">
            <v>1</v>
          </cell>
          <cell r="N28">
            <v>0</v>
          </cell>
          <cell r="O28">
            <v>0</v>
          </cell>
          <cell r="P28">
            <v>0</v>
          </cell>
          <cell r="Q28">
            <v>0</v>
          </cell>
          <cell r="R28" t="str">
            <v>239-239</v>
          </cell>
          <cell r="S28">
            <v>209</v>
          </cell>
          <cell r="T28">
            <v>198.74</v>
          </cell>
          <cell r="U28" t="str">
            <v>-</v>
          </cell>
          <cell r="V28">
            <v>257</v>
          </cell>
          <cell r="W28">
            <v>1</v>
          </cell>
        </row>
        <row r="29">
          <cell r="C29">
            <v>125212004</v>
          </cell>
          <cell r="D29" t="str">
            <v>伯希和/PELLIOT</v>
          </cell>
          <cell r="E29" t="str">
            <v>女装-外套-防晒服</v>
          </cell>
          <cell r="F29" t="str">
            <v>一品多商</v>
          </cell>
          <cell r="G29" t="str">
            <v>品牌直发</v>
          </cell>
          <cell r="H29">
            <v>237</v>
          </cell>
          <cell r="I29">
            <v>1</v>
          </cell>
          <cell r="J29">
            <v>547</v>
          </cell>
          <cell r="K29">
            <v>247</v>
          </cell>
          <cell r="L29">
            <v>4</v>
          </cell>
          <cell r="M29">
            <v>1</v>
          </cell>
          <cell r="N29">
            <v>255</v>
          </cell>
          <cell r="O29">
            <v>1</v>
          </cell>
          <cell r="P29">
            <v>255</v>
          </cell>
          <cell r="Q29">
            <v>1</v>
          </cell>
          <cell r="R29" t="str">
            <v>229-229</v>
          </cell>
          <cell r="S29">
            <v>229</v>
          </cell>
          <cell r="T29">
            <v>197.65</v>
          </cell>
          <cell r="U29" t="str">
            <v>-</v>
          </cell>
          <cell r="V29">
            <v>237</v>
          </cell>
          <cell r="W29">
            <v>1</v>
          </cell>
        </row>
        <row r="30">
          <cell r="C30">
            <v>125301055</v>
          </cell>
          <cell r="D30" t="str">
            <v>伯希和/PELLIOT</v>
          </cell>
          <cell r="E30" t="str">
            <v>女装-外套-冲锋衣</v>
          </cell>
          <cell r="F30" t="str">
            <v>一品多商</v>
          </cell>
          <cell r="G30" t="str">
            <v>品牌直发</v>
          </cell>
          <cell r="H30">
            <v>548</v>
          </cell>
          <cell r="I30">
            <v>1</v>
          </cell>
          <cell r="J30">
            <v>421</v>
          </cell>
          <cell r="K30">
            <v>321</v>
          </cell>
          <cell r="L30">
            <v>14</v>
          </cell>
          <cell r="M30">
            <v>1</v>
          </cell>
          <cell r="N30">
            <v>0</v>
          </cell>
          <cell r="O30">
            <v>0</v>
          </cell>
          <cell r="P30">
            <v>0</v>
          </cell>
          <cell r="Q30">
            <v>0</v>
          </cell>
          <cell r="R30" t="str">
            <v>590-599</v>
          </cell>
          <cell r="S30">
            <v>537</v>
          </cell>
          <cell r="T30">
            <v>500.73</v>
          </cell>
          <cell r="U30" t="str">
            <v>-</v>
          </cell>
          <cell r="V30">
            <v>548</v>
          </cell>
          <cell r="W30">
            <v>1</v>
          </cell>
        </row>
        <row r="31">
          <cell r="C31">
            <v>114401041</v>
          </cell>
          <cell r="D31" t="str">
            <v>伯希和/PELLIOT</v>
          </cell>
          <cell r="E31" t="str">
            <v>服装-外套-冲锋衣</v>
          </cell>
          <cell r="F31" t="str">
            <v>一品多商</v>
          </cell>
          <cell r="G31" t="str">
            <v>品牌直发</v>
          </cell>
          <cell r="H31">
            <v>936</v>
          </cell>
          <cell r="I31">
            <v>1</v>
          </cell>
          <cell r="J31">
            <v>508</v>
          </cell>
          <cell r="K31">
            <v>265</v>
          </cell>
          <cell r="L31">
            <v>15</v>
          </cell>
          <cell r="M31">
            <v>1</v>
          </cell>
          <cell r="N31">
            <v>0</v>
          </cell>
          <cell r="O31">
            <v>0</v>
          </cell>
          <cell r="P31">
            <v>0</v>
          </cell>
          <cell r="Q31">
            <v>0</v>
          </cell>
          <cell r="R31" t="str">
            <v>878-990</v>
          </cell>
          <cell r="S31">
            <v>789</v>
          </cell>
          <cell r="T31">
            <v>752.49</v>
          </cell>
          <cell r="U31" t="str">
            <v>-</v>
          </cell>
          <cell r="V31">
            <v>936</v>
          </cell>
          <cell r="W31">
            <v>1</v>
          </cell>
        </row>
        <row r="32">
          <cell r="C32">
            <v>114306147</v>
          </cell>
          <cell r="D32" t="str">
            <v>伯希和/PELLIOT</v>
          </cell>
          <cell r="E32" t="str">
            <v>服装-外套-软壳衣</v>
          </cell>
          <cell r="F32" t="str">
            <v>一品多商</v>
          </cell>
          <cell r="G32" t="str">
            <v>品牌直发</v>
          </cell>
          <cell r="H32">
            <v>451</v>
          </cell>
          <cell r="I32">
            <v>1</v>
          </cell>
          <cell r="J32">
            <v>664</v>
          </cell>
          <cell r="K32">
            <v>205</v>
          </cell>
          <cell r="L32">
            <v>22</v>
          </cell>
          <cell r="M32">
            <v>1</v>
          </cell>
          <cell r="N32">
            <v>0</v>
          </cell>
          <cell r="O32">
            <v>0</v>
          </cell>
          <cell r="P32">
            <v>0</v>
          </cell>
          <cell r="Q32">
            <v>0</v>
          </cell>
          <cell r="R32" t="str">
            <v>409-490</v>
          </cell>
          <cell r="S32">
            <v>299</v>
          </cell>
          <cell r="T32">
            <v>344.8</v>
          </cell>
          <cell r="U32" t="str">
            <v>-</v>
          </cell>
          <cell r="V32">
            <v>451</v>
          </cell>
          <cell r="W32">
            <v>1</v>
          </cell>
        </row>
        <row r="33">
          <cell r="C33">
            <v>124301030</v>
          </cell>
          <cell r="D33" t="str">
            <v>伯希和/PELLIOT</v>
          </cell>
          <cell r="E33" t="str">
            <v>女装-外套-冲锋衣</v>
          </cell>
          <cell r="F33" t="str">
            <v>一品多商</v>
          </cell>
          <cell r="G33" t="str">
            <v>品牌直发</v>
          </cell>
          <cell r="H33">
            <v>519</v>
          </cell>
          <cell r="I33">
            <v>1</v>
          </cell>
          <cell r="J33">
            <v>458</v>
          </cell>
          <cell r="K33">
            <v>297</v>
          </cell>
          <cell r="L33">
            <v>7</v>
          </cell>
          <cell r="M33">
            <v>1</v>
          </cell>
          <cell r="N33">
            <v>541</v>
          </cell>
          <cell r="O33">
            <v>1</v>
          </cell>
          <cell r="P33">
            <v>0</v>
          </cell>
          <cell r="Q33">
            <v>0</v>
          </cell>
          <cell r="R33" t="str">
            <v>479-479</v>
          </cell>
          <cell r="S33">
            <v>431</v>
          </cell>
          <cell r="T33">
            <v>404.38</v>
          </cell>
          <cell r="U33" t="str">
            <v>-</v>
          </cell>
          <cell r="V33">
            <v>519</v>
          </cell>
          <cell r="W33">
            <v>1</v>
          </cell>
        </row>
        <row r="34">
          <cell r="C34">
            <v>11421415</v>
          </cell>
          <cell r="D34" t="str">
            <v>伯希和/PELLIOT</v>
          </cell>
          <cell r="E34" t="str">
            <v>服装-户外运动服-速干裤</v>
          </cell>
          <cell r="F34" t="str">
            <v>一品多商</v>
          </cell>
          <cell r="G34" t="str">
            <v>品牌直发</v>
          </cell>
          <cell r="H34">
            <v>0</v>
          </cell>
          <cell r="I34">
            <v>0</v>
          </cell>
          <cell r="J34">
            <v>1491</v>
          </cell>
          <cell r="K34">
            <v>0</v>
          </cell>
          <cell r="L34">
            <v>68</v>
          </cell>
          <cell r="M34">
            <v>0</v>
          </cell>
          <cell r="N34">
            <v>478</v>
          </cell>
          <cell r="O34">
            <v>2</v>
          </cell>
          <cell r="P34">
            <v>0</v>
          </cell>
          <cell r="Q34">
            <v>0</v>
          </cell>
          <cell r="R34" t="str">
            <v>214-214</v>
          </cell>
          <cell r="S34">
            <v>201</v>
          </cell>
          <cell r="T34">
            <v>176.94</v>
          </cell>
          <cell r="U34" t="str">
            <v>-</v>
          </cell>
          <cell r="V34">
            <v>0</v>
          </cell>
          <cell r="W34">
            <v>0</v>
          </cell>
        </row>
        <row r="35">
          <cell r="C35">
            <v>11421409</v>
          </cell>
          <cell r="D35" t="str">
            <v>伯希和/PELLIOT</v>
          </cell>
          <cell r="E35" t="str">
            <v>服装-户外运动服-速干裤</v>
          </cell>
          <cell r="F35" t="str">
            <v>一品多商</v>
          </cell>
          <cell r="G35" t="str">
            <v>品牌直发</v>
          </cell>
          <cell r="H35">
            <v>0</v>
          </cell>
          <cell r="I35">
            <v>0</v>
          </cell>
          <cell r="J35">
            <v>241</v>
          </cell>
          <cell r="K35">
            <v>0</v>
          </cell>
          <cell r="L35">
            <v>0</v>
          </cell>
          <cell r="M35">
            <v>0</v>
          </cell>
          <cell r="N35">
            <v>0</v>
          </cell>
          <cell r="O35">
            <v>0</v>
          </cell>
          <cell r="P35">
            <v>0</v>
          </cell>
          <cell r="Q35">
            <v>0</v>
          </cell>
          <cell r="R35" t="str">
            <v>-</v>
          </cell>
          <cell r="S35">
            <v>155</v>
          </cell>
          <cell r="T35" t="str">
            <v>-</v>
          </cell>
          <cell r="U35" t="str">
            <v>-</v>
          </cell>
          <cell r="V35">
            <v>0</v>
          </cell>
          <cell r="W35">
            <v>0</v>
          </cell>
        </row>
        <row r="36">
          <cell r="C36" t="str">
            <v>112340164-271037</v>
          </cell>
          <cell r="D36" t="str">
            <v>伯希和/PELLIOT</v>
          </cell>
          <cell r="E36" t="str">
            <v>服装-外套-冲锋衣</v>
          </cell>
          <cell r="F36" t="str">
            <v>一品多商</v>
          </cell>
          <cell r="G36" t="str">
            <v>品牌直发</v>
          </cell>
          <cell r="H36">
            <v>0</v>
          </cell>
          <cell r="I36">
            <v>0</v>
          </cell>
          <cell r="J36">
            <v>592</v>
          </cell>
          <cell r="K36">
            <v>0</v>
          </cell>
          <cell r="L36">
            <v>22</v>
          </cell>
          <cell r="M36">
            <v>0</v>
          </cell>
          <cell r="N36">
            <v>0</v>
          </cell>
          <cell r="O36">
            <v>0</v>
          </cell>
          <cell r="P36">
            <v>0</v>
          </cell>
          <cell r="Q36">
            <v>0</v>
          </cell>
          <cell r="R36" t="str">
            <v>629-699</v>
          </cell>
          <cell r="S36">
            <v>629</v>
          </cell>
          <cell r="T36">
            <v>536.36</v>
          </cell>
          <cell r="U36" t="str">
            <v>-</v>
          </cell>
          <cell r="V36">
            <v>0</v>
          </cell>
          <cell r="W36">
            <v>0</v>
          </cell>
        </row>
        <row r="37">
          <cell r="C37">
            <v>12421250</v>
          </cell>
          <cell r="D37" t="str">
            <v>伯希和/PELLIOT</v>
          </cell>
          <cell r="E37" t="str">
            <v>女装-外套-防晒服</v>
          </cell>
          <cell r="F37" t="str">
            <v>一品多商</v>
          </cell>
          <cell r="G37" t="str">
            <v>品牌直发</v>
          </cell>
          <cell r="H37">
            <v>0</v>
          </cell>
          <cell r="I37">
            <v>0</v>
          </cell>
          <cell r="J37">
            <v>523</v>
          </cell>
          <cell r="K37">
            <v>0</v>
          </cell>
          <cell r="L37">
            <v>10</v>
          </cell>
          <cell r="M37">
            <v>0</v>
          </cell>
          <cell r="N37">
            <v>0</v>
          </cell>
          <cell r="O37">
            <v>0</v>
          </cell>
          <cell r="P37">
            <v>0</v>
          </cell>
          <cell r="Q37">
            <v>0</v>
          </cell>
          <cell r="R37" t="str">
            <v>259-259</v>
          </cell>
          <cell r="S37">
            <v>229</v>
          </cell>
          <cell r="T37">
            <v>216.82</v>
          </cell>
          <cell r="U37" t="str">
            <v>-</v>
          </cell>
          <cell r="V37">
            <v>0</v>
          </cell>
          <cell r="W37">
            <v>0</v>
          </cell>
        </row>
        <row r="38">
          <cell r="C38">
            <v>12421534</v>
          </cell>
          <cell r="D38" t="str">
            <v>伯希和/PELLIOT</v>
          </cell>
          <cell r="E38" t="str">
            <v>女装-上衣-Polo衫</v>
          </cell>
          <cell r="F38" t="str">
            <v>一品多商</v>
          </cell>
          <cell r="G38" t="str">
            <v>品牌直发</v>
          </cell>
          <cell r="H38">
            <v>0</v>
          </cell>
          <cell r="I38">
            <v>0</v>
          </cell>
          <cell r="J38">
            <v>776</v>
          </cell>
          <cell r="K38">
            <v>0</v>
          </cell>
          <cell r="L38">
            <v>25</v>
          </cell>
          <cell r="M38">
            <v>0</v>
          </cell>
          <cell r="N38">
            <v>0</v>
          </cell>
          <cell r="O38">
            <v>0</v>
          </cell>
          <cell r="P38">
            <v>0</v>
          </cell>
          <cell r="Q38">
            <v>0</v>
          </cell>
          <cell r="R38" t="str">
            <v>241-269</v>
          </cell>
          <cell r="S38">
            <v>229</v>
          </cell>
          <cell r="T38">
            <v>199.5</v>
          </cell>
          <cell r="U38" t="str">
            <v>-</v>
          </cell>
          <cell r="V38">
            <v>0</v>
          </cell>
          <cell r="W38">
            <v>0</v>
          </cell>
        </row>
        <row r="39">
          <cell r="C39">
            <v>11421509</v>
          </cell>
          <cell r="D39" t="str">
            <v>伯希和/PELLIOT</v>
          </cell>
          <cell r="E39" t="str">
            <v>服装-上衣-T恤</v>
          </cell>
          <cell r="F39" t="str">
            <v>一品多商</v>
          </cell>
          <cell r="G39" t="str">
            <v>品牌直发</v>
          </cell>
          <cell r="H39">
            <v>0</v>
          </cell>
          <cell r="I39">
            <v>0</v>
          </cell>
          <cell r="J39">
            <v>1213</v>
          </cell>
          <cell r="K39">
            <v>0</v>
          </cell>
          <cell r="L39">
            <v>26</v>
          </cell>
          <cell r="M39">
            <v>0</v>
          </cell>
          <cell r="N39">
            <v>141</v>
          </cell>
          <cell r="O39">
            <v>1</v>
          </cell>
          <cell r="P39">
            <v>0</v>
          </cell>
          <cell r="Q39">
            <v>0</v>
          </cell>
          <cell r="R39" t="str">
            <v>125-139</v>
          </cell>
          <cell r="S39">
            <v>114</v>
          </cell>
          <cell r="T39">
            <v>101.29</v>
          </cell>
          <cell r="U39" t="str">
            <v>-</v>
          </cell>
          <cell r="V39">
            <v>0</v>
          </cell>
          <cell r="W39">
            <v>0</v>
          </cell>
        </row>
        <row r="40">
          <cell r="C40">
            <v>12421254</v>
          </cell>
          <cell r="D40" t="str">
            <v>伯希和/PELLIOT</v>
          </cell>
          <cell r="E40" t="str">
            <v>女装-外套-防晒服</v>
          </cell>
          <cell r="F40" t="str">
            <v>一品多商</v>
          </cell>
          <cell r="G40" t="str">
            <v>品牌直发</v>
          </cell>
          <cell r="H40">
            <v>0</v>
          </cell>
          <cell r="I40">
            <v>0</v>
          </cell>
          <cell r="J40">
            <v>489</v>
          </cell>
          <cell r="K40">
            <v>0</v>
          </cell>
          <cell r="L40">
            <v>7</v>
          </cell>
          <cell r="M40">
            <v>0</v>
          </cell>
          <cell r="N40">
            <v>0</v>
          </cell>
          <cell r="O40">
            <v>0</v>
          </cell>
          <cell r="P40">
            <v>0</v>
          </cell>
          <cell r="Q40">
            <v>0</v>
          </cell>
          <cell r="R40" t="str">
            <v>241-249</v>
          </cell>
          <cell r="S40">
            <v>241</v>
          </cell>
          <cell r="T40">
            <v>201.2</v>
          </cell>
          <cell r="U40" t="str">
            <v>-</v>
          </cell>
          <cell r="V40">
            <v>0</v>
          </cell>
          <cell r="W40">
            <v>0</v>
          </cell>
        </row>
        <row r="41">
          <cell r="C41" t="str">
            <v>12340164-新加色</v>
          </cell>
          <cell r="D41" t="str">
            <v>伯希和/PELLIOT</v>
          </cell>
          <cell r="E41" t="str">
            <v>服装-外套-冲锋衣</v>
          </cell>
          <cell r="F41" t="str">
            <v>一品多商</v>
          </cell>
          <cell r="G41" t="str">
            <v>品牌直发</v>
          </cell>
          <cell r="H41">
            <v>0</v>
          </cell>
          <cell r="I41">
            <v>0</v>
          </cell>
          <cell r="J41">
            <v>795</v>
          </cell>
          <cell r="K41">
            <v>0</v>
          </cell>
          <cell r="L41">
            <v>18</v>
          </cell>
          <cell r="M41">
            <v>0</v>
          </cell>
          <cell r="N41">
            <v>0</v>
          </cell>
          <cell r="O41">
            <v>0</v>
          </cell>
          <cell r="P41">
            <v>0</v>
          </cell>
          <cell r="Q41">
            <v>0</v>
          </cell>
          <cell r="R41" t="str">
            <v>656-699</v>
          </cell>
          <cell r="S41">
            <v>597</v>
          </cell>
          <cell r="T41">
            <v>559.8</v>
          </cell>
          <cell r="U41" t="str">
            <v>-</v>
          </cell>
          <cell r="V41">
            <v>0</v>
          </cell>
          <cell r="W41">
            <v>0</v>
          </cell>
        </row>
        <row r="42">
          <cell r="C42">
            <v>12340806</v>
          </cell>
          <cell r="D42" t="str">
            <v>伯希和/PELLIOT</v>
          </cell>
          <cell r="E42" t="str">
            <v>女装-外套-羽绒服</v>
          </cell>
          <cell r="F42" t="str">
            <v>一品多商</v>
          </cell>
          <cell r="G42" t="str">
            <v>品牌直发</v>
          </cell>
          <cell r="H42">
            <v>0</v>
          </cell>
          <cell r="I42">
            <v>0</v>
          </cell>
          <cell r="J42">
            <v>795</v>
          </cell>
          <cell r="K42">
            <v>0</v>
          </cell>
          <cell r="L42">
            <v>21</v>
          </cell>
          <cell r="M42">
            <v>0</v>
          </cell>
          <cell r="N42">
            <v>0</v>
          </cell>
          <cell r="O42">
            <v>0</v>
          </cell>
          <cell r="P42">
            <v>0</v>
          </cell>
          <cell r="Q42">
            <v>0</v>
          </cell>
          <cell r="R42" t="str">
            <v>1574-1790</v>
          </cell>
          <cell r="S42">
            <v>1398</v>
          </cell>
          <cell r="T42">
            <v>1354.74</v>
          </cell>
          <cell r="U42" t="str">
            <v>-</v>
          </cell>
          <cell r="V42">
            <v>0</v>
          </cell>
          <cell r="W42">
            <v>0</v>
          </cell>
        </row>
        <row r="43">
          <cell r="C43">
            <v>12340822</v>
          </cell>
          <cell r="D43" t="str">
            <v>伯希和/PELLIOT</v>
          </cell>
          <cell r="E43" t="str">
            <v>女装-外套-羽绒服</v>
          </cell>
          <cell r="F43" t="str">
            <v>一品多商</v>
          </cell>
          <cell r="G43" t="str">
            <v>品牌直发</v>
          </cell>
          <cell r="H43">
            <v>0</v>
          </cell>
          <cell r="I43">
            <v>0</v>
          </cell>
          <cell r="J43">
            <v>909</v>
          </cell>
          <cell r="K43">
            <v>0</v>
          </cell>
          <cell r="L43">
            <v>30</v>
          </cell>
          <cell r="M43">
            <v>0</v>
          </cell>
          <cell r="N43">
            <v>0</v>
          </cell>
          <cell r="O43">
            <v>0</v>
          </cell>
          <cell r="P43">
            <v>0</v>
          </cell>
          <cell r="Q43">
            <v>0</v>
          </cell>
          <cell r="R43" t="str">
            <v>650-650</v>
          </cell>
          <cell r="S43">
            <v>565</v>
          </cell>
          <cell r="T43">
            <v>552.71</v>
          </cell>
          <cell r="U43" t="str">
            <v>-</v>
          </cell>
          <cell r="V43">
            <v>0</v>
          </cell>
          <cell r="W43">
            <v>0</v>
          </cell>
        </row>
        <row r="44">
          <cell r="C44">
            <v>114301085</v>
          </cell>
          <cell r="D44" t="str">
            <v>伯希和/PELLIOT</v>
          </cell>
          <cell r="E44" t="str">
            <v>服装-外套-冲锋衣</v>
          </cell>
          <cell r="F44" t="str">
            <v>一品多商</v>
          </cell>
          <cell r="G44" t="str">
            <v>品牌直发</v>
          </cell>
          <cell r="H44">
            <v>0</v>
          </cell>
          <cell r="I44">
            <v>0</v>
          </cell>
          <cell r="J44">
            <v>528</v>
          </cell>
          <cell r="K44">
            <v>0</v>
          </cell>
          <cell r="L44">
            <v>5</v>
          </cell>
          <cell r="M44">
            <v>0</v>
          </cell>
          <cell r="N44">
            <v>0</v>
          </cell>
          <cell r="O44">
            <v>0</v>
          </cell>
          <cell r="P44">
            <v>0</v>
          </cell>
          <cell r="Q44">
            <v>0</v>
          </cell>
          <cell r="R44" t="str">
            <v>1681-1700</v>
          </cell>
          <cell r="S44">
            <v>1057</v>
          </cell>
          <cell r="T44">
            <v>1449.5</v>
          </cell>
          <cell r="U44" t="str">
            <v>-</v>
          </cell>
          <cell r="V44">
            <v>0</v>
          </cell>
          <cell r="W44">
            <v>0</v>
          </cell>
        </row>
        <row r="45">
          <cell r="C45">
            <v>11121411</v>
          </cell>
          <cell r="D45" t="str">
            <v>伯希和/PELLIOT</v>
          </cell>
          <cell r="E45" t="str">
            <v>服装-户外运动服-速干裤</v>
          </cell>
          <cell r="F45" t="str">
            <v>一品多商</v>
          </cell>
          <cell r="G45" t="str">
            <v>品牌直发</v>
          </cell>
          <cell r="H45">
            <v>0</v>
          </cell>
          <cell r="I45">
            <v>0</v>
          </cell>
          <cell r="J45">
            <v>401</v>
          </cell>
          <cell r="K45">
            <v>0</v>
          </cell>
          <cell r="L45">
            <v>3</v>
          </cell>
          <cell r="M45">
            <v>0</v>
          </cell>
          <cell r="N45">
            <v>0</v>
          </cell>
          <cell r="O45">
            <v>0</v>
          </cell>
          <cell r="P45">
            <v>0</v>
          </cell>
          <cell r="Q45">
            <v>0</v>
          </cell>
          <cell r="R45" t="str">
            <v>-</v>
          </cell>
          <cell r="S45">
            <v>178</v>
          </cell>
          <cell r="T45" t="str">
            <v>-</v>
          </cell>
          <cell r="U45" t="str">
            <v>-</v>
          </cell>
          <cell r="V45">
            <v>0</v>
          </cell>
          <cell r="W45">
            <v>0</v>
          </cell>
        </row>
        <row r="46">
          <cell r="C46">
            <v>11321405</v>
          </cell>
          <cell r="D46" t="str">
            <v>伯希和/PELLIOT</v>
          </cell>
          <cell r="E46" t="str">
            <v>服装-户外运动服-速干裤</v>
          </cell>
          <cell r="F46" t="str">
            <v>一品多商</v>
          </cell>
          <cell r="G46" t="str">
            <v>品牌直发</v>
          </cell>
          <cell r="H46">
            <v>0</v>
          </cell>
          <cell r="I46">
            <v>0</v>
          </cell>
          <cell r="J46">
            <v>515</v>
          </cell>
          <cell r="K46">
            <v>0</v>
          </cell>
          <cell r="L46">
            <v>11</v>
          </cell>
          <cell r="M46">
            <v>0</v>
          </cell>
          <cell r="N46">
            <v>0</v>
          </cell>
          <cell r="O46">
            <v>0</v>
          </cell>
          <cell r="P46">
            <v>0</v>
          </cell>
          <cell r="Q46">
            <v>0</v>
          </cell>
          <cell r="R46" t="str">
            <v>273-299</v>
          </cell>
          <cell r="S46">
            <v>250</v>
          </cell>
          <cell r="T46">
            <v>228.15</v>
          </cell>
          <cell r="U46" t="str">
            <v>-</v>
          </cell>
          <cell r="V46">
            <v>0</v>
          </cell>
          <cell r="W46">
            <v>0</v>
          </cell>
        </row>
        <row r="47">
          <cell r="C47">
            <v>12230602</v>
          </cell>
          <cell r="D47" t="str">
            <v>伯希和/PELLIOT</v>
          </cell>
          <cell r="E47" t="str">
            <v>女装-外套-软壳衣</v>
          </cell>
          <cell r="F47" t="str">
            <v>一品多商</v>
          </cell>
          <cell r="G47" t="str">
            <v>品牌直发</v>
          </cell>
          <cell r="H47">
            <v>0</v>
          </cell>
          <cell r="I47">
            <v>0</v>
          </cell>
          <cell r="J47">
            <v>411</v>
          </cell>
          <cell r="K47">
            <v>0</v>
          </cell>
          <cell r="L47">
            <v>10</v>
          </cell>
          <cell r="M47">
            <v>0</v>
          </cell>
          <cell r="N47">
            <v>0</v>
          </cell>
          <cell r="O47">
            <v>0</v>
          </cell>
          <cell r="P47">
            <v>0</v>
          </cell>
          <cell r="Q47">
            <v>0</v>
          </cell>
          <cell r="R47" t="str">
            <v>379-379</v>
          </cell>
          <cell r="S47">
            <v>314</v>
          </cell>
          <cell r="T47">
            <v>316.78</v>
          </cell>
          <cell r="U47" t="str">
            <v>-</v>
          </cell>
          <cell r="V47">
            <v>0</v>
          </cell>
          <cell r="W47">
            <v>0</v>
          </cell>
        </row>
        <row r="48">
          <cell r="C48">
            <v>11230601</v>
          </cell>
          <cell r="D48" t="str">
            <v>伯希和/PELLIOT</v>
          </cell>
          <cell r="E48" t="str">
            <v>服装-外套-软壳衣</v>
          </cell>
          <cell r="F48" t="str">
            <v>一品多商</v>
          </cell>
          <cell r="G48" t="str">
            <v>品牌直发</v>
          </cell>
          <cell r="H48">
            <v>0</v>
          </cell>
          <cell r="I48">
            <v>0</v>
          </cell>
          <cell r="J48">
            <v>593</v>
          </cell>
          <cell r="K48">
            <v>0</v>
          </cell>
          <cell r="L48">
            <v>15</v>
          </cell>
          <cell r="M48">
            <v>0</v>
          </cell>
          <cell r="N48">
            <v>0</v>
          </cell>
          <cell r="O48">
            <v>0</v>
          </cell>
          <cell r="P48">
            <v>0</v>
          </cell>
          <cell r="Q48">
            <v>0</v>
          </cell>
          <cell r="R48" t="str">
            <v>-</v>
          </cell>
          <cell r="S48">
            <v>318</v>
          </cell>
          <cell r="T48" t="str">
            <v>-</v>
          </cell>
          <cell r="U48" t="str">
            <v>-</v>
          </cell>
          <cell r="V48">
            <v>0</v>
          </cell>
          <cell r="W48">
            <v>0</v>
          </cell>
        </row>
        <row r="49">
          <cell r="C49">
            <v>115110021</v>
          </cell>
          <cell r="D49" t="str">
            <v>伯希和/PELLIOT</v>
          </cell>
          <cell r="E49" t="str">
            <v>服装-户外运动服-抓绒衣</v>
          </cell>
          <cell r="F49" t="str">
            <v>一品多商</v>
          </cell>
          <cell r="G49" t="str">
            <v>品牌直发</v>
          </cell>
          <cell r="H49">
            <v>0</v>
          </cell>
          <cell r="I49">
            <v>0</v>
          </cell>
          <cell r="J49">
            <v>379</v>
          </cell>
          <cell r="K49">
            <v>0</v>
          </cell>
          <cell r="L49">
            <v>7</v>
          </cell>
          <cell r="M49">
            <v>0</v>
          </cell>
          <cell r="N49">
            <v>0</v>
          </cell>
          <cell r="O49">
            <v>0</v>
          </cell>
          <cell r="P49">
            <v>0</v>
          </cell>
          <cell r="Q49">
            <v>0</v>
          </cell>
          <cell r="R49" t="str">
            <v>239-239</v>
          </cell>
          <cell r="S49">
            <v>214</v>
          </cell>
          <cell r="T49">
            <v>197.64</v>
          </cell>
          <cell r="U49" t="str">
            <v>-</v>
          </cell>
          <cell r="V49">
            <v>0</v>
          </cell>
          <cell r="W49">
            <v>0</v>
          </cell>
        </row>
        <row r="50">
          <cell r="C50">
            <v>112240128</v>
          </cell>
          <cell r="D50" t="str">
            <v>伯希和/PELLIOT</v>
          </cell>
          <cell r="E50" t="str">
            <v>服装-外套-冲锋衣</v>
          </cell>
          <cell r="F50" t="str">
            <v>一品多商</v>
          </cell>
          <cell r="G50" t="str">
            <v>品牌直发</v>
          </cell>
          <cell r="H50">
            <v>0</v>
          </cell>
          <cell r="I50">
            <v>0</v>
          </cell>
          <cell r="J50">
            <v>462</v>
          </cell>
          <cell r="K50">
            <v>0</v>
          </cell>
          <cell r="L50">
            <v>11</v>
          </cell>
          <cell r="M50">
            <v>0</v>
          </cell>
          <cell r="N50">
            <v>0</v>
          </cell>
          <cell r="O50">
            <v>0</v>
          </cell>
          <cell r="P50">
            <v>0</v>
          </cell>
          <cell r="Q50">
            <v>0</v>
          </cell>
          <cell r="R50" t="str">
            <v>900-959</v>
          </cell>
          <cell r="S50">
            <v>581</v>
          </cell>
          <cell r="T50">
            <v>771.59</v>
          </cell>
          <cell r="U50" t="str">
            <v>-</v>
          </cell>
          <cell r="V50">
            <v>0</v>
          </cell>
          <cell r="W50">
            <v>0</v>
          </cell>
        </row>
        <row r="51">
          <cell r="C51">
            <v>11040105</v>
          </cell>
          <cell r="D51" t="str">
            <v>伯希和/PELLIOT</v>
          </cell>
          <cell r="E51" t="str">
            <v>服装-外套-冲锋衣</v>
          </cell>
          <cell r="F51" t="str">
            <v>一品多商</v>
          </cell>
          <cell r="G51" t="str">
            <v>品牌直发</v>
          </cell>
          <cell r="H51">
            <v>0</v>
          </cell>
          <cell r="I51">
            <v>0</v>
          </cell>
          <cell r="J51">
            <v>452</v>
          </cell>
          <cell r="K51">
            <v>0</v>
          </cell>
          <cell r="L51">
            <v>13</v>
          </cell>
          <cell r="M51">
            <v>0</v>
          </cell>
          <cell r="N51">
            <v>0</v>
          </cell>
          <cell r="O51">
            <v>0</v>
          </cell>
          <cell r="P51">
            <v>0</v>
          </cell>
          <cell r="Q51">
            <v>0</v>
          </cell>
          <cell r="R51" t="str">
            <v>599-599</v>
          </cell>
          <cell r="S51">
            <v>469</v>
          </cell>
          <cell r="T51">
            <v>510.32</v>
          </cell>
          <cell r="U51" t="str">
            <v>-</v>
          </cell>
          <cell r="V51">
            <v>0</v>
          </cell>
          <cell r="W51">
            <v>0</v>
          </cell>
        </row>
        <row r="52">
          <cell r="C52">
            <v>12040106</v>
          </cell>
          <cell r="D52" t="str">
            <v>伯希和/PELLIOT</v>
          </cell>
          <cell r="E52" t="str">
            <v>女装-外套-冲锋衣</v>
          </cell>
          <cell r="F52" t="str">
            <v>一品多商</v>
          </cell>
          <cell r="G52" t="str">
            <v>品牌直发</v>
          </cell>
          <cell r="H52">
            <v>0</v>
          </cell>
          <cell r="I52">
            <v>0</v>
          </cell>
          <cell r="J52">
            <v>445</v>
          </cell>
          <cell r="K52">
            <v>0</v>
          </cell>
          <cell r="L52">
            <v>4</v>
          </cell>
          <cell r="M52">
            <v>0</v>
          </cell>
          <cell r="N52">
            <v>0</v>
          </cell>
          <cell r="O52">
            <v>0</v>
          </cell>
          <cell r="P52">
            <v>0</v>
          </cell>
          <cell r="Q52">
            <v>0</v>
          </cell>
          <cell r="R52" t="str">
            <v>599-599</v>
          </cell>
          <cell r="S52">
            <v>480</v>
          </cell>
          <cell r="T52">
            <v>508.54</v>
          </cell>
          <cell r="U52" t="str">
            <v>-</v>
          </cell>
          <cell r="V52">
            <v>0</v>
          </cell>
          <cell r="W52">
            <v>0</v>
          </cell>
        </row>
        <row r="53">
          <cell r="C53">
            <v>125215020</v>
          </cell>
          <cell r="D53" t="str">
            <v>伯希和/PELLIOT</v>
          </cell>
          <cell r="E53" t="str">
            <v>女装-上衣-Polo衫</v>
          </cell>
          <cell r="F53" t="str">
            <v>一品多商</v>
          </cell>
          <cell r="G53" t="str">
            <v>品牌直发</v>
          </cell>
          <cell r="H53">
            <v>0</v>
          </cell>
          <cell r="I53">
            <v>0</v>
          </cell>
          <cell r="J53">
            <v>603</v>
          </cell>
          <cell r="K53">
            <v>0</v>
          </cell>
          <cell r="L53">
            <v>11</v>
          </cell>
          <cell r="M53">
            <v>0</v>
          </cell>
          <cell r="N53">
            <v>0</v>
          </cell>
          <cell r="O53">
            <v>0</v>
          </cell>
          <cell r="P53">
            <v>0</v>
          </cell>
          <cell r="Q53">
            <v>0</v>
          </cell>
          <cell r="R53" t="str">
            <v>-</v>
          </cell>
          <cell r="S53">
            <v>173</v>
          </cell>
          <cell r="T53" t="str">
            <v>-</v>
          </cell>
          <cell r="U53" t="str">
            <v>-</v>
          </cell>
          <cell r="V53">
            <v>0</v>
          </cell>
          <cell r="W53">
            <v>0</v>
          </cell>
        </row>
        <row r="54">
          <cell r="C54">
            <v>1124301070</v>
          </cell>
          <cell r="D54" t="str">
            <v>伯希和/PELLIOT</v>
          </cell>
          <cell r="E54" t="str">
            <v>服装-外套-冲锋衣</v>
          </cell>
          <cell r="F54" t="str">
            <v>一品多商</v>
          </cell>
          <cell r="G54" t="str">
            <v>品牌直发</v>
          </cell>
          <cell r="H54">
            <v>0</v>
          </cell>
          <cell r="I54">
            <v>0</v>
          </cell>
          <cell r="J54">
            <v>933</v>
          </cell>
          <cell r="K54">
            <v>0</v>
          </cell>
          <cell r="L54">
            <v>40</v>
          </cell>
          <cell r="M54">
            <v>0</v>
          </cell>
          <cell r="N54">
            <v>0</v>
          </cell>
          <cell r="O54">
            <v>0</v>
          </cell>
          <cell r="P54">
            <v>0</v>
          </cell>
          <cell r="Q54">
            <v>0</v>
          </cell>
          <cell r="R54" t="str">
            <v>880-890</v>
          </cell>
          <cell r="S54">
            <v>805</v>
          </cell>
          <cell r="T54">
            <v>754.23</v>
          </cell>
          <cell r="U54" t="str">
            <v>-</v>
          </cell>
          <cell r="V54">
            <v>0</v>
          </cell>
          <cell r="W54">
            <v>0</v>
          </cell>
        </row>
        <row r="55">
          <cell r="C55">
            <v>115151007</v>
          </cell>
          <cell r="D55" t="str">
            <v>伯希和/PELLIOT</v>
          </cell>
          <cell r="E55" t="str">
            <v>服装-外套-夹克</v>
          </cell>
          <cell r="F55" t="str">
            <v>一品多商</v>
          </cell>
          <cell r="G55" t="str">
            <v>品牌直发</v>
          </cell>
          <cell r="H55">
            <v>0</v>
          </cell>
          <cell r="I55">
            <v>0</v>
          </cell>
          <cell r="J55">
            <v>290</v>
          </cell>
          <cell r="K55">
            <v>0</v>
          </cell>
          <cell r="L55">
            <v>3</v>
          </cell>
          <cell r="M55">
            <v>0</v>
          </cell>
          <cell r="N55">
            <v>0</v>
          </cell>
          <cell r="O55">
            <v>0</v>
          </cell>
          <cell r="P55">
            <v>0</v>
          </cell>
          <cell r="Q55">
            <v>0</v>
          </cell>
          <cell r="R55" t="str">
            <v>449-449</v>
          </cell>
          <cell r="S55">
            <v>342</v>
          </cell>
          <cell r="T55">
            <v>381.02</v>
          </cell>
          <cell r="U55" t="str">
            <v>-</v>
          </cell>
          <cell r="V55">
            <v>0</v>
          </cell>
          <cell r="W55">
            <v>0</v>
          </cell>
        </row>
        <row r="56">
          <cell r="C56">
            <v>115215001</v>
          </cell>
          <cell r="D56" t="str">
            <v>伯希和/PELLIOT</v>
          </cell>
          <cell r="E56" t="str">
            <v>服装-上衣-T恤</v>
          </cell>
          <cell r="F56" t="str">
            <v>一品多商</v>
          </cell>
          <cell r="G56" t="str">
            <v>品牌直发</v>
          </cell>
          <cell r="H56">
            <v>0</v>
          </cell>
          <cell r="I56">
            <v>0</v>
          </cell>
          <cell r="J56">
            <v>494</v>
          </cell>
          <cell r="K56">
            <v>0</v>
          </cell>
          <cell r="L56">
            <v>9</v>
          </cell>
          <cell r="M56">
            <v>0</v>
          </cell>
          <cell r="N56">
            <v>0</v>
          </cell>
          <cell r="O56">
            <v>0</v>
          </cell>
          <cell r="P56">
            <v>0</v>
          </cell>
          <cell r="Q56">
            <v>0</v>
          </cell>
          <cell r="R56" t="str">
            <v>239-239</v>
          </cell>
          <cell r="S56">
            <v>190</v>
          </cell>
          <cell r="T56">
            <v>200.24</v>
          </cell>
          <cell r="U56" t="str">
            <v>-</v>
          </cell>
          <cell r="V56">
            <v>0</v>
          </cell>
          <cell r="W56">
            <v>0</v>
          </cell>
        </row>
        <row r="57">
          <cell r="C57">
            <v>115101001</v>
          </cell>
          <cell r="D57" t="str">
            <v>伯希和/PELLIOT</v>
          </cell>
          <cell r="E57" t="str">
            <v>服装-外套-冲锋衣</v>
          </cell>
          <cell r="F57" t="str">
            <v>一品多商</v>
          </cell>
          <cell r="G57" t="str">
            <v>品牌直发</v>
          </cell>
          <cell r="H57">
            <v>0</v>
          </cell>
          <cell r="I57">
            <v>0</v>
          </cell>
          <cell r="J57">
            <v>265</v>
          </cell>
          <cell r="K57">
            <v>0</v>
          </cell>
          <cell r="L57">
            <v>3</v>
          </cell>
          <cell r="M57">
            <v>0</v>
          </cell>
          <cell r="N57">
            <v>0</v>
          </cell>
          <cell r="O57">
            <v>0</v>
          </cell>
          <cell r="P57">
            <v>0</v>
          </cell>
          <cell r="Q57">
            <v>0</v>
          </cell>
          <cell r="R57" t="str">
            <v>590-590</v>
          </cell>
          <cell r="S57">
            <v>420</v>
          </cell>
          <cell r="T57">
            <v>502.51</v>
          </cell>
          <cell r="U57" t="str">
            <v>-</v>
          </cell>
          <cell r="V57">
            <v>0</v>
          </cell>
          <cell r="W57">
            <v>0</v>
          </cell>
        </row>
        <row r="58">
          <cell r="C58">
            <v>115102001</v>
          </cell>
          <cell r="D58" t="str">
            <v>伯希和/PELLIOT</v>
          </cell>
          <cell r="E58" t="str">
            <v>服装-长裤-冲锋裤</v>
          </cell>
          <cell r="F58" t="str">
            <v>一品多商</v>
          </cell>
          <cell r="G58" t="str">
            <v>品牌直发</v>
          </cell>
          <cell r="H58">
            <v>0</v>
          </cell>
          <cell r="I58">
            <v>0</v>
          </cell>
          <cell r="J58">
            <v>467</v>
          </cell>
          <cell r="K58">
            <v>0</v>
          </cell>
          <cell r="L58">
            <v>5</v>
          </cell>
          <cell r="M58">
            <v>0</v>
          </cell>
          <cell r="N58">
            <v>0</v>
          </cell>
          <cell r="O58">
            <v>0</v>
          </cell>
          <cell r="P58">
            <v>0</v>
          </cell>
          <cell r="Q58">
            <v>0</v>
          </cell>
          <cell r="R58" t="str">
            <v>790-790</v>
          </cell>
          <cell r="S58">
            <v>659</v>
          </cell>
          <cell r="T58">
            <v>678.11</v>
          </cell>
          <cell r="U58" t="str">
            <v>-</v>
          </cell>
          <cell r="V58">
            <v>0</v>
          </cell>
          <cell r="W58">
            <v>0</v>
          </cell>
        </row>
        <row r="59">
          <cell r="C59">
            <v>115301054</v>
          </cell>
          <cell r="D59" t="str">
            <v>伯希和/PELLIOT</v>
          </cell>
          <cell r="E59" t="str">
            <v>服装-外套-冲锋衣</v>
          </cell>
          <cell r="F59" t="str">
            <v>一品多商</v>
          </cell>
          <cell r="G59" t="str">
            <v>品牌直发</v>
          </cell>
          <cell r="H59">
            <v>0</v>
          </cell>
          <cell r="I59">
            <v>0</v>
          </cell>
          <cell r="J59">
            <v>553</v>
          </cell>
          <cell r="K59">
            <v>0</v>
          </cell>
          <cell r="L59">
            <v>13</v>
          </cell>
          <cell r="M59">
            <v>0</v>
          </cell>
          <cell r="N59">
            <v>0</v>
          </cell>
          <cell r="O59">
            <v>0</v>
          </cell>
          <cell r="P59">
            <v>0</v>
          </cell>
          <cell r="Q59">
            <v>0</v>
          </cell>
          <cell r="R59" t="str">
            <v>542-589</v>
          </cell>
          <cell r="S59">
            <v>480</v>
          </cell>
          <cell r="T59">
            <v>460.85</v>
          </cell>
          <cell r="U59" t="str">
            <v>-</v>
          </cell>
          <cell r="V59">
            <v>0</v>
          </cell>
          <cell r="W59">
            <v>0</v>
          </cell>
        </row>
        <row r="60">
          <cell r="C60">
            <v>115119031</v>
          </cell>
          <cell r="D60" t="str">
            <v>伯希和/PELLIOT</v>
          </cell>
          <cell r="E60" t="str">
            <v>鞋-运动鞋-登山鞋/徒步鞋</v>
          </cell>
          <cell r="F60" t="str">
            <v>一品多商</v>
          </cell>
          <cell r="G60" t="str">
            <v>品牌直发</v>
          </cell>
          <cell r="H60">
            <v>0</v>
          </cell>
          <cell r="I60">
            <v>0</v>
          </cell>
          <cell r="J60">
            <v>474</v>
          </cell>
          <cell r="K60">
            <v>0</v>
          </cell>
          <cell r="L60">
            <v>11</v>
          </cell>
          <cell r="M60">
            <v>0</v>
          </cell>
          <cell r="N60">
            <v>0</v>
          </cell>
          <cell r="O60">
            <v>0</v>
          </cell>
          <cell r="P60">
            <v>0</v>
          </cell>
          <cell r="Q60">
            <v>0</v>
          </cell>
          <cell r="R60" t="str">
            <v>689-742</v>
          </cell>
          <cell r="S60">
            <v>689</v>
          </cell>
          <cell r="T60">
            <v>588.95</v>
          </cell>
          <cell r="U60" t="str">
            <v>-</v>
          </cell>
          <cell r="V60">
            <v>0</v>
          </cell>
          <cell r="W60">
            <v>0</v>
          </cell>
        </row>
        <row r="61">
          <cell r="C61" t="str">
            <v>124101048-新加色</v>
          </cell>
          <cell r="D61" t="str">
            <v>伯希和/PELLIOT</v>
          </cell>
          <cell r="E61" t="str">
            <v>服装-外套-冲锋衣</v>
          </cell>
          <cell r="F61" t="str">
            <v>一品多商</v>
          </cell>
          <cell r="G61" t="str">
            <v>品牌直发</v>
          </cell>
          <cell r="H61">
            <v>0</v>
          </cell>
          <cell r="I61">
            <v>0</v>
          </cell>
          <cell r="J61">
            <v>1012</v>
          </cell>
          <cell r="K61">
            <v>0</v>
          </cell>
          <cell r="L61">
            <v>49</v>
          </cell>
          <cell r="M61">
            <v>0</v>
          </cell>
          <cell r="N61">
            <v>0</v>
          </cell>
          <cell r="O61">
            <v>0</v>
          </cell>
          <cell r="P61">
            <v>0</v>
          </cell>
          <cell r="Q61">
            <v>0</v>
          </cell>
          <cell r="R61" t="str">
            <v>640-690</v>
          </cell>
          <cell r="S61">
            <v>546</v>
          </cell>
          <cell r="T61">
            <v>545.91</v>
          </cell>
          <cell r="U61" t="str">
            <v>-</v>
          </cell>
          <cell r="V61">
            <v>0</v>
          </cell>
          <cell r="W61">
            <v>0</v>
          </cell>
        </row>
        <row r="62">
          <cell r="C62">
            <v>114310191</v>
          </cell>
          <cell r="D62" t="str">
            <v>伯希和/PELLIOT</v>
          </cell>
          <cell r="E62" t="str">
            <v>服装-户外运动服-抓绒衣</v>
          </cell>
          <cell r="F62" t="str">
            <v>一品多商</v>
          </cell>
          <cell r="G62" t="str">
            <v>品牌直发</v>
          </cell>
          <cell r="H62">
            <v>0</v>
          </cell>
          <cell r="I62">
            <v>0</v>
          </cell>
          <cell r="J62">
            <v>238</v>
          </cell>
          <cell r="K62">
            <v>0</v>
          </cell>
          <cell r="L62">
            <v>5</v>
          </cell>
          <cell r="M62">
            <v>0</v>
          </cell>
          <cell r="N62">
            <v>0</v>
          </cell>
          <cell r="O62">
            <v>0</v>
          </cell>
          <cell r="P62">
            <v>0</v>
          </cell>
          <cell r="Q62">
            <v>0</v>
          </cell>
          <cell r="R62" t="str">
            <v>379-390</v>
          </cell>
          <cell r="S62">
            <v>299</v>
          </cell>
          <cell r="T62">
            <v>319.16</v>
          </cell>
          <cell r="U62" t="str">
            <v>-</v>
          </cell>
          <cell r="V62">
            <v>0</v>
          </cell>
          <cell r="W62">
            <v>0</v>
          </cell>
        </row>
        <row r="63">
          <cell r="C63">
            <v>124419008</v>
          </cell>
          <cell r="D63" t="str">
            <v>伯希和/PELLIOT</v>
          </cell>
          <cell r="E63" t="str">
            <v>鞋-运动鞋-登山鞋/徒步鞋</v>
          </cell>
          <cell r="F63" t="str">
            <v>一品一商</v>
          </cell>
          <cell r="G63" t="str">
            <v>品牌直发</v>
          </cell>
          <cell r="H63">
            <v>0</v>
          </cell>
          <cell r="I63">
            <v>0</v>
          </cell>
          <cell r="J63">
            <v>87</v>
          </cell>
          <cell r="K63">
            <v>0</v>
          </cell>
          <cell r="L63">
            <v>7</v>
          </cell>
          <cell r="M63">
            <v>0</v>
          </cell>
          <cell r="N63">
            <v>0</v>
          </cell>
          <cell r="O63">
            <v>0</v>
          </cell>
          <cell r="P63">
            <v>0</v>
          </cell>
          <cell r="Q63">
            <v>0</v>
          </cell>
          <cell r="R63" t="str">
            <v>-</v>
          </cell>
          <cell r="S63" t="str">
            <v>-</v>
          </cell>
          <cell r="T63" t="str">
            <v>-</v>
          </cell>
          <cell r="U63" t="str">
            <v>-</v>
          </cell>
          <cell r="V63">
            <v>0</v>
          </cell>
          <cell r="W63">
            <v>0</v>
          </cell>
        </row>
        <row r="64">
          <cell r="C64" t="str">
            <v>PE124314376</v>
          </cell>
          <cell r="D64" t="str">
            <v>伯希和/PELLIOT</v>
          </cell>
          <cell r="E64" t="str">
            <v>服装-户外运动服-速干裤</v>
          </cell>
          <cell r="F64" t="str">
            <v>一品多商</v>
          </cell>
          <cell r="G64" t="str">
            <v>品牌直发</v>
          </cell>
          <cell r="H64">
            <v>0</v>
          </cell>
          <cell r="I64">
            <v>0</v>
          </cell>
          <cell r="J64">
            <v>419</v>
          </cell>
          <cell r="K64">
            <v>0</v>
          </cell>
          <cell r="L64">
            <v>7</v>
          </cell>
          <cell r="M64">
            <v>0</v>
          </cell>
          <cell r="N64">
            <v>0</v>
          </cell>
          <cell r="O64">
            <v>0</v>
          </cell>
          <cell r="P64">
            <v>0</v>
          </cell>
          <cell r="Q64">
            <v>0</v>
          </cell>
          <cell r="R64" t="str">
            <v>341-341</v>
          </cell>
          <cell r="S64">
            <v>341</v>
          </cell>
          <cell r="T64">
            <v>287.18</v>
          </cell>
          <cell r="U64" t="str">
            <v>-</v>
          </cell>
          <cell r="V64">
            <v>0</v>
          </cell>
          <cell r="W64">
            <v>0</v>
          </cell>
        </row>
        <row r="65">
          <cell r="C65">
            <v>124301070</v>
          </cell>
          <cell r="D65" t="str">
            <v>伯希和/PELLIOT</v>
          </cell>
          <cell r="E65" t="str">
            <v>服装-外套-冲锋衣</v>
          </cell>
          <cell r="F65" t="str">
            <v>一品多商</v>
          </cell>
          <cell r="G65" t="str">
            <v>品牌直发</v>
          </cell>
          <cell r="H65">
            <v>0</v>
          </cell>
          <cell r="I65">
            <v>0</v>
          </cell>
          <cell r="J65">
            <v>956</v>
          </cell>
          <cell r="K65">
            <v>0</v>
          </cell>
          <cell r="L65">
            <v>42</v>
          </cell>
          <cell r="M65">
            <v>0</v>
          </cell>
          <cell r="N65">
            <v>0</v>
          </cell>
          <cell r="O65">
            <v>0</v>
          </cell>
          <cell r="P65">
            <v>0</v>
          </cell>
          <cell r="Q65">
            <v>0</v>
          </cell>
          <cell r="R65" t="str">
            <v>833-890</v>
          </cell>
          <cell r="S65">
            <v>660</v>
          </cell>
          <cell r="T65">
            <v>713.43</v>
          </cell>
          <cell r="U65" t="str">
            <v>-</v>
          </cell>
          <cell r="V65">
            <v>0</v>
          </cell>
          <cell r="W65">
            <v>0</v>
          </cell>
        </row>
        <row r="66">
          <cell r="C66">
            <v>114301033</v>
          </cell>
          <cell r="D66" t="str">
            <v>伯希和/PELLIOT</v>
          </cell>
          <cell r="E66" t="str">
            <v>服装-外套-冲锋衣</v>
          </cell>
          <cell r="F66" t="str">
            <v>一品多商</v>
          </cell>
          <cell r="G66" t="str">
            <v>品牌直发</v>
          </cell>
          <cell r="H66">
            <v>0</v>
          </cell>
          <cell r="I66">
            <v>0</v>
          </cell>
          <cell r="J66">
            <v>411</v>
          </cell>
          <cell r="K66">
            <v>0</v>
          </cell>
          <cell r="L66">
            <v>11</v>
          </cell>
          <cell r="M66">
            <v>0</v>
          </cell>
          <cell r="N66">
            <v>0</v>
          </cell>
          <cell r="O66">
            <v>0</v>
          </cell>
          <cell r="P66">
            <v>0</v>
          </cell>
          <cell r="Q66">
            <v>0</v>
          </cell>
          <cell r="R66" t="str">
            <v>559-559</v>
          </cell>
          <cell r="S66">
            <v>394</v>
          </cell>
          <cell r="T66">
            <v>475.6</v>
          </cell>
          <cell r="U66" t="str">
            <v>-</v>
          </cell>
          <cell r="V66">
            <v>0</v>
          </cell>
          <cell r="W66">
            <v>0</v>
          </cell>
        </row>
        <row r="67">
          <cell r="C67">
            <v>114301029</v>
          </cell>
          <cell r="D67" t="str">
            <v>伯希和/PELLIOT</v>
          </cell>
          <cell r="E67" t="str">
            <v>服装-外套-冲锋衣</v>
          </cell>
          <cell r="F67" t="str">
            <v>一品多商</v>
          </cell>
          <cell r="G67" t="str">
            <v>品牌直发</v>
          </cell>
          <cell r="H67">
            <v>0</v>
          </cell>
          <cell r="I67">
            <v>0</v>
          </cell>
          <cell r="J67">
            <v>498</v>
          </cell>
          <cell r="K67">
            <v>0</v>
          </cell>
          <cell r="L67">
            <v>5</v>
          </cell>
          <cell r="M67">
            <v>0</v>
          </cell>
          <cell r="N67">
            <v>0</v>
          </cell>
          <cell r="O67">
            <v>0</v>
          </cell>
          <cell r="P67">
            <v>0</v>
          </cell>
          <cell r="Q67">
            <v>0</v>
          </cell>
          <cell r="R67" t="str">
            <v>451-499</v>
          </cell>
          <cell r="S67">
            <v>412</v>
          </cell>
          <cell r="T67">
            <v>381.86</v>
          </cell>
          <cell r="U67" t="str">
            <v>-</v>
          </cell>
          <cell r="V67">
            <v>0</v>
          </cell>
          <cell r="W67">
            <v>0</v>
          </cell>
        </row>
        <row r="68">
          <cell r="C68">
            <v>114301001</v>
          </cell>
          <cell r="D68" t="str">
            <v>伯希和/PELLIOT</v>
          </cell>
          <cell r="E68" t="str">
            <v>服装-外套-冲锋衣</v>
          </cell>
          <cell r="F68" t="str">
            <v>一品多商</v>
          </cell>
          <cell r="G68" t="str">
            <v>品牌直发</v>
          </cell>
          <cell r="H68">
            <v>0</v>
          </cell>
          <cell r="I68">
            <v>0</v>
          </cell>
          <cell r="J68">
            <v>458</v>
          </cell>
          <cell r="K68">
            <v>0</v>
          </cell>
          <cell r="L68">
            <v>2</v>
          </cell>
          <cell r="M68">
            <v>0</v>
          </cell>
          <cell r="N68">
            <v>0</v>
          </cell>
          <cell r="O68">
            <v>0</v>
          </cell>
          <cell r="P68">
            <v>0</v>
          </cell>
          <cell r="Q68">
            <v>0</v>
          </cell>
          <cell r="R68" t="str">
            <v>448-448</v>
          </cell>
          <cell r="S68">
            <v>394</v>
          </cell>
          <cell r="T68">
            <v>379.25</v>
          </cell>
          <cell r="U68" t="str">
            <v>-</v>
          </cell>
          <cell r="V68">
            <v>0</v>
          </cell>
          <cell r="W68">
            <v>0</v>
          </cell>
        </row>
        <row r="69">
          <cell r="C69">
            <v>11421419</v>
          </cell>
          <cell r="D69" t="str">
            <v>伯希和/PELLIOT</v>
          </cell>
          <cell r="E69" t="str">
            <v>服装-健身服-运动短裤</v>
          </cell>
          <cell r="F69" t="str">
            <v>一品一商</v>
          </cell>
          <cell r="G69" t="str">
            <v>普通现货</v>
          </cell>
          <cell r="H69">
            <v>0</v>
          </cell>
          <cell r="I69">
            <v>0</v>
          </cell>
          <cell r="J69">
            <v>135</v>
          </cell>
          <cell r="K69">
            <v>0</v>
          </cell>
          <cell r="L69">
            <v>1</v>
          </cell>
          <cell r="M69">
            <v>0</v>
          </cell>
          <cell r="N69">
            <v>0</v>
          </cell>
          <cell r="O69">
            <v>0</v>
          </cell>
          <cell r="P69">
            <v>0</v>
          </cell>
          <cell r="Q69">
            <v>0</v>
          </cell>
          <cell r="R69" t="str">
            <v>-</v>
          </cell>
          <cell r="S69" t="str">
            <v>-</v>
          </cell>
          <cell r="T69" t="str">
            <v>-</v>
          </cell>
          <cell r="U69" t="str">
            <v>-</v>
          </cell>
          <cell r="V69">
            <v>0</v>
          </cell>
          <cell r="W69">
            <v>0</v>
          </cell>
        </row>
        <row r="70">
          <cell r="C70">
            <v>12422002</v>
          </cell>
          <cell r="D70" t="str">
            <v>伯希和/PELLIOT</v>
          </cell>
          <cell r="E70" t="str">
            <v>鞋-运动鞋-户外功能鞋</v>
          </cell>
          <cell r="F70" t="str">
            <v>一品多商</v>
          </cell>
          <cell r="G70" t="str">
            <v>品牌直发</v>
          </cell>
          <cell r="H70">
            <v>0</v>
          </cell>
          <cell r="I70">
            <v>0</v>
          </cell>
          <cell r="J70">
            <v>462</v>
          </cell>
          <cell r="K70">
            <v>0</v>
          </cell>
          <cell r="L70">
            <v>4</v>
          </cell>
          <cell r="M70">
            <v>0</v>
          </cell>
          <cell r="N70">
            <v>0</v>
          </cell>
          <cell r="O70">
            <v>0</v>
          </cell>
          <cell r="P70">
            <v>0</v>
          </cell>
          <cell r="Q70">
            <v>0</v>
          </cell>
          <cell r="R70" t="str">
            <v>268-268</v>
          </cell>
          <cell r="S70">
            <v>204</v>
          </cell>
          <cell r="T70">
            <v>223.42</v>
          </cell>
          <cell r="U70" t="str">
            <v>-</v>
          </cell>
          <cell r="V70">
            <v>0</v>
          </cell>
          <cell r="W70">
            <v>0</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1"/>
    </sheetNames>
    <sheetDataSet>
      <sheetData sheetId="0">
        <row r="1">
          <cell r="C1" t="str">
            <v>商品货号</v>
          </cell>
          <cell r="D1" t="str">
            <v>品牌名称</v>
          </cell>
          <cell r="E1" t="str">
            <v>类目名称</v>
          </cell>
          <cell r="F1" t="str">
            <v>商品类型</v>
          </cell>
          <cell r="G1" t="str">
            <v>出价渠道</v>
          </cell>
          <cell r="H1" t="str">
            <v>支付金额</v>
          </cell>
          <cell r="I1" t="str">
            <v>支付订单数</v>
          </cell>
          <cell r="J1" t="str">
            <v>商详访问人数</v>
          </cell>
          <cell r="K1" t="str">
            <v>商详转化率</v>
          </cell>
          <cell r="L1" t="str">
            <v>收藏用户数</v>
          </cell>
          <cell r="M1" t="str">
            <v>我的销量</v>
          </cell>
          <cell r="N1" t="str">
            <v>退货金额（退款时间）</v>
          </cell>
          <cell r="O1" t="str">
            <v>退货订单数（退款时间）</v>
          </cell>
          <cell r="P1" t="str">
            <v>退货金额（支付时间）</v>
          </cell>
          <cell r="Q1" t="str">
            <v>退货订单数（支付时间）</v>
          </cell>
          <cell r="R1" t="str">
            <v>我的出价（元）</v>
          </cell>
          <cell r="S1" t="str">
            <v>平台最低价（元）</v>
          </cell>
          <cell r="T1" t="str">
            <v>当前单品收入</v>
          </cell>
          <cell r="U1" t="str">
            <v>当前单品利润</v>
          </cell>
          <cell r="V1" t="str">
            <v>支付笔单价</v>
          </cell>
          <cell r="W1" t="str">
            <v>支付用户数</v>
          </cell>
          <cell r="X1" t="str">
            <v>商家成本价</v>
          </cell>
        </row>
        <row r="2">
          <cell r="C2">
            <v>12421220</v>
          </cell>
          <cell r="D2" t="str">
            <v>伯希和/PELLIOT</v>
          </cell>
          <cell r="E2" t="str">
            <v>服装-外套-防晒服</v>
          </cell>
          <cell r="F2" t="str">
            <v>一品多商</v>
          </cell>
          <cell r="G2" t="str">
            <v>品牌直发</v>
          </cell>
          <cell r="H2">
            <v>22371</v>
          </cell>
          <cell r="I2">
            <v>103</v>
          </cell>
          <cell r="J2">
            <v>2257</v>
          </cell>
          <cell r="K2">
            <v>572</v>
          </cell>
          <cell r="L2">
            <v>226</v>
          </cell>
          <cell r="M2">
            <v>103</v>
          </cell>
          <cell r="N2">
            <v>3477</v>
          </cell>
          <cell r="O2">
            <v>18</v>
          </cell>
          <cell r="P2">
            <v>4649</v>
          </cell>
          <cell r="Q2">
            <v>21</v>
          </cell>
          <cell r="R2" t="str">
            <v>274-290</v>
          </cell>
          <cell r="S2">
            <v>259</v>
          </cell>
          <cell r="T2">
            <v>230.32</v>
          </cell>
          <cell r="U2" t="str">
            <v>-</v>
          </cell>
          <cell r="V2">
            <v>217.19</v>
          </cell>
          <cell r="W2">
            <v>91</v>
          </cell>
          <cell r="X2" t="str">
            <v>-</v>
          </cell>
        </row>
        <row r="3">
          <cell r="C3">
            <v>11421507</v>
          </cell>
          <cell r="D3" t="str">
            <v>伯希和/PELLIOT</v>
          </cell>
          <cell r="E3" t="str">
            <v>服装-上衣-Polo衫</v>
          </cell>
          <cell r="F3" t="str">
            <v>一品多商</v>
          </cell>
          <cell r="G3" t="str">
            <v>品牌直发</v>
          </cell>
          <cell r="H3">
            <v>4640</v>
          </cell>
          <cell r="I3">
            <v>36</v>
          </cell>
          <cell r="J3">
            <v>2818</v>
          </cell>
          <cell r="K3">
            <v>280</v>
          </cell>
          <cell r="L3">
            <v>319</v>
          </cell>
          <cell r="M3">
            <v>36</v>
          </cell>
          <cell r="N3">
            <v>970</v>
          </cell>
          <cell r="O3">
            <v>8</v>
          </cell>
          <cell r="P3">
            <v>571</v>
          </cell>
          <cell r="Q3">
            <v>4</v>
          </cell>
          <cell r="R3" t="str">
            <v>163-196</v>
          </cell>
          <cell r="S3">
            <v>154</v>
          </cell>
          <cell r="T3">
            <v>133.07</v>
          </cell>
          <cell r="U3" t="str">
            <v>-</v>
          </cell>
          <cell r="V3">
            <v>128.89</v>
          </cell>
          <cell r="W3">
            <v>34</v>
          </cell>
          <cell r="X3" t="str">
            <v>-</v>
          </cell>
        </row>
        <row r="4">
          <cell r="C4" t="str">
            <v>PE1124101048</v>
          </cell>
          <cell r="D4" t="str">
            <v>伯希和/PELLIOT</v>
          </cell>
          <cell r="E4" t="str">
            <v>服装-外套-冲锋衣</v>
          </cell>
          <cell r="F4" t="str">
            <v>一品多商</v>
          </cell>
          <cell r="G4" t="str">
            <v>品牌直发</v>
          </cell>
          <cell r="H4">
            <v>13499</v>
          </cell>
          <cell r="I4">
            <v>24</v>
          </cell>
          <cell r="J4">
            <v>2013</v>
          </cell>
          <cell r="K4">
            <v>308</v>
          </cell>
          <cell r="L4">
            <v>260</v>
          </cell>
          <cell r="M4">
            <v>24</v>
          </cell>
          <cell r="N4">
            <v>4063</v>
          </cell>
          <cell r="O4">
            <v>7</v>
          </cell>
          <cell r="P4">
            <v>3002</v>
          </cell>
          <cell r="Q4">
            <v>5</v>
          </cell>
          <cell r="R4" t="str">
            <v>621-690</v>
          </cell>
          <cell r="S4">
            <v>499</v>
          </cell>
          <cell r="T4">
            <v>529.42</v>
          </cell>
          <cell r="U4" t="str">
            <v>-</v>
          </cell>
          <cell r="V4">
            <v>562.46</v>
          </cell>
          <cell r="W4">
            <v>21</v>
          </cell>
          <cell r="X4" t="str">
            <v>-</v>
          </cell>
        </row>
        <row r="5">
          <cell r="C5">
            <v>12340164</v>
          </cell>
          <cell r="D5" t="str">
            <v>伯希和/PELLIOT</v>
          </cell>
          <cell r="E5" t="str">
            <v>服装-外套-冲锋衣</v>
          </cell>
          <cell r="F5" t="str">
            <v>一品多商</v>
          </cell>
          <cell r="G5" t="str">
            <v>品牌直发</v>
          </cell>
          <cell r="H5">
            <v>11223.71</v>
          </cell>
          <cell r="I5">
            <v>21</v>
          </cell>
          <cell r="J5">
            <v>1789</v>
          </cell>
          <cell r="K5">
            <v>292</v>
          </cell>
          <cell r="L5">
            <v>190</v>
          </cell>
          <cell r="M5">
            <v>21</v>
          </cell>
          <cell r="N5">
            <v>2062</v>
          </cell>
          <cell r="O5">
            <v>4</v>
          </cell>
          <cell r="P5">
            <v>2640</v>
          </cell>
          <cell r="Q5">
            <v>5</v>
          </cell>
          <cell r="R5" t="str">
            <v>608-699</v>
          </cell>
          <cell r="S5">
            <v>494</v>
          </cell>
          <cell r="T5">
            <v>518.13</v>
          </cell>
          <cell r="U5" t="str">
            <v>-</v>
          </cell>
          <cell r="V5">
            <v>534.46</v>
          </cell>
          <cell r="W5">
            <v>15</v>
          </cell>
          <cell r="X5" t="str">
            <v>-</v>
          </cell>
        </row>
        <row r="6">
          <cell r="C6">
            <v>12340106</v>
          </cell>
          <cell r="D6" t="str">
            <v>伯希和/PELLIOT</v>
          </cell>
          <cell r="E6" t="str">
            <v>女装-外套-冲锋衣</v>
          </cell>
          <cell r="F6" t="str">
            <v>一品多商</v>
          </cell>
          <cell r="G6" t="str">
            <v>品牌直发</v>
          </cell>
          <cell r="H6">
            <v>8874</v>
          </cell>
          <cell r="I6">
            <v>21</v>
          </cell>
          <cell r="J6">
            <v>1469</v>
          </cell>
          <cell r="K6">
            <v>368</v>
          </cell>
          <cell r="L6">
            <v>111</v>
          </cell>
          <cell r="M6">
            <v>21</v>
          </cell>
          <cell r="N6">
            <v>0</v>
          </cell>
          <cell r="O6">
            <v>0</v>
          </cell>
          <cell r="P6">
            <v>2620</v>
          </cell>
          <cell r="Q6">
            <v>6</v>
          </cell>
          <cell r="R6" t="str">
            <v>404-428</v>
          </cell>
          <cell r="S6">
            <v>365</v>
          </cell>
          <cell r="T6">
            <v>339.28</v>
          </cell>
          <cell r="U6" t="str">
            <v>-</v>
          </cell>
          <cell r="V6">
            <v>422.57</v>
          </cell>
          <cell r="W6">
            <v>16</v>
          </cell>
          <cell r="X6" t="str">
            <v>-</v>
          </cell>
        </row>
        <row r="7">
          <cell r="C7">
            <v>11421201</v>
          </cell>
          <cell r="D7" t="str">
            <v>伯希和/PELLIOT</v>
          </cell>
          <cell r="E7" t="str">
            <v>服装-外套-防晒服</v>
          </cell>
          <cell r="F7" t="str">
            <v>一品多商</v>
          </cell>
          <cell r="G7" t="str">
            <v>品牌直发</v>
          </cell>
          <cell r="H7">
            <v>2863</v>
          </cell>
          <cell r="I7">
            <v>16</v>
          </cell>
          <cell r="J7">
            <v>1395</v>
          </cell>
          <cell r="K7">
            <v>375</v>
          </cell>
          <cell r="L7">
            <v>63</v>
          </cell>
          <cell r="M7">
            <v>16</v>
          </cell>
          <cell r="N7">
            <v>416</v>
          </cell>
          <cell r="O7">
            <v>2</v>
          </cell>
          <cell r="P7">
            <v>378</v>
          </cell>
          <cell r="Q7">
            <v>2</v>
          </cell>
          <cell r="R7" t="str">
            <v>259-259</v>
          </cell>
          <cell r="S7">
            <v>209</v>
          </cell>
          <cell r="T7">
            <v>217.3</v>
          </cell>
          <cell r="U7" t="str">
            <v>-</v>
          </cell>
          <cell r="V7">
            <v>178.94</v>
          </cell>
          <cell r="W7">
            <v>15</v>
          </cell>
          <cell r="X7" t="str">
            <v>-</v>
          </cell>
        </row>
        <row r="8">
          <cell r="C8">
            <v>11340105</v>
          </cell>
          <cell r="D8" t="str">
            <v>伯希和/PELLIOT</v>
          </cell>
          <cell r="E8" t="str">
            <v>服装-外套-冲锋衣</v>
          </cell>
          <cell r="F8" t="str">
            <v>一品多商</v>
          </cell>
          <cell r="G8" t="str">
            <v>品牌直发</v>
          </cell>
          <cell r="H8">
            <v>4603</v>
          </cell>
          <cell r="I8">
            <v>11</v>
          </cell>
          <cell r="J8">
            <v>1505</v>
          </cell>
          <cell r="K8">
            <v>270</v>
          </cell>
          <cell r="L8">
            <v>110</v>
          </cell>
          <cell r="M8">
            <v>11</v>
          </cell>
          <cell r="N8">
            <v>1292</v>
          </cell>
          <cell r="O8">
            <v>3</v>
          </cell>
          <cell r="P8">
            <v>448</v>
          </cell>
          <cell r="Q8">
            <v>1</v>
          </cell>
          <cell r="R8" t="str">
            <v>437-489</v>
          </cell>
          <cell r="S8">
            <v>389</v>
          </cell>
          <cell r="T8">
            <v>369.71</v>
          </cell>
          <cell r="U8" t="str">
            <v>-</v>
          </cell>
          <cell r="V8">
            <v>418.45</v>
          </cell>
          <cell r="W8">
            <v>9</v>
          </cell>
          <cell r="X8" t="str">
            <v>-</v>
          </cell>
        </row>
        <row r="9">
          <cell r="C9" t="str">
            <v>11340105-新加色</v>
          </cell>
          <cell r="D9" t="str">
            <v>伯希和/PELLIOT</v>
          </cell>
          <cell r="E9" t="str">
            <v>服装-外套-冲锋衣</v>
          </cell>
          <cell r="F9" t="str">
            <v>一品多商</v>
          </cell>
          <cell r="G9" t="str">
            <v>品牌直发</v>
          </cell>
          <cell r="H9">
            <v>4451</v>
          </cell>
          <cell r="I9">
            <v>11</v>
          </cell>
          <cell r="J9">
            <v>1286</v>
          </cell>
          <cell r="K9">
            <v>333</v>
          </cell>
          <cell r="L9">
            <v>77</v>
          </cell>
          <cell r="M9">
            <v>11</v>
          </cell>
          <cell r="N9">
            <v>2207</v>
          </cell>
          <cell r="O9">
            <v>5</v>
          </cell>
          <cell r="P9">
            <v>459</v>
          </cell>
          <cell r="Q9">
            <v>1</v>
          </cell>
          <cell r="R9" t="str">
            <v>440-499</v>
          </cell>
          <cell r="S9">
            <v>401</v>
          </cell>
          <cell r="T9">
            <v>372.31</v>
          </cell>
          <cell r="U9" t="str">
            <v>-</v>
          </cell>
          <cell r="V9">
            <v>404.64</v>
          </cell>
          <cell r="W9">
            <v>10</v>
          </cell>
          <cell r="X9" t="str">
            <v>-</v>
          </cell>
        </row>
        <row r="10">
          <cell r="C10">
            <v>12421252</v>
          </cell>
          <cell r="D10" t="str">
            <v>伯希和/PELLIOT</v>
          </cell>
          <cell r="E10" t="str">
            <v>女装-外套-防晒服</v>
          </cell>
          <cell r="F10" t="str">
            <v>一品多商</v>
          </cell>
          <cell r="G10" t="str">
            <v>品牌直发</v>
          </cell>
          <cell r="H10">
            <v>955</v>
          </cell>
          <cell r="I10">
            <v>9</v>
          </cell>
          <cell r="J10">
            <v>573</v>
          </cell>
          <cell r="K10">
            <v>578</v>
          </cell>
          <cell r="L10">
            <v>5</v>
          </cell>
          <cell r="M10">
            <v>9</v>
          </cell>
          <cell r="N10">
            <v>0</v>
          </cell>
          <cell r="O10">
            <v>0</v>
          </cell>
          <cell r="P10">
            <v>238</v>
          </cell>
          <cell r="Q10">
            <v>2</v>
          </cell>
          <cell r="R10" t="str">
            <v>119-119</v>
          </cell>
          <cell r="S10">
            <v>93</v>
          </cell>
          <cell r="T10">
            <v>95.3</v>
          </cell>
          <cell r="U10" t="str">
            <v>-</v>
          </cell>
          <cell r="V10">
            <v>106.11</v>
          </cell>
          <cell r="W10">
            <v>6</v>
          </cell>
          <cell r="X10" t="str">
            <v>-</v>
          </cell>
        </row>
        <row r="11">
          <cell r="C11">
            <v>11410201</v>
          </cell>
          <cell r="D11" t="str">
            <v>伯希和/PELLIOT</v>
          </cell>
          <cell r="E11" t="str">
            <v>服装-长裤-冲锋裤</v>
          </cell>
          <cell r="F11" t="str">
            <v>一品多商</v>
          </cell>
          <cell r="G11" t="str">
            <v>品牌直发</v>
          </cell>
          <cell r="H11">
            <v>3361</v>
          </cell>
          <cell r="I11">
            <v>9</v>
          </cell>
          <cell r="J11">
            <v>1585</v>
          </cell>
          <cell r="K11">
            <v>255</v>
          </cell>
          <cell r="L11">
            <v>104</v>
          </cell>
          <cell r="M11">
            <v>9</v>
          </cell>
          <cell r="N11">
            <v>786</v>
          </cell>
          <cell r="O11">
            <v>2</v>
          </cell>
          <cell r="P11">
            <v>408</v>
          </cell>
          <cell r="Q11">
            <v>1</v>
          </cell>
          <cell r="R11" t="str">
            <v>437-482</v>
          </cell>
          <cell r="S11">
            <v>389</v>
          </cell>
          <cell r="T11">
            <v>371.71</v>
          </cell>
          <cell r="U11" t="str">
            <v>-</v>
          </cell>
          <cell r="V11">
            <v>373.44</v>
          </cell>
          <cell r="W11">
            <v>9</v>
          </cell>
          <cell r="X11" t="str">
            <v>-</v>
          </cell>
        </row>
        <row r="12">
          <cell r="C12">
            <v>12421228</v>
          </cell>
          <cell r="D12" t="str">
            <v>伯希和/PELLIOT</v>
          </cell>
          <cell r="E12" t="str">
            <v>女装-外套-防晒服</v>
          </cell>
          <cell r="F12" t="str">
            <v>一品多商</v>
          </cell>
          <cell r="G12" t="str">
            <v>品牌直发</v>
          </cell>
          <cell r="H12">
            <v>680</v>
          </cell>
          <cell r="I12">
            <v>8</v>
          </cell>
          <cell r="J12">
            <v>508</v>
          </cell>
          <cell r="K12">
            <v>753</v>
          </cell>
          <cell r="L12">
            <v>13</v>
          </cell>
          <cell r="M12">
            <v>8</v>
          </cell>
          <cell r="N12">
            <v>396</v>
          </cell>
          <cell r="O12">
            <v>4</v>
          </cell>
          <cell r="P12">
            <v>198</v>
          </cell>
          <cell r="Q12">
            <v>2</v>
          </cell>
          <cell r="R12" t="str">
            <v>107-179</v>
          </cell>
          <cell r="S12">
            <v>107</v>
          </cell>
          <cell r="T12">
            <v>84.89</v>
          </cell>
          <cell r="U12" t="str">
            <v>-</v>
          </cell>
          <cell r="V12">
            <v>85</v>
          </cell>
          <cell r="W12">
            <v>8</v>
          </cell>
          <cell r="X12" t="str">
            <v>-</v>
          </cell>
        </row>
        <row r="13">
          <cell r="C13">
            <v>115119025</v>
          </cell>
          <cell r="D13" t="str">
            <v>伯希和/PELLIOT</v>
          </cell>
          <cell r="E13" t="str">
            <v>鞋-运动鞋-越野跑鞋</v>
          </cell>
          <cell r="F13" t="str">
            <v>一品多商</v>
          </cell>
          <cell r="G13" t="str">
            <v>品牌直发</v>
          </cell>
          <cell r="H13">
            <v>2045</v>
          </cell>
          <cell r="I13">
            <v>7</v>
          </cell>
          <cell r="J13">
            <v>1425</v>
          </cell>
          <cell r="K13">
            <v>233</v>
          </cell>
          <cell r="L13">
            <v>60</v>
          </cell>
          <cell r="M13">
            <v>7</v>
          </cell>
          <cell r="N13">
            <v>308</v>
          </cell>
          <cell r="O13">
            <v>1</v>
          </cell>
          <cell r="P13">
            <v>0</v>
          </cell>
          <cell r="Q13">
            <v>0</v>
          </cell>
          <cell r="R13" t="str">
            <v>354-399</v>
          </cell>
          <cell r="S13">
            <v>322</v>
          </cell>
          <cell r="T13">
            <v>297.37</v>
          </cell>
          <cell r="U13" t="str">
            <v>-</v>
          </cell>
          <cell r="V13">
            <v>292.14</v>
          </cell>
          <cell r="W13">
            <v>6</v>
          </cell>
          <cell r="X13" t="str">
            <v>-</v>
          </cell>
        </row>
        <row r="14">
          <cell r="C14">
            <v>115119035</v>
          </cell>
          <cell r="D14" t="str">
            <v>伯希和/PELLIOT</v>
          </cell>
          <cell r="E14" t="str">
            <v>鞋-运动鞋-登山鞋/徒步鞋</v>
          </cell>
          <cell r="F14" t="str">
            <v>一品多商</v>
          </cell>
          <cell r="G14" t="str">
            <v>品牌直发</v>
          </cell>
          <cell r="H14">
            <v>2197.1</v>
          </cell>
          <cell r="I14">
            <v>6</v>
          </cell>
          <cell r="J14">
            <v>2466</v>
          </cell>
          <cell r="K14">
            <v>133</v>
          </cell>
          <cell r="L14">
            <v>147</v>
          </cell>
          <cell r="M14">
            <v>6</v>
          </cell>
          <cell r="N14">
            <v>1256</v>
          </cell>
          <cell r="O14">
            <v>3</v>
          </cell>
          <cell r="P14">
            <v>0</v>
          </cell>
          <cell r="Q14">
            <v>0</v>
          </cell>
          <cell r="R14" t="str">
            <v>499-499</v>
          </cell>
          <cell r="S14">
            <v>399</v>
          </cell>
          <cell r="T14">
            <v>424.03</v>
          </cell>
          <cell r="U14" t="str">
            <v>-</v>
          </cell>
          <cell r="V14">
            <v>366.18</v>
          </cell>
          <cell r="W14">
            <v>6</v>
          </cell>
          <cell r="X14" t="str">
            <v>-</v>
          </cell>
        </row>
        <row r="15">
          <cell r="C15">
            <v>11421533</v>
          </cell>
          <cell r="D15" t="str">
            <v>伯希和/PELLIOT</v>
          </cell>
          <cell r="E15" t="str">
            <v>服装-上衣-Polo衫</v>
          </cell>
          <cell r="F15" t="str">
            <v>一品多商</v>
          </cell>
          <cell r="G15" t="str">
            <v>品牌直发</v>
          </cell>
          <cell r="H15">
            <v>1004</v>
          </cell>
          <cell r="I15">
            <v>5</v>
          </cell>
          <cell r="J15">
            <v>2308</v>
          </cell>
          <cell r="K15">
            <v>116</v>
          </cell>
          <cell r="L15">
            <v>216</v>
          </cell>
          <cell r="M15">
            <v>5</v>
          </cell>
          <cell r="N15">
            <v>429</v>
          </cell>
          <cell r="O15">
            <v>2</v>
          </cell>
          <cell r="P15">
            <v>431</v>
          </cell>
          <cell r="Q15">
            <v>2</v>
          </cell>
          <cell r="R15" t="str">
            <v>232-249</v>
          </cell>
          <cell r="S15">
            <v>201</v>
          </cell>
          <cell r="T15">
            <v>192.97</v>
          </cell>
          <cell r="U15" t="str">
            <v>-</v>
          </cell>
          <cell r="V15">
            <v>200.8</v>
          </cell>
          <cell r="W15">
            <v>4</v>
          </cell>
          <cell r="X15" t="str">
            <v>-</v>
          </cell>
        </row>
        <row r="16">
          <cell r="C16">
            <v>12321218</v>
          </cell>
          <cell r="D16" t="str">
            <v>伯希和/PELLIOT</v>
          </cell>
          <cell r="E16" t="str">
            <v>女装-外套-防晒服</v>
          </cell>
          <cell r="F16" t="str">
            <v>一品多商</v>
          </cell>
          <cell r="G16" t="str">
            <v>品牌直发</v>
          </cell>
          <cell r="H16">
            <v>424</v>
          </cell>
          <cell r="I16">
            <v>5</v>
          </cell>
          <cell r="J16">
            <v>1500</v>
          </cell>
          <cell r="K16">
            <v>201</v>
          </cell>
          <cell r="L16">
            <v>69</v>
          </cell>
          <cell r="M16">
            <v>5</v>
          </cell>
          <cell r="N16">
            <v>90</v>
          </cell>
          <cell r="O16">
            <v>1</v>
          </cell>
          <cell r="P16">
            <v>102</v>
          </cell>
          <cell r="Q16">
            <v>1</v>
          </cell>
          <cell r="R16" t="str">
            <v>-</v>
          </cell>
          <cell r="S16">
            <v>95</v>
          </cell>
          <cell r="T16" t="str">
            <v>-</v>
          </cell>
          <cell r="U16" t="str">
            <v>-</v>
          </cell>
          <cell r="V16">
            <v>84.8</v>
          </cell>
          <cell r="W16">
            <v>5</v>
          </cell>
          <cell r="X16" t="str">
            <v>-</v>
          </cell>
        </row>
        <row r="17">
          <cell r="C17">
            <v>115214024</v>
          </cell>
          <cell r="D17" t="str">
            <v>伯希和/PELLIOT</v>
          </cell>
          <cell r="E17" t="str">
            <v>服装-户外运动服-速干裤</v>
          </cell>
          <cell r="F17" t="str">
            <v>一品多商</v>
          </cell>
          <cell r="G17" t="str">
            <v>品牌直发</v>
          </cell>
          <cell r="H17">
            <v>931</v>
          </cell>
          <cell r="I17">
            <v>5</v>
          </cell>
          <cell r="J17">
            <v>1328</v>
          </cell>
          <cell r="K17">
            <v>227</v>
          </cell>
          <cell r="L17">
            <v>57</v>
          </cell>
          <cell r="M17">
            <v>5</v>
          </cell>
          <cell r="N17">
            <v>208</v>
          </cell>
          <cell r="O17">
            <v>1</v>
          </cell>
          <cell r="P17">
            <v>208</v>
          </cell>
          <cell r="Q17">
            <v>1</v>
          </cell>
          <cell r="R17" t="str">
            <v>196-198</v>
          </cell>
          <cell r="S17">
            <v>174</v>
          </cell>
          <cell r="T17">
            <v>161.32</v>
          </cell>
          <cell r="U17" t="str">
            <v>-</v>
          </cell>
          <cell r="V17">
            <v>186.2</v>
          </cell>
          <cell r="W17">
            <v>5</v>
          </cell>
          <cell r="X17" t="str">
            <v>-</v>
          </cell>
        </row>
        <row r="18">
          <cell r="C18">
            <v>11421425</v>
          </cell>
          <cell r="D18" t="str">
            <v>伯希和/PELLIOT</v>
          </cell>
          <cell r="E18" t="str">
            <v>服装-长裤-针织运动裤</v>
          </cell>
          <cell r="F18" t="str">
            <v>一品多商</v>
          </cell>
          <cell r="G18" t="str">
            <v>品牌直发</v>
          </cell>
          <cell r="H18">
            <v>580</v>
          </cell>
          <cell r="I18">
            <v>4</v>
          </cell>
          <cell r="J18">
            <v>455</v>
          </cell>
          <cell r="K18">
            <v>421</v>
          </cell>
          <cell r="L18">
            <v>2</v>
          </cell>
          <cell r="M18">
            <v>4</v>
          </cell>
          <cell r="N18">
            <v>320</v>
          </cell>
          <cell r="O18">
            <v>2</v>
          </cell>
          <cell r="P18">
            <v>0</v>
          </cell>
          <cell r="Q18">
            <v>0</v>
          </cell>
          <cell r="R18" t="str">
            <v>135-135</v>
          </cell>
          <cell r="S18">
            <v>108</v>
          </cell>
          <cell r="T18">
            <v>110.07</v>
          </cell>
          <cell r="U18" t="str">
            <v>-</v>
          </cell>
          <cell r="V18">
            <v>145</v>
          </cell>
          <cell r="W18">
            <v>2</v>
          </cell>
          <cell r="X18" t="str">
            <v>-</v>
          </cell>
        </row>
        <row r="19">
          <cell r="C19">
            <v>115107003</v>
          </cell>
          <cell r="D19" t="str">
            <v>伯希和/PELLIOT</v>
          </cell>
          <cell r="E19" t="str">
            <v>服装-长裤-软壳裤</v>
          </cell>
          <cell r="F19" t="str">
            <v>一品多商</v>
          </cell>
          <cell r="G19" t="str">
            <v>品牌直发</v>
          </cell>
          <cell r="H19">
            <v>2004</v>
          </cell>
          <cell r="I19">
            <v>4</v>
          </cell>
          <cell r="J19">
            <v>749</v>
          </cell>
          <cell r="K19">
            <v>360</v>
          </cell>
          <cell r="L19">
            <v>10</v>
          </cell>
          <cell r="M19">
            <v>4</v>
          </cell>
          <cell r="N19">
            <v>0</v>
          </cell>
          <cell r="O19">
            <v>0</v>
          </cell>
          <cell r="P19">
            <v>519</v>
          </cell>
          <cell r="Q19">
            <v>1</v>
          </cell>
          <cell r="R19" t="str">
            <v>550-550</v>
          </cell>
          <cell r="S19">
            <v>429</v>
          </cell>
          <cell r="T19">
            <v>467.49</v>
          </cell>
          <cell r="U19" t="str">
            <v>-</v>
          </cell>
          <cell r="V19">
            <v>501</v>
          </cell>
          <cell r="W19">
            <v>4</v>
          </cell>
          <cell r="X19" t="str">
            <v>-</v>
          </cell>
        </row>
        <row r="20">
          <cell r="C20">
            <v>105212020</v>
          </cell>
          <cell r="D20" t="str">
            <v>伯希和/PELLIOT</v>
          </cell>
          <cell r="E20" t="str">
            <v>服装-外套-防晒服</v>
          </cell>
          <cell r="F20" t="str">
            <v>一品多商</v>
          </cell>
          <cell r="G20" t="str">
            <v>品牌直发</v>
          </cell>
          <cell r="H20">
            <v>1043</v>
          </cell>
          <cell r="I20">
            <v>4</v>
          </cell>
          <cell r="J20">
            <v>1785</v>
          </cell>
          <cell r="K20">
            <v>152</v>
          </cell>
          <cell r="L20">
            <v>119</v>
          </cell>
          <cell r="M20">
            <v>4</v>
          </cell>
          <cell r="N20">
            <v>558</v>
          </cell>
          <cell r="O20">
            <v>2</v>
          </cell>
          <cell r="P20">
            <v>284</v>
          </cell>
          <cell r="Q20">
            <v>1</v>
          </cell>
          <cell r="R20" t="str">
            <v>235-235</v>
          </cell>
          <cell r="S20">
            <v>222</v>
          </cell>
          <cell r="T20">
            <v>196.47</v>
          </cell>
          <cell r="U20" t="str">
            <v>-</v>
          </cell>
          <cell r="V20">
            <v>260.75</v>
          </cell>
          <cell r="W20">
            <v>4</v>
          </cell>
          <cell r="X20" t="str">
            <v>-</v>
          </cell>
        </row>
        <row r="21">
          <cell r="C21" t="str">
            <v>12340164-新加色</v>
          </cell>
          <cell r="D21" t="str">
            <v>伯希和/PELLIOT</v>
          </cell>
          <cell r="E21" t="str">
            <v>服装-外套-冲锋衣</v>
          </cell>
          <cell r="F21" t="str">
            <v>一品多商</v>
          </cell>
          <cell r="G21" t="str">
            <v>品牌直发</v>
          </cell>
          <cell r="H21">
            <v>1926</v>
          </cell>
          <cell r="I21">
            <v>3</v>
          </cell>
          <cell r="J21">
            <v>775</v>
          </cell>
          <cell r="K21">
            <v>303</v>
          </cell>
          <cell r="L21">
            <v>12</v>
          </cell>
          <cell r="M21">
            <v>3</v>
          </cell>
          <cell r="N21">
            <v>0</v>
          </cell>
          <cell r="O21">
            <v>0</v>
          </cell>
          <cell r="P21">
            <v>664</v>
          </cell>
          <cell r="Q21">
            <v>1</v>
          </cell>
          <cell r="R21" t="str">
            <v>656-699</v>
          </cell>
          <cell r="S21">
            <v>597</v>
          </cell>
          <cell r="T21">
            <v>559.8</v>
          </cell>
          <cell r="U21" t="str">
            <v>-</v>
          </cell>
          <cell r="V21">
            <v>642</v>
          </cell>
          <cell r="W21">
            <v>3</v>
          </cell>
          <cell r="X21" t="str">
            <v>-</v>
          </cell>
        </row>
        <row r="22">
          <cell r="C22">
            <v>11421415</v>
          </cell>
          <cell r="D22" t="str">
            <v>伯希和/PELLIOT</v>
          </cell>
          <cell r="E22" t="str">
            <v>服装-户外运动服-速干裤</v>
          </cell>
          <cell r="F22" t="str">
            <v>一品多商</v>
          </cell>
          <cell r="G22" t="str">
            <v>品牌直发</v>
          </cell>
          <cell r="H22">
            <v>442</v>
          </cell>
          <cell r="I22">
            <v>2</v>
          </cell>
          <cell r="J22">
            <v>1828</v>
          </cell>
          <cell r="K22">
            <v>104</v>
          </cell>
          <cell r="L22">
            <v>141</v>
          </cell>
          <cell r="M22">
            <v>2</v>
          </cell>
          <cell r="N22">
            <v>936</v>
          </cell>
          <cell r="O22">
            <v>4</v>
          </cell>
          <cell r="P22">
            <v>0</v>
          </cell>
          <cell r="Q22">
            <v>0</v>
          </cell>
          <cell r="R22" t="str">
            <v>214-214</v>
          </cell>
          <cell r="S22">
            <v>201</v>
          </cell>
          <cell r="T22">
            <v>176.94</v>
          </cell>
          <cell r="U22" t="str">
            <v>-</v>
          </cell>
          <cell r="V22">
            <v>221</v>
          </cell>
          <cell r="W22">
            <v>2</v>
          </cell>
          <cell r="X22" t="str">
            <v>-</v>
          </cell>
        </row>
        <row r="23">
          <cell r="C23" t="str">
            <v>12421220-新加色</v>
          </cell>
          <cell r="D23" t="str">
            <v>伯希和/PELLIOT</v>
          </cell>
          <cell r="E23" t="str">
            <v>服装-外套-防晒服</v>
          </cell>
          <cell r="F23" t="str">
            <v>一品多商</v>
          </cell>
          <cell r="G23" t="str">
            <v>品牌直发</v>
          </cell>
          <cell r="H23">
            <v>474</v>
          </cell>
          <cell r="I23">
            <v>2</v>
          </cell>
          <cell r="J23">
            <v>778</v>
          </cell>
          <cell r="K23">
            <v>247</v>
          </cell>
          <cell r="L23">
            <v>30</v>
          </cell>
          <cell r="M23">
            <v>2</v>
          </cell>
          <cell r="N23">
            <v>1572</v>
          </cell>
          <cell r="O23">
            <v>6</v>
          </cell>
          <cell r="P23">
            <v>0</v>
          </cell>
          <cell r="Q23">
            <v>0</v>
          </cell>
          <cell r="R23" t="str">
            <v>274-299</v>
          </cell>
          <cell r="S23">
            <v>257</v>
          </cell>
          <cell r="T23">
            <v>230.32</v>
          </cell>
          <cell r="U23" t="str">
            <v>-</v>
          </cell>
          <cell r="V23">
            <v>237</v>
          </cell>
          <cell r="W23">
            <v>2</v>
          </cell>
          <cell r="X23" t="str">
            <v>-</v>
          </cell>
        </row>
        <row r="24">
          <cell r="C24">
            <v>124301030</v>
          </cell>
          <cell r="D24" t="str">
            <v>伯希和/PELLIOT</v>
          </cell>
          <cell r="E24" t="str">
            <v>女装-外套-冲锋衣</v>
          </cell>
          <cell r="F24" t="str">
            <v>一品多商</v>
          </cell>
          <cell r="G24" t="str">
            <v>品牌直发</v>
          </cell>
          <cell r="H24">
            <v>1017</v>
          </cell>
          <cell r="I24">
            <v>2</v>
          </cell>
          <cell r="J24">
            <v>489</v>
          </cell>
          <cell r="K24">
            <v>391</v>
          </cell>
          <cell r="L24">
            <v>10</v>
          </cell>
          <cell r="M24">
            <v>2</v>
          </cell>
          <cell r="N24">
            <v>0</v>
          </cell>
          <cell r="O24">
            <v>0</v>
          </cell>
          <cell r="P24">
            <v>541</v>
          </cell>
          <cell r="Q24">
            <v>1</v>
          </cell>
          <cell r="R24" t="str">
            <v>479-479</v>
          </cell>
          <cell r="S24">
            <v>431</v>
          </cell>
          <cell r="T24">
            <v>404.38</v>
          </cell>
          <cell r="U24" t="str">
            <v>-</v>
          </cell>
          <cell r="V24">
            <v>508.5</v>
          </cell>
          <cell r="W24">
            <v>2</v>
          </cell>
          <cell r="X24" t="str">
            <v>-</v>
          </cell>
        </row>
        <row r="25">
          <cell r="C25">
            <v>12330602</v>
          </cell>
          <cell r="D25" t="str">
            <v>伯希和/PELLIOT</v>
          </cell>
          <cell r="E25" t="str">
            <v>女装-外套-软壳衣</v>
          </cell>
          <cell r="F25" t="str">
            <v>一品多商</v>
          </cell>
          <cell r="G25" t="str">
            <v>品牌直发</v>
          </cell>
          <cell r="H25">
            <v>361</v>
          </cell>
          <cell r="I25">
            <v>1</v>
          </cell>
          <cell r="J25">
            <v>294</v>
          </cell>
          <cell r="K25">
            <v>459</v>
          </cell>
          <cell r="L25">
            <v>1</v>
          </cell>
          <cell r="M25">
            <v>1</v>
          </cell>
          <cell r="N25">
            <v>0</v>
          </cell>
          <cell r="O25">
            <v>0</v>
          </cell>
          <cell r="P25">
            <v>379</v>
          </cell>
          <cell r="Q25">
            <v>1</v>
          </cell>
          <cell r="R25" t="str">
            <v>389-399</v>
          </cell>
          <cell r="S25">
            <v>296</v>
          </cell>
          <cell r="T25">
            <v>325.46</v>
          </cell>
          <cell r="U25" t="str">
            <v>-</v>
          </cell>
          <cell r="V25">
            <v>361</v>
          </cell>
          <cell r="W25">
            <v>1</v>
          </cell>
          <cell r="X25" t="str">
            <v>-</v>
          </cell>
        </row>
        <row r="26">
          <cell r="C26">
            <v>12321414</v>
          </cell>
          <cell r="D26" t="str">
            <v>伯希和/PELLIOT</v>
          </cell>
          <cell r="E26" t="str">
            <v>女装-户外运动服-速干裤</v>
          </cell>
          <cell r="F26" t="str">
            <v>一品一商</v>
          </cell>
          <cell r="G26" t="str">
            <v>品牌直发</v>
          </cell>
          <cell r="H26">
            <v>124</v>
          </cell>
          <cell r="I26">
            <v>1</v>
          </cell>
          <cell r="J26">
            <v>96</v>
          </cell>
          <cell r="K26">
            <v>0.0104</v>
          </cell>
          <cell r="L26">
            <v>3</v>
          </cell>
          <cell r="M26">
            <v>1</v>
          </cell>
          <cell r="N26">
            <v>0</v>
          </cell>
          <cell r="O26">
            <v>0</v>
          </cell>
          <cell r="P26">
            <v>0</v>
          </cell>
          <cell r="Q26">
            <v>0</v>
          </cell>
          <cell r="R26" t="str">
            <v>-</v>
          </cell>
          <cell r="S26" t="str">
            <v>-</v>
          </cell>
          <cell r="T26" t="str">
            <v>-</v>
          </cell>
          <cell r="U26" t="str">
            <v>-</v>
          </cell>
          <cell r="V26">
            <v>124</v>
          </cell>
          <cell r="W26">
            <v>1</v>
          </cell>
          <cell r="X26" t="str">
            <v>-</v>
          </cell>
        </row>
        <row r="27">
          <cell r="C27">
            <v>115212003</v>
          </cell>
          <cell r="D27" t="str">
            <v>伯希和/PELLIOT</v>
          </cell>
          <cell r="E27" t="str">
            <v>服装-外套-防晒服</v>
          </cell>
          <cell r="F27" t="str">
            <v>一品多商</v>
          </cell>
          <cell r="G27" t="str">
            <v>品牌直发</v>
          </cell>
          <cell r="H27">
            <v>208</v>
          </cell>
          <cell r="I27">
            <v>1</v>
          </cell>
          <cell r="J27">
            <v>952</v>
          </cell>
          <cell r="K27">
            <v>142</v>
          </cell>
          <cell r="L27">
            <v>34</v>
          </cell>
          <cell r="M27">
            <v>1</v>
          </cell>
          <cell r="N27">
            <v>220</v>
          </cell>
          <cell r="O27">
            <v>1</v>
          </cell>
          <cell r="P27">
            <v>0</v>
          </cell>
          <cell r="Q27">
            <v>0</v>
          </cell>
          <cell r="R27" t="str">
            <v>246-269</v>
          </cell>
          <cell r="S27">
            <v>246</v>
          </cell>
          <cell r="T27">
            <v>206.02</v>
          </cell>
          <cell r="U27" t="str">
            <v>-</v>
          </cell>
          <cell r="V27">
            <v>208</v>
          </cell>
          <cell r="W27">
            <v>1</v>
          </cell>
          <cell r="X27" t="str">
            <v>-</v>
          </cell>
        </row>
        <row r="28">
          <cell r="C28">
            <v>115119031</v>
          </cell>
          <cell r="D28" t="str">
            <v>伯希和/PELLIOT</v>
          </cell>
          <cell r="E28" t="str">
            <v>鞋-运动鞋-登山鞋/徒步鞋</v>
          </cell>
          <cell r="F28" t="str">
            <v>一品多商</v>
          </cell>
          <cell r="G28" t="str">
            <v>品牌直发</v>
          </cell>
          <cell r="H28">
            <v>728</v>
          </cell>
          <cell r="I28">
            <v>1</v>
          </cell>
          <cell r="J28">
            <v>435</v>
          </cell>
          <cell r="K28">
            <v>310</v>
          </cell>
          <cell r="L28">
            <v>10</v>
          </cell>
          <cell r="M28">
            <v>1</v>
          </cell>
          <cell r="N28">
            <v>0</v>
          </cell>
          <cell r="O28">
            <v>0</v>
          </cell>
          <cell r="P28">
            <v>0</v>
          </cell>
          <cell r="Q28">
            <v>0</v>
          </cell>
          <cell r="R28" t="str">
            <v>689-742</v>
          </cell>
          <cell r="S28">
            <v>689</v>
          </cell>
          <cell r="T28">
            <v>588.95</v>
          </cell>
          <cell r="U28" t="str">
            <v>-</v>
          </cell>
          <cell r="V28">
            <v>728</v>
          </cell>
          <cell r="W28">
            <v>1</v>
          </cell>
          <cell r="X28" t="str">
            <v>-</v>
          </cell>
        </row>
        <row r="29">
          <cell r="C29">
            <v>124419008</v>
          </cell>
          <cell r="D29" t="str">
            <v>伯希和/PELLIOT</v>
          </cell>
          <cell r="E29" t="str">
            <v>鞋-运动鞋-登山鞋/徒步鞋</v>
          </cell>
          <cell r="F29" t="str">
            <v>一品一商</v>
          </cell>
          <cell r="G29" t="str">
            <v>品牌直发</v>
          </cell>
          <cell r="H29">
            <v>447</v>
          </cell>
          <cell r="I29">
            <v>1</v>
          </cell>
          <cell r="J29">
            <v>66</v>
          </cell>
          <cell r="K29">
            <v>0.0152</v>
          </cell>
          <cell r="L29">
            <v>5</v>
          </cell>
          <cell r="M29">
            <v>1</v>
          </cell>
          <cell r="N29">
            <v>0</v>
          </cell>
          <cell r="O29">
            <v>0</v>
          </cell>
          <cell r="P29">
            <v>0</v>
          </cell>
          <cell r="Q29">
            <v>0</v>
          </cell>
          <cell r="R29" t="str">
            <v>-</v>
          </cell>
          <cell r="S29" t="str">
            <v>-</v>
          </cell>
          <cell r="T29" t="str">
            <v>-</v>
          </cell>
          <cell r="U29" t="str">
            <v>-</v>
          </cell>
          <cell r="V29">
            <v>447</v>
          </cell>
          <cell r="W29">
            <v>1</v>
          </cell>
          <cell r="X29" t="str">
            <v>-</v>
          </cell>
        </row>
        <row r="30">
          <cell r="C30">
            <v>124301070</v>
          </cell>
          <cell r="D30" t="str">
            <v>伯希和/PELLIOT</v>
          </cell>
          <cell r="E30" t="str">
            <v>服装-外套-冲锋衣</v>
          </cell>
          <cell r="F30" t="str">
            <v>一品多商</v>
          </cell>
          <cell r="G30" t="str">
            <v>品牌直发</v>
          </cell>
          <cell r="H30">
            <v>801</v>
          </cell>
          <cell r="I30">
            <v>1</v>
          </cell>
          <cell r="J30">
            <v>991</v>
          </cell>
          <cell r="K30">
            <v>138</v>
          </cell>
          <cell r="L30">
            <v>56</v>
          </cell>
          <cell r="M30">
            <v>1</v>
          </cell>
          <cell r="N30">
            <v>0</v>
          </cell>
          <cell r="O30">
            <v>0</v>
          </cell>
          <cell r="P30">
            <v>0</v>
          </cell>
          <cell r="Q30">
            <v>0</v>
          </cell>
          <cell r="R30" t="str">
            <v>833-890</v>
          </cell>
          <cell r="S30">
            <v>660</v>
          </cell>
          <cell r="T30">
            <v>713.43</v>
          </cell>
          <cell r="U30" t="str">
            <v>-</v>
          </cell>
          <cell r="V30">
            <v>801</v>
          </cell>
          <cell r="W30">
            <v>1</v>
          </cell>
          <cell r="X30" t="str">
            <v>-</v>
          </cell>
        </row>
        <row r="31">
          <cell r="C31" t="str">
            <v>11340105-CF05</v>
          </cell>
          <cell r="D31" t="str">
            <v>伯希和/PELLIOT</v>
          </cell>
          <cell r="E31" t="str">
            <v>服装-外套-冲锋衣</v>
          </cell>
          <cell r="F31" t="str">
            <v>一品多商</v>
          </cell>
          <cell r="G31" t="str">
            <v>品牌直发</v>
          </cell>
          <cell r="H31">
            <v>423</v>
          </cell>
          <cell r="I31">
            <v>1</v>
          </cell>
          <cell r="J31">
            <v>816</v>
          </cell>
          <cell r="K31">
            <v>165</v>
          </cell>
          <cell r="L31">
            <v>26</v>
          </cell>
          <cell r="M31">
            <v>1</v>
          </cell>
          <cell r="N31">
            <v>454</v>
          </cell>
          <cell r="O31">
            <v>1</v>
          </cell>
          <cell r="P31">
            <v>0</v>
          </cell>
          <cell r="Q31">
            <v>0</v>
          </cell>
          <cell r="R31" t="str">
            <v>441-464</v>
          </cell>
          <cell r="S31">
            <v>420</v>
          </cell>
          <cell r="T31">
            <v>373.18</v>
          </cell>
          <cell r="U31" t="str">
            <v>-</v>
          </cell>
          <cell r="V31">
            <v>423</v>
          </cell>
          <cell r="W31">
            <v>1</v>
          </cell>
          <cell r="X31" t="str">
            <v>-</v>
          </cell>
        </row>
        <row r="32">
          <cell r="C32">
            <v>11411909</v>
          </cell>
          <cell r="D32" t="str">
            <v>伯希和/PELLIOT</v>
          </cell>
          <cell r="E32" t="str">
            <v>鞋-运动鞋-登山鞋/徒步鞋</v>
          </cell>
          <cell r="F32" t="str">
            <v>一品多商</v>
          </cell>
          <cell r="G32" t="str">
            <v>品牌直发</v>
          </cell>
          <cell r="H32">
            <v>327</v>
          </cell>
          <cell r="I32">
            <v>1</v>
          </cell>
          <cell r="J32">
            <v>655</v>
          </cell>
          <cell r="K32">
            <v>208</v>
          </cell>
          <cell r="L32">
            <v>11</v>
          </cell>
          <cell r="M32">
            <v>1</v>
          </cell>
          <cell r="N32">
            <v>0</v>
          </cell>
          <cell r="O32">
            <v>0</v>
          </cell>
          <cell r="P32">
            <v>349</v>
          </cell>
          <cell r="Q32">
            <v>1</v>
          </cell>
          <cell r="R32" t="str">
            <v>369-369</v>
          </cell>
          <cell r="S32">
            <v>258</v>
          </cell>
          <cell r="T32">
            <v>311.19</v>
          </cell>
          <cell r="U32" t="str">
            <v>-</v>
          </cell>
          <cell r="V32">
            <v>327</v>
          </cell>
          <cell r="W32">
            <v>1</v>
          </cell>
          <cell r="X32" t="str">
            <v>-</v>
          </cell>
        </row>
        <row r="33">
          <cell r="C33">
            <v>11421409</v>
          </cell>
          <cell r="D33" t="str">
            <v>伯希和/PELLIOT</v>
          </cell>
          <cell r="E33" t="str">
            <v>服装-户外运动服-速干裤</v>
          </cell>
          <cell r="F33" t="str">
            <v>一品多商</v>
          </cell>
          <cell r="G33" t="str">
            <v>品牌直发</v>
          </cell>
          <cell r="H33">
            <v>0</v>
          </cell>
          <cell r="I33">
            <v>0</v>
          </cell>
          <cell r="J33">
            <v>238</v>
          </cell>
          <cell r="K33">
            <v>0</v>
          </cell>
          <cell r="L33">
            <v>1</v>
          </cell>
          <cell r="M33">
            <v>0</v>
          </cell>
          <cell r="N33">
            <v>0</v>
          </cell>
          <cell r="O33">
            <v>0</v>
          </cell>
          <cell r="P33">
            <v>0</v>
          </cell>
          <cell r="Q33">
            <v>0</v>
          </cell>
          <cell r="R33" t="str">
            <v>-</v>
          </cell>
          <cell r="S33">
            <v>155</v>
          </cell>
          <cell r="T33" t="str">
            <v>-</v>
          </cell>
          <cell r="U33" t="str">
            <v>-</v>
          </cell>
          <cell r="V33">
            <v>0</v>
          </cell>
          <cell r="W33">
            <v>0</v>
          </cell>
          <cell r="X33" t="str">
            <v>-</v>
          </cell>
        </row>
        <row r="34">
          <cell r="C34" t="str">
            <v>112340164-271037</v>
          </cell>
          <cell r="D34" t="str">
            <v>伯希和/PELLIOT</v>
          </cell>
          <cell r="E34" t="str">
            <v>服装-外套-冲锋衣</v>
          </cell>
          <cell r="F34" t="str">
            <v>一品多商</v>
          </cell>
          <cell r="G34" t="str">
            <v>品牌直发</v>
          </cell>
          <cell r="H34">
            <v>0</v>
          </cell>
          <cell r="I34">
            <v>0</v>
          </cell>
          <cell r="J34">
            <v>534</v>
          </cell>
          <cell r="K34">
            <v>0</v>
          </cell>
          <cell r="L34">
            <v>14</v>
          </cell>
          <cell r="M34">
            <v>0</v>
          </cell>
          <cell r="N34">
            <v>0</v>
          </cell>
          <cell r="O34">
            <v>0</v>
          </cell>
          <cell r="P34">
            <v>0</v>
          </cell>
          <cell r="Q34">
            <v>0</v>
          </cell>
          <cell r="R34" t="str">
            <v>629-699</v>
          </cell>
          <cell r="S34">
            <v>629</v>
          </cell>
          <cell r="T34">
            <v>536.36</v>
          </cell>
          <cell r="U34" t="str">
            <v>-</v>
          </cell>
          <cell r="V34">
            <v>0</v>
          </cell>
          <cell r="W34">
            <v>0</v>
          </cell>
          <cell r="X34" t="str">
            <v>-</v>
          </cell>
        </row>
        <row r="35">
          <cell r="C35">
            <v>12421250</v>
          </cell>
          <cell r="D35" t="str">
            <v>伯希和/PELLIOT</v>
          </cell>
          <cell r="E35" t="str">
            <v>女装-外套-防晒服</v>
          </cell>
          <cell r="F35" t="str">
            <v>一品多商</v>
          </cell>
          <cell r="G35" t="str">
            <v>品牌直发</v>
          </cell>
          <cell r="H35">
            <v>0</v>
          </cell>
          <cell r="I35">
            <v>0</v>
          </cell>
          <cell r="J35">
            <v>518</v>
          </cell>
          <cell r="K35">
            <v>0</v>
          </cell>
          <cell r="L35">
            <v>6</v>
          </cell>
          <cell r="M35">
            <v>0</v>
          </cell>
          <cell r="N35">
            <v>0</v>
          </cell>
          <cell r="O35">
            <v>0</v>
          </cell>
          <cell r="P35">
            <v>0</v>
          </cell>
          <cell r="Q35">
            <v>0</v>
          </cell>
          <cell r="R35" t="str">
            <v>259-259</v>
          </cell>
          <cell r="S35">
            <v>229</v>
          </cell>
          <cell r="T35">
            <v>216.82</v>
          </cell>
          <cell r="U35" t="str">
            <v>-</v>
          </cell>
          <cell r="V35">
            <v>0</v>
          </cell>
          <cell r="W35">
            <v>0</v>
          </cell>
          <cell r="X35" t="str">
            <v>-</v>
          </cell>
        </row>
        <row r="36">
          <cell r="C36">
            <v>12421534</v>
          </cell>
          <cell r="D36" t="str">
            <v>伯希和/PELLIOT</v>
          </cell>
          <cell r="E36" t="str">
            <v>女装-上衣-Polo衫</v>
          </cell>
          <cell r="F36" t="str">
            <v>一品多商</v>
          </cell>
          <cell r="G36" t="str">
            <v>品牌直发</v>
          </cell>
          <cell r="H36">
            <v>0</v>
          </cell>
          <cell r="I36">
            <v>0</v>
          </cell>
          <cell r="J36">
            <v>1478</v>
          </cell>
          <cell r="K36">
            <v>0</v>
          </cell>
          <cell r="L36">
            <v>45</v>
          </cell>
          <cell r="M36">
            <v>0</v>
          </cell>
          <cell r="N36">
            <v>0</v>
          </cell>
          <cell r="O36">
            <v>0</v>
          </cell>
          <cell r="P36">
            <v>0</v>
          </cell>
          <cell r="Q36">
            <v>0</v>
          </cell>
          <cell r="R36" t="str">
            <v>241-269</v>
          </cell>
          <cell r="S36">
            <v>229</v>
          </cell>
          <cell r="T36">
            <v>199.5</v>
          </cell>
          <cell r="U36" t="str">
            <v>-</v>
          </cell>
          <cell r="V36">
            <v>0</v>
          </cell>
          <cell r="W36">
            <v>0</v>
          </cell>
          <cell r="X36" t="str">
            <v>-</v>
          </cell>
        </row>
        <row r="37">
          <cell r="C37">
            <v>11421509</v>
          </cell>
          <cell r="D37" t="str">
            <v>伯希和/PELLIOT</v>
          </cell>
          <cell r="E37" t="str">
            <v>服装-上衣-T恤</v>
          </cell>
          <cell r="F37" t="str">
            <v>一品多商</v>
          </cell>
          <cell r="G37" t="str">
            <v>品牌直发</v>
          </cell>
          <cell r="H37">
            <v>0</v>
          </cell>
          <cell r="I37">
            <v>0</v>
          </cell>
          <cell r="J37">
            <v>1333</v>
          </cell>
          <cell r="K37">
            <v>0</v>
          </cell>
          <cell r="L37">
            <v>44</v>
          </cell>
          <cell r="M37">
            <v>0</v>
          </cell>
          <cell r="N37">
            <v>0</v>
          </cell>
          <cell r="O37">
            <v>0</v>
          </cell>
          <cell r="P37">
            <v>0</v>
          </cell>
          <cell r="Q37">
            <v>0</v>
          </cell>
          <cell r="R37" t="str">
            <v>125-139</v>
          </cell>
          <cell r="S37">
            <v>114</v>
          </cell>
          <cell r="T37">
            <v>101.29</v>
          </cell>
          <cell r="U37" t="str">
            <v>-</v>
          </cell>
          <cell r="V37">
            <v>0</v>
          </cell>
          <cell r="W37">
            <v>0</v>
          </cell>
          <cell r="X37" t="str">
            <v>-</v>
          </cell>
        </row>
        <row r="38">
          <cell r="C38">
            <v>12421254</v>
          </cell>
          <cell r="D38" t="str">
            <v>伯希和/PELLIOT</v>
          </cell>
          <cell r="E38" t="str">
            <v>女装-外套-防晒服</v>
          </cell>
          <cell r="F38" t="str">
            <v>一品多商</v>
          </cell>
          <cell r="G38" t="str">
            <v>品牌直发</v>
          </cell>
          <cell r="H38">
            <v>0</v>
          </cell>
          <cell r="I38">
            <v>0</v>
          </cell>
          <cell r="J38">
            <v>568</v>
          </cell>
          <cell r="K38">
            <v>0</v>
          </cell>
          <cell r="L38">
            <v>4</v>
          </cell>
          <cell r="M38">
            <v>0</v>
          </cell>
          <cell r="N38">
            <v>0</v>
          </cell>
          <cell r="O38">
            <v>0</v>
          </cell>
          <cell r="P38">
            <v>0</v>
          </cell>
          <cell r="Q38">
            <v>0</v>
          </cell>
          <cell r="R38" t="str">
            <v>241-249</v>
          </cell>
          <cell r="S38">
            <v>241</v>
          </cell>
          <cell r="T38">
            <v>201.2</v>
          </cell>
          <cell r="U38" t="str">
            <v>-</v>
          </cell>
          <cell r="V38">
            <v>0</v>
          </cell>
          <cell r="W38">
            <v>0</v>
          </cell>
          <cell r="X38" t="str">
            <v>-</v>
          </cell>
        </row>
        <row r="39">
          <cell r="C39">
            <v>12340806</v>
          </cell>
          <cell r="D39" t="str">
            <v>伯希和/PELLIOT</v>
          </cell>
          <cell r="E39" t="str">
            <v>女装-外套-羽绒服</v>
          </cell>
          <cell r="F39" t="str">
            <v>一品多商</v>
          </cell>
          <cell r="G39" t="str">
            <v>品牌直发</v>
          </cell>
          <cell r="H39">
            <v>0</v>
          </cell>
          <cell r="I39">
            <v>0</v>
          </cell>
          <cell r="J39">
            <v>2352</v>
          </cell>
          <cell r="K39">
            <v>0</v>
          </cell>
          <cell r="L39">
            <v>102</v>
          </cell>
          <cell r="M39">
            <v>0</v>
          </cell>
          <cell r="N39">
            <v>0</v>
          </cell>
          <cell r="O39">
            <v>0</v>
          </cell>
          <cell r="P39">
            <v>0</v>
          </cell>
          <cell r="Q39">
            <v>0</v>
          </cell>
          <cell r="R39" t="str">
            <v>1574-1790</v>
          </cell>
          <cell r="S39">
            <v>1398</v>
          </cell>
          <cell r="T39">
            <v>1354.74</v>
          </cell>
          <cell r="U39" t="str">
            <v>-</v>
          </cell>
          <cell r="V39">
            <v>0</v>
          </cell>
          <cell r="W39">
            <v>0</v>
          </cell>
          <cell r="X39" t="str">
            <v>-</v>
          </cell>
        </row>
        <row r="40">
          <cell r="C40">
            <v>12340822</v>
          </cell>
          <cell r="D40" t="str">
            <v>伯希和/PELLIOT</v>
          </cell>
          <cell r="E40" t="str">
            <v>女装-外套-羽绒服</v>
          </cell>
          <cell r="F40" t="str">
            <v>一品多商</v>
          </cell>
          <cell r="G40" t="str">
            <v>品牌直发</v>
          </cell>
          <cell r="H40">
            <v>0</v>
          </cell>
          <cell r="I40">
            <v>0</v>
          </cell>
          <cell r="J40">
            <v>1391</v>
          </cell>
          <cell r="K40">
            <v>0</v>
          </cell>
          <cell r="L40">
            <v>69</v>
          </cell>
          <cell r="M40">
            <v>0</v>
          </cell>
          <cell r="N40">
            <v>0</v>
          </cell>
          <cell r="O40">
            <v>0</v>
          </cell>
          <cell r="P40">
            <v>0</v>
          </cell>
          <cell r="Q40">
            <v>0</v>
          </cell>
          <cell r="R40" t="str">
            <v>650-650</v>
          </cell>
          <cell r="S40">
            <v>565</v>
          </cell>
          <cell r="T40">
            <v>552.71</v>
          </cell>
          <cell r="U40" t="str">
            <v>-</v>
          </cell>
          <cell r="V40">
            <v>0</v>
          </cell>
          <cell r="W40">
            <v>0</v>
          </cell>
          <cell r="X40" t="str">
            <v>-</v>
          </cell>
        </row>
        <row r="41">
          <cell r="C41">
            <v>114301085</v>
          </cell>
          <cell r="D41" t="str">
            <v>伯希和/PELLIOT</v>
          </cell>
          <cell r="E41" t="str">
            <v>服装-外套-冲锋衣</v>
          </cell>
          <cell r="F41" t="str">
            <v>一品多商</v>
          </cell>
          <cell r="G41" t="str">
            <v>品牌直发</v>
          </cell>
          <cell r="H41">
            <v>0</v>
          </cell>
          <cell r="I41">
            <v>0</v>
          </cell>
          <cell r="J41">
            <v>553</v>
          </cell>
          <cell r="K41">
            <v>0</v>
          </cell>
          <cell r="L41">
            <v>9</v>
          </cell>
          <cell r="M41">
            <v>0</v>
          </cell>
          <cell r="N41">
            <v>0</v>
          </cell>
          <cell r="O41">
            <v>0</v>
          </cell>
          <cell r="P41">
            <v>0</v>
          </cell>
          <cell r="Q41">
            <v>0</v>
          </cell>
          <cell r="R41" t="str">
            <v>1681-1700</v>
          </cell>
          <cell r="S41">
            <v>1057</v>
          </cell>
          <cell r="T41">
            <v>1449.5</v>
          </cell>
          <cell r="U41" t="str">
            <v>-</v>
          </cell>
          <cell r="V41">
            <v>0</v>
          </cell>
          <cell r="W41">
            <v>0</v>
          </cell>
          <cell r="X41" t="str">
            <v>-</v>
          </cell>
        </row>
        <row r="42">
          <cell r="C42">
            <v>11121411</v>
          </cell>
          <cell r="D42" t="str">
            <v>伯希和/PELLIOT</v>
          </cell>
          <cell r="E42" t="str">
            <v>服装-户外运动服-速干裤</v>
          </cell>
          <cell r="F42" t="str">
            <v>一品多商</v>
          </cell>
          <cell r="G42" t="str">
            <v>品牌直发</v>
          </cell>
          <cell r="H42">
            <v>0</v>
          </cell>
          <cell r="I42">
            <v>0</v>
          </cell>
          <cell r="J42">
            <v>426</v>
          </cell>
          <cell r="K42">
            <v>0</v>
          </cell>
          <cell r="L42">
            <v>4</v>
          </cell>
          <cell r="M42">
            <v>0</v>
          </cell>
          <cell r="N42">
            <v>0</v>
          </cell>
          <cell r="O42">
            <v>0</v>
          </cell>
          <cell r="P42">
            <v>0</v>
          </cell>
          <cell r="Q42">
            <v>0</v>
          </cell>
          <cell r="R42" t="str">
            <v>-</v>
          </cell>
          <cell r="S42">
            <v>178</v>
          </cell>
          <cell r="T42" t="str">
            <v>-</v>
          </cell>
          <cell r="U42" t="str">
            <v>-</v>
          </cell>
          <cell r="V42">
            <v>0</v>
          </cell>
          <cell r="W42">
            <v>0</v>
          </cell>
          <cell r="X42" t="str">
            <v>-</v>
          </cell>
        </row>
        <row r="43">
          <cell r="C43">
            <v>115214025</v>
          </cell>
          <cell r="D43" t="str">
            <v>伯希和/PELLIOT</v>
          </cell>
          <cell r="E43" t="str">
            <v>服装-户外运动服-速干裤</v>
          </cell>
          <cell r="F43" t="str">
            <v>一品多商</v>
          </cell>
          <cell r="G43" t="str">
            <v>品牌直发</v>
          </cell>
          <cell r="H43">
            <v>0</v>
          </cell>
          <cell r="I43">
            <v>0</v>
          </cell>
          <cell r="J43">
            <v>687</v>
          </cell>
          <cell r="K43">
            <v>0</v>
          </cell>
          <cell r="L43">
            <v>25</v>
          </cell>
          <cell r="M43">
            <v>0</v>
          </cell>
          <cell r="N43">
            <v>254</v>
          </cell>
          <cell r="O43">
            <v>1</v>
          </cell>
          <cell r="P43">
            <v>0</v>
          </cell>
          <cell r="Q43">
            <v>0</v>
          </cell>
          <cell r="R43" t="str">
            <v>287-299</v>
          </cell>
          <cell r="S43">
            <v>259</v>
          </cell>
          <cell r="T43">
            <v>240.31</v>
          </cell>
          <cell r="U43" t="str">
            <v>-</v>
          </cell>
          <cell r="V43">
            <v>0</v>
          </cell>
          <cell r="W43">
            <v>0</v>
          </cell>
          <cell r="X43" t="str">
            <v>-</v>
          </cell>
        </row>
        <row r="44">
          <cell r="C44">
            <v>11321405</v>
          </cell>
          <cell r="D44" t="str">
            <v>伯希和/PELLIOT</v>
          </cell>
          <cell r="E44" t="str">
            <v>服装-户外运动服-速干裤</v>
          </cell>
          <cell r="F44" t="str">
            <v>一品多商</v>
          </cell>
          <cell r="G44" t="str">
            <v>品牌直发</v>
          </cell>
          <cell r="H44">
            <v>0</v>
          </cell>
          <cell r="I44">
            <v>0</v>
          </cell>
          <cell r="J44">
            <v>537</v>
          </cell>
          <cell r="K44">
            <v>0</v>
          </cell>
          <cell r="L44">
            <v>10</v>
          </cell>
          <cell r="M44">
            <v>0</v>
          </cell>
          <cell r="N44">
            <v>0</v>
          </cell>
          <cell r="O44">
            <v>0</v>
          </cell>
          <cell r="P44">
            <v>0</v>
          </cell>
          <cell r="Q44">
            <v>0</v>
          </cell>
          <cell r="R44" t="str">
            <v>273-299</v>
          </cell>
          <cell r="S44">
            <v>250</v>
          </cell>
          <cell r="T44">
            <v>228.15</v>
          </cell>
          <cell r="U44" t="str">
            <v>-</v>
          </cell>
          <cell r="V44">
            <v>0</v>
          </cell>
          <cell r="W44">
            <v>0</v>
          </cell>
          <cell r="X44" t="str">
            <v>-</v>
          </cell>
        </row>
        <row r="45">
          <cell r="C45">
            <v>12230602</v>
          </cell>
          <cell r="D45" t="str">
            <v>伯希和/PELLIOT</v>
          </cell>
          <cell r="E45" t="str">
            <v>女装-外套-软壳衣</v>
          </cell>
          <cell r="F45" t="str">
            <v>一品多商</v>
          </cell>
          <cell r="G45" t="str">
            <v>品牌直发</v>
          </cell>
          <cell r="H45">
            <v>0</v>
          </cell>
          <cell r="I45">
            <v>0</v>
          </cell>
          <cell r="J45">
            <v>421</v>
          </cell>
          <cell r="K45">
            <v>0</v>
          </cell>
          <cell r="L45">
            <v>8</v>
          </cell>
          <cell r="M45">
            <v>0</v>
          </cell>
          <cell r="N45">
            <v>0</v>
          </cell>
          <cell r="O45">
            <v>0</v>
          </cell>
          <cell r="P45">
            <v>0</v>
          </cell>
          <cell r="Q45">
            <v>0</v>
          </cell>
          <cell r="R45" t="str">
            <v>379-379</v>
          </cell>
          <cell r="S45">
            <v>314</v>
          </cell>
          <cell r="T45">
            <v>316.78</v>
          </cell>
          <cell r="U45" t="str">
            <v>-</v>
          </cell>
          <cell r="V45">
            <v>0</v>
          </cell>
          <cell r="W45">
            <v>0</v>
          </cell>
          <cell r="X45" t="str">
            <v>-</v>
          </cell>
        </row>
        <row r="46">
          <cell r="C46">
            <v>11230601</v>
          </cell>
          <cell r="D46" t="str">
            <v>伯希和/PELLIOT</v>
          </cell>
          <cell r="E46" t="str">
            <v>服装-外套-软壳衣</v>
          </cell>
          <cell r="F46" t="str">
            <v>一品多商</v>
          </cell>
          <cell r="G46" t="str">
            <v>品牌直发</v>
          </cell>
          <cell r="H46">
            <v>0</v>
          </cell>
          <cell r="I46">
            <v>0</v>
          </cell>
          <cell r="J46">
            <v>602</v>
          </cell>
          <cell r="K46">
            <v>0</v>
          </cell>
          <cell r="L46">
            <v>10</v>
          </cell>
          <cell r="M46">
            <v>0</v>
          </cell>
          <cell r="N46">
            <v>0</v>
          </cell>
          <cell r="O46">
            <v>0</v>
          </cell>
          <cell r="P46">
            <v>0</v>
          </cell>
          <cell r="Q46">
            <v>0</v>
          </cell>
          <cell r="R46" t="str">
            <v>-</v>
          </cell>
          <cell r="S46">
            <v>318</v>
          </cell>
          <cell r="T46" t="str">
            <v>-</v>
          </cell>
          <cell r="U46" t="str">
            <v>-</v>
          </cell>
          <cell r="V46">
            <v>0</v>
          </cell>
          <cell r="W46">
            <v>0</v>
          </cell>
          <cell r="X46" t="str">
            <v>-</v>
          </cell>
        </row>
        <row r="47">
          <cell r="C47">
            <v>115110021</v>
          </cell>
          <cell r="D47" t="str">
            <v>伯希和/PELLIOT</v>
          </cell>
          <cell r="E47" t="str">
            <v>服装-户外运动服-抓绒衣</v>
          </cell>
          <cell r="F47" t="str">
            <v>一品多商</v>
          </cell>
          <cell r="G47" t="str">
            <v>品牌直发</v>
          </cell>
          <cell r="H47">
            <v>0</v>
          </cell>
          <cell r="I47">
            <v>0</v>
          </cell>
          <cell r="J47">
            <v>359</v>
          </cell>
          <cell r="K47">
            <v>0</v>
          </cell>
          <cell r="L47">
            <v>8</v>
          </cell>
          <cell r="M47">
            <v>0</v>
          </cell>
          <cell r="N47">
            <v>0</v>
          </cell>
          <cell r="O47">
            <v>0</v>
          </cell>
          <cell r="P47">
            <v>0</v>
          </cell>
          <cell r="Q47">
            <v>0</v>
          </cell>
          <cell r="R47" t="str">
            <v>239-239</v>
          </cell>
          <cell r="S47">
            <v>214</v>
          </cell>
          <cell r="T47">
            <v>197.64</v>
          </cell>
          <cell r="U47" t="str">
            <v>-</v>
          </cell>
          <cell r="V47">
            <v>0</v>
          </cell>
          <cell r="W47">
            <v>0</v>
          </cell>
          <cell r="X47" t="str">
            <v>-</v>
          </cell>
        </row>
        <row r="48">
          <cell r="C48">
            <v>112240128</v>
          </cell>
          <cell r="D48" t="str">
            <v>伯希和/PELLIOT</v>
          </cell>
          <cell r="E48" t="str">
            <v>服装-外套-冲锋衣</v>
          </cell>
          <cell r="F48" t="str">
            <v>一品多商</v>
          </cell>
          <cell r="G48" t="str">
            <v>品牌直发</v>
          </cell>
          <cell r="H48">
            <v>0</v>
          </cell>
          <cell r="I48">
            <v>0</v>
          </cell>
          <cell r="J48">
            <v>586</v>
          </cell>
          <cell r="K48">
            <v>0</v>
          </cell>
          <cell r="L48">
            <v>6</v>
          </cell>
          <cell r="M48">
            <v>0</v>
          </cell>
          <cell r="N48">
            <v>0</v>
          </cell>
          <cell r="O48">
            <v>0</v>
          </cell>
          <cell r="P48">
            <v>0</v>
          </cell>
          <cell r="Q48">
            <v>0</v>
          </cell>
          <cell r="R48" t="str">
            <v>900-959</v>
          </cell>
          <cell r="S48">
            <v>581</v>
          </cell>
          <cell r="T48">
            <v>771.59</v>
          </cell>
          <cell r="U48" t="str">
            <v>-</v>
          </cell>
          <cell r="V48">
            <v>0</v>
          </cell>
          <cell r="W48">
            <v>0</v>
          </cell>
          <cell r="X48" t="str">
            <v>-</v>
          </cell>
        </row>
        <row r="49">
          <cell r="C49">
            <v>11040105</v>
          </cell>
          <cell r="D49" t="str">
            <v>伯希和/PELLIOT</v>
          </cell>
          <cell r="E49" t="str">
            <v>服装-外套-冲锋衣</v>
          </cell>
          <cell r="F49" t="str">
            <v>一品多商</v>
          </cell>
          <cell r="G49" t="str">
            <v>品牌直发</v>
          </cell>
          <cell r="H49">
            <v>0</v>
          </cell>
          <cell r="I49">
            <v>0</v>
          </cell>
          <cell r="J49">
            <v>485</v>
          </cell>
          <cell r="K49">
            <v>0</v>
          </cell>
          <cell r="L49">
            <v>17</v>
          </cell>
          <cell r="M49">
            <v>0</v>
          </cell>
          <cell r="N49">
            <v>492</v>
          </cell>
          <cell r="O49">
            <v>1</v>
          </cell>
          <cell r="P49">
            <v>0</v>
          </cell>
          <cell r="Q49">
            <v>0</v>
          </cell>
          <cell r="R49" t="str">
            <v>599-599</v>
          </cell>
          <cell r="S49">
            <v>469</v>
          </cell>
          <cell r="T49">
            <v>510.32</v>
          </cell>
          <cell r="U49" t="str">
            <v>-</v>
          </cell>
          <cell r="V49">
            <v>0</v>
          </cell>
          <cell r="W49">
            <v>0</v>
          </cell>
          <cell r="X49" t="str">
            <v>-</v>
          </cell>
        </row>
        <row r="50">
          <cell r="C50">
            <v>12040106</v>
          </cell>
          <cell r="D50" t="str">
            <v>伯希和/PELLIOT</v>
          </cell>
          <cell r="E50" t="str">
            <v>女装-外套-冲锋衣</v>
          </cell>
          <cell r="F50" t="str">
            <v>一品多商</v>
          </cell>
          <cell r="G50" t="str">
            <v>品牌直发</v>
          </cell>
          <cell r="H50">
            <v>0</v>
          </cell>
          <cell r="I50">
            <v>0</v>
          </cell>
          <cell r="J50">
            <v>484</v>
          </cell>
          <cell r="K50">
            <v>0</v>
          </cell>
          <cell r="L50">
            <v>6</v>
          </cell>
          <cell r="M50">
            <v>0</v>
          </cell>
          <cell r="N50">
            <v>0</v>
          </cell>
          <cell r="O50">
            <v>0</v>
          </cell>
          <cell r="P50">
            <v>0</v>
          </cell>
          <cell r="Q50">
            <v>0</v>
          </cell>
          <cell r="R50" t="str">
            <v>599-599</v>
          </cell>
          <cell r="S50">
            <v>480</v>
          </cell>
          <cell r="T50">
            <v>508.54</v>
          </cell>
          <cell r="U50" t="str">
            <v>-</v>
          </cell>
          <cell r="V50">
            <v>0</v>
          </cell>
          <cell r="W50">
            <v>0</v>
          </cell>
          <cell r="X50" t="str">
            <v>-</v>
          </cell>
        </row>
        <row r="51">
          <cell r="C51">
            <v>125215020</v>
          </cell>
          <cell r="D51" t="str">
            <v>伯希和/PELLIOT</v>
          </cell>
          <cell r="E51" t="str">
            <v>女装-上衣-Polo衫</v>
          </cell>
          <cell r="F51" t="str">
            <v>一品多商</v>
          </cell>
          <cell r="G51" t="str">
            <v>品牌直发</v>
          </cell>
          <cell r="H51">
            <v>0</v>
          </cell>
          <cell r="I51">
            <v>0</v>
          </cell>
          <cell r="J51">
            <v>585</v>
          </cell>
          <cell r="K51">
            <v>0</v>
          </cell>
          <cell r="L51">
            <v>17</v>
          </cell>
          <cell r="M51">
            <v>0</v>
          </cell>
          <cell r="N51">
            <v>0</v>
          </cell>
          <cell r="O51">
            <v>0</v>
          </cell>
          <cell r="P51">
            <v>0</v>
          </cell>
          <cell r="Q51">
            <v>0</v>
          </cell>
          <cell r="R51" t="str">
            <v>-</v>
          </cell>
          <cell r="S51">
            <v>173</v>
          </cell>
          <cell r="T51" t="str">
            <v>-</v>
          </cell>
          <cell r="U51" t="str">
            <v>-</v>
          </cell>
          <cell r="V51">
            <v>0</v>
          </cell>
          <cell r="W51">
            <v>0</v>
          </cell>
          <cell r="X51" t="str">
            <v>-</v>
          </cell>
        </row>
        <row r="52">
          <cell r="C52">
            <v>1124301070</v>
          </cell>
          <cell r="D52" t="str">
            <v>伯希和/PELLIOT</v>
          </cell>
          <cell r="E52" t="str">
            <v>服装-外套-冲锋衣</v>
          </cell>
          <cell r="F52" t="str">
            <v>一品多商</v>
          </cell>
          <cell r="G52" t="str">
            <v>品牌直发</v>
          </cell>
          <cell r="H52">
            <v>0</v>
          </cell>
          <cell r="I52">
            <v>0</v>
          </cell>
          <cell r="J52">
            <v>931</v>
          </cell>
          <cell r="K52">
            <v>0</v>
          </cell>
          <cell r="L52">
            <v>45</v>
          </cell>
          <cell r="M52">
            <v>0</v>
          </cell>
          <cell r="N52">
            <v>0</v>
          </cell>
          <cell r="O52">
            <v>0</v>
          </cell>
          <cell r="P52">
            <v>0</v>
          </cell>
          <cell r="Q52">
            <v>0</v>
          </cell>
          <cell r="R52" t="str">
            <v>880-890</v>
          </cell>
          <cell r="S52">
            <v>805</v>
          </cell>
          <cell r="T52">
            <v>754.23</v>
          </cell>
          <cell r="U52" t="str">
            <v>-</v>
          </cell>
          <cell r="V52">
            <v>0</v>
          </cell>
          <cell r="W52">
            <v>0</v>
          </cell>
          <cell r="X52" t="str">
            <v>-</v>
          </cell>
        </row>
        <row r="53">
          <cell r="C53">
            <v>115151007</v>
          </cell>
          <cell r="D53" t="str">
            <v>伯希和/PELLIOT</v>
          </cell>
          <cell r="E53" t="str">
            <v>服装-外套-夹克</v>
          </cell>
          <cell r="F53" t="str">
            <v>一品多商</v>
          </cell>
          <cell r="G53" t="str">
            <v>品牌直发</v>
          </cell>
          <cell r="H53">
            <v>0</v>
          </cell>
          <cell r="I53">
            <v>0</v>
          </cell>
          <cell r="J53">
            <v>312</v>
          </cell>
          <cell r="K53">
            <v>0</v>
          </cell>
          <cell r="L53">
            <v>3</v>
          </cell>
          <cell r="M53">
            <v>0</v>
          </cell>
          <cell r="N53">
            <v>0</v>
          </cell>
          <cell r="O53">
            <v>0</v>
          </cell>
          <cell r="P53">
            <v>0</v>
          </cell>
          <cell r="Q53">
            <v>0</v>
          </cell>
          <cell r="R53" t="str">
            <v>449-449</v>
          </cell>
          <cell r="S53">
            <v>342</v>
          </cell>
          <cell r="T53">
            <v>381.02</v>
          </cell>
          <cell r="U53" t="str">
            <v>-</v>
          </cell>
          <cell r="V53">
            <v>0</v>
          </cell>
          <cell r="W53">
            <v>0</v>
          </cell>
          <cell r="X53" t="str">
            <v>-</v>
          </cell>
        </row>
        <row r="54">
          <cell r="C54">
            <v>115215001</v>
          </cell>
          <cell r="D54" t="str">
            <v>伯希和/PELLIOT</v>
          </cell>
          <cell r="E54" t="str">
            <v>服装-上衣-T恤</v>
          </cell>
          <cell r="F54" t="str">
            <v>一品多商</v>
          </cell>
          <cell r="G54" t="str">
            <v>品牌直发</v>
          </cell>
          <cell r="H54">
            <v>0</v>
          </cell>
          <cell r="I54">
            <v>0</v>
          </cell>
          <cell r="J54">
            <v>552</v>
          </cell>
          <cell r="K54">
            <v>0</v>
          </cell>
          <cell r="L54">
            <v>9</v>
          </cell>
          <cell r="M54">
            <v>0</v>
          </cell>
          <cell r="N54">
            <v>0</v>
          </cell>
          <cell r="O54">
            <v>0</v>
          </cell>
          <cell r="P54">
            <v>0</v>
          </cell>
          <cell r="Q54">
            <v>0</v>
          </cell>
          <cell r="R54" t="str">
            <v>239-239</v>
          </cell>
          <cell r="S54">
            <v>190</v>
          </cell>
          <cell r="T54">
            <v>200.24</v>
          </cell>
          <cell r="U54" t="str">
            <v>-</v>
          </cell>
          <cell r="V54">
            <v>0</v>
          </cell>
          <cell r="W54">
            <v>0</v>
          </cell>
          <cell r="X54" t="str">
            <v>-</v>
          </cell>
        </row>
        <row r="55">
          <cell r="C55">
            <v>115215025</v>
          </cell>
          <cell r="D55" t="str">
            <v>伯希和/PELLIOT</v>
          </cell>
          <cell r="E55" t="str">
            <v>服装-户外运动服-速干T恤</v>
          </cell>
          <cell r="F55" t="str">
            <v>一品多商</v>
          </cell>
          <cell r="G55" t="str">
            <v>品牌直发</v>
          </cell>
          <cell r="H55">
            <v>0</v>
          </cell>
          <cell r="I55">
            <v>0</v>
          </cell>
          <cell r="J55">
            <v>1450</v>
          </cell>
          <cell r="K55">
            <v>0</v>
          </cell>
          <cell r="L55">
            <v>88</v>
          </cell>
          <cell r="M55">
            <v>0</v>
          </cell>
          <cell r="N55">
            <v>0</v>
          </cell>
          <cell r="O55">
            <v>0</v>
          </cell>
          <cell r="P55">
            <v>0</v>
          </cell>
          <cell r="Q55">
            <v>0</v>
          </cell>
          <cell r="R55" t="str">
            <v>239-239</v>
          </cell>
          <cell r="S55">
            <v>209</v>
          </cell>
          <cell r="T55">
            <v>198.74</v>
          </cell>
          <cell r="U55" t="str">
            <v>-</v>
          </cell>
          <cell r="V55">
            <v>0</v>
          </cell>
          <cell r="W55">
            <v>0</v>
          </cell>
          <cell r="X55" t="str">
            <v>-</v>
          </cell>
        </row>
        <row r="56">
          <cell r="C56">
            <v>115101001</v>
          </cell>
          <cell r="D56" t="str">
            <v>伯希和/PELLIOT</v>
          </cell>
          <cell r="E56" t="str">
            <v>服装-外套-冲锋衣</v>
          </cell>
          <cell r="F56" t="str">
            <v>一品多商</v>
          </cell>
          <cell r="G56" t="str">
            <v>品牌直发</v>
          </cell>
          <cell r="H56">
            <v>0</v>
          </cell>
          <cell r="I56">
            <v>0</v>
          </cell>
          <cell r="J56">
            <v>244</v>
          </cell>
          <cell r="K56">
            <v>0</v>
          </cell>
          <cell r="L56">
            <v>0</v>
          </cell>
          <cell r="M56">
            <v>0</v>
          </cell>
          <cell r="N56">
            <v>0</v>
          </cell>
          <cell r="O56">
            <v>0</v>
          </cell>
          <cell r="P56">
            <v>0</v>
          </cell>
          <cell r="Q56">
            <v>0</v>
          </cell>
          <cell r="R56" t="str">
            <v>590-590</v>
          </cell>
          <cell r="S56">
            <v>420</v>
          </cell>
          <cell r="T56">
            <v>502.51</v>
          </cell>
          <cell r="U56" t="str">
            <v>-</v>
          </cell>
          <cell r="V56">
            <v>0</v>
          </cell>
          <cell r="W56">
            <v>0</v>
          </cell>
          <cell r="X56" t="str">
            <v>-</v>
          </cell>
        </row>
        <row r="57">
          <cell r="C57">
            <v>125212004</v>
          </cell>
          <cell r="D57" t="str">
            <v>伯希和/PELLIOT</v>
          </cell>
          <cell r="E57" t="str">
            <v>女装-外套-防晒服</v>
          </cell>
          <cell r="F57" t="str">
            <v>一品多商</v>
          </cell>
          <cell r="G57" t="str">
            <v>品牌直发</v>
          </cell>
          <cell r="H57">
            <v>0</v>
          </cell>
          <cell r="I57">
            <v>0</v>
          </cell>
          <cell r="J57">
            <v>528</v>
          </cell>
          <cell r="K57">
            <v>0</v>
          </cell>
          <cell r="L57">
            <v>8</v>
          </cell>
          <cell r="M57">
            <v>0</v>
          </cell>
          <cell r="N57">
            <v>0</v>
          </cell>
          <cell r="O57">
            <v>0</v>
          </cell>
          <cell r="P57">
            <v>0</v>
          </cell>
          <cell r="Q57">
            <v>0</v>
          </cell>
          <cell r="R57" t="str">
            <v>229-229</v>
          </cell>
          <cell r="S57">
            <v>229</v>
          </cell>
          <cell r="T57">
            <v>197.65</v>
          </cell>
          <cell r="U57" t="str">
            <v>-</v>
          </cell>
          <cell r="V57">
            <v>0</v>
          </cell>
          <cell r="W57">
            <v>0</v>
          </cell>
          <cell r="X57" t="str">
            <v>-</v>
          </cell>
        </row>
        <row r="58">
          <cell r="C58">
            <v>115102001</v>
          </cell>
          <cell r="D58" t="str">
            <v>伯希和/PELLIOT</v>
          </cell>
          <cell r="E58" t="str">
            <v>服装-长裤-冲锋裤</v>
          </cell>
          <cell r="F58" t="str">
            <v>一品多商</v>
          </cell>
          <cell r="G58" t="str">
            <v>品牌直发</v>
          </cell>
          <cell r="H58">
            <v>0</v>
          </cell>
          <cell r="I58">
            <v>0</v>
          </cell>
          <cell r="J58">
            <v>424</v>
          </cell>
          <cell r="K58">
            <v>0</v>
          </cell>
          <cell r="L58">
            <v>7</v>
          </cell>
          <cell r="M58">
            <v>0</v>
          </cell>
          <cell r="N58">
            <v>0</v>
          </cell>
          <cell r="O58">
            <v>0</v>
          </cell>
          <cell r="P58">
            <v>0</v>
          </cell>
          <cell r="Q58">
            <v>0</v>
          </cell>
          <cell r="R58" t="str">
            <v>790-790</v>
          </cell>
          <cell r="S58">
            <v>659</v>
          </cell>
          <cell r="T58">
            <v>678.11</v>
          </cell>
          <cell r="U58" t="str">
            <v>-</v>
          </cell>
          <cell r="V58">
            <v>0</v>
          </cell>
          <cell r="W58">
            <v>0</v>
          </cell>
          <cell r="X58" t="str">
            <v>-</v>
          </cell>
        </row>
        <row r="59">
          <cell r="C59">
            <v>125301055</v>
          </cell>
          <cell r="D59" t="str">
            <v>伯希和/PELLIOT</v>
          </cell>
          <cell r="E59" t="str">
            <v>女装-外套-冲锋衣</v>
          </cell>
          <cell r="F59" t="str">
            <v>一品多商</v>
          </cell>
          <cell r="G59" t="str">
            <v>品牌直发</v>
          </cell>
          <cell r="H59">
            <v>0</v>
          </cell>
          <cell r="I59">
            <v>0</v>
          </cell>
          <cell r="J59">
            <v>464</v>
          </cell>
          <cell r="K59">
            <v>0</v>
          </cell>
          <cell r="L59">
            <v>7</v>
          </cell>
          <cell r="M59">
            <v>0</v>
          </cell>
          <cell r="N59">
            <v>0</v>
          </cell>
          <cell r="O59">
            <v>0</v>
          </cell>
          <cell r="P59">
            <v>0</v>
          </cell>
          <cell r="Q59">
            <v>0</v>
          </cell>
          <cell r="R59" t="str">
            <v>590-599</v>
          </cell>
          <cell r="S59">
            <v>537</v>
          </cell>
          <cell r="T59">
            <v>500.73</v>
          </cell>
          <cell r="U59" t="str">
            <v>-</v>
          </cell>
          <cell r="V59">
            <v>0</v>
          </cell>
          <cell r="W59">
            <v>0</v>
          </cell>
          <cell r="X59" t="str">
            <v>-</v>
          </cell>
        </row>
        <row r="60">
          <cell r="C60">
            <v>115301054</v>
          </cell>
          <cell r="D60" t="str">
            <v>伯希和/PELLIOT</v>
          </cell>
          <cell r="E60" t="str">
            <v>服装-外套-冲锋衣</v>
          </cell>
          <cell r="F60" t="str">
            <v>一品多商</v>
          </cell>
          <cell r="G60" t="str">
            <v>品牌直发</v>
          </cell>
          <cell r="H60">
            <v>0</v>
          </cell>
          <cell r="I60">
            <v>0</v>
          </cell>
          <cell r="J60">
            <v>552</v>
          </cell>
          <cell r="K60">
            <v>0</v>
          </cell>
          <cell r="L60">
            <v>11</v>
          </cell>
          <cell r="M60">
            <v>0</v>
          </cell>
          <cell r="N60">
            <v>0</v>
          </cell>
          <cell r="O60">
            <v>0</v>
          </cell>
          <cell r="P60">
            <v>0</v>
          </cell>
          <cell r="Q60">
            <v>0</v>
          </cell>
          <cell r="R60" t="str">
            <v>542-589</v>
          </cell>
          <cell r="S60">
            <v>480</v>
          </cell>
          <cell r="T60">
            <v>460.85</v>
          </cell>
          <cell r="U60" t="str">
            <v>-</v>
          </cell>
          <cell r="V60">
            <v>0</v>
          </cell>
          <cell r="W60">
            <v>0</v>
          </cell>
          <cell r="X60" t="str">
            <v>-</v>
          </cell>
        </row>
        <row r="61">
          <cell r="C61" t="str">
            <v>124101048-新加色</v>
          </cell>
          <cell r="D61" t="str">
            <v>伯希和/PELLIOT</v>
          </cell>
          <cell r="E61" t="str">
            <v>服装-外套-冲锋衣</v>
          </cell>
          <cell r="F61" t="str">
            <v>一品多商</v>
          </cell>
          <cell r="G61" t="str">
            <v>品牌直发</v>
          </cell>
          <cell r="H61">
            <v>0</v>
          </cell>
          <cell r="I61">
            <v>0</v>
          </cell>
          <cell r="J61">
            <v>1341</v>
          </cell>
          <cell r="K61">
            <v>0</v>
          </cell>
          <cell r="L61">
            <v>72</v>
          </cell>
          <cell r="M61">
            <v>0</v>
          </cell>
          <cell r="N61">
            <v>0</v>
          </cell>
          <cell r="O61">
            <v>0</v>
          </cell>
          <cell r="P61">
            <v>0</v>
          </cell>
          <cell r="Q61">
            <v>0</v>
          </cell>
          <cell r="R61" t="str">
            <v>640-690</v>
          </cell>
          <cell r="S61">
            <v>546</v>
          </cell>
          <cell r="T61">
            <v>545.91</v>
          </cell>
          <cell r="U61" t="str">
            <v>-</v>
          </cell>
          <cell r="V61">
            <v>0</v>
          </cell>
          <cell r="W61">
            <v>0</v>
          </cell>
          <cell r="X61" t="str">
            <v>-</v>
          </cell>
        </row>
        <row r="62">
          <cell r="C62">
            <v>114310191</v>
          </cell>
          <cell r="D62" t="str">
            <v>伯希和/PELLIOT</v>
          </cell>
          <cell r="E62" t="str">
            <v>服装-户外运动服-抓绒衣</v>
          </cell>
          <cell r="F62" t="str">
            <v>一品多商</v>
          </cell>
          <cell r="G62" t="str">
            <v>品牌直发</v>
          </cell>
          <cell r="H62">
            <v>0</v>
          </cell>
          <cell r="I62">
            <v>0</v>
          </cell>
          <cell r="J62">
            <v>230</v>
          </cell>
          <cell r="K62">
            <v>0</v>
          </cell>
          <cell r="L62">
            <v>1</v>
          </cell>
          <cell r="M62">
            <v>0</v>
          </cell>
          <cell r="N62">
            <v>0</v>
          </cell>
          <cell r="O62">
            <v>0</v>
          </cell>
          <cell r="P62">
            <v>0</v>
          </cell>
          <cell r="Q62">
            <v>0</v>
          </cell>
          <cell r="R62" t="str">
            <v>379-390</v>
          </cell>
          <cell r="S62">
            <v>299</v>
          </cell>
          <cell r="T62">
            <v>319.16</v>
          </cell>
          <cell r="U62" t="str">
            <v>-</v>
          </cell>
          <cell r="V62">
            <v>0</v>
          </cell>
          <cell r="W62">
            <v>0</v>
          </cell>
          <cell r="X62" t="str">
            <v>-</v>
          </cell>
        </row>
        <row r="63">
          <cell r="C63">
            <v>114401041</v>
          </cell>
          <cell r="D63" t="str">
            <v>伯希和/PELLIOT</v>
          </cell>
          <cell r="E63" t="str">
            <v>服装-外套-冲锋衣</v>
          </cell>
          <cell r="F63" t="str">
            <v>一品多商</v>
          </cell>
          <cell r="G63" t="str">
            <v>品牌直发</v>
          </cell>
          <cell r="H63">
            <v>0</v>
          </cell>
          <cell r="I63">
            <v>0</v>
          </cell>
          <cell r="J63">
            <v>1553</v>
          </cell>
          <cell r="K63">
            <v>0</v>
          </cell>
          <cell r="L63">
            <v>74</v>
          </cell>
          <cell r="M63">
            <v>0</v>
          </cell>
          <cell r="N63">
            <v>0</v>
          </cell>
          <cell r="O63">
            <v>0</v>
          </cell>
          <cell r="P63">
            <v>0</v>
          </cell>
          <cell r="Q63">
            <v>0</v>
          </cell>
          <cell r="R63" t="str">
            <v>878-990</v>
          </cell>
          <cell r="S63">
            <v>789</v>
          </cell>
          <cell r="T63">
            <v>752.49</v>
          </cell>
          <cell r="U63" t="str">
            <v>-</v>
          </cell>
          <cell r="V63">
            <v>0</v>
          </cell>
          <cell r="W63">
            <v>0</v>
          </cell>
          <cell r="X63" t="str">
            <v>-</v>
          </cell>
        </row>
        <row r="64">
          <cell r="C64" t="str">
            <v>PE124314376</v>
          </cell>
          <cell r="D64" t="str">
            <v>伯希和/PELLIOT</v>
          </cell>
          <cell r="E64" t="str">
            <v>服装-户外运动服-速干裤</v>
          </cell>
          <cell r="F64" t="str">
            <v>一品多商</v>
          </cell>
          <cell r="G64" t="str">
            <v>品牌直发</v>
          </cell>
          <cell r="H64">
            <v>0</v>
          </cell>
          <cell r="I64">
            <v>0</v>
          </cell>
          <cell r="J64">
            <v>405</v>
          </cell>
          <cell r="K64">
            <v>0</v>
          </cell>
          <cell r="L64">
            <v>4</v>
          </cell>
          <cell r="M64">
            <v>0</v>
          </cell>
          <cell r="N64">
            <v>0</v>
          </cell>
          <cell r="O64">
            <v>0</v>
          </cell>
          <cell r="P64">
            <v>0</v>
          </cell>
          <cell r="Q64">
            <v>0</v>
          </cell>
          <cell r="R64" t="str">
            <v>341-341</v>
          </cell>
          <cell r="S64">
            <v>341</v>
          </cell>
          <cell r="T64">
            <v>287.18</v>
          </cell>
          <cell r="U64" t="str">
            <v>-</v>
          </cell>
          <cell r="V64">
            <v>0</v>
          </cell>
          <cell r="W64">
            <v>0</v>
          </cell>
          <cell r="X64" t="str">
            <v>-</v>
          </cell>
        </row>
        <row r="65">
          <cell r="C65">
            <v>114306147</v>
          </cell>
          <cell r="D65" t="str">
            <v>伯希和/PELLIOT</v>
          </cell>
          <cell r="E65" t="str">
            <v>服装-外套-软壳衣</v>
          </cell>
          <cell r="F65" t="str">
            <v>一品多商</v>
          </cell>
          <cell r="G65" t="str">
            <v>品牌直发</v>
          </cell>
          <cell r="H65">
            <v>0</v>
          </cell>
          <cell r="I65">
            <v>0</v>
          </cell>
          <cell r="J65">
            <v>738</v>
          </cell>
          <cell r="K65">
            <v>0</v>
          </cell>
          <cell r="L65">
            <v>25</v>
          </cell>
          <cell r="M65">
            <v>0</v>
          </cell>
          <cell r="N65">
            <v>0</v>
          </cell>
          <cell r="O65">
            <v>0</v>
          </cell>
          <cell r="P65">
            <v>0</v>
          </cell>
          <cell r="Q65">
            <v>0</v>
          </cell>
          <cell r="R65" t="str">
            <v>409-490</v>
          </cell>
          <cell r="S65">
            <v>299</v>
          </cell>
          <cell r="T65">
            <v>344.8</v>
          </cell>
          <cell r="U65" t="str">
            <v>-</v>
          </cell>
          <cell r="V65">
            <v>0</v>
          </cell>
          <cell r="W65">
            <v>0</v>
          </cell>
          <cell r="X65" t="str">
            <v>-</v>
          </cell>
        </row>
        <row r="66">
          <cell r="C66">
            <v>114301033</v>
          </cell>
          <cell r="D66" t="str">
            <v>伯希和/PELLIOT</v>
          </cell>
          <cell r="E66" t="str">
            <v>服装-外套-冲锋衣</v>
          </cell>
          <cell r="F66" t="str">
            <v>一品多商</v>
          </cell>
          <cell r="G66" t="str">
            <v>品牌直发</v>
          </cell>
          <cell r="H66">
            <v>0</v>
          </cell>
          <cell r="I66">
            <v>0</v>
          </cell>
          <cell r="J66">
            <v>437</v>
          </cell>
          <cell r="K66">
            <v>0</v>
          </cell>
          <cell r="L66">
            <v>9</v>
          </cell>
          <cell r="M66">
            <v>0</v>
          </cell>
          <cell r="N66">
            <v>0</v>
          </cell>
          <cell r="O66">
            <v>0</v>
          </cell>
          <cell r="P66">
            <v>0</v>
          </cell>
          <cell r="Q66">
            <v>0</v>
          </cell>
          <cell r="R66" t="str">
            <v>559-559</v>
          </cell>
          <cell r="S66">
            <v>394</v>
          </cell>
          <cell r="T66">
            <v>475.6</v>
          </cell>
          <cell r="U66" t="str">
            <v>-</v>
          </cell>
          <cell r="V66">
            <v>0</v>
          </cell>
          <cell r="W66">
            <v>0</v>
          </cell>
          <cell r="X66" t="str">
            <v>-</v>
          </cell>
        </row>
        <row r="67">
          <cell r="C67">
            <v>114301029</v>
          </cell>
          <cell r="D67" t="str">
            <v>伯希和/PELLIOT</v>
          </cell>
          <cell r="E67" t="str">
            <v>服装-外套-冲锋衣</v>
          </cell>
          <cell r="F67" t="str">
            <v>一品多商</v>
          </cell>
          <cell r="G67" t="str">
            <v>品牌直发</v>
          </cell>
          <cell r="H67">
            <v>0</v>
          </cell>
          <cell r="I67">
            <v>0</v>
          </cell>
          <cell r="J67">
            <v>485</v>
          </cell>
          <cell r="K67">
            <v>0</v>
          </cell>
          <cell r="L67">
            <v>9</v>
          </cell>
          <cell r="M67">
            <v>0</v>
          </cell>
          <cell r="N67">
            <v>0</v>
          </cell>
          <cell r="O67">
            <v>0</v>
          </cell>
          <cell r="P67">
            <v>0</v>
          </cell>
          <cell r="Q67">
            <v>0</v>
          </cell>
          <cell r="R67" t="str">
            <v>451-499</v>
          </cell>
          <cell r="S67">
            <v>412</v>
          </cell>
          <cell r="T67">
            <v>381.86</v>
          </cell>
          <cell r="U67" t="str">
            <v>-</v>
          </cell>
          <cell r="V67">
            <v>0</v>
          </cell>
          <cell r="W67">
            <v>0</v>
          </cell>
          <cell r="X67" t="str">
            <v>-</v>
          </cell>
        </row>
        <row r="68">
          <cell r="C68">
            <v>114301001</v>
          </cell>
          <cell r="D68" t="str">
            <v>伯希和/PELLIOT</v>
          </cell>
          <cell r="E68" t="str">
            <v>服装-外套-冲锋衣</v>
          </cell>
          <cell r="F68" t="str">
            <v>一品多商</v>
          </cell>
          <cell r="G68" t="str">
            <v>品牌直发</v>
          </cell>
          <cell r="H68">
            <v>0</v>
          </cell>
          <cell r="I68">
            <v>0</v>
          </cell>
          <cell r="J68">
            <v>481</v>
          </cell>
          <cell r="K68">
            <v>0</v>
          </cell>
          <cell r="L68">
            <v>6</v>
          </cell>
          <cell r="M68">
            <v>0</v>
          </cell>
          <cell r="N68">
            <v>0</v>
          </cell>
          <cell r="O68">
            <v>0</v>
          </cell>
          <cell r="P68">
            <v>0</v>
          </cell>
          <cell r="Q68">
            <v>0</v>
          </cell>
          <cell r="R68" t="str">
            <v>448-448</v>
          </cell>
          <cell r="S68">
            <v>394</v>
          </cell>
          <cell r="T68">
            <v>379.25</v>
          </cell>
          <cell r="U68" t="str">
            <v>-</v>
          </cell>
          <cell r="V68">
            <v>0</v>
          </cell>
          <cell r="W68">
            <v>0</v>
          </cell>
          <cell r="X68" t="str">
            <v>-</v>
          </cell>
        </row>
        <row r="69">
          <cell r="C69">
            <v>11421419</v>
          </cell>
          <cell r="D69" t="str">
            <v>伯希和/PELLIOT</v>
          </cell>
          <cell r="E69" t="str">
            <v>服装-健身服-运动短裤</v>
          </cell>
          <cell r="F69" t="str">
            <v>一品一商</v>
          </cell>
          <cell r="G69" t="str">
            <v>普通现货</v>
          </cell>
          <cell r="H69">
            <v>0</v>
          </cell>
          <cell r="I69">
            <v>0</v>
          </cell>
          <cell r="J69">
            <v>158</v>
          </cell>
          <cell r="K69">
            <v>0</v>
          </cell>
          <cell r="L69">
            <v>3</v>
          </cell>
          <cell r="M69">
            <v>0</v>
          </cell>
          <cell r="N69">
            <v>0</v>
          </cell>
          <cell r="O69">
            <v>0</v>
          </cell>
          <cell r="P69">
            <v>0</v>
          </cell>
          <cell r="Q69">
            <v>0</v>
          </cell>
          <cell r="R69" t="str">
            <v>-</v>
          </cell>
          <cell r="S69" t="str">
            <v>-</v>
          </cell>
          <cell r="T69" t="str">
            <v>-</v>
          </cell>
          <cell r="U69" t="str">
            <v>-</v>
          </cell>
          <cell r="V69">
            <v>0</v>
          </cell>
          <cell r="W69">
            <v>0</v>
          </cell>
          <cell r="X69" t="str">
            <v>-</v>
          </cell>
        </row>
        <row r="70">
          <cell r="C70">
            <v>12422002</v>
          </cell>
          <cell r="D70" t="str">
            <v>伯希和/PELLIOT</v>
          </cell>
          <cell r="E70" t="str">
            <v>鞋-运动鞋-户外功能鞋</v>
          </cell>
          <cell r="F70" t="str">
            <v>一品多商</v>
          </cell>
          <cell r="G70" t="str">
            <v>品牌直发</v>
          </cell>
          <cell r="H70">
            <v>0</v>
          </cell>
          <cell r="I70">
            <v>0</v>
          </cell>
          <cell r="J70">
            <v>480</v>
          </cell>
          <cell r="K70">
            <v>0</v>
          </cell>
          <cell r="L70">
            <v>6</v>
          </cell>
          <cell r="M70">
            <v>0</v>
          </cell>
          <cell r="N70">
            <v>0</v>
          </cell>
          <cell r="O70">
            <v>0</v>
          </cell>
          <cell r="P70">
            <v>0</v>
          </cell>
          <cell r="Q70">
            <v>0</v>
          </cell>
          <cell r="R70" t="str">
            <v>268-268</v>
          </cell>
          <cell r="S70">
            <v>204</v>
          </cell>
          <cell r="T70">
            <v>223.42</v>
          </cell>
          <cell r="U70" t="str">
            <v>-</v>
          </cell>
          <cell r="V70">
            <v>0</v>
          </cell>
          <cell r="W70">
            <v>0</v>
          </cell>
          <cell r="X70" t="str">
            <v>-</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heet1"/>
    </sheetNames>
    <sheetDataSet>
      <sheetData sheetId="0">
        <row r="1">
          <cell r="C1" t="str">
            <v>商品货号</v>
          </cell>
          <cell r="D1" t="str">
            <v>品牌名称</v>
          </cell>
          <cell r="E1" t="str">
            <v>类目名称</v>
          </cell>
          <cell r="F1" t="str">
            <v>商品类型</v>
          </cell>
          <cell r="G1" t="str">
            <v>出价渠道</v>
          </cell>
          <cell r="H1" t="str">
            <v>支付金额</v>
          </cell>
          <cell r="I1" t="str">
            <v>支付订单数</v>
          </cell>
          <cell r="J1" t="str">
            <v>商详访问人数</v>
          </cell>
          <cell r="K1" t="str">
            <v>商详转化率</v>
          </cell>
          <cell r="L1" t="str">
            <v>收藏用户数</v>
          </cell>
          <cell r="M1" t="str">
            <v>我的销量</v>
          </cell>
          <cell r="N1" t="str">
            <v>退货金额（退款时间）</v>
          </cell>
          <cell r="O1" t="str">
            <v>退货订单数（退款时间）</v>
          </cell>
          <cell r="P1" t="str">
            <v>退货金额（支付时间）</v>
          </cell>
          <cell r="Q1" t="str">
            <v>退货订单数（支付时间）</v>
          </cell>
          <cell r="R1" t="str">
            <v>我的出价（元）</v>
          </cell>
          <cell r="S1" t="str">
            <v>平台最低价（元）</v>
          </cell>
          <cell r="T1" t="str">
            <v>当前单品收入</v>
          </cell>
          <cell r="U1" t="str">
            <v>当前单品利润</v>
          </cell>
          <cell r="V1" t="str">
            <v>支付笔单价</v>
          </cell>
          <cell r="W1" t="str">
            <v>支付用户数</v>
          </cell>
          <cell r="X1" t="str">
            <v>商家成本价</v>
          </cell>
        </row>
        <row r="2">
          <cell r="C2">
            <v>12421220</v>
          </cell>
          <cell r="D2" t="str">
            <v>伯希和/PELLIOT</v>
          </cell>
          <cell r="E2" t="str">
            <v>服装-外套-防晒服</v>
          </cell>
          <cell r="F2" t="str">
            <v>一品多商</v>
          </cell>
          <cell r="G2" t="str">
            <v>品牌直发</v>
          </cell>
          <cell r="H2">
            <v>20698.46</v>
          </cell>
          <cell r="I2">
            <v>97</v>
          </cell>
          <cell r="J2">
            <v>2157</v>
          </cell>
          <cell r="K2">
            <v>592</v>
          </cell>
          <cell r="L2">
            <v>202</v>
          </cell>
          <cell r="M2">
            <v>97</v>
          </cell>
          <cell r="N2">
            <v>4987.93</v>
          </cell>
          <cell r="O2">
            <v>24</v>
          </cell>
          <cell r="P2">
            <v>6470</v>
          </cell>
          <cell r="Q2">
            <v>30</v>
          </cell>
          <cell r="R2" t="str">
            <v>274-290</v>
          </cell>
          <cell r="S2">
            <v>259</v>
          </cell>
          <cell r="T2">
            <v>230.32</v>
          </cell>
          <cell r="U2" t="str">
            <v>-</v>
          </cell>
          <cell r="V2">
            <v>213.39</v>
          </cell>
          <cell r="W2">
            <v>89</v>
          </cell>
          <cell r="X2" t="str">
            <v>-</v>
          </cell>
        </row>
        <row r="3">
          <cell r="C3" t="str">
            <v>PE1124101048</v>
          </cell>
          <cell r="D3" t="str">
            <v>伯希和/PELLIOT</v>
          </cell>
          <cell r="E3" t="str">
            <v>服装-外套-冲锋衣</v>
          </cell>
          <cell r="F3" t="str">
            <v>一品多商</v>
          </cell>
          <cell r="G3" t="str">
            <v>品牌直发</v>
          </cell>
          <cell r="H3">
            <v>25984</v>
          </cell>
          <cell r="I3">
            <v>46</v>
          </cell>
          <cell r="J3">
            <v>1951</v>
          </cell>
          <cell r="K3">
            <v>445</v>
          </cell>
          <cell r="L3">
            <v>230</v>
          </cell>
          <cell r="M3">
            <v>46</v>
          </cell>
          <cell r="N3">
            <v>5170</v>
          </cell>
          <cell r="O3">
            <v>9</v>
          </cell>
          <cell r="P3">
            <v>8075</v>
          </cell>
          <cell r="Q3">
            <v>14</v>
          </cell>
          <cell r="R3" t="str">
            <v>621-690</v>
          </cell>
          <cell r="S3">
            <v>499</v>
          </cell>
          <cell r="T3">
            <v>529.42</v>
          </cell>
          <cell r="U3" t="str">
            <v>-</v>
          </cell>
          <cell r="V3">
            <v>564.87</v>
          </cell>
          <cell r="W3">
            <v>41</v>
          </cell>
          <cell r="X3" t="str">
            <v>-</v>
          </cell>
        </row>
        <row r="4">
          <cell r="C4">
            <v>11421507</v>
          </cell>
          <cell r="D4" t="str">
            <v>伯希和/PELLIOT</v>
          </cell>
          <cell r="E4" t="str">
            <v>服装-上衣-Polo衫</v>
          </cell>
          <cell r="F4" t="str">
            <v>一品多商</v>
          </cell>
          <cell r="G4" t="str">
            <v>品牌直发</v>
          </cell>
          <cell r="H4">
            <v>3862</v>
          </cell>
          <cell r="I4">
            <v>31</v>
          </cell>
          <cell r="J4">
            <v>2798</v>
          </cell>
          <cell r="K4">
            <v>260</v>
          </cell>
          <cell r="L4">
            <v>339</v>
          </cell>
          <cell r="M4">
            <v>31</v>
          </cell>
          <cell r="N4">
            <v>887</v>
          </cell>
          <cell r="O4">
            <v>6</v>
          </cell>
          <cell r="P4">
            <v>647</v>
          </cell>
          <cell r="Q4">
            <v>5</v>
          </cell>
          <cell r="R4" t="str">
            <v>163-196</v>
          </cell>
          <cell r="S4">
            <v>154</v>
          </cell>
          <cell r="T4">
            <v>133.07</v>
          </cell>
          <cell r="U4" t="str">
            <v>-</v>
          </cell>
          <cell r="V4">
            <v>124.58</v>
          </cell>
          <cell r="W4">
            <v>29</v>
          </cell>
          <cell r="X4" t="str">
            <v>-</v>
          </cell>
        </row>
        <row r="5">
          <cell r="C5">
            <v>12340164</v>
          </cell>
          <cell r="D5" t="str">
            <v>伯希和/PELLIOT</v>
          </cell>
          <cell r="E5" t="str">
            <v>服装-外套-冲锋衣</v>
          </cell>
          <cell r="F5" t="str">
            <v>一品多商</v>
          </cell>
          <cell r="G5" t="str">
            <v>品牌直发</v>
          </cell>
          <cell r="H5">
            <v>10531</v>
          </cell>
          <cell r="I5">
            <v>20</v>
          </cell>
          <cell r="J5">
            <v>1664</v>
          </cell>
          <cell r="K5">
            <v>314</v>
          </cell>
          <cell r="L5">
            <v>163</v>
          </cell>
          <cell r="M5">
            <v>20</v>
          </cell>
          <cell r="N5">
            <v>3383</v>
          </cell>
          <cell r="O5">
            <v>6</v>
          </cell>
          <cell r="P5">
            <v>4923</v>
          </cell>
          <cell r="Q5">
            <v>10</v>
          </cell>
          <cell r="R5" t="str">
            <v>608-699</v>
          </cell>
          <cell r="S5">
            <v>494</v>
          </cell>
          <cell r="T5">
            <v>518.13</v>
          </cell>
          <cell r="U5" t="str">
            <v>-</v>
          </cell>
          <cell r="V5">
            <v>526.55</v>
          </cell>
          <cell r="W5">
            <v>15</v>
          </cell>
          <cell r="X5" t="str">
            <v>-</v>
          </cell>
        </row>
        <row r="6">
          <cell r="C6">
            <v>12340106</v>
          </cell>
          <cell r="D6" t="str">
            <v>伯希和/PELLIOT</v>
          </cell>
          <cell r="E6" t="str">
            <v>女装-外套-冲锋衣</v>
          </cell>
          <cell r="F6" t="str">
            <v>一品多商</v>
          </cell>
          <cell r="G6" t="str">
            <v>品牌直发</v>
          </cell>
          <cell r="H6">
            <v>7798</v>
          </cell>
          <cell r="I6">
            <v>19</v>
          </cell>
          <cell r="J6">
            <v>1452</v>
          </cell>
          <cell r="K6">
            <v>396</v>
          </cell>
          <cell r="L6">
            <v>117</v>
          </cell>
          <cell r="M6">
            <v>19</v>
          </cell>
          <cell r="N6">
            <v>911</v>
          </cell>
          <cell r="O6">
            <v>3</v>
          </cell>
          <cell r="P6">
            <v>1275</v>
          </cell>
          <cell r="Q6">
            <v>3</v>
          </cell>
          <cell r="R6" t="str">
            <v>404-428</v>
          </cell>
          <cell r="S6">
            <v>365</v>
          </cell>
          <cell r="T6">
            <v>339.28</v>
          </cell>
          <cell r="U6" t="str">
            <v>-</v>
          </cell>
          <cell r="V6">
            <v>410.42</v>
          </cell>
          <cell r="W6">
            <v>18</v>
          </cell>
          <cell r="X6" t="str">
            <v>-</v>
          </cell>
        </row>
        <row r="7">
          <cell r="C7">
            <v>11410201</v>
          </cell>
          <cell r="D7" t="str">
            <v>伯希和/PELLIOT</v>
          </cell>
          <cell r="E7" t="str">
            <v>服装-长裤-冲锋裤</v>
          </cell>
          <cell r="F7" t="str">
            <v>一品多商</v>
          </cell>
          <cell r="G7" t="str">
            <v>品牌直发</v>
          </cell>
          <cell r="H7">
            <v>6314.9</v>
          </cell>
          <cell r="I7">
            <v>17</v>
          </cell>
          <cell r="J7">
            <v>1495</v>
          </cell>
          <cell r="K7">
            <v>373</v>
          </cell>
          <cell r="L7">
            <v>98</v>
          </cell>
          <cell r="M7">
            <v>17</v>
          </cell>
          <cell r="N7">
            <v>0</v>
          </cell>
          <cell r="O7">
            <v>0</v>
          </cell>
          <cell r="P7">
            <v>1164</v>
          </cell>
          <cell r="Q7">
            <v>3</v>
          </cell>
          <cell r="R7" t="str">
            <v>437-482</v>
          </cell>
          <cell r="S7">
            <v>389</v>
          </cell>
          <cell r="T7">
            <v>371.71</v>
          </cell>
          <cell r="U7" t="str">
            <v>-</v>
          </cell>
          <cell r="V7">
            <v>371.46</v>
          </cell>
          <cell r="W7">
            <v>17</v>
          </cell>
          <cell r="X7" t="str">
            <v>-</v>
          </cell>
        </row>
        <row r="8">
          <cell r="C8">
            <v>115214024</v>
          </cell>
          <cell r="D8" t="str">
            <v>伯希和/PELLIOT</v>
          </cell>
          <cell r="E8" t="str">
            <v>服装-户外运动服-速干裤</v>
          </cell>
          <cell r="F8" t="str">
            <v>一品多商</v>
          </cell>
          <cell r="G8" t="str">
            <v>品牌直发</v>
          </cell>
          <cell r="H8">
            <v>3291.64</v>
          </cell>
          <cell r="I8">
            <v>17</v>
          </cell>
          <cell r="J8">
            <v>1231</v>
          </cell>
          <cell r="K8">
            <v>440</v>
          </cell>
          <cell r="L8">
            <v>35</v>
          </cell>
          <cell r="M8">
            <v>17</v>
          </cell>
          <cell r="N8">
            <v>0</v>
          </cell>
          <cell r="O8">
            <v>0</v>
          </cell>
          <cell r="P8">
            <v>1440</v>
          </cell>
          <cell r="Q8">
            <v>7</v>
          </cell>
          <cell r="R8" t="str">
            <v>196-198</v>
          </cell>
          <cell r="S8">
            <v>174</v>
          </cell>
          <cell r="T8">
            <v>161.32</v>
          </cell>
          <cell r="U8" t="str">
            <v>-</v>
          </cell>
          <cell r="V8">
            <v>193.63</v>
          </cell>
          <cell r="W8">
            <v>16</v>
          </cell>
          <cell r="X8" t="str">
            <v>-</v>
          </cell>
        </row>
        <row r="9">
          <cell r="C9">
            <v>11421201</v>
          </cell>
          <cell r="D9" t="str">
            <v>伯希和/PELLIOT</v>
          </cell>
          <cell r="E9" t="str">
            <v>服装-外套-防晒服</v>
          </cell>
          <cell r="F9" t="str">
            <v>一品多商</v>
          </cell>
          <cell r="G9" t="str">
            <v>品牌直发</v>
          </cell>
          <cell r="H9">
            <v>2116</v>
          </cell>
          <cell r="I9">
            <v>12</v>
          </cell>
          <cell r="J9">
            <v>1324</v>
          </cell>
          <cell r="K9">
            <v>355</v>
          </cell>
          <cell r="L9">
            <v>51</v>
          </cell>
          <cell r="M9">
            <v>12</v>
          </cell>
          <cell r="N9">
            <v>388</v>
          </cell>
          <cell r="O9">
            <v>2</v>
          </cell>
          <cell r="P9">
            <v>761</v>
          </cell>
          <cell r="Q9">
            <v>4</v>
          </cell>
          <cell r="R9" t="str">
            <v>259-259</v>
          </cell>
          <cell r="S9">
            <v>209</v>
          </cell>
          <cell r="T9">
            <v>217.3</v>
          </cell>
          <cell r="U9" t="str">
            <v>-</v>
          </cell>
          <cell r="V9">
            <v>176.33</v>
          </cell>
          <cell r="W9">
            <v>12</v>
          </cell>
          <cell r="X9" t="str">
            <v>-</v>
          </cell>
        </row>
        <row r="10">
          <cell r="C10">
            <v>115119035</v>
          </cell>
          <cell r="D10" t="str">
            <v>伯希和/PELLIOT</v>
          </cell>
          <cell r="E10" t="str">
            <v>鞋-运动鞋-登山鞋/徒步鞋</v>
          </cell>
          <cell r="F10" t="str">
            <v>一品多商</v>
          </cell>
          <cell r="G10" t="str">
            <v>品牌直发</v>
          </cell>
          <cell r="H10">
            <v>4488</v>
          </cell>
          <cell r="I10">
            <v>12</v>
          </cell>
          <cell r="J10">
            <v>2109</v>
          </cell>
          <cell r="K10">
            <v>224</v>
          </cell>
          <cell r="L10">
            <v>131</v>
          </cell>
          <cell r="M10">
            <v>12</v>
          </cell>
          <cell r="N10">
            <v>0</v>
          </cell>
          <cell r="O10">
            <v>0</v>
          </cell>
          <cell r="P10">
            <v>1617</v>
          </cell>
          <cell r="Q10">
            <v>4</v>
          </cell>
          <cell r="R10" t="str">
            <v>499-499</v>
          </cell>
          <cell r="S10">
            <v>399</v>
          </cell>
          <cell r="T10">
            <v>424.03</v>
          </cell>
          <cell r="U10" t="str">
            <v>-</v>
          </cell>
          <cell r="V10">
            <v>374</v>
          </cell>
          <cell r="W10">
            <v>12</v>
          </cell>
          <cell r="X10" t="str">
            <v>-</v>
          </cell>
        </row>
        <row r="11">
          <cell r="C11">
            <v>11421533</v>
          </cell>
          <cell r="D11" t="str">
            <v>伯希和/PELLIOT</v>
          </cell>
          <cell r="E11" t="str">
            <v>服装-上衣-Polo衫</v>
          </cell>
          <cell r="F11" t="str">
            <v>一品多商</v>
          </cell>
          <cell r="G11" t="str">
            <v>品牌直发</v>
          </cell>
          <cell r="H11">
            <v>1764</v>
          </cell>
          <cell r="I11">
            <v>9</v>
          </cell>
          <cell r="J11">
            <v>2235</v>
          </cell>
          <cell r="K11">
            <v>160</v>
          </cell>
          <cell r="L11">
            <v>217</v>
          </cell>
          <cell r="M11">
            <v>9</v>
          </cell>
          <cell r="N11">
            <v>429</v>
          </cell>
          <cell r="O11">
            <v>2</v>
          </cell>
          <cell r="P11">
            <v>214</v>
          </cell>
          <cell r="Q11">
            <v>1</v>
          </cell>
          <cell r="R11" t="str">
            <v>232-249</v>
          </cell>
          <cell r="S11">
            <v>201</v>
          </cell>
          <cell r="T11">
            <v>192.97</v>
          </cell>
          <cell r="U11" t="str">
            <v>-</v>
          </cell>
          <cell r="V11">
            <v>196</v>
          </cell>
          <cell r="W11">
            <v>7</v>
          </cell>
          <cell r="X11" t="str">
            <v>-</v>
          </cell>
        </row>
        <row r="12">
          <cell r="C12" t="str">
            <v>12421220-新加色</v>
          </cell>
          <cell r="D12" t="str">
            <v>伯希和/PELLIOT</v>
          </cell>
          <cell r="E12" t="str">
            <v>服装-外套-防晒服</v>
          </cell>
          <cell r="F12" t="str">
            <v>一品多商</v>
          </cell>
          <cell r="G12" t="str">
            <v>品牌直发</v>
          </cell>
          <cell r="H12">
            <v>1977</v>
          </cell>
          <cell r="I12">
            <v>8</v>
          </cell>
          <cell r="J12">
            <v>748</v>
          </cell>
          <cell r="K12">
            <v>478</v>
          </cell>
          <cell r="L12">
            <v>24</v>
          </cell>
          <cell r="M12">
            <v>8</v>
          </cell>
          <cell r="N12">
            <v>505</v>
          </cell>
          <cell r="O12">
            <v>2</v>
          </cell>
          <cell r="P12">
            <v>284</v>
          </cell>
          <cell r="Q12">
            <v>1</v>
          </cell>
          <cell r="R12" t="str">
            <v>274-299</v>
          </cell>
          <cell r="S12">
            <v>257</v>
          </cell>
          <cell r="T12">
            <v>230.32</v>
          </cell>
          <cell r="U12" t="str">
            <v>-</v>
          </cell>
          <cell r="V12">
            <v>247.12</v>
          </cell>
          <cell r="W12">
            <v>7</v>
          </cell>
          <cell r="X12" t="str">
            <v>-</v>
          </cell>
        </row>
        <row r="13">
          <cell r="C13">
            <v>115119025</v>
          </cell>
          <cell r="D13" t="str">
            <v>伯希和/PELLIOT</v>
          </cell>
          <cell r="E13" t="str">
            <v>鞋-运动鞋-越野跑鞋</v>
          </cell>
          <cell r="F13" t="str">
            <v>一品多商</v>
          </cell>
          <cell r="G13" t="str">
            <v>品牌直发</v>
          </cell>
          <cell r="H13">
            <v>2255</v>
          </cell>
          <cell r="I13">
            <v>8</v>
          </cell>
          <cell r="J13">
            <v>1248</v>
          </cell>
          <cell r="K13">
            <v>265</v>
          </cell>
          <cell r="L13">
            <v>51</v>
          </cell>
          <cell r="M13">
            <v>8</v>
          </cell>
          <cell r="N13">
            <v>586</v>
          </cell>
          <cell r="O13">
            <v>2</v>
          </cell>
          <cell r="P13">
            <v>278</v>
          </cell>
          <cell r="Q13">
            <v>1</v>
          </cell>
          <cell r="R13" t="str">
            <v>354-399</v>
          </cell>
          <cell r="S13">
            <v>322</v>
          </cell>
          <cell r="T13">
            <v>297.37</v>
          </cell>
          <cell r="U13" t="str">
            <v>-</v>
          </cell>
          <cell r="V13">
            <v>281.88</v>
          </cell>
          <cell r="W13">
            <v>6</v>
          </cell>
          <cell r="X13" t="str">
            <v>-</v>
          </cell>
        </row>
        <row r="14">
          <cell r="C14">
            <v>12421228</v>
          </cell>
          <cell r="D14" t="str">
            <v>伯希和/PELLIOT</v>
          </cell>
          <cell r="E14" t="str">
            <v>女装-外套-防晒服</v>
          </cell>
          <cell r="F14" t="str">
            <v>一品多商</v>
          </cell>
          <cell r="G14" t="str">
            <v>品牌直发</v>
          </cell>
          <cell r="H14">
            <v>581</v>
          </cell>
          <cell r="I14">
            <v>7</v>
          </cell>
          <cell r="J14">
            <v>474</v>
          </cell>
          <cell r="K14">
            <v>699</v>
          </cell>
          <cell r="L14">
            <v>14</v>
          </cell>
          <cell r="M14">
            <v>7</v>
          </cell>
          <cell r="N14">
            <v>297</v>
          </cell>
          <cell r="O14">
            <v>3</v>
          </cell>
          <cell r="P14">
            <v>198</v>
          </cell>
          <cell r="Q14">
            <v>2</v>
          </cell>
          <cell r="R14" t="str">
            <v>107-179</v>
          </cell>
          <cell r="S14">
            <v>107</v>
          </cell>
          <cell r="T14">
            <v>84.89</v>
          </cell>
          <cell r="U14" t="str">
            <v>-</v>
          </cell>
          <cell r="V14">
            <v>83</v>
          </cell>
          <cell r="W14">
            <v>6</v>
          </cell>
          <cell r="X14" t="str">
            <v>-</v>
          </cell>
        </row>
        <row r="15">
          <cell r="C15">
            <v>12421252</v>
          </cell>
          <cell r="D15" t="str">
            <v>伯希和/PELLIOT</v>
          </cell>
          <cell r="E15" t="str">
            <v>女装-外套-防晒服</v>
          </cell>
          <cell r="F15" t="str">
            <v>一品多商</v>
          </cell>
          <cell r="G15" t="str">
            <v>品牌直发</v>
          </cell>
          <cell r="H15">
            <v>623</v>
          </cell>
          <cell r="I15">
            <v>6</v>
          </cell>
          <cell r="J15">
            <v>548</v>
          </cell>
          <cell r="K15">
            <v>604</v>
          </cell>
          <cell r="L15">
            <v>15</v>
          </cell>
          <cell r="M15">
            <v>6</v>
          </cell>
          <cell r="N15">
            <v>89</v>
          </cell>
          <cell r="O15">
            <v>1</v>
          </cell>
          <cell r="P15">
            <v>119</v>
          </cell>
          <cell r="Q15">
            <v>1</v>
          </cell>
          <cell r="R15" t="str">
            <v>119-119</v>
          </cell>
          <cell r="S15">
            <v>93</v>
          </cell>
          <cell r="T15">
            <v>95.3</v>
          </cell>
          <cell r="U15" t="str">
            <v>-</v>
          </cell>
          <cell r="V15">
            <v>103.83</v>
          </cell>
          <cell r="W15">
            <v>6</v>
          </cell>
          <cell r="X15" t="str">
            <v>-</v>
          </cell>
        </row>
        <row r="16">
          <cell r="C16">
            <v>11421425</v>
          </cell>
          <cell r="D16" t="str">
            <v>伯希和/PELLIOT</v>
          </cell>
          <cell r="E16" t="str">
            <v>服装-长裤-针织运动裤</v>
          </cell>
          <cell r="F16" t="str">
            <v>一品多商</v>
          </cell>
          <cell r="G16" t="str">
            <v>品牌直发</v>
          </cell>
          <cell r="H16">
            <v>746</v>
          </cell>
          <cell r="I16">
            <v>5</v>
          </cell>
          <cell r="J16">
            <v>449</v>
          </cell>
          <cell r="K16">
            <v>674</v>
          </cell>
          <cell r="L16">
            <v>4</v>
          </cell>
          <cell r="M16">
            <v>5</v>
          </cell>
          <cell r="N16">
            <v>160</v>
          </cell>
          <cell r="O16">
            <v>1</v>
          </cell>
          <cell r="P16">
            <v>160</v>
          </cell>
          <cell r="Q16">
            <v>1</v>
          </cell>
          <cell r="R16" t="str">
            <v>135-135</v>
          </cell>
          <cell r="S16">
            <v>108</v>
          </cell>
          <cell r="T16">
            <v>110.07</v>
          </cell>
          <cell r="U16" t="str">
            <v>-</v>
          </cell>
          <cell r="V16">
            <v>149.2</v>
          </cell>
          <cell r="W16">
            <v>5</v>
          </cell>
          <cell r="X16" t="str">
            <v>-</v>
          </cell>
        </row>
        <row r="17">
          <cell r="C17">
            <v>12321218</v>
          </cell>
          <cell r="D17" t="str">
            <v>伯希和/PELLIOT</v>
          </cell>
          <cell r="E17" t="str">
            <v>女装-外套-防晒服</v>
          </cell>
          <cell r="F17" t="str">
            <v>一品多商</v>
          </cell>
          <cell r="G17" t="str">
            <v>品牌直发</v>
          </cell>
          <cell r="H17">
            <v>343</v>
          </cell>
          <cell r="I17">
            <v>4</v>
          </cell>
          <cell r="J17">
            <v>1460</v>
          </cell>
          <cell r="K17">
            <v>184</v>
          </cell>
          <cell r="L17">
            <v>60</v>
          </cell>
          <cell r="M17">
            <v>4</v>
          </cell>
          <cell r="N17">
            <v>105</v>
          </cell>
          <cell r="O17">
            <v>2</v>
          </cell>
          <cell r="P17">
            <v>0</v>
          </cell>
          <cell r="Q17">
            <v>0</v>
          </cell>
          <cell r="R17" t="str">
            <v>-</v>
          </cell>
          <cell r="S17">
            <v>95</v>
          </cell>
          <cell r="T17" t="str">
            <v>-</v>
          </cell>
          <cell r="U17" t="str">
            <v>-</v>
          </cell>
          <cell r="V17">
            <v>85.75</v>
          </cell>
          <cell r="W17">
            <v>4</v>
          </cell>
          <cell r="X17" t="str">
            <v>-</v>
          </cell>
        </row>
        <row r="18">
          <cell r="C18">
            <v>115212003</v>
          </cell>
          <cell r="D18" t="str">
            <v>伯希和/PELLIOT</v>
          </cell>
          <cell r="E18" t="str">
            <v>服装-外套-防晒服</v>
          </cell>
          <cell r="F18" t="str">
            <v>一品多商</v>
          </cell>
          <cell r="G18" t="str">
            <v>品牌直发</v>
          </cell>
          <cell r="H18">
            <v>606</v>
          </cell>
          <cell r="I18">
            <v>3</v>
          </cell>
          <cell r="J18">
            <v>917</v>
          </cell>
          <cell r="K18">
            <v>255</v>
          </cell>
          <cell r="L18">
            <v>36</v>
          </cell>
          <cell r="M18">
            <v>3</v>
          </cell>
          <cell r="N18">
            <v>440</v>
          </cell>
          <cell r="O18">
            <v>2</v>
          </cell>
          <cell r="P18">
            <v>220</v>
          </cell>
          <cell r="Q18">
            <v>1</v>
          </cell>
          <cell r="R18" t="str">
            <v>246-269</v>
          </cell>
          <cell r="S18">
            <v>246</v>
          </cell>
          <cell r="T18">
            <v>206.02</v>
          </cell>
          <cell r="U18" t="str">
            <v>-</v>
          </cell>
          <cell r="V18">
            <v>202</v>
          </cell>
          <cell r="W18">
            <v>3</v>
          </cell>
          <cell r="X18" t="str">
            <v>-</v>
          </cell>
        </row>
        <row r="19">
          <cell r="C19">
            <v>115215025</v>
          </cell>
          <cell r="D19" t="str">
            <v>伯希和/PELLIOT</v>
          </cell>
          <cell r="E19" t="str">
            <v>服装-户外运动服-速干T恤</v>
          </cell>
          <cell r="F19" t="str">
            <v>一品多商</v>
          </cell>
          <cell r="G19" t="str">
            <v>品牌直发</v>
          </cell>
          <cell r="H19">
            <v>514</v>
          </cell>
          <cell r="I19">
            <v>2</v>
          </cell>
          <cell r="J19">
            <v>1454</v>
          </cell>
          <cell r="K19">
            <v>90</v>
          </cell>
          <cell r="L19">
            <v>74</v>
          </cell>
          <cell r="M19">
            <v>2</v>
          </cell>
          <cell r="N19">
            <v>0</v>
          </cell>
          <cell r="O19">
            <v>0</v>
          </cell>
          <cell r="P19">
            <v>0</v>
          </cell>
          <cell r="Q19">
            <v>0</v>
          </cell>
          <cell r="R19" t="str">
            <v>239-239</v>
          </cell>
          <cell r="S19">
            <v>209</v>
          </cell>
          <cell r="T19">
            <v>198.74</v>
          </cell>
          <cell r="U19" t="str">
            <v>-</v>
          </cell>
          <cell r="V19">
            <v>257</v>
          </cell>
          <cell r="W19">
            <v>1</v>
          </cell>
          <cell r="X19" t="str">
            <v>-</v>
          </cell>
        </row>
        <row r="20">
          <cell r="C20">
            <v>115107003</v>
          </cell>
          <cell r="D20" t="str">
            <v>伯希和/PELLIOT</v>
          </cell>
          <cell r="E20" t="str">
            <v>服装-长裤-软壳裤</v>
          </cell>
          <cell r="F20" t="str">
            <v>一品多商</v>
          </cell>
          <cell r="G20" t="str">
            <v>品牌直发</v>
          </cell>
          <cell r="H20">
            <v>974</v>
          </cell>
          <cell r="I20">
            <v>2</v>
          </cell>
          <cell r="J20">
            <v>711</v>
          </cell>
          <cell r="K20">
            <v>268</v>
          </cell>
          <cell r="L20">
            <v>24</v>
          </cell>
          <cell r="M20">
            <v>2</v>
          </cell>
          <cell r="N20">
            <v>0</v>
          </cell>
          <cell r="O20">
            <v>0</v>
          </cell>
          <cell r="P20">
            <v>1010</v>
          </cell>
          <cell r="Q20">
            <v>2</v>
          </cell>
          <cell r="R20" t="str">
            <v>550-550</v>
          </cell>
          <cell r="S20">
            <v>429</v>
          </cell>
          <cell r="T20">
            <v>467.49</v>
          </cell>
          <cell r="U20" t="str">
            <v>-</v>
          </cell>
          <cell r="V20">
            <v>487</v>
          </cell>
          <cell r="W20">
            <v>2</v>
          </cell>
          <cell r="X20" t="str">
            <v>-</v>
          </cell>
        </row>
        <row r="21">
          <cell r="C21">
            <v>105212020</v>
          </cell>
          <cell r="D21" t="str">
            <v>伯希和/PELLIOT</v>
          </cell>
          <cell r="E21" t="str">
            <v>服装-外套-防晒服</v>
          </cell>
          <cell r="F21" t="str">
            <v>一品多商</v>
          </cell>
          <cell r="G21" t="str">
            <v>品牌直发</v>
          </cell>
          <cell r="H21">
            <v>506</v>
          </cell>
          <cell r="I21">
            <v>2</v>
          </cell>
          <cell r="J21">
            <v>1575</v>
          </cell>
          <cell r="K21">
            <v>122</v>
          </cell>
          <cell r="L21">
            <v>74</v>
          </cell>
          <cell r="M21">
            <v>2</v>
          </cell>
          <cell r="N21">
            <v>0</v>
          </cell>
          <cell r="O21">
            <v>0</v>
          </cell>
          <cell r="P21">
            <v>258</v>
          </cell>
          <cell r="Q21">
            <v>1</v>
          </cell>
          <cell r="R21" t="str">
            <v>235-235</v>
          </cell>
          <cell r="S21">
            <v>222</v>
          </cell>
          <cell r="T21">
            <v>196.47</v>
          </cell>
          <cell r="U21" t="str">
            <v>-</v>
          </cell>
          <cell r="V21">
            <v>253</v>
          </cell>
          <cell r="W21">
            <v>2</v>
          </cell>
          <cell r="X21" t="str">
            <v>-</v>
          </cell>
        </row>
        <row r="22">
          <cell r="C22">
            <v>124301030</v>
          </cell>
          <cell r="D22" t="str">
            <v>伯希和/PELLIOT</v>
          </cell>
          <cell r="E22" t="str">
            <v>女装-外套-冲锋衣</v>
          </cell>
          <cell r="F22" t="str">
            <v>一品多商</v>
          </cell>
          <cell r="G22" t="str">
            <v>品牌直发</v>
          </cell>
          <cell r="H22">
            <v>1037</v>
          </cell>
          <cell r="I22">
            <v>2</v>
          </cell>
          <cell r="J22">
            <v>522</v>
          </cell>
          <cell r="K22">
            <v>368</v>
          </cell>
          <cell r="L22">
            <v>14</v>
          </cell>
          <cell r="M22">
            <v>2</v>
          </cell>
          <cell r="N22">
            <v>541</v>
          </cell>
          <cell r="O22">
            <v>1</v>
          </cell>
          <cell r="P22">
            <v>0</v>
          </cell>
          <cell r="Q22">
            <v>0</v>
          </cell>
          <cell r="R22" t="str">
            <v>479-479</v>
          </cell>
          <cell r="S22">
            <v>431</v>
          </cell>
          <cell r="T22">
            <v>404.38</v>
          </cell>
          <cell r="U22" t="str">
            <v>-</v>
          </cell>
          <cell r="V22">
            <v>518.5</v>
          </cell>
          <cell r="W22">
            <v>2</v>
          </cell>
          <cell r="X22" t="str">
            <v>-</v>
          </cell>
        </row>
        <row r="23">
          <cell r="C23">
            <v>114301029</v>
          </cell>
          <cell r="D23" t="str">
            <v>伯希和/PELLIOT</v>
          </cell>
          <cell r="E23" t="str">
            <v>服装-外套-冲锋衣</v>
          </cell>
          <cell r="F23" t="str">
            <v>一品多商</v>
          </cell>
          <cell r="G23" t="str">
            <v>品牌直发</v>
          </cell>
          <cell r="H23">
            <v>1027</v>
          </cell>
          <cell r="I23">
            <v>2</v>
          </cell>
          <cell r="J23">
            <v>484</v>
          </cell>
          <cell r="K23">
            <v>396</v>
          </cell>
          <cell r="L23">
            <v>19</v>
          </cell>
          <cell r="M23">
            <v>2</v>
          </cell>
          <cell r="N23">
            <v>0</v>
          </cell>
          <cell r="O23">
            <v>0</v>
          </cell>
          <cell r="P23">
            <v>541</v>
          </cell>
          <cell r="Q23">
            <v>1</v>
          </cell>
          <cell r="R23" t="str">
            <v>451-499</v>
          </cell>
          <cell r="S23">
            <v>412</v>
          </cell>
          <cell r="T23">
            <v>381.86</v>
          </cell>
          <cell r="U23" t="str">
            <v>-</v>
          </cell>
          <cell r="V23">
            <v>513.5</v>
          </cell>
          <cell r="W23">
            <v>2</v>
          </cell>
          <cell r="X23" t="str">
            <v>-</v>
          </cell>
        </row>
        <row r="24">
          <cell r="C24">
            <v>11421415</v>
          </cell>
          <cell r="D24" t="str">
            <v>伯希和/PELLIOT</v>
          </cell>
          <cell r="E24" t="str">
            <v>服装-户外运动服-速干裤</v>
          </cell>
          <cell r="F24" t="str">
            <v>一品多商</v>
          </cell>
          <cell r="G24" t="str">
            <v>品牌直发</v>
          </cell>
          <cell r="H24">
            <v>228.6</v>
          </cell>
          <cell r="I24">
            <v>1</v>
          </cell>
          <cell r="J24">
            <v>1690</v>
          </cell>
          <cell r="K24">
            <v>82</v>
          </cell>
          <cell r="L24">
            <v>111</v>
          </cell>
          <cell r="M24">
            <v>1</v>
          </cell>
          <cell r="N24">
            <v>717</v>
          </cell>
          <cell r="O24">
            <v>3</v>
          </cell>
          <cell r="P24">
            <v>246.6</v>
          </cell>
          <cell r="Q24">
            <v>1</v>
          </cell>
          <cell r="R24" t="str">
            <v>214-214</v>
          </cell>
          <cell r="S24">
            <v>201</v>
          </cell>
          <cell r="T24">
            <v>176.94</v>
          </cell>
          <cell r="U24" t="str">
            <v>-</v>
          </cell>
          <cell r="V24">
            <v>228.6</v>
          </cell>
          <cell r="W24">
            <v>1</v>
          </cell>
          <cell r="X24" t="str">
            <v>-</v>
          </cell>
        </row>
        <row r="25">
          <cell r="C25" t="str">
            <v>112340164-271037</v>
          </cell>
          <cell r="D25" t="str">
            <v>伯希和/PELLIOT</v>
          </cell>
          <cell r="E25" t="str">
            <v>服装-外套-冲锋衣</v>
          </cell>
          <cell r="F25" t="str">
            <v>一品多商</v>
          </cell>
          <cell r="G25" t="str">
            <v>品牌直发</v>
          </cell>
          <cell r="H25">
            <v>643</v>
          </cell>
          <cell r="I25">
            <v>1</v>
          </cell>
          <cell r="J25">
            <v>559</v>
          </cell>
          <cell r="K25">
            <v>241</v>
          </cell>
          <cell r="L25">
            <v>16</v>
          </cell>
          <cell r="M25">
            <v>1</v>
          </cell>
          <cell r="N25">
            <v>0</v>
          </cell>
          <cell r="O25">
            <v>0</v>
          </cell>
          <cell r="P25">
            <v>0</v>
          </cell>
          <cell r="Q25">
            <v>0</v>
          </cell>
          <cell r="R25" t="str">
            <v>629-699</v>
          </cell>
          <cell r="S25">
            <v>629</v>
          </cell>
          <cell r="T25">
            <v>536.36</v>
          </cell>
          <cell r="U25" t="str">
            <v>-</v>
          </cell>
          <cell r="V25">
            <v>643</v>
          </cell>
          <cell r="W25">
            <v>1</v>
          </cell>
          <cell r="X25" t="str">
            <v>-</v>
          </cell>
        </row>
        <row r="26">
          <cell r="C26">
            <v>115214025</v>
          </cell>
          <cell r="D26" t="str">
            <v>伯希和/PELLIOT</v>
          </cell>
          <cell r="E26" t="str">
            <v>服装-户外运动服-速干裤</v>
          </cell>
          <cell r="F26" t="str">
            <v>一品多商</v>
          </cell>
          <cell r="G26" t="str">
            <v>品牌直发</v>
          </cell>
          <cell r="H26">
            <v>234</v>
          </cell>
          <cell r="I26">
            <v>1</v>
          </cell>
          <cell r="J26">
            <v>695</v>
          </cell>
          <cell r="K26">
            <v>195</v>
          </cell>
          <cell r="L26">
            <v>20</v>
          </cell>
          <cell r="M26">
            <v>1</v>
          </cell>
          <cell r="N26">
            <v>0</v>
          </cell>
          <cell r="O26">
            <v>0</v>
          </cell>
          <cell r="P26">
            <v>0</v>
          </cell>
          <cell r="Q26">
            <v>0</v>
          </cell>
          <cell r="R26" t="str">
            <v>287-299</v>
          </cell>
          <cell r="S26">
            <v>259</v>
          </cell>
          <cell r="T26">
            <v>240.31</v>
          </cell>
          <cell r="U26" t="str">
            <v>-</v>
          </cell>
          <cell r="V26">
            <v>234</v>
          </cell>
          <cell r="W26">
            <v>1</v>
          </cell>
          <cell r="X26" t="str">
            <v>-</v>
          </cell>
        </row>
        <row r="27">
          <cell r="C27">
            <v>112240128</v>
          </cell>
          <cell r="D27" t="str">
            <v>伯希和/PELLIOT</v>
          </cell>
          <cell r="E27" t="str">
            <v>服装-外套-冲锋衣</v>
          </cell>
          <cell r="F27" t="str">
            <v>一品多商</v>
          </cell>
          <cell r="G27" t="str">
            <v>品牌直发</v>
          </cell>
          <cell r="H27">
            <v>928</v>
          </cell>
          <cell r="I27">
            <v>1</v>
          </cell>
          <cell r="J27">
            <v>543</v>
          </cell>
          <cell r="K27">
            <v>250</v>
          </cell>
          <cell r="L27">
            <v>8</v>
          </cell>
          <cell r="M27">
            <v>1</v>
          </cell>
          <cell r="N27">
            <v>0</v>
          </cell>
          <cell r="O27">
            <v>0</v>
          </cell>
          <cell r="P27">
            <v>949</v>
          </cell>
          <cell r="Q27">
            <v>1</v>
          </cell>
          <cell r="R27" t="str">
            <v>900-959</v>
          </cell>
          <cell r="S27">
            <v>581</v>
          </cell>
          <cell r="T27">
            <v>771.59</v>
          </cell>
          <cell r="U27" t="str">
            <v>-</v>
          </cell>
          <cell r="V27">
            <v>928</v>
          </cell>
          <cell r="W27">
            <v>1</v>
          </cell>
          <cell r="X27" t="str">
            <v>-</v>
          </cell>
        </row>
        <row r="28">
          <cell r="C28" t="str">
            <v>124101048-新加色</v>
          </cell>
          <cell r="D28" t="str">
            <v>伯希和/PELLIOT</v>
          </cell>
          <cell r="E28" t="str">
            <v>服装-外套-冲锋衣</v>
          </cell>
          <cell r="F28" t="str">
            <v>一品多商</v>
          </cell>
          <cell r="G28" t="str">
            <v>品牌直发</v>
          </cell>
          <cell r="H28">
            <v>627</v>
          </cell>
          <cell r="I28">
            <v>1</v>
          </cell>
          <cell r="J28">
            <v>1335</v>
          </cell>
          <cell r="K28">
            <v>104</v>
          </cell>
          <cell r="L28">
            <v>74</v>
          </cell>
          <cell r="M28">
            <v>1</v>
          </cell>
          <cell r="N28">
            <v>0</v>
          </cell>
          <cell r="O28">
            <v>0</v>
          </cell>
          <cell r="P28">
            <v>0</v>
          </cell>
          <cell r="Q28">
            <v>0</v>
          </cell>
          <cell r="R28" t="str">
            <v>640-690</v>
          </cell>
          <cell r="S28">
            <v>546</v>
          </cell>
          <cell r="T28">
            <v>545.91</v>
          </cell>
          <cell r="U28" t="str">
            <v>-</v>
          </cell>
          <cell r="V28">
            <v>627</v>
          </cell>
          <cell r="W28">
            <v>1</v>
          </cell>
          <cell r="X28" t="str">
            <v>-</v>
          </cell>
        </row>
        <row r="29">
          <cell r="C29" t="str">
            <v>11340105-新加色</v>
          </cell>
          <cell r="D29" t="str">
            <v>伯希和/PELLIOT</v>
          </cell>
          <cell r="E29" t="str">
            <v>服装-外套-冲锋衣</v>
          </cell>
          <cell r="F29" t="str">
            <v>一品多商</v>
          </cell>
          <cell r="G29" t="str">
            <v>品牌直发</v>
          </cell>
          <cell r="H29">
            <v>478</v>
          </cell>
          <cell r="I29">
            <v>1</v>
          </cell>
          <cell r="J29">
            <v>1210</v>
          </cell>
          <cell r="K29">
            <v>110</v>
          </cell>
          <cell r="L29">
            <v>72</v>
          </cell>
          <cell r="M29">
            <v>1</v>
          </cell>
          <cell r="N29">
            <v>2270</v>
          </cell>
          <cell r="O29">
            <v>5</v>
          </cell>
          <cell r="P29">
            <v>499</v>
          </cell>
          <cell r="Q29">
            <v>1</v>
          </cell>
          <cell r="R29" t="str">
            <v>440-499</v>
          </cell>
          <cell r="S29">
            <v>401</v>
          </cell>
          <cell r="T29">
            <v>372.31</v>
          </cell>
          <cell r="U29" t="str">
            <v>-</v>
          </cell>
          <cell r="V29">
            <v>478</v>
          </cell>
          <cell r="W29">
            <v>1</v>
          </cell>
          <cell r="X29" t="str">
            <v>-</v>
          </cell>
        </row>
        <row r="30">
          <cell r="C30">
            <v>114301001</v>
          </cell>
          <cell r="D30" t="str">
            <v>伯希和/PELLIOT</v>
          </cell>
          <cell r="E30" t="str">
            <v>服装-外套-冲锋衣</v>
          </cell>
          <cell r="F30" t="str">
            <v>一品多商</v>
          </cell>
          <cell r="G30" t="str">
            <v>品牌直发</v>
          </cell>
          <cell r="H30">
            <v>506</v>
          </cell>
          <cell r="I30">
            <v>1</v>
          </cell>
          <cell r="J30">
            <v>440</v>
          </cell>
          <cell r="K30">
            <v>308</v>
          </cell>
          <cell r="L30">
            <v>6</v>
          </cell>
          <cell r="M30">
            <v>1</v>
          </cell>
          <cell r="N30">
            <v>0</v>
          </cell>
          <cell r="O30">
            <v>0</v>
          </cell>
          <cell r="P30">
            <v>0</v>
          </cell>
          <cell r="Q30">
            <v>0</v>
          </cell>
          <cell r="R30" t="str">
            <v>448-448</v>
          </cell>
          <cell r="S30">
            <v>394</v>
          </cell>
          <cell r="T30">
            <v>379.25</v>
          </cell>
          <cell r="U30" t="str">
            <v>-</v>
          </cell>
          <cell r="V30">
            <v>506</v>
          </cell>
          <cell r="W30">
            <v>1</v>
          </cell>
          <cell r="X30" t="str">
            <v>-</v>
          </cell>
        </row>
        <row r="31">
          <cell r="C31">
            <v>11411909</v>
          </cell>
          <cell r="D31" t="str">
            <v>伯希和/PELLIOT</v>
          </cell>
          <cell r="E31" t="str">
            <v>鞋-运动鞋-登山鞋/徒步鞋</v>
          </cell>
          <cell r="F31" t="str">
            <v>一品多商</v>
          </cell>
          <cell r="G31" t="str">
            <v>品牌直发</v>
          </cell>
          <cell r="H31">
            <v>327</v>
          </cell>
          <cell r="I31">
            <v>1</v>
          </cell>
          <cell r="J31">
            <v>584</v>
          </cell>
          <cell r="K31">
            <v>233</v>
          </cell>
          <cell r="L31">
            <v>17</v>
          </cell>
          <cell r="M31">
            <v>1</v>
          </cell>
          <cell r="N31">
            <v>344</v>
          </cell>
          <cell r="O31">
            <v>1</v>
          </cell>
          <cell r="P31">
            <v>0</v>
          </cell>
          <cell r="Q31">
            <v>0</v>
          </cell>
          <cell r="R31" t="str">
            <v>369-369</v>
          </cell>
          <cell r="S31">
            <v>258</v>
          </cell>
          <cell r="T31">
            <v>311.19</v>
          </cell>
          <cell r="U31" t="str">
            <v>-</v>
          </cell>
          <cell r="V31">
            <v>327</v>
          </cell>
          <cell r="W31">
            <v>1</v>
          </cell>
          <cell r="X31" t="str">
            <v>-</v>
          </cell>
        </row>
        <row r="32">
          <cell r="C32">
            <v>11421409</v>
          </cell>
          <cell r="D32" t="str">
            <v>伯希和/PELLIOT</v>
          </cell>
          <cell r="E32" t="str">
            <v>服装-户外运动服-速干裤</v>
          </cell>
          <cell r="F32" t="str">
            <v>一品多商</v>
          </cell>
          <cell r="G32" t="str">
            <v>品牌直发</v>
          </cell>
          <cell r="H32">
            <v>0</v>
          </cell>
          <cell r="I32">
            <v>0</v>
          </cell>
          <cell r="J32">
            <v>292</v>
          </cell>
          <cell r="K32">
            <v>0</v>
          </cell>
          <cell r="L32">
            <v>3</v>
          </cell>
          <cell r="M32">
            <v>0</v>
          </cell>
          <cell r="N32">
            <v>0</v>
          </cell>
          <cell r="O32">
            <v>0</v>
          </cell>
          <cell r="P32">
            <v>0</v>
          </cell>
          <cell r="Q32">
            <v>0</v>
          </cell>
          <cell r="R32" t="str">
            <v>-</v>
          </cell>
          <cell r="S32">
            <v>155</v>
          </cell>
          <cell r="T32" t="str">
            <v>-</v>
          </cell>
          <cell r="U32" t="str">
            <v>-</v>
          </cell>
          <cell r="V32">
            <v>0</v>
          </cell>
          <cell r="W32">
            <v>0</v>
          </cell>
          <cell r="X32" t="str">
            <v>-</v>
          </cell>
        </row>
        <row r="33">
          <cell r="C33">
            <v>12421250</v>
          </cell>
          <cell r="D33" t="str">
            <v>伯希和/PELLIOT</v>
          </cell>
          <cell r="E33" t="str">
            <v>女装-外套-防晒服</v>
          </cell>
          <cell r="F33" t="str">
            <v>一品多商</v>
          </cell>
          <cell r="G33" t="str">
            <v>品牌直发</v>
          </cell>
          <cell r="H33">
            <v>0</v>
          </cell>
          <cell r="I33">
            <v>0</v>
          </cell>
          <cell r="J33">
            <v>518</v>
          </cell>
          <cell r="K33">
            <v>0</v>
          </cell>
          <cell r="L33">
            <v>8</v>
          </cell>
          <cell r="M33">
            <v>0</v>
          </cell>
          <cell r="N33">
            <v>0</v>
          </cell>
          <cell r="O33">
            <v>0</v>
          </cell>
          <cell r="P33">
            <v>0</v>
          </cell>
          <cell r="Q33">
            <v>0</v>
          </cell>
          <cell r="R33" t="str">
            <v>259-259</v>
          </cell>
          <cell r="S33">
            <v>229</v>
          </cell>
          <cell r="T33">
            <v>216.82</v>
          </cell>
          <cell r="U33" t="str">
            <v>-</v>
          </cell>
          <cell r="V33">
            <v>0</v>
          </cell>
          <cell r="W33">
            <v>0</v>
          </cell>
          <cell r="X33" t="str">
            <v>-</v>
          </cell>
        </row>
        <row r="34">
          <cell r="C34">
            <v>12421534</v>
          </cell>
          <cell r="D34" t="str">
            <v>伯希和/PELLIOT</v>
          </cell>
          <cell r="E34" t="str">
            <v>女装-上衣-Polo衫</v>
          </cell>
          <cell r="F34" t="str">
            <v>一品多商</v>
          </cell>
          <cell r="G34" t="str">
            <v>品牌直发</v>
          </cell>
          <cell r="H34">
            <v>0</v>
          </cell>
          <cell r="I34">
            <v>0</v>
          </cell>
          <cell r="J34">
            <v>1276</v>
          </cell>
          <cell r="K34">
            <v>0</v>
          </cell>
          <cell r="L34">
            <v>29</v>
          </cell>
          <cell r="M34">
            <v>0</v>
          </cell>
          <cell r="N34">
            <v>0</v>
          </cell>
          <cell r="O34">
            <v>0</v>
          </cell>
          <cell r="P34">
            <v>0</v>
          </cell>
          <cell r="Q34">
            <v>0</v>
          </cell>
          <cell r="R34" t="str">
            <v>241-269</v>
          </cell>
          <cell r="S34">
            <v>229</v>
          </cell>
          <cell r="T34">
            <v>199.5</v>
          </cell>
          <cell r="U34" t="str">
            <v>-</v>
          </cell>
          <cell r="V34">
            <v>0</v>
          </cell>
          <cell r="W34">
            <v>0</v>
          </cell>
          <cell r="X34" t="str">
            <v>-</v>
          </cell>
        </row>
        <row r="35">
          <cell r="C35">
            <v>11421509</v>
          </cell>
          <cell r="D35" t="str">
            <v>伯希和/PELLIOT</v>
          </cell>
          <cell r="E35" t="str">
            <v>服装-上衣-T恤</v>
          </cell>
          <cell r="F35" t="str">
            <v>一品多商</v>
          </cell>
          <cell r="G35" t="str">
            <v>品牌直发</v>
          </cell>
          <cell r="H35">
            <v>0</v>
          </cell>
          <cell r="I35">
            <v>0</v>
          </cell>
          <cell r="J35">
            <v>1278</v>
          </cell>
          <cell r="K35">
            <v>0</v>
          </cell>
          <cell r="L35">
            <v>42</v>
          </cell>
          <cell r="M35">
            <v>0</v>
          </cell>
          <cell r="N35">
            <v>0</v>
          </cell>
          <cell r="O35">
            <v>0</v>
          </cell>
          <cell r="P35">
            <v>0</v>
          </cell>
          <cell r="Q35">
            <v>0</v>
          </cell>
          <cell r="R35" t="str">
            <v>125-139</v>
          </cell>
          <cell r="S35">
            <v>114</v>
          </cell>
          <cell r="T35">
            <v>101.29</v>
          </cell>
          <cell r="U35" t="str">
            <v>-</v>
          </cell>
          <cell r="V35">
            <v>0</v>
          </cell>
          <cell r="W35">
            <v>0</v>
          </cell>
          <cell r="X35" t="str">
            <v>-</v>
          </cell>
        </row>
        <row r="36">
          <cell r="C36">
            <v>12421254</v>
          </cell>
          <cell r="D36" t="str">
            <v>伯希和/PELLIOT</v>
          </cell>
          <cell r="E36" t="str">
            <v>女装-外套-防晒服</v>
          </cell>
          <cell r="F36" t="str">
            <v>一品多商</v>
          </cell>
          <cell r="G36" t="str">
            <v>品牌直发</v>
          </cell>
          <cell r="H36">
            <v>0</v>
          </cell>
          <cell r="I36">
            <v>0</v>
          </cell>
          <cell r="J36">
            <v>566</v>
          </cell>
          <cell r="K36">
            <v>0</v>
          </cell>
          <cell r="L36">
            <v>9</v>
          </cell>
          <cell r="M36">
            <v>0</v>
          </cell>
          <cell r="N36">
            <v>0</v>
          </cell>
          <cell r="O36">
            <v>0</v>
          </cell>
          <cell r="P36">
            <v>0</v>
          </cell>
          <cell r="Q36">
            <v>0</v>
          </cell>
          <cell r="R36" t="str">
            <v>241-249</v>
          </cell>
          <cell r="S36">
            <v>241</v>
          </cell>
          <cell r="T36">
            <v>201.2</v>
          </cell>
          <cell r="U36" t="str">
            <v>-</v>
          </cell>
          <cell r="V36">
            <v>0</v>
          </cell>
          <cell r="W36">
            <v>0</v>
          </cell>
          <cell r="X36" t="str">
            <v>-</v>
          </cell>
        </row>
        <row r="37">
          <cell r="C37" t="str">
            <v>12340164-新加色</v>
          </cell>
          <cell r="D37" t="str">
            <v>伯希和/PELLIOT</v>
          </cell>
          <cell r="E37" t="str">
            <v>服装-外套-冲锋衣</v>
          </cell>
          <cell r="F37" t="str">
            <v>一品多商</v>
          </cell>
          <cell r="G37" t="str">
            <v>品牌直发</v>
          </cell>
          <cell r="H37">
            <v>0</v>
          </cell>
          <cell r="I37">
            <v>0</v>
          </cell>
          <cell r="J37">
            <v>773</v>
          </cell>
          <cell r="K37">
            <v>0</v>
          </cell>
          <cell r="L37">
            <v>24</v>
          </cell>
          <cell r="M37">
            <v>0</v>
          </cell>
          <cell r="N37">
            <v>594</v>
          </cell>
          <cell r="O37">
            <v>1</v>
          </cell>
          <cell r="P37">
            <v>0</v>
          </cell>
          <cell r="Q37">
            <v>0</v>
          </cell>
          <cell r="R37" t="str">
            <v>656-699</v>
          </cell>
          <cell r="S37">
            <v>597</v>
          </cell>
          <cell r="T37">
            <v>559.8</v>
          </cell>
          <cell r="U37" t="str">
            <v>-</v>
          </cell>
          <cell r="V37">
            <v>0</v>
          </cell>
          <cell r="W37">
            <v>0</v>
          </cell>
          <cell r="X37" t="str">
            <v>-</v>
          </cell>
        </row>
        <row r="38">
          <cell r="C38">
            <v>12340806</v>
          </cell>
          <cell r="D38" t="str">
            <v>伯希和/PELLIOT</v>
          </cell>
          <cell r="E38" t="str">
            <v>女装-外套-羽绒服</v>
          </cell>
          <cell r="F38" t="str">
            <v>一品多商</v>
          </cell>
          <cell r="G38" t="str">
            <v>品牌直发</v>
          </cell>
          <cell r="H38">
            <v>0</v>
          </cell>
          <cell r="I38">
            <v>0</v>
          </cell>
          <cell r="J38">
            <v>2125</v>
          </cell>
          <cell r="K38">
            <v>0</v>
          </cell>
          <cell r="L38">
            <v>84</v>
          </cell>
          <cell r="M38">
            <v>0</v>
          </cell>
          <cell r="N38">
            <v>0</v>
          </cell>
          <cell r="O38">
            <v>0</v>
          </cell>
          <cell r="P38">
            <v>0</v>
          </cell>
          <cell r="Q38">
            <v>0</v>
          </cell>
          <cell r="R38" t="str">
            <v>1574-1790</v>
          </cell>
          <cell r="S38">
            <v>1398</v>
          </cell>
          <cell r="T38">
            <v>1354.74</v>
          </cell>
          <cell r="U38" t="str">
            <v>-</v>
          </cell>
          <cell r="V38">
            <v>0</v>
          </cell>
          <cell r="W38">
            <v>0</v>
          </cell>
          <cell r="X38" t="str">
            <v>-</v>
          </cell>
        </row>
        <row r="39">
          <cell r="C39">
            <v>12340822</v>
          </cell>
          <cell r="D39" t="str">
            <v>伯希和/PELLIOT</v>
          </cell>
          <cell r="E39" t="str">
            <v>女装-外套-羽绒服</v>
          </cell>
          <cell r="F39" t="str">
            <v>一品多商</v>
          </cell>
          <cell r="G39" t="str">
            <v>品牌直发</v>
          </cell>
          <cell r="H39">
            <v>0</v>
          </cell>
          <cell r="I39">
            <v>0</v>
          </cell>
          <cell r="J39">
            <v>1279</v>
          </cell>
          <cell r="K39">
            <v>0</v>
          </cell>
          <cell r="L39">
            <v>70</v>
          </cell>
          <cell r="M39">
            <v>0</v>
          </cell>
          <cell r="N39">
            <v>0</v>
          </cell>
          <cell r="O39">
            <v>0</v>
          </cell>
          <cell r="P39">
            <v>0</v>
          </cell>
          <cell r="Q39">
            <v>0</v>
          </cell>
          <cell r="R39" t="str">
            <v>650-650</v>
          </cell>
          <cell r="S39">
            <v>565</v>
          </cell>
          <cell r="T39">
            <v>552.71</v>
          </cell>
          <cell r="U39" t="str">
            <v>-</v>
          </cell>
          <cell r="V39">
            <v>0</v>
          </cell>
          <cell r="W39">
            <v>0</v>
          </cell>
          <cell r="X39" t="str">
            <v>-</v>
          </cell>
        </row>
        <row r="40">
          <cell r="C40">
            <v>114301085</v>
          </cell>
          <cell r="D40" t="str">
            <v>伯希和/PELLIOT</v>
          </cell>
          <cell r="E40" t="str">
            <v>服装-外套-冲锋衣</v>
          </cell>
          <cell r="F40" t="str">
            <v>一品多商</v>
          </cell>
          <cell r="G40" t="str">
            <v>品牌直发</v>
          </cell>
          <cell r="H40">
            <v>0</v>
          </cell>
          <cell r="I40">
            <v>0</v>
          </cell>
          <cell r="J40">
            <v>464</v>
          </cell>
          <cell r="K40">
            <v>0</v>
          </cell>
          <cell r="L40">
            <v>11</v>
          </cell>
          <cell r="M40">
            <v>0</v>
          </cell>
          <cell r="N40">
            <v>0</v>
          </cell>
          <cell r="O40">
            <v>0</v>
          </cell>
          <cell r="P40">
            <v>0</v>
          </cell>
          <cell r="Q40">
            <v>0</v>
          </cell>
          <cell r="R40" t="str">
            <v>1681-1700</v>
          </cell>
          <cell r="S40">
            <v>1057</v>
          </cell>
          <cell r="T40">
            <v>1449.5</v>
          </cell>
          <cell r="U40" t="str">
            <v>-</v>
          </cell>
          <cell r="V40">
            <v>0</v>
          </cell>
          <cell r="W40">
            <v>0</v>
          </cell>
          <cell r="X40" t="str">
            <v>-</v>
          </cell>
        </row>
        <row r="41">
          <cell r="C41">
            <v>12330602</v>
          </cell>
          <cell r="D41" t="str">
            <v>伯希和/PELLIOT</v>
          </cell>
          <cell r="E41" t="str">
            <v>女装-外套-软壳衣</v>
          </cell>
          <cell r="F41" t="str">
            <v>一品多商</v>
          </cell>
          <cell r="G41" t="str">
            <v>品牌直发</v>
          </cell>
          <cell r="H41">
            <v>0</v>
          </cell>
          <cell r="I41">
            <v>0</v>
          </cell>
          <cell r="J41">
            <v>410</v>
          </cell>
          <cell r="K41">
            <v>0</v>
          </cell>
          <cell r="L41">
            <v>2</v>
          </cell>
          <cell r="M41">
            <v>0</v>
          </cell>
          <cell r="N41">
            <v>0</v>
          </cell>
          <cell r="O41">
            <v>0</v>
          </cell>
          <cell r="P41">
            <v>0</v>
          </cell>
          <cell r="Q41">
            <v>0</v>
          </cell>
          <cell r="R41" t="str">
            <v>389-399</v>
          </cell>
          <cell r="S41">
            <v>296</v>
          </cell>
          <cell r="T41">
            <v>325.46</v>
          </cell>
          <cell r="U41" t="str">
            <v>-</v>
          </cell>
          <cell r="V41">
            <v>0</v>
          </cell>
          <cell r="W41">
            <v>0</v>
          </cell>
          <cell r="X41" t="str">
            <v>-</v>
          </cell>
        </row>
        <row r="42">
          <cell r="C42">
            <v>11340105</v>
          </cell>
          <cell r="D42" t="str">
            <v>伯希和/PELLIOT</v>
          </cell>
          <cell r="E42" t="str">
            <v>服装-外套-冲锋衣</v>
          </cell>
          <cell r="F42" t="str">
            <v>一品多商</v>
          </cell>
          <cell r="G42" t="str">
            <v>品牌直发</v>
          </cell>
          <cell r="H42">
            <v>0</v>
          </cell>
          <cell r="I42">
            <v>0</v>
          </cell>
          <cell r="J42">
            <v>1449</v>
          </cell>
          <cell r="K42">
            <v>0</v>
          </cell>
          <cell r="L42">
            <v>89</v>
          </cell>
          <cell r="M42">
            <v>0</v>
          </cell>
          <cell r="N42">
            <v>1371</v>
          </cell>
          <cell r="O42">
            <v>3</v>
          </cell>
          <cell r="P42">
            <v>0</v>
          </cell>
          <cell r="Q42">
            <v>0</v>
          </cell>
          <cell r="R42" t="str">
            <v>437-489</v>
          </cell>
          <cell r="S42">
            <v>389</v>
          </cell>
          <cell r="T42">
            <v>369.71</v>
          </cell>
          <cell r="U42" t="str">
            <v>-</v>
          </cell>
          <cell r="V42">
            <v>0</v>
          </cell>
          <cell r="W42">
            <v>0</v>
          </cell>
          <cell r="X42" t="str">
            <v>-</v>
          </cell>
        </row>
        <row r="43">
          <cell r="C43">
            <v>11121411</v>
          </cell>
          <cell r="D43" t="str">
            <v>伯希和/PELLIOT</v>
          </cell>
          <cell r="E43" t="str">
            <v>服装-户外运动服-速干裤</v>
          </cell>
          <cell r="F43" t="str">
            <v>一品多商</v>
          </cell>
          <cell r="G43" t="str">
            <v>品牌直发</v>
          </cell>
          <cell r="H43">
            <v>0</v>
          </cell>
          <cell r="I43">
            <v>0</v>
          </cell>
          <cell r="J43">
            <v>459</v>
          </cell>
          <cell r="K43">
            <v>0</v>
          </cell>
          <cell r="L43">
            <v>7</v>
          </cell>
          <cell r="M43">
            <v>0</v>
          </cell>
          <cell r="N43">
            <v>0</v>
          </cell>
          <cell r="O43">
            <v>0</v>
          </cell>
          <cell r="P43">
            <v>0</v>
          </cell>
          <cell r="Q43">
            <v>0</v>
          </cell>
          <cell r="R43" t="str">
            <v>-</v>
          </cell>
          <cell r="S43">
            <v>178</v>
          </cell>
          <cell r="T43" t="str">
            <v>-</v>
          </cell>
          <cell r="U43" t="str">
            <v>-</v>
          </cell>
          <cell r="V43">
            <v>0</v>
          </cell>
          <cell r="W43">
            <v>0</v>
          </cell>
          <cell r="X43" t="str">
            <v>-</v>
          </cell>
        </row>
        <row r="44">
          <cell r="C44">
            <v>11321405</v>
          </cell>
          <cell r="D44" t="str">
            <v>伯希和/PELLIOT</v>
          </cell>
          <cell r="E44" t="str">
            <v>服装-户外运动服-速干裤</v>
          </cell>
          <cell r="F44" t="str">
            <v>一品多商</v>
          </cell>
          <cell r="G44" t="str">
            <v>品牌直发</v>
          </cell>
          <cell r="H44">
            <v>0</v>
          </cell>
          <cell r="I44">
            <v>0</v>
          </cell>
          <cell r="J44">
            <v>542</v>
          </cell>
          <cell r="K44">
            <v>0</v>
          </cell>
          <cell r="L44">
            <v>7</v>
          </cell>
          <cell r="M44">
            <v>0</v>
          </cell>
          <cell r="N44">
            <v>0</v>
          </cell>
          <cell r="O44">
            <v>0</v>
          </cell>
          <cell r="P44">
            <v>0</v>
          </cell>
          <cell r="Q44">
            <v>0</v>
          </cell>
          <cell r="R44" t="str">
            <v>273-299</v>
          </cell>
          <cell r="S44">
            <v>250</v>
          </cell>
          <cell r="T44">
            <v>228.15</v>
          </cell>
          <cell r="U44" t="str">
            <v>-</v>
          </cell>
          <cell r="V44">
            <v>0</v>
          </cell>
          <cell r="W44">
            <v>0</v>
          </cell>
          <cell r="X44" t="str">
            <v>-</v>
          </cell>
        </row>
        <row r="45">
          <cell r="C45">
            <v>12321414</v>
          </cell>
          <cell r="D45" t="str">
            <v>伯希和/PELLIOT</v>
          </cell>
          <cell r="E45" t="str">
            <v>女装-户外运动服-速干裤</v>
          </cell>
          <cell r="F45" t="str">
            <v>一品一商</v>
          </cell>
          <cell r="G45" t="str">
            <v>品牌直发</v>
          </cell>
          <cell r="H45">
            <v>0</v>
          </cell>
          <cell r="I45">
            <v>0</v>
          </cell>
          <cell r="J45">
            <v>96</v>
          </cell>
          <cell r="K45">
            <v>0</v>
          </cell>
          <cell r="L45">
            <v>2</v>
          </cell>
          <cell r="M45">
            <v>0</v>
          </cell>
          <cell r="N45">
            <v>0</v>
          </cell>
          <cell r="O45">
            <v>0</v>
          </cell>
          <cell r="P45">
            <v>0</v>
          </cell>
          <cell r="Q45">
            <v>0</v>
          </cell>
          <cell r="R45" t="str">
            <v>-</v>
          </cell>
          <cell r="S45" t="str">
            <v>-</v>
          </cell>
          <cell r="T45" t="str">
            <v>-</v>
          </cell>
          <cell r="U45" t="str">
            <v>-</v>
          </cell>
          <cell r="V45">
            <v>0</v>
          </cell>
          <cell r="W45">
            <v>0</v>
          </cell>
          <cell r="X45" t="str">
            <v>-</v>
          </cell>
        </row>
        <row r="46">
          <cell r="C46">
            <v>12230602</v>
          </cell>
          <cell r="D46" t="str">
            <v>伯希和/PELLIOT</v>
          </cell>
          <cell r="E46" t="str">
            <v>女装-外套-软壳衣</v>
          </cell>
          <cell r="F46" t="str">
            <v>一品多商</v>
          </cell>
          <cell r="G46" t="str">
            <v>品牌直发</v>
          </cell>
          <cell r="H46">
            <v>0</v>
          </cell>
          <cell r="I46">
            <v>0</v>
          </cell>
          <cell r="J46">
            <v>421</v>
          </cell>
          <cell r="K46">
            <v>0</v>
          </cell>
          <cell r="L46">
            <v>14</v>
          </cell>
          <cell r="M46">
            <v>0</v>
          </cell>
          <cell r="N46">
            <v>0</v>
          </cell>
          <cell r="O46">
            <v>0</v>
          </cell>
          <cell r="P46">
            <v>0</v>
          </cell>
          <cell r="Q46">
            <v>0</v>
          </cell>
          <cell r="R46" t="str">
            <v>379-379</v>
          </cell>
          <cell r="S46">
            <v>314</v>
          </cell>
          <cell r="T46">
            <v>316.78</v>
          </cell>
          <cell r="U46" t="str">
            <v>-</v>
          </cell>
          <cell r="V46">
            <v>0</v>
          </cell>
          <cell r="W46">
            <v>0</v>
          </cell>
          <cell r="X46" t="str">
            <v>-</v>
          </cell>
        </row>
        <row r="47">
          <cell r="C47">
            <v>11230601</v>
          </cell>
          <cell r="D47" t="str">
            <v>伯希和/PELLIOT</v>
          </cell>
          <cell r="E47" t="str">
            <v>服装-外套-软壳衣</v>
          </cell>
          <cell r="F47" t="str">
            <v>一品多商</v>
          </cell>
          <cell r="G47" t="str">
            <v>品牌直发</v>
          </cell>
          <cell r="H47">
            <v>0</v>
          </cell>
          <cell r="I47">
            <v>0</v>
          </cell>
          <cell r="J47">
            <v>591</v>
          </cell>
          <cell r="K47">
            <v>0</v>
          </cell>
          <cell r="L47">
            <v>23</v>
          </cell>
          <cell r="M47">
            <v>0</v>
          </cell>
          <cell r="N47">
            <v>0</v>
          </cell>
          <cell r="O47">
            <v>0</v>
          </cell>
          <cell r="P47">
            <v>0</v>
          </cell>
          <cell r="Q47">
            <v>0</v>
          </cell>
          <cell r="R47" t="str">
            <v>-</v>
          </cell>
          <cell r="S47">
            <v>318</v>
          </cell>
          <cell r="T47" t="str">
            <v>-</v>
          </cell>
          <cell r="U47" t="str">
            <v>-</v>
          </cell>
          <cell r="V47">
            <v>0</v>
          </cell>
          <cell r="W47">
            <v>0</v>
          </cell>
          <cell r="X47" t="str">
            <v>-</v>
          </cell>
        </row>
        <row r="48">
          <cell r="C48">
            <v>115110021</v>
          </cell>
          <cell r="D48" t="str">
            <v>伯希和/PELLIOT</v>
          </cell>
          <cell r="E48" t="str">
            <v>服装-户外运动服-抓绒衣</v>
          </cell>
          <cell r="F48" t="str">
            <v>一品多商</v>
          </cell>
          <cell r="G48" t="str">
            <v>品牌直发</v>
          </cell>
          <cell r="H48">
            <v>0</v>
          </cell>
          <cell r="I48">
            <v>0</v>
          </cell>
          <cell r="J48">
            <v>400</v>
          </cell>
          <cell r="K48">
            <v>0</v>
          </cell>
          <cell r="L48">
            <v>11</v>
          </cell>
          <cell r="M48">
            <v>0</v>
          </cell>
          <cell r="N48">
            <v>0</v>
          </cell>
          <cell r="O48">
            <v>0</v>
          </cell>
          <cell r="P48">
            <v>0</v>
          </cell>
          <cell r="Q48">
            <v>0</v>
          </cell>
          <cell r="R48" t="str">
            <v>239-239</v>
          </cell>
          <cell r="S48">
            <v>214</v>
          </cell>
          <cell r="T48">
            <v>197.64</v>
          </cell>
          <cell r="U48" t="str">
            <v>-</v>
          </cell>
          <cell r="V48">
            <v>0</v>
          </cell>
          <cell r="W48">
            <v>0</v>
          </cell>
          <cell r="X48" t="str">
            <v>-</v>
          </cell>
        </row>
        <row r="49">
          <cell r="C49">
            <v>11040105</v>
          </cell>
          <cell r="D49" t="str">
            <v>伯希和/PELLIOT</v>
          </cell>
          <cell r="E49" t="str">
            <v>服装-外套-冲锋衣</v>
          </cell>
          <cell r="F49" t="str">
            <v>一品多商</v>
          </cell>
          <cell r="G49" t="str">
            <v>品牌直发</v>
          </cell>
          <cell r="H49">
            <v>0</v>
          </cell>
          <cell r="I49">
            <v>0</v>
          </cell>
          <cell r="J49">
            <v>498</v>
          </cell>
          <cell r="K49">
            <v>0</v>
          </cell>
          <cell r="L49">
            <v>16</v>
          </cell>
          <cell r="M49">
            <v>0</v>
          </cell>
          <cell r="N49">
            <v>0</v>
          </cell>
          <cell r="O49">
            <v>0</v>
          </cell>
          <cell r="P49">
            <v>0</v>
          </cell>
          <cell r="Q49">
            <v>0</v>
          </cell>
          <cell r="R49" t="str">
            <v>599-599</v>
          </cell>
          <cell r="S49">
            <v>469</v>
          </cell>
          <cell r="T49">
            <v>510.32</v>
          </cell>
          <cell r="U49" t="str">
            <v>-</v>
          </cell>
          <cell r="V49">
            <v>0</v>
          </cell>
          <cell r="W49">
            <v>0</v>
          </cell>
          <cell r="X49" t="str">
            <v>-</v>
          </cell>
        </row>
        <row r="50">
          <cell r="C50">
            <v>12040106</v>
          </cell>
          <cell r="D50" t="str">
            <v>伯希和/PELLIOT</v>
          </cell>
          <cell r="E50" t="str">
            <v>女装-外套-冲锋衣</v>
          </cell>
          <cell r="F50" t="str">
            <v>一品多商</v>
          </cell>
          <cell r="G50" t="str">
            <v>品牌直发</v>
          </cell>
          <cell r="H50">
            <v>0</v>
          </cell>
          <cell r="I50">
            <v>0</v>
          </cell>
          <cell r="J50">
            <v>498</v>
          </cell>
          <cell r="K50">
            <v>0</v>
          </cell>
          <cell r="L50">
            <v>9</v>
          </cell>
          <cell r="M50">
            <v>0</v>
          </cell>
          <cell r="N50">
            <v>0</v>
          </cell>
          <cell r="O50">
            <v>0</v>
          </cell>
          <cell r="P50">
            <v>0</v>
          </cell>
          <cell r="Q50">
            <v>0</v>
          </cell>
          <cell r="R50" t="str">
            <v>599-599</v>
          </cell>
          <cell r="S50">
            <v>480</v>
          </cell>
          <cell r="T50">
            <v>508.54</v>
          </cell>
          <cell r="U50" t="str">
            <v>-</v>
          </cell>
          <cell r="V50">
            <v>0</v>
          </cell>
          <cell r="W50">
            <v>0</v>
          </cell>
          <cell r="X50" t="str">
            <v>-</v>
          </cell>
        </row>
        <row r="51">
          <cell r="C51">
            <v>125215020</v>
          </cell>
          <cell r="D51" t="str">
            <v>伯希和/PELLIOT</v>
          </cell>
          <cell r="E51" t="str">
            <v>女装-上衣-Polo衫</v>
          </cell>
          <cell r="F51" t="str">
            <v>一品多商</v>
          </cell>
          <cell r="G51" t="str">
            <v>品牌直发</v>
          </cell>
          <cell r="H51">
            <v>0</v>
          </cell>
          <cell r="I51">
            <v>0</v>
          </cell>
          <cell r="J51">
            <v>592</v>
          </cell>
          <cell r="K51">
            <v>0</v>
          </cell>
          <cell r="L51">
            <v>18</v>
          </cell>
          <cell r="M51">
            <v>0</v>
          </cell>
          <cell r="N51">
            <v>0</v>
          </cell>
          <cell r="O51">
            <v>0</v>
          </cell>
          <cell r="P51">
            <v>0</v>
          </cell>
          <cell r="Q51">
            <v>0</v>
          </cell>
          <cell r="R51" t="str">
            <v>-</v>
          </cell>
          <cell r="S51">
            <v>173</v>
          </cell>
          <cell r="T51" t="str">
            <v>-</v>
          </cell>
          <cell r="U51" t="str">
            <v>-</v>
          </cell>
          <cell r="V51">
            <v>0</v>
          </cell>
          <cell r="W51">
            <v>0</v>
          </cell>
          <cell r="X51" t="str">
            <v>-</v>
          </cell>
        </row>
        <row r="52">
          <cell r="C52">
            <v>1124301070</v>
          </cell>
          <cell r="D52" t="str">
            <v>伯希和/PELLIOT</v>
          </cell>
          <cell r="E52" t="str">
            <v>服装-外套-冲锋衣</v>
          </cell>
          <cell r="F52" t="str">
            <v>一品多商</v>
          </cell>
          <cell r="G52" t="str">
            <v>品牌直发</v>
          </cell>
          <cell r="H52">
            <v>0</v>
          </cell>
          <cell r="I52">
            <v>0</v>
          </cell>
          <cell r="J52">
            <v>913</v>
          </cell>
          <cell r="K52">
            <v>0</v>
          </cell>
          <cell r="L52">
            <v>37</v>
          </cell>
          <cell r="M52">
            <v>0</v>
          </cell>
          <cell r="N52">
            <v>0</v>
          </cell>
          <cell r="O52">
            <v>0</v>
          </cell>
          <cell r="P52">
            <v>0</v>
          </cell>
          <cell r="Q52">
            <v>0</v>
          </cell>
          <cell r="R52" t="str">
            <v>880-890</v>
          </cell>
          <cell r="S52">
            <v>805</v>
          </cell>
          <cell r="T52">
            <v>754.23</v>
          </cell>
          <cell r="U52" t="str">
            <v>-</v>
          </cell>
          <cell r="V52">
            <v>0</v>
          </cell>
          <cell r="W52">
            <v>0</v>
          </cell>
          <cell r="X52" t="str">
            <v>-</v>
          </cell>
        </row>
        <row r="53">
          <cell r="C53">
            <v>115151007</v>
          </cell>
          <cell r="D53" t="str">
            <v>伯希和/PELLIOT</v>
          </cell>
          <cell r="E53" t="str">
            <v>服装-外套-夹克</v>
          </cell>
          <cell r="F53" t="str">
            <v>一品多商</v>
          </cell>
          <cell r="G53" t="str">
            <v>品牌直发</v>
          </cell>
          <cell r="H53">
            <v>0</v>
          </cell>
          <cell r="I53">
            <v>0</v>
          </cell>
          <cell r="J53">
            <v>287</v>
          </cell>
          <cell r="K53">
            <v>0</v>
          </cell>
          <cell r="L53">
            <v>5</v>
          </cell>
          <cell r="M53">
            <v>0</v>
          </cell>
          <cell r="N53">
            <v>0</v>
          </cell>
          <cell r="O53">
            <v>0</v>
          </cell>
          <cell r="P53">
            <v>0</v>
          </cell>
          <cell r="Q53">
            <v>0</v>
          </cell>
          <cell r="R53" t="str">
            <v>449-449</v>
          </cell>
          <cell r="S53">
            <v>342</v>
          </cell>
          <cell r="T53">
            <v>381.02</v>
          </cell>
          <cell r="U53" t="str">
            <v>-</v>
          </cell>
          <cell r="V53">
            <v>0</v>
          </cell>
          <cell r="W53">
            <v>0</v>
          </cell>
          <cell r="X53" t="str">
            <v>-</v>
          </cell>
        </row>
        <row r="54">
          <cell r="C54">
            <v>115215001</v>
          </cell>
          <cell r="D54" t="str">
            <v>伯希和/PELLIOT</v>
          </cell>
          <cell r="E54" t="str">
            <v>服装-上衣-T恤</v>
          </cell>
          <cell r="F54" t="str">
            <v>一品多商</v>
          </cell>
          <cell r="G54" t="str">
            <v>品牌直发</v>
          </cell>
          <cell r="H54">
            <v>0</v>
          </cell>
          <cell r="I54">
            <v>0</v>
          </cell>
          <cell r="J54">
            <v>499</v>
          </cell>
          <cell r="K54">
            <v>0</v>
          </cell>
          <cell r="L54">
            <v>12</v>
          </cell>
          <cell r="M54">
            <v>0</v>
          </cell>
          <cell r="N54">
            <v>0</v>
          </cell>
          <cell r="O54">
            <v>0</v>
          </cell>
          <cell r="P54">
            <v>0</v>
          </cell>
          <cell r="Q54">
            <v>0</v>
          </cell>
          <cell r="R54" t="str">
            <v>239-239</v>
          </cell>
          <cell r="S54">
            <v>190</v>
          </cell>
          <cell r="T54">
            <v>200.24</v>
          </cell>
          <cell r="U54" t="str">
            <v>-</v>
          </cell>
          <cell r="V54">
            <v>0</v>
          </cell>
          <cell r="W54">
            <v>0</v>
          </cell>
          <cell r="X54" t="str">
            <v>-</v>
          </cell>
        </row>
        <row r="55">
          <cell r="C55">
            <v>115101001</v>
          </cell>
          <cell r="D55" t="str">
            <v>伯希和/PELLIOT</v>
          </cell>
          <cell r="E55" t="str">
            <v>服装-外套-冲锋衣</v>
          </cell>
          <cell r="F55" t="str">
            <v>一品多商</v>
          </cell>
          <cell r="G55" t="str">
            <v>品牌直发</v>
          </cell>
          <cell r="H55">
            <v>0</v>
          </cell>
          <cell r="I55">
            <v>0</v>
          </cell>
          <cell r="J55">
            <v>224</v>
          </cell>
          <cell r="K55">
            <v>0</v>
          </cell>
          <cell r="L55">
            <v>0</v>
          </cell>
          <cell r="M55">
            <v>0</v>
          </cell>
          <cell r="N55">
            <v>0</v>
          </cell>
          <cell r="O55">
            <v>0</v>
          </cell>
          <cell r="P55">
            <v>0</v>
          </cell>
          <cell r="Q55">
            <v>0</v>
          </cell>
          <cell r="R55" t="str">
            <v>590-590</v>
          </cell>
          <cell r="S55">
            <v>420</v>
          </cell>
          <cell r="T55">
            <v>502.51</v>
          </cell>
          <cell r="U55" t="str">
            <v>-</v>
          </cell>
          <cell r="V55">
            <v>0</v>
          </cell>
          <cell r="W55">
            <v>0</v>
          </cell>
          <cell r="X55" t="str">
            <v>-</v>
          </cell>
        </row>
        <row r="56">
          <cell r="C56">
            <v>125212004</v>
          </cell>
          <cell r="D56" t="str">
            <v>伯希和/PELLIOT</v>
          </cell>
          <cell r="E56" t="str">
            <v>女装-外套-防晒服</v>
          </cell>
          <cell r="F56" t="str">
            <v>一品多商</v>
          </cell>
          <cell r="G56" t="str">
            <v>品牌直发</v>
          </cell>
          <cell r="H56">
            <v>0</v>
          </cell>
          <cell r="I56">
            <v>0</v>
          </cell>
          <cell r="J56">
            <v>557</v>
          </cell>
          <cell r="K56">
            <v>0</v>
          </cell>
          <cell r="L56">
            <v>5</v>
          </cell>
          <cell r="M56">
            <v>0</v>
          </cell>
          <cell r="N56">
            <v>255</v>
          </cell>
          <cell r="O56">
            <v>1</v>
          </cell>
          <cell r="P56">
            <v>0</v>
          </cell>
          <cell r="Q56">
            <v>0</v>
          </cell>
          <cell r="R56" t="str">
            <v>229-229</v>
          </cell>
          <cell r="S56">
            <v>229</v>
          </cell>
          <cell r="T56">
            <v>197.65</v>
          </cell>
          <cell r="U56" t="str">
            <v>-</v>
          </cell>
          <cell r="V56">
            <v>0</v>
          </cell>
          <cell r="W56">
            <v>0</v>
          </cell>
          <cell r="X56" t="str">
            <v>-</v>
          </cell>
        </row>
        <row r="57">
          <cell r="C57">
            <v>115102001</v>
          </cell>
          <cell r="D57" t="str">
            <v>伯希和/PELLIOT</v>
          </cell>
          <cell r="E57" t="str">
            <v>服装-长裤-冲锋裤</v>
          </cell>
          <cell r="F57" t="str">
            <v>一品多商</v>
          </cell>
          <cell r="G57" t="str">
            <v>品牌直发</v>
          </cell>
          <cell r="H57">
            <v>0</v>
          </cell>
          <cell r="I57">
            <v>0</v>
          </cell>
          <cell r="J57">
            <v>485</v>
          </cell>
          <cell r="K57">
            <v>0</v>
          </cell>
          <cell r="L57">
            <v>7</v>
          </cell>
          <cell r="M57">
            <v>0</v>
          </cell>
          <cell r="N57">
            <v>0</v>
          </cell>
          <cell r="O57">
            <v>0</v>
          </cell>
          <cell r="P57">
            <v>0</v>
          </cell>
          <cell r="Q57">
            <v>0</v>
          </cell>
          <cell r="R57" t="str">
            <v>790-790</v>
          </cell>
          <cell r="S57">
            <v>659</v>
          </cell>
          <cell r="T57">
            <v>678.11</v>
          </cell>
          <cell r="U57" t="str">
            <v>-</v>
          </cell>
          <cell r="V57">
            <v>0</v>
          </cell>
          <cell r="W57">
            <v>0</v>
          </cell>
          <cell r="X57" t="str">
            <v>-</v>
          </cell>
        </row>
        <row r="58">
          <cell r="C58">
            <v>125301055</v>
          </cell>
          <cell r="D58" t="str">
            <v>伯希和/PELLIOT</v>
          </cell>
          <cell r="E58" t="str">
            <v>女装-外套-冲锋衣</v>
          </cell>
          <cell r="F58" t="str">
            <v>一品多商</v>
          </cell>
          <cell r="G58" t="str">
            <v>品牌直发</v>
          </cell>
          <cell r="H58">
            <v>0</v>
          </cell>
          <cell r="I58">
            <v>0</v>
          </cell>
          <cell r="J58">
            <v>454</v>
          </cell>
          <cell r="K58">
            <v>0</v>
          </cell>
          <cell r="L58">
            <v>6</v>
          </cell>
          <cell r="M58">
            <v>0</v>
          </cell>
          <cell r="N58">
            <v>569</v>
          </cell>
          <cell r="O58">
            <v>1</v>
          </cell>
          <cell r="P58">
            <v>0</v>
          </cell>
          <cell r="Q58">
            <v>0</v>
          </cell>
          <cell r="R58" t="str">
            <v>590-599</v>
          </cell>
          <cell r="S58">
            <v>537</v>
          </cell>
          <cell r="T58">
            <v>500.73</v>
          </cell>
          <cell r="U58" t="str">
            <v>-</v>
          </cell>
          <cell r="V58">
            <v>0</v>
          </cell>
          <cell r="W58">
            <v>0</v>
          </cell>
          <cell r="X58" t="str">
            <v>-</v>
          </cell>
        </row>
        <row r="59">
          <cell r="C59">
            <v>115301054</v>
          </cell>
          <cell r="D59" t="str">
            <v>伯希和/PELLIOT</v>
          </cell>
          <cell r="E59" t="str">
            <v>服装-外套-冲锋衣</v>
          </cell>
          <cell r="F59" t="str">
            <v>一品多商</v>
          </cell>
          <cell r="G59" t="str">
            <v>品牌直发</v>
          </cell>
          <cell r="H59">
            <v>0</v>
          </cell>
          <cell r="I59">
            <v>0</v>
          </cell>
          <cell r="J59">
            <v>578</v>
          </cell>
          <cell r="K59">
            <v>0</v>
          </cell>
          <cell r="L59">
            <v>15</v>
          </cell>
          <cell r="M59">
            <v>0</v>
          </cell>
          <cell r="N59">
            <v>0</v>
          </cell>
          <cell r="O59">
            <v>0</v>
          </cell>
          <cell r="P59">
            <v>0</v>
          </cell>
          <cell r="Q59">
            <v>0</v>
          </cell>
          <cell r="R59" t="str">
            <v>542-589</v>
          </cell>
          <cell r="S59">
            <v>480</v>
          </cell>
          <cell r="T59">
            <v>460.85</v>
          </cell>
          <cell r="U59" t="str">
            <v>-</v>
          </cell>
          <cell r="V59">
            <v>0</v>
          </cell>
          <cell r="W59">
            <v>0</v>
          </cell>
          <cell r="X59" t="str">
            <v>-</v>
          </cell>
        </row>
        <row r="60">
          <cell r="C60">
            <v>115119031</v>
          </cell>
          <cell r="D60" t="str">
            <v>伯希和/PELLIOT</v>
          </cell>
          <cell r="E60" t="str">
            <v>鞋-运动鞋-登山鞋/徒步鞋</v>
          </cell>
          <cell r="F60" t="str">
            <v>一品多商</v>
          </cell>
          <cell r="G60" t="str">
            <v>品牌直发</v>
          </cell>
          <cell r="H60">
            <v>0</v>
          </cell>
          <cell r="I60">
            <v>0</v>
          </cell>
          <cell r="J60">
            <v>448</v>
          </cell>
          <cell r="K60">
            <v>0</v>
          </cell>
          <cell r="L60">
            <v>5</v>
          </cell>
          <cell r="M60">
            <v>0</v>
          </cell>
          <cell r="N60">
            <v>0</v>
          </cell>
          <cell r="O60">
            <v>0</v>
          </cell>
          <cell r="P60">
            <v>0</v>
          </cell>
          <cell r="Q60">
            <v>0</v>
          </cell>
          <cell r="R60" t="str">
            <v>689-742</v>
          </cell>
          <cell r="S60">
            <v>689</v>
          </cell>
          <cell r="T60">
            <v>588.95</v>
          </cell>
          <cell r="U60" t="str">
            <v>-</v>
          </cell>
          <cell r="V60">
            <v>0</v>
          </cell>
          <cell r="W60">
            <v>0</v>
          </cell>
          <cell r="X60" t="str">
            <v>-</v>
          </cell>
        </row>
        <row r="61">
          <cell r="C61">
            <v>114310191</v>
          </cell>
          <cell r="D61" t="str">
            <v>伯希和/PELLIOT</v>
          </cell>
          <cell r="E61" t="str">
            <v>服装-户外运动服-抓绒衣</v>
          </cell>
          <cell r="F61" t="str">
            <v>一品多商</v>
          </cell>
          <cell r="G61" t="str">
            <v>品牌直发</v>
          </cell>
          <cell r="H61">
            <v>0</v>
          </cell>
          <cell r="I61">
            <v>0</v>
          </cell>
          <cell r="J61">
            <v>244</v>
          </cell>
          <cell r="K61">
            <v>0</v>
          </cell>
          <cell r="L61">
            <v>3</v>
          </cell>
          <cell r="M61">
            <v>0</v>
          </cell>
          <cell r="N61">
            <v>0</v>
          </cell>
          <cell r="O61">
            <v>0</v>
          </cell>
          <cell r="P61">
            <v>0</v>
          </cell>
          <cell r="Q61">
            <v>0</v>
          </cell>
          <cell r="R61" t="str">
            <v>379-390</v>
          </cell>
          <cell r="S61">
            <v>299</v>
          </cell>
          <cell r="T61">
            <v>319.16</v>
          </cell>
          <cell r="U61" t="str">
            <v>-</v>
          </cell>
          <cell r="V61">
            <v>0</v>
          </cell>
          <cell r="W61">
            <v>0</v>
          </cell>
          <cell r="X61" t="str">
            <v>-</v>
          </cell>
        </row>
        <row r="62">
          <cell r="C62">
            <v>114401041</v>
          </cell>
          <cell r="D62" t="str">
            <v>伯希和/PELLIOT</v>
          </cell>
          <cell r="E62" t="str">
            <v>服装-外套-冲锋衣</v>
          </cell>
          <cell r="F62" t="str">
            <v>一品多商</v>
          </cell>
          <cell r="G62" t="str">
            <v>品牌直发</v>
          </cell>
          <cell r="H62">
            <v>0</v>
          </cell>
          <cell r="I62">
            <v>0</v>
          </cell>
          <cell r="J62">
            <v>1521</v>
          </cell>
          <cell r="K62">
            <v>0</v>
          </cell>
          <cell r="L62">
            <v>90</v>
          </cell>
          <cell r="M62">
            <v>0</v>
          </cell>
          <cell r="N62">
            <v>0</v>
          </cell>
          <cell r="O62">
            <v>0</v>
          </cell>
          <cell r="P62">
            <v>0</v>
          </cell>
          <cell r="Q62">
            <v>0</v>
          </cell>
          <cell r="R62" t="str">
            <v>878-990</v>
          </cell>
          <cell r="S62">
            <v>789</v>
          </cell>
          <cell r="T62">
            <v>752.49</v>
          </cell>
          <cell r="U62" t="str">
            <v>-</v>
          </cell>
          <cell r="V62">
            <v>0</v>
          </cell>
          <cell r="W62">
            <v>0</v>
          </cell>
          <cell r="X62" t="str">
            <v>-</v>
          </cell>
        </row>
        <row r="63">
          <cell r="C63">
            <v>124419008</v>
          </cell>
          <cell r="D63" t="str">
            <v>伯希和/PELLIOT</v>
          </cell>
          <cell r="E63" t="str">
            <v>鞋-运动鞋-登山鞋/徒步鞋</v>
          </cell>
          <cell r="F63" t="str">
            <v>一品一商</v>
          </cell>
          <cell r="G63" t="str">
            <v>品牌直发</v>
          </cell>
          <cell r="H63">
            <v>0</v>
          </cell>
          <cell r="I63">
            <v>0</v>
          </cell>
          <cell r="J63">
            <v>89</v>
          </cell>
          <cell r="K63">
            <v>0</v>
          </cell>
          <cell r="L63">
            <v>7</v>
          </cell>
          <cell r="M63">
            <v>0</v>
          </cell>
          <cell r="N63">
            <v>0</v>
          </cell>
          <cell r="O63">
            <v>0</v>
          </cell>
          <cell r="P63">
            <v>0</v>
          </cell>
          <cell r="Q63">
            <v>0</v>
          </cell>
          <cell r="R63" t="str">
            <v>-</v>
          </cell>
          <cell r="S63" t="str">
            <v>-</v>
          </cell>
          <cell r="T63" t="str">
            <v>-</v>
          </cell>
          <cell r="U63" t="str">
            <v>-</v>
          </cell>
          <cell r="V63">
            <v>0</v>
          </cell>
          <cell r="W63">
            <v>0</v>
          </cell>
          <cell r="X63" t="str">
            <v>-</v>
          </cell>
        </row>
        <row r="64">
          <cell r="C64" t="str">
            <v>PE124314376</v>
          </cell>
          <cell r="D64" t="str">
            <v>伯希和/PELLIOT</v>
          </cell>
          <cell r="E64" t="str">
            <v>服装-户外运动服-速干裤</v>
          </cell>
          <cell r="F64" t="str">
            <v>一品多商</v>
          </cell>
          <cell r="G64" t="str">
            <v>品牌直发</v>
          </cell>
          <cell r="H64">
            <v>0</v>
          </cell>
          <cell r="I64">
            <v>0</v>
          </cell>
          <cell r="J64">
            <v>421</v>
          </cell>
          <cell r="K64">
            <v>0</v>
          </cell>
          <cell r="L64">
            <v>6</v>
          </cell>
          <cell r="M64">
            <v>0</v>
          </cell>
          <cell r="N64">
            <v>0</v>
          </cell>
          <cell r="O64">
            <v>0</v>
          </cell>
          <cell r="P64">
            <v>0</v>
          </cell>
          <cell r="Q64">
            <v>0</v>
          </cell>
          <cell r="R64" t="str">
            <v>341-341</v>
          </cell>
          <cell r="S64">
            <v>341</v>
          </cell>
          <cell r="T64">
            <v>287.18</v>
          </cell>
          <cell r="U64" t="str">
            <v>-</v>
          </cell>
          <cell r="V64">
            <v>0</v>
          </cell>
          <cell r="W64">
            <v>0</v>
          </cell>
          <cell r="X64" t="str">
            <v>-</v>
          </cell>
        </row>
        <row r="65">
          <cell r="C65">
            <v>124301070</v>
          </cell>
          <cell r="D65" t="str">
            <v>伯希和/PELLIOT</v>
          </cell>
          <cell r="E65" t="str">
            <v>服装-外套-冲锋衣</v>
          </cell>
          <cell r="F65" t="str">
            <v>一品多商</v>
          </cell>
          <cell r="G65" t="str">
            <v>品牌直发</v>
          </cell>
          <cell r="H65">
            <v>0</v>
          </cell>
          <cell r="I65">
            <v>0</v>
          </cell>
          <cell r="J65">
            <v>993</v>
          </cell>
          <cell r="K65">
            <v>0</v>
          </cell>
          <cell r="L65">
            <v>46</v>
          </cell>
          <cell r="M65">
            <v>0</v>
          </cell>
          <cell r="N65">
            <v>0</v>
          </cell>
          <cell r="O65">
            <v>0</v>
          </cell>
          <cell r="P65">
            <v>0</v>
          </cell>
          <cell r="Q65">
            <v>0</v>
          </cell>
          <cell r="R65" t="str">
            <v>833-890</v>
          </cell>
          <cell r="S65">
            <v>660</v>
          </cell>
          <cell r="T65">
            <v>713.43</v>
          </cell>
          <cell r="U65" t="str">
            <v>-</v>
          </cell>
          <cell r="V65">
            <v>0</v>
          </cell>
          <cell r="W65">
            <v>0</v>
          </cell>
          <cell r="X65" t="str">
            <v>-</v>
          </cell>
        </row>
        <row r="66">
          <cell r="C66">
            <v>114306147</v>
          </cell>
          <cell r="D66" t="str">
            <v>伯希和/PELLIOT</v>
          </cell>
          <cell r="E66" t="str">
            <v>服装-外套-软壳衣</v>
          </cell>
          <cell r="F66" t="str">
            <v>一品多商</v>
          </cell>
          <cell r="G66" t="str">
            <v>品牌直发</v>
          </cell>
          <cell r="H66">
            <v>0</v>
          </cell>
          <cell r="I66">
            <v>0</v>
          </cell>
          <cell r="J66">
            <v>1231</v>
          </cell>
          <cell r="K66">
            <v>0</v>
          </cell>
          <cell r="L66">
            <v>61</v>
          </cell>
          <cell r="M66">
            <v>0</v>
          </cell>
          <cell r="N66">
            <v>0</v>
          </cell>
          <cell r="O66">
            <v>0</v>
          </cell>
          <cell r="P66">
            <v>0</v>
          </cell>
          <cell r="Q66">
            <v>0</v>
          </cell>
          <cell r="R66" t="str">
            <v>409-490</v>
          </cell>
          <cell r="S66">
            <v>299</v>
          </cell>
          <cell r="T66">
            <v>344.8</v>
          </cell>
          <cell r="U66" t="str">
            <v>-</v>
          </cell>
          <cell r="V66">
            <v>0</v>
          </cell>
          <cell r="W66">
            <v>0</v>
          </cell>
          <cell r="X66" t="str">
            <v>-</v>
          </cell>
        </row>
        <row r="67">
          <cell r="C67">
            <v>114301033</v>
          </cell>
          <cell r="D67" t="str">
            <v>伯希和/PELLIOT</v>
          </cell>
          <cell r="E67" t="str">
            <v>服装-外套-冲锋衣</v>
          </cell>
          <cell r="F67" t="str">
            <v>一品多商</v>
          </cell>
          <cell r="G67" t="str">
            <v>品牌直发</v>
          </cell>
          <cell r="H67">
            <v>0</v>
          </cell>
          <cell r="I67">
            <v>0</v>
          </cell>
          <cell r="J67">
            <v>406</v>
          </cell>
          <cell r="K67">
            <v>0</v>
          </cell>
          <cell r="L67">
            <v>8</v>
          </cell>
          <cell r="M67">
            <v>0</v>
          </cell>
          <cell r="N67">
            <v>0</v>
          </cell>
          <cell r="O67">
            <v>0</v>
          </cell>
          <cell r="P67">
            <v>0</v>
          </cell>
          <cell r="Q67">
            <v>0</v>
          </cell>
          <cell r="R67" t="str">
            <v>559-559</v>
          </cell>
          <cell r="S67">
            <v>394</v>
          </cell>
          <cell r="T67">
            <v>475.6</v>
          </cell>
          <cell r="U67" t="str">
            <v>-</v>
          </cell>
          <cell r="V67">
            <v>0</v>
          </cell>
          <cell r="W67">
            <v>0</v>
          </cell>
          <cell r="X67" t="str">
            <v>-</v>
          </cell>
        </row>
        <row r="68">
          <cell r="C68">
            <v>11421419</v>
          </cell>
          <cell r="D68" t="str">
            <v>伯希和/PELLIOT</v>
          </cell>
          <cell r="E68" t="str">
            <v>服装-健身服-运动短裤</v>
          </cell>
          <cell r="F68" t="str">
            <v>一品一商</v>
          </cell>
          <cell r="G68" t="str">
            <v>普通现货</v>
          </cell>
          <cell r="H68">
            <v>0</v>
          </cell>
          <cell r="I68">
            <v>0</v>
          </cell>
          <cell r="J68">
            <v>137</v>
          </cell>
          <cell r="K68">
            <v>0</v>
          </cell>
          <cell r="L68">
            <v>2</v>
          </cell>
          <cell r="M68">
            <v>0</v>
          </cell>
          <cell r="N68">
            <v>0</v>
          </cell>
          <cell r="O68">
            <v>0</v>
          </cell>
          <cell r="P68">
            <v>0</v>
          </cell>
          <cell r="Q68">
            <v>0</v>
          </cell>
          <cell r="R68" t="str">
            <v>-</v>
          </cell>
          <cell r="S68" t="str">
            <v>-</v>
          </cell>
          <cell r="T68" t="str">
            <v>-</v>
          </cell>
          <cell r="U68" t="str">
            <v>-</v>
          </cell>
          <cell r="V68">
            <v>0</v>
          </cell>
          <cell r="W68">
            <v>0</v>
          </cell>
          <cell r="X68" t="str">
            <v>-</v>
          </cell>
        </row>
        <row r="69">
          <cell r="C69">
            <v>12422002</v>
          </cell>
          <cell r="D69" t="str">
            <v>伯希和/PELLIOT</v>
          </cell>
          <cell r="E69" t="str">
            <v>鞋-运动鞋-户外功能鞋</v>
          </cell>
          <cell r="F69" t="str">
            <v>一品多商</v>
          </cell>
          <cell r="G69" t="str">
            <v>品牌直发</v>
          </cell>
          <cell r="H69">
            <v>0</v>
          </cell>
          <cell r="I69">
            <v>0</v>
          </cell>
          <cell r="J69">
            <v>481</v>
          </cell>
          <cell r="K69">
            <v>0</v>
          </cell>
          <cell r="L69">
            <v>0</v>
          </cell>
          <cell r="M69">
            <v>0</v>
          </cell>
          <cell r="N69">
            <v>0</v>
          </cell>
          <cell r="O69">
            <v>0</v>
          </cell>
          <cell r="P69">
            <v>0</v>
          </cell>
          <cell r="Q69">
            <v>0</v>
          </cell>
          <cell r="R69" t="str">
            <v>268-268</v>
          </cell>
          <cell r="S69">
            <v>204</v>
          </cell>
          <cell r="T69">
            <v>223.42</v>
          </cell>
          <cell r="U69" t="str">
            <v>-</v>
          </cell>
          <cell r="V69">
            <v>0</v>
          </cell>
          <cell r="W69">
            <v>0</v>
          </cell>
          <cell r="X69" t="str">
            <v>-</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heet1"/>
    </sheetNames>
    <sheetDataSet>
      <sheetData sheetId="0">
        <row r="1">
          <cell r="C1" t="str">
            <v>商品货号</v>
          </cell>
          <cell r="D1" t="str">
            <v>品牌名称</v>
          </cell>
          <cell r="E1" t="str">
            <v>类目名称</v>
          </cell>
          <cell r="F1" t="str">
            <v>商品类型</v>
          </cell>
          <cell r="G1" t="str">
            <v>出价渠道</v>
          </cell>
          <cell r="H1" t="str">
            <v>支付金额</v>
          </cell>
          <cell r="I1" t="str">
            <v>支付订单数</v>
          </cell>
          <cell r="J1" t="str">
            <v>商详访问人数</v>
          </cell>
          <cell r="K1" t="str">
            <v>商详转化率</v>
          </cell>
          <cell r="L1" t="str">
            <v>收藏用户数</v>
          </cell>
          <cell r="M1" t="str">
            <v>我的销量</v>
          </cell>
          <cell r="N1" t="str">
            <v>退货金额（退款时间）</v>
          </cell>
          <cell r="O1" t="str">
            <v>退货订单数（退款时间）</v>
          </cell>
          <cell r="P1" t="str">
            <v>退货金额（支付时间）</v>
          </cell>
          <cell r="Q1" t="str">
            <v>退货订单数（支付时间）</v>
          </cell>
          <cell r="R1" t="str">
            <v>我的出价（元）</v>
          </cell>
          <cell r="S1" t="str">
            <v>平台最低价（元）</v>
          </cell>
          <cell r="T1" t="str">
            <v>当前单品收入</v>
          </cell>
          <cell r="U1" t="str">
            <v>当前单品利润</v>
          </cell>
          <cell r="V1" t="str">
            <v>支付笔单价</v>
          </cell>
          <cell r="W1" t="str">
            <v>支付用户数</v>
          </cell>
          <cell r="X1" t="str">
            <v>商家成本价</v>
          </cell>
        </row>
        <row r="2">
          <cell r="C2">
            <v>12421220</v>
          </cell>
          <cell r="D2" t="str">
            <v>伯希和/PELLIOT</v>
          </cell>
          <cell r="E2" t="str">
            <v>服装-外套-防晒服</v>
          </cell>
          <cell r="F2" t="str">
            <v>一品多商</v>
          </cell>
          <cell r="G2" t="str">
            <v>品牌直发</v>
          </cell>
          <cell r="H2">
            <v>15783.72</v>
          </cell>
          <cell r="I2">
            <v>70</v>
          </cell>
          <cell r="J2">
            <v>2166</v>
          </cell>
          <cell r="K2">
            <v>496</v>
          </cell>
          <cell r="L2">
            <v>219</v>
          </cell>
          <cell r="M2">
            <v>70</v>
          </cell>
          <cell r="N2">
            <v>4186</v>
          </cell>
          <cell r="O2">
            <v>19</v>
          </cell>
          <cell r="P2">
            <v>4247.72</v>
          </cell>
          <cell r="Q2">
            <v>22</v>
          </cell>
          <cell r="R2" t="str">
            <v>274-290</v>
          </cell>
          <cell r="S2">
            <v>259</v>
          </cell>
          <cell r="T2">
            <v>230.32</v>
          </cell>
          <cell r="U2" t="str">
            <v>-</v>
          </cell>
          <cell r="V2">
            <v>225.48</v>
          </cell>
          <cell r="W2">
            <v>63</v>
          </cell>
          <cell r="X2" t="str">
            <v>-</v>
          </cell>
        </row>
        <row r="3">
          <cell r="C3">
            <v>11421507</v>
          </cell>
          <cell r="D3" t="str">
            <v>伯希和/PELLIOT</v>
          </cell>
          <cell r="E3" t="str">
            <v>服装-上衣-Polo衫</v>
          </cell>
          <cell r="F3" t="str">
            <v>一品多商</v>
          </cell>
          <cell r="G3" t="str">
            <v>品牌直发</v>
          </cell>
          <cell r="H3">
            <v>6959</v>
          </cell>
          <cell r="I3">
            <v>60</v>
          </cell>
          <cell r="J3">
            <v>2756</v>
          </cell>
          <cell r="K3">
            <v>373</v>
          </cell>
          <cell r="L3">
            <v>322</v>
          </cell>
          <cell r="M3">
            <v>60</v>
          </cell>
          <cell r="N3">
            <v>1281</v>
          </cell>
          <cell r="O3">
            <v>10</v>
          </cell>
          <cell r="P3">
            <v>1804</v>
          </cell>
          <cell r="Q3">
            <v>14</v>
          </cell>
          <cell r="R3" t="str">
            <v>163-196</v>
          </cell>
          <cell r="S3">
            <v>154</v>
          </cell>
          <cell r="T3">
            <v>133.07</v>
          </cell>
          <cell r="U3" t="str">
            <v>-</v>
          </cell>
          <cell r="V3">
            <v>115.98</v>
          </cell>
          <cell r="W3">
            <v>58</v>
          </cell>
          <cell r="X3" t="str">
            <v>-</v>
          </cell>
        </row>
        <row r="4">
          <cell r="C4" t="str">
            <v>PE1124101048</v>
          </cell>
          <cell r="D4" t="str">
            <v>伯希和/PELLIOT</v>
          </cell>
          <cell r="E4" t="str">
            <v>服装-外套-冲锋衣</v>
          </cell>
          <cell r="F4" t="str">
            <v>一品多商</v>
          </cell>
          <cell r="G4" t="str">
            <v>品牌直发</v>
          </cell>
          <cell r="H4">
            <v>25861</v>
          </cell>
          <cell r="I4">
            <v>46</v>
          </cell>
          <cell r="J4">
            <v>2144</v>
          </cell>
          <cell r="K4">
            <v>384</v>
          </cell>
          <cell r="L4">
            <v>237</v>
          </cell>
          <cell r="M4">
            <v>46</v>
          </cell>
          <cell r="N4">
            <v>2937</v>
          </cell>
          <cell r="O4">
            <v>5</v>
          </cell>
          <cell r="P4">
            <v>8652</v>
          </cell>
          <cell r="Q4">
            <v>15</v>
          </cell>
          <cell r="R4" t="str">
            <v>621-690</v>
          </cell>
          <cell r="S4">
            <v>499</v>
          </cell>
          <cell r="T4">
            <v>529.42</v>
          </cell>
          <cell r="U4" t="str">
            <v>-</v>
          </cell>
          <cell r="V4">
            <v>562.2</v>
          </cell>
          <cell r="W4">
            <v>37</v>
          </cell>
          <cell r="X4" t="str">
            <v>-</v>
          </cell>
        </row>
        <row r="5">
          <cell r="C5">
            <v>12340164</v>
          </cell>
          <cell r="D5" t="str">
            <v>伯希和/PELLIOT</v>
          </cell>
          <cell r="E5" t="str">
            <v>服装-外套-冲锋衣</v>
          </cell>
          <cell r="F5" t="str">
            <v>一品多商</v>
          </cell>
          <cell r="G5" t="str">
            <v>品牌直发</v>
          </cell>
          <cell r="H5">
            <v>8342</v>
          </cell>
          <cell r="I5">
            <v>16</v>
          </cell>
          <cell r="J5">
            <v>1745</v>
          </cell>
          <cell r="K5">
            <v>301</v>
          </cell>
          <cell r="L5">
            <v>178</v>
          </cell>
          <cell r="M5">
            <v>16</v>
          </cell>
          <cell r="N5">
            <v>2278</v>
          </cell>
          <cell r="O5">
            <v>4</v>
          </cell>
          <cell r="P5">
            <v>2095</v>
          </cell>
          <cell r="Q5">
            <v>4</v>
          </cell>
          <cell r="R5" t="str">
            <v>608-699</v>
          </cell>
          <cell r="S5">
            <v>494</v>
          </cell>
          <cell r="T5">
            <v>518.13</v>
          </cell>
          <cell r="U5" t="str">
            <v>-</v>
          </cell>
          <cell r="V5">
            <v>521.38</v>
          </cell>
          <cell r="W5">
            <v>15</v>
          </cell>
          <cell r="X5" t="str">
            <v>-</v>
          </cell>
        </row>
        <row r="6">
          <cell r="C6">
            <v>11410201</v>
          </cell>
          <cell r="D6" t="str">
            <v>伯希和/PELLIOT</v>
          </cell>
          <cell r="E6" t="str">
            <v>服装-长裤-冲锋裤</v>
          </cell>
          <cell r="F6" t="str">
            <v>一品多商</v>
          </cell>
          <cell r="G6" t="str">
            <v>品牌直发</v>
          </cell>
          <cell r="H6">
            <v>5164</v>
          </cell>
          <cell r="I6">
            <v>14</v>
          </cell>
          <cell r="J6">
            <v>1524</v>
          </cell>
          <cell r="K6">
            <v>333</v>
          </cell>
          <cell r="L6">
            <v>106</v>
          </cell>
          <cell r="M6">
            <v>14</v>
          </cell>
          <cell r="N6">
            <v>786</v>
          </cell>
          <cell r="O6">
            <v>2</v>
          </cell>
          <cell r="P6">
            <v>776</v>
          </cell>
          <cell r="Q6">
            <v>2</v>
          </cell>
          <cell r="R6" t="str">
            <v>437-482</v>
          </cell>
          <cell r="S6">
            <v>389</v>
          </cell>
          <cell r="T6">
            <v>371.71</v>
          </cell>
          <cell r="U6" t="str">
            <v>-</v>
          </cell>
          <cell r="V6">
            <v>368.86</v>
          </cell>
          <cell r="W6">
            <v>14</v>
          </cell>
          <cell r="X6" t="str">
            <v>-</v>
          </cell>
        </row>
        <row r="7">
          <cell r="C7">
            <v>11421201</v>
          </cell>
          <cell r="D7" t="str">
            <v>伯希和/PELLIOT</v>
          </cell>
          <cell r="E7" t="str">
            <v>服装-外套-防晒服</v>
          </cell>
          <cell r="F7" t="str">
            <v>一品多商</v>
          </cell>
          <cell r="G7" t="str">
            <v>品牌直发</v>
          </cell>
          <cell r="H7">
            <v>2158</v>
          </cell>
          <cell r="I7">
            <v>12</v>
          </cell>
          <cell r="J7">
            <v>1309</v>
          </cell>
          <cell r="K7">
            <v>327</v>
          </cell>
          <cell r="L7">
            <v>56</v>
          </cell>
          <cell r="M7">
            <v>12</v>
          </cell>
          <cell r="N7">
            <v>194</v>
          </cell>
          <cell r="O7">
            <v>1</v>
          </cell>
          <cell r="P7">
            <v>603</v>
          </cell>
          <cell r="Q7">
            <v>3</v>
          </cell>
          <cell r="R7" t="str">
            <v>259-259</v>
          </cell>
          <cell r="S7">
            <v>209</v>
          </cell>
          <cell r="T7">
            <v>217.3</v>
          </cell>
          <cell r="U7" t="str">
            <v>-</v>
          </cell>
          <cell r="V7">
            <v>179.83</v>
          </cell>
          <cell r="W7">
            <v>10</v>
          </cell>
          <cell r="X7" t="str">
            <v>-</v>
          </cell>
        </row>
        <row r="8">
          <cell r="C8">
            <v>115214024</v>
          </cell>
          <cell r="D8" t="str">
            <v>伯希和/PELLIOT</v>
          </cell>
          <cell r="E8" t="str">
            <v>服装-户外运动服-速干裤</v>
          </cell>
          <cell r="F8" t="str">
            <v>一品多商</v>
          </cell>
          <cell r="G8" t="str">
            <v>品牌直发</v>
          </cell>
          <cell r="H8">
            <v>2071</v>
          </cell>
          <cell r="I8">
            <v>11</v>
          </cell>
          <cell r="J8">
            <v>1242</v>
          </cell>
          <cell r="K8">
            <v>362</v>
          </cell>
          <cell r="L8">
            <v>50</v>
          </cell>
          <cell r="M8">
            <v>11</v>
          </cell>
          <cell r="N8">
            <v>623</v>
          </cell>
          <cell r="O8">
            <v>3</v>
          </cell>
          <cell r="P8">
            <v>435</v>
          </cell>
          <cell r="Q8">
            <v>2</v>
          </cell>
          <cell r="R8" t="str">
            <v>196-198</v>
          </cell>
          <cell r="S8">
            <v>174</v>
          </cell>
          <cell r="T8">
            <v>161.32</v>
          </cell>
          <cell r="U8" t="str">
            <v>-</v>
          </cell>
          <cell r="V8">
            <v>188.27</v>
          </cell>
          <cell r="W8">
            <v>11</v>
          </cell>
          <cell r="X8" t="str">
            <v>-</v>
          </cell>
        </row>
        <row r="9">
          <cell r="C9">
            <v>11421533</v>
          </cell>
          <cell r="D9" t="str">
            <v>伯希和/PELLIOT</v>
          </cell>
          <cell r="E9" t="str">
            <v>服装-上衣-Polo衫</v>
          </cell>
          <cell r="F9" t="str">
            <v>一品多商</v>
          </cell>
          <cell r="G9" t="str">
            <v>品牌直发</v>
          </cell>
          <cell r="H9">
            <v>1934</v>
          </cell>
          <cell r="I9">
            <v>10</v>
          </cell>
          <cell r="J9">
            <v>2295</v>
          </cell>
          <cell r="K9">
            <v>169</v>
          </cell>
          <cell r="L9">
            <v>221</v>
          </cell>
          <cell r="M9">
            <v>10</v>
          </cell>
          <cell r="N9">
            <v>435</v>
          </cell>
          <cell r="O9">
            <v>2</v>
          </cell>
          <cell r="P9">
            <v>639</v>
          </cell>
          <cell r="Q9">
            <v>3</v>
          </cell>
          <cell r="R9" t="str">
            <v>232-249</v>
          </cell>
          <cell r="S9">
            <v>201</v>
          </cell>
          <cell r="T9">
            <v>192.97</v>
          </cell>
          <cell r="U9" t="str">
            <v>-</v>
          </cell>
          <cell r="V9">
            <v>193.4</v>
          </cell>
          <cell r="W9">
            <v>8</v>
          </cell>
          <cell r="X9" t="str">
            <v>-</v>
          </cell>
        </row>
        <row r="10">
          <cell r="C10">
            <v>12340106</v>
          </cell>
          <cell r="D10" t="str">
            <v>伯希和/PELLIOT</v>
          </cell>
          <cell r="E10" t="str">
            <v>女装-外套-冲锋衣</v>
          </cell>
          <cell r="F10" t="str">
            <v>一品多商</v>
          </cell>
          <cell r="G10" t="str">
            <v>品牌直发</v>
          </cell>
          <cell r="H10">
            <v>4102</v>
          </cell>
          <cell r="I10">
            <v>10</v>
          </cell>
          <cell r="J10">
            <v>1451</v>
          </cell>
          <cell r="K10">
            <v>294</v>
          </cell>
          <cell r="L10">
            <v>114</v>
          </cell>
          <cell r="M10">
            <v>10</v>
          </cell>
          <cell r="N10">
            <v>1715</v>
          </cell>
          <cell r="O10">
            <v>4</v>
          </cell>
          <cell r="P10">
            <v>1305</v>
          </cell>
          <cell r="Q10">
            <v>3</v>
          </cell>
          <cell r="R10" t="str">
            <v>404-428</v>
          </cell>
          <cell r="S10">
            <v>365</v>
          </cell>
          <cell r="T10">
            <v>339.28</v>
          </cell>
          <cell r="U10" t="str">
            <v>-</v>
          </cell>
          <cell r="V10">
            <v>410.2</v>
          </cell>
          <cell r="W10">
            <v>10</v>
          </cell>
          <cell r="X10" t="str">
            <v>-</v>
          </cell>
        </row>
        <row r="11">
          <cell r="C11">
            <v>12421252</v>
          </cell>
          <cell r="D11" t="str">
            <v>伯希和/PELLIOT</v>
          </cell>
          <cell r="E11" t="str">
            <v>女装-外套-防晒服</v>
          </cell>
          <cell r="F11" t="str">
            <v>一品多商</v>
          </cell>
          <cell r="G11" t="str">
            <v>品牌直发</v>
          </cell>
          <cell r="H11">
            <v>945</v>
          </cell>
          <cell r="I11">
            <v>9</v>
          </cell>
          <cell r="J11">
            <v>553</v>
          </cell>
          <cell r="K11">
            <v>734</v>
          </cell>
          <cell r="L11">
            <v>8</v>
          </cell>
          <cell r="M11">
            <v>9</v>
          </cell>
          <cell r="N11">
            <v>0</v>
          </cell>
          <cell r="O11">
            <v>0</v>
          </cell>
          <cell r="P11">
            <v>225</v>
          </cell>
          <cell r="Q11">
            <v>2</v>
          </cell>
          <cell r="R11" t="str">
            <v>119-119</v>
          </cell>
          <cell r="S11">
            <v>93</v>
          </cell>
          <cell r="T11">
            <v>95.3</v>
          </cell>
          <cell r="U11" t="str">
            <v>-</v>
          </cell>
          <cell r="V11">
            <v>105</v>
          </cell>
          <cell r="W11">
            <v>9</v>
          </cell>
          <cell r="X11" t="str">
            <v>-</v>
          </cell>
        </row>
        <row r="12">
          <cell r="C12" t="str">
            <v>12421220-新加色</v>
          </cell>
          <cell r="D12" t="str">
            <v>伯希和/PELLIOT</v>
          </cell>
          <cell r="E12" t="str">
            <v>服装-外套-防晒服</v>
          </cell>
          <cell r="F12" t="str">
            <v>一品多商</v>
          </cell>
          <cell r="G12" t="str">
            <v>品牌直发</v>
          </cell>
          <cell r="H12">
            <v>1931</v>
          </cell>
          <cell r="I12">
            <v>8</v>
          </cell>
          <cell r="J12">
            <v>799</v>
          </cell>
          <cell r="K12">
            <v>448</v>
          </cell>
          <cell r="L12">
            <v>21</v>
          </cell>
          <cell r="M12">
            <v>8</v>
          </cell>
          <cell r="N12">
            <v>1060</v>
          </cell>
          <cell r="O12">
            <v>4</v>
          </cell>
          <cell r="P12">
            <v>533</v>
          </cell>
          <cell r="Q12">
            <v>2</v>
          </cell>
          <cell r="R12" t="str">
            <v>274-299</v>
          </cell>
          <cell r="S12">
            <v>257</v>
          </cell>
          <cell r="T12">
            <v>230.32</v>
          </cell>
          <cell r="U12" t="str">
            <v>-</v>
          </cell>
          <cell r="V12">
            <v>241.38</v>
          </cell>
          <cell r="W12">
            <v>7</v>
          </cell>
          <cell r="X12" t="str">
            <v>-</v>
          </cell>
        </row>
        <row r="13">
          <cell r="C13">
            <v>115119035</v>
          </cell>
          <cell r="D13" t="str">
            <v>伯希和/PELLIOT</v>
          </cell>
          <cell r="E13" t="str">
            <v>鞋-运动鞋-登山鞋/徒步鞋</v>
          </cell>
          <cell r="F13" t="str">
            <v>一品多商</v>
          </cell>
          <cell r="G13" t="str">
            <v>品牌直发</v>
          </cell>
          <cell r="H13">
            <v>3025</v>
          </cell>
          <cell r="I13">
            <v>8</v>
          </cell>
          <cell r="J13">
            <v>2076</v>
          </cell>
          <cell r="K13">
            <v>184</v>
          </cell>
          <cell r="L13">
            <v>129</v>
          </cell>
          <cell r="M13">
            <v>8</v>
          </cell>
          <cell r="N13">
            <v>2064</v>
          </cell>
          <cell r="O13">
            <v>6</v>
          </cell>
          <cell r="P13">
            <v>1214</v>
          </cell>
          <cell r="Q13">
            <v>3</v>
          </cell>
          <cell r="R13" t="str">
            <v>499-499</v>
          </cell>
          <cell r="S13">
            <v>399</v>
          </cell>
          <cell r="T13">
            <v>424.03</v>
          </cell>
          <cell r="U13" t="str">
            <v>-</v>
          </cell>
          <cell r="V13">
            <v>378.12</v>
          </cell>
          <cell r="W13">
            <v>8</v>
          </cell>
          <cell r="X13" t="str">
            <v>-</v>
          </cell>
        </row>
        <row r="14">
          <cell r="C14" t="str">
            <v>11340105-新加色</v>
          </cell>
          <cell r="D14" t="str">
            <v>伯希和/PELLIOT</v>
          </cell>
          <cell r="E14" t="str">
            <v>服装-外套-冲锋衣</v>
          </cell>
          <cell r="F14" t="str">
            <v>一品多商</v>
          </cell>
          <cell r="G14" t="str">
            <v>品牌直发</v>
          </cell>
          <cell r="H14">
            <v>3017</v>
          </cell>
          <cell r="I14">
            <v>7</v>
          </cell>
          <cell r="J14">
            <v>1194</v>
          </cell>
          <cell r="K14">
            <v>278</v>
          </cell>
          <cell r="L14">
            <v>47</v>
          </cell>
          <cell r="M14">
            <v>7</v>
          </cell>
          <cell r="N14">
            <v>1825</v>
          </cell>
          <cell r="O14">
            <v>4</v>
          </cell>
          <cell r="P14">
            <v>926</v>
          </cell>
          <cell r="Q14">
            <v>2</v>
          </cell>
          <cell r="R14" t="str">
            <v>440-499</v>
          </cell>
          <cell r="S14">
            <v>401</v>
          </cell>
          <cell r="T14">
            <v>372.31</v>
          </cell>
          <cell r="U14" t="str">
            <v>-</v>
          </cell>
          <cell r="V14">
            <v>431</v>
          </cell>
          <cell r="W14">
            <v>6</v>
          </cell>
          <cell r="X14" t="str">
            <v>-</v>
          </cell>
        </row>
        <row r="15">
          <cell r="C15">
            <v>115119025</v>
          </cell>
          <cell r="D15" t="str">
            <v>伯希和/PELLIOT</v>
          </cell>
          <cell r="E15" t="str">
            <v>鞋-运动鞋-越野跑鞋</v>
          </cell>
          <cell r="F15" t="str">
            <v>一品多商</v>
          </cell>
          <cell r="G15" t="str">
            <v>品牌直发</v>
          </cell>
          <cell r="H15">
            <v>1691</v>
          </cell>
          <cell r="I15">
            <v>6</v>
          </cell>
          <cell r="J15">
            <v>1290</v>
          </cell>
          <cell r="K15">
            <v>258</v>
          </cell>
          <cell r="L15">
            <v>56</v>
          </cell>
          <cell r="M15">
            <v>6</v>
          </cell>
          <cell r="N15">
            <v>0</v>
          </cell>
          <cell r="O15">
            <v>0</v>
          </cell>
          <cell r="P15">
            <v>591</v>
          </cell>
          <cell r="Q15">
            <v>2</v>
          </cell>
          <cell r="R15" t="str">
            <v>354-399</v>
          </cell>
          <cell r="S15">
            <v>322</v>
          </cell>
          <cell r="T15">
            <v>297.37</v>
          </cell>
          <cell r="U15" t="str">
            <v>-</v>
          </cell>
          <cell r="V15">
            <v>281.83</v>
          </cell>
          <cell r="W15">
            <v>6</v>
          </cell>
          <cell r="X15" t="str">
            <v>-</v>
          </cell>
        </row>
        <row r="16">
          <cell r="C16">
            <v>12421228</v>
          </cell>
          <cell r="D16" t="str">
            <v>伯希和/PELLIOT</v>
          </cell>
          <cell r="E16" t="str">
            <v>女装-外套-防晒服</v>
          </cell>
          <cell r="F16" t="str">
            <v>一品多商</v>
          </cell>
          <cell r="G16" t="str">
            <v>品牌直发</v>
          </cell>
          <cell r="H16">
            <v>418</v>
          </cell>
          <cell r="I16">
            <v>5</v>
          </cell>
          <cell r="J16">
            <v>482</v>
          </cell>
          <cell r="K16">
            <v>562</v>
          </cell>
          <cell r="L16">
            <v>9</v>
          </cell>
          <cell r="M16">
            <v>5</v>
          </cell>
          <cell r="N16">
            <v>198</v>
          </cell>
          <cell r="O16">
            <v>2</v>
          </cell>
          <cell r="P16">
            <v>0</v>
          </cell>
          <cell r="Q16">
            <v>0</v>
          </cell>
          <cell r="R16" t="str">
            <v>107-179</v>
          </cell>
          <cell r="S16">
            <v>107</v>
          </cell>
          <cell r="T16">
            <v>84.89</v>
          </cell>
          <cell r="U16" t="str">
            <v>-</v>
          </cell>
          <cell r="V16">
            <v>83.6</v>
          </cell>
          <cell r="W16">
            <v>4</v>
          </cell>
          <cell r="X16" t="str">
            <v>-</v>
          </cell>
        </row>
        <row r="17">
          <cell r="C17">
            <v>114301029</v>
          </cell>
          <cell r="D17" t="str">
            <v>伯希和/PELLIOT</v>
          </cell>
          <cell r="E17" t="str">
            <v>服装-外套-冲锋衣</v>
          </cell>
          <cell r="F17" t="str">
            <v>一品多商</v>
          </cell>
          <cell r="G17" t="str">
            <v>品牌直发</v>
          </cell>
          <cell r="H17">
            <v>2523</v>
          </cell>
          <cell r="I17">
            <v>5</v>
          </cell>
          <cell r="J17">
            <v>495</v>
          </cell>
          <cell r="K17">
            <v>547</v>
          </cell>
          <cell r="L17">
            <v>14</v>
          </cell>
          <cell r="M17">
            <v>5</v>
          </cell>
          <cell r="N17">
            <v>0</v>
          </cell>
          <cell r="O17">
            <v>0</v>
          </cell>
          <cell r="P17">
            <v>1064</v>
          </cell>
          <cell r="Q17">
            <v>2</v>
          </cell>
          <cell r="R17" t="str">
            <v>451-499</v>
          </cell>
          <cell r="S17">
            <v>412</v>
          </cell>
          <cell r="T17">
            <v>381.86</v>
          </cell>
          <cell r="U17" t="str">
            <v>-</v>
          </cell>
          <cell r="V17">
            <v>504.6</v>
          </cell>
          <cell r="W17">
            <v>4</v>
          </cell>
          <cell r="X17" t="str">
            <v>-</v>
          </cell>
        </row>
        <row r="18">
          <cell r="C18">
            <v>11421415</v>
          </cell>
          <cell r="D18" t="str">
            <v>伯希和/PELLIOT</v>
          </cell>
          <cell r="E18" t="str">
            <v>服装-户外运动服-速干裤</v>
          </cell>
          <cell r="F18" t="str">
            <v>一品多商</v>
          </cell>
          <cell r="G18" t="str">
            <v>品牌直发</v>
          </cell>
          <cell r="H18">
            <v>915</v>
          </cell>
          <cell r="I18">
            <v>4</v>
          </cell>
          <cell r="J18">
            <v>1709</v>
          </cell>
          <cell r="K18">
            <v>160</v>
          </cell>
          <cell r="L18">
            <v>118</v>
          </cell>
          <cell r="M18">
            <v>4</v>
          </cell>
          <cell r="N18">
            <v>239</v>
          </cell>
          <cell r="O18">
            <v>1</v>
          </cell>
          <cell r="P18">
            <v>239</v>
          </cell>
          <cell r="Q18">
            <v>1</v>
          </cell>
          <cell r="R18" t="str">
            <v>214-214</v>
          </cell>
          <cell r="S18">
            <v>201</v>
          </cell>
          <cell r="T18">
            <v>176.94</v>
          </cell>
          <cell r="U18" t="str">
            <v>-</v>
          </cell>
          <cell r="V18">
            <v>228.75</v>
          </cell>
          <cell r="W18">
            <v>4</v>
          </cell>
          <cell r="X18" t="str">
            <v>-</v>
          </cell>
        </row>
        <row r="19">
          <cell r="C19">
            <v>11421425</v>
          </cell>
          <cell r="D19" t="str">
            <v>伯希和/PELLIOT</v>
          </cell>
          <cell r="E19" t="str">
            <v>服装-长裤-针织运动裤</v>
          </cell>
          <cell r="F19" t="str">
            <v>一品多商</v>
          </cell>
          <cell r="G19" t="str">
            <v>品牌直发</v>
          </cell>
          <cell r="H19">
            <v>580</v>
          </cell>
          <cell r="I19">
            <v>4</v>
          </cell>
          <cell r="J19">
            <v>416</v>
          </cell>
          <cell r="K19">
            <v>650</v>
          </cell>
          <cell r="L19">
            <v>4</v>
          </cell>
          <cell r="M19">
            <v>4</v>
          </cell>
          <cell r="N19">
            <v>0</v>
          </cell>
          <cell r="O19">
            <v>0</v>
          </cell>
          <cell r="P19">
            <v>160</v>
          </cell>
          <cell r="Q19">
            <v>1</v>
          </cell>
          <cell r="R19" t="str">
            <v>135-135</v>
          </cell>
          <cell r="S19">
            <v>108</v>
          </cell>
          <cell r="T19">
            <v>110.07</v>
          </cell>
          <cell r="U19" t="str">
            <v>-</v>
          </cell>
          <cell r="V19">
            <v>145</v>
          </cell>
          <cell r="W19">
            <v>4</v>
          </cell>
          <cell r="X19" t="str">
            <v>-</v>
          </cell>
        </row>
        <row r="20">
          <cell r="C20">
            <v>11421509</v>
          </cell>
          <cell r="D20" t="str">
            <v>伯希和/PELLIOT</v>
          </cell>
          <cell r="E20" t="str">
            <v>服装-上衣-T恤</v>
          </cell>
          <cell r="F20" t="str">
            <v>一品多商</v>
          </cell>
          <cell r="G20" t="str">
            <v>品牌直发</v>
          </cell>
          <cell r="H20">
            <v>373</v>
          </cell>
          <cell r="I20">
            <v>3</v>
          </cell>
          <cell r="J20">
            <v>1278</v>
          </cell>
          <cell r="K20">
            <v>184</v>
          </cell>
          <cell r="L20">
            <v>35</v>
          </cell>
          <cell r="M20">
            <v>3</v>
          </cell>
          <cell r="N20">
            <v>0</v>
          </cell>
          <cell r="O20">
            <v>0</v>
          </cell>
          <cell r="P20">
            <v>141</v>
          </cell>
          <cell r="Q20">
            <v>1</v>
          </cell>
          <cell r="R20" t="str">
            <v>125-139</v>
          </cell>
          <cell r="S20">
            <v>114</v>
          </cell>
          <cell r="T20">
            <v>101.29</v>
          </cell>
          <cell r="U20" t="str">
            <v>-</v>
          </cell>
          <cell r="V20">
            <v>124.33</v>
          </cell>
          <cell r="W20">
            <v>3</v>
          </cell>
          <cell r="X20" t="str">
            <v>-</v>
          </cell>
        </row>
        <row r="21">
          <cell r="C21">
            <v>11340105</v>
          </cell>
          <cell r="D21" t="str">
            <v>伯希和/PELLIOT</v>
          </cell>
          <cell r="E21" t="str">
            <v>服装-外套-冲锋衣</v>
          </cell>
          <cell r="F21" t="str">
            <v>一品多商</v>
          </cell>
          <cell r="G21" t="str">
            <v>品牌直发</v>
          </cell>
          <cell r="H21">
            <v>1374</v>
          </cell>
          <cell r="I21">
            <v>3</v>
          </cell>
          <cell r="J21">
            <v>1468</v>
          </cell>
          <cell r="K21">
            <v>160</v>
          </cell>
          <cell r="L21">
            <v>91</v>
          </cell>
          <cell r="M21">
            <v>3</v>
          </cell>
          <cell r="N21">
            <v>1350</v>
          </cell>
          <cell r="O21">
            <v>3</v>
          </cell>
          <cell r="P21">
            <v>0</v>
          </cell>
          <cell r="Q21">
            <v>0</v>
          </cell>
          <cell r="R21" t="str">
            <v>437-489</v>
          </cell>
          <cell r="S21">
            <v>389</v>
          </cell>
          <cell r="T21">
            <v>369.71</v>
          </cell>
          <cell r="U21" t="str">
            <v>-</v>
          </cell>
          <cell r="V21">
            <v>458</v>
          </cell>
          <cell r="W21">
            <v>3</v>
          </cell>
          <cell r="X21" t="str">
            <v>-</v>
          </cell>
        </row>
        <row r="22">
          <cell r="C22">
            <v>115212003</v>
          </cell>
          <cell r="D22" t="str">
            <v>伯希和/PELLIOT</v>
          </cell>
          <cell r="E22" t="str">
            <v>服装-外套-防晒服</v>
          </cell>
          <cell r="F22" t="str">
            <v>一品多商</v>
          </cell>
          <cell r="G22" t="str">
            <v>品牌直发</v>
          </cell>
          <cell r="H22">
            <v>606</v>
          </cell>
          <cell r="I22">
            <v>3</v>
          </cell>
          <cell r="J22">
            <v>919</v>
          </cell>
          <cell r="K22">
            <v>255</v>
          </cell>
          <cell r="L22">
            <v>31</v>
          </cell>
          <cell r="M22">
            <v>3</v>
          </cell>
          <cell r="N22">
            <v>0</v>
          </cell>
          <cell r="O22">
            <v>0</v>
          </cell>
          <cell r="P22">
            <v>440</v>
          </cell>
          <cell r="Q22">
            <v>2</v>
          </cell>
          <cell r="R22" t="str">
            <v>246-269</v>
          </cell>
          <cell r="S22">
            <v>246</v>
          </cell>
          <cell r="T22">
            <v>206.02</v>
          </cell>
          <cell r="U22" t="str">
            <v>-</v>
          </cell>
          <cell r="V22">
            <v>202</v>
          </cell>
          <cell r="W22">
            <v>3</v>
          </cell>
          <cell r="X22" t="str">
            <v>-</v>
          </cell>
        </row>
        <row r="23">
          <cell r="C23">
            <v>115107003</v>
          </cell>
          <cell r="D23" t="str">
            <v>伯希和/PELLIOT</v>
          </cell>
          <cell r="E23" t="str">
            <v>服装-长裤-软壳裤</v>
          </cell>
          <cell r="F23" t="str">
            <v>一品多商</v>
          </cell>
          <cell r="G23" t="str">
            <v>品牌直发</v>
          </cell>
          <cell r="H23">
            <v>1498</v>
          </cell>
          <cell r="I23">
            <v>3</v>
          </cell>
          <cell r="J23">
            <v>662</v>
          </cell>
          <cell r="K23">
            <v>355</v>
          </cell>
          <cell r="L23">
            <v>10</v>
          </cell>
          <cell r="M23">
            <v>3</v>
          </cell>
          <cell r="N23">
            <v>0</v>
          </cell>
          <cell r="O23">
            <v>0</v>
          </cell>
          <cell r="P23">
            <v>519</v>
          </cell>
          <cell r="Q23">
            <v>1</v>
          </cell>
          <cell r="R23" t="str">
            <v>550-550</v>
          </cell>
          <cell r="S23">
            <v>429</v>
          </cell>
          <cell r="T23">
            <v>467.49</v>
          </cell>
          <cell r="U23" t="str">
            <v>-</v>
          </cell>
          <cell r="V23">
            <v>499.33</v>
          </cell>
          <cell r="W23">
            <v>3</v>
          </cell>
          <cell r="X23" t="str">
            <v>-</v>
          </cell>
        </row>
        <row r="24">
          <cell r="C24">
            <v>11411909</v>
          </cell>
          <cell r="D24" t="str">
            <v>伯希和/PELLIOT</v>
          </cell>
          <cell r="E24" t="str">
            <v>鞋-运动鞋-登山鞋/徒步鞋</v>
          </cell>
          <cell r="F24" t="str">
            <v>一品多商</v>
          </cell>
          <cell r="G24" t="str">
            <v>品牌直发</v>
          </cell>
          <cell r="H24">
            <v>990</v>
          </cell>
          <cell r="I24">
            <v>3</v>
          </cell>
          <cell r="J24">
            <v>536</v>
          </cell>
          <cell r="K24">
            <v>438</v>
          </cell>
          <cell r="L24">
            <v>7</v>
          </cell>
          <cell r="M24">
            <v>3</v>
          </cell>
          <cell r="N24">
            <v>0</v>
          </cell>
          <cell r="O24">
            <v>0</v>
          </cell>
          <cell r="P24">
            <v>349</v>
          </cell>
          <cell r="Q24">
            <v>1</v>
          </cell>
          <cell r="R24" t="str">
            <v>369-369</v>
          </cell>
          <cell r="S24">
            <v>258</v>
          </cell>
          <cell r="T24">
            <v>311.19</v>
          </cell>
          <cell r="U24" t="str">
            <v>-</v>
          </cell>
          <cell r="V24">
            <v>330</v>
          </cell>
          <cell r="W24">
            <v>3</v>
          </cell>
          <cell r="X24" t="str">
            <v>-</v>
          </cell>
        </row>
        <row r="25">
          <cell r="C25" t="str">
            <v>112340164-271037</v>
          </cell>
          <cell r="D25" t="str">
            <v>伯希和/PELLIOT</v>
          </cell>
          <cell r="E25" t="str">
            <v>服装-外套-冲锋衣</v>
          </cell>
          <cell r="F25" t="str">
            <v>一品多商</v>
          </cell>
          <cell r="G25" t="str">
            <v>品牌直发</v>
          </cell>
          <cell r="H25">
            <v>1285</v>
          </cell>
          <cell r="I25">
            <v>2</v>
          </cell>
          <cell r="J25">
            <v>508</v>
          </cell>
          <cell r="K25">
            <v>377</v>
          </cell>
          <cell r="L25">
            <v>8</v>
          </cell>
          <cell r="M25">
            <v>2</v>
          </cell>
          <cell r="N25">
            <v>0</v>
          </cell>
          <cell r="O25">
            <v>0</v>
          </cell>
          <cell r="P25">
            <v>0</v>
          </cell>
          <cell r="Q25">
            <v>0</v>
          </cell>
          <cell r="R25" t="str">
            <v>629-699</v>
          </cell>
          <cell r="S25">
            <v>629</v>
          </cell>
          <cell r="T25">
            <v>536.36</v>
          </cell>
          <cell r="U25" t="str">
            <v>-</v>
          </cell>
          <cell r="V25">
            <v>642.5</v>
          </cell>
          <cell r="W25">
            <v>2</v>
          </cell>
          <cell r="X25" t="str">
            <v>-</v>
          </cell>
        </row>
        <row r="26">
          <cell r="C26">
            <v>115214025</v>
          </cell>
          <cell r="D26" t="str">
            <v>伯希和/PELLIOT</v>
          </cell>
          <cell r="E26" t="str">
            <v>服装-户外运动服-速干裤</v>
          </cell>
          <cell r="F26" t="str">
            <v>一品多商</v>
          </cell>
          <cell r="G26" t="str">
            <v>品牌直发</v>
          </cell>
          <cell r="H26">
            <v>484</v>
          </cell>
          <cell r="I26">
            <v>2</v>
          </cell>
          <cell r="J26">
            <v>660</v>
          </cell>
          <cell r="K26">
            <v>290</v>
          </cell>
          <cell r="L26">
            <v>13</v>
          </cell>
          <cell r="M26">
            <v>2</v>
          </cell>
          <cell r="N26">
            <v>0</v>
          </cell>
          <cell r="O26">
            <v>0</v>
          </cell>
          <cell r="P26">
            <v>0</v>
          </cell>
          <cell r="Q26">
            <v>0</v>
          </cell>
          <cell r="R26" t="str">
            <v>287-299</v>
          </cell>
          <cell r="S26">
            <v>259</v>
          </cell>
          <cell r="T26">
            <v>240.31</v>
          </cell>
          <cell r="U26" t="str">
            <v>-</v>
          </cell>
          <cell r="V26">
            <v>242</v>
          </cell>
          <cell r="W26">
            <v>2</v>
          </cell>
          <cell r="X26" t="str">
            <v>-</v>
          </cell>
        </row>
        <row r="27">
          <cell r="C27">
            <v>12321218</v>
          </cell>
          <cell r="D27" t="str">
            <v>伯希和/PELLIOT</v>
          </cell>
          <cell r="E27" t="str">
            <v>女装-外套-防晒服</v>
          </cell>
          <cell r="F27" t="str">
            <v>一品多商</v>
          </cell>
          <cell r="G27" t="str">
            <v>品牌直发</v>
          </cell>
          <cell r="H27">
            <v>166</v>
          </cell>
          <cell r="I27">
            <v>2</v>
          </cell>
          <cell r="J27">
            <v>1435</v>
          </cell>
          <cell r="K27">
            <v>133</v>
          </cell>
          <cell r="L27">
            <v>59</v>
          </cell>
          <cell r="M27">
            <v>2</v>
          </cell>
          <cell r="N27">
            <v>103</v>
          </cell>
          <cell r="O27">
            <v>2</v>
          </cell>
          <cell r="P27">
            <v>0</v>
          </cell>
          <cell r="Q27">
            <v>0</v>
          </cell>
          <cell r="R27" t="str">
            <v>-</v>
          </cell>
          <cell r="S27">
            <v>95</v>
          </cell>
          <cell r="T27" t="str">
            <v>-</v>
          </cell>
          <cell r="U27" t="str">
            <v>-</v>
          </cell>
          <cell r="V27">
            <v>83</v>
          </cell>
          <cell r="W27">
            <v>2</v>
          </cell>
          <cell r="X27" t="str">
            <v>-</v>
          </cell>
        </row>
        <row r="28">
          <cell r="C28">
            <v>11040105</v>
          </cell>
          <cell r="D28" t="str">
            <v>伯希和/PELLIOT</v>
          </cell>
          <cell r="E28" t="str">
            <v>服装-外套-冲锋衣</v>
          </cell>
          <cell r="F28" t="str">
            <v>一品多商</v>
          </cell>
          <cell r="G28" t="str">
            <v>品牌直发</v>
          </cell>
          <cell r="H28">
            <v>941</v>
          </cell>
          <cell r="I28">
            <v>2</v>
          </cell>
          <cell r="J28">
            <v>503</v>
          </cell>
          <cell r="K28">
            <v>381</v>
          </cell>
          <cell r="L28">
            <v>19</v>
          </cell>
          <cell r="M28">
            <v>2</v>
          </cell>
          <cell r="N28">
            <v>0</v>
          </cell>
          <cell r="O28">
            <v>0</v>
          </cell>
          <cell r="P28">
            <v>492</v>
          </cell>
          <cell r="Q28">
            <v>1</v>
          </cell>
          <cell r="R28" t="str">
            <v>599-599</v>
          </cell>
          <cell r="S28">
            <v>469</v>
          </cell>
          <cell r="T28">
            <v>510.32</v>
          </cell>
          <cell r="U28" t="str">
            <v>-</v>
          </cell>
          <cell r="V28">
            <v>470.5</v>
          </cell>
          <cell r="W28">
            <v>2</v>
          </cell>
          <cell r="X28" t="str">
            <v>-</v>
          </cell>
        </row>
        <row r="29">
          <cell r="C29" t="str">
            <v>124101048-新加色</v>
          </cell>
          <cell r="D29" t="str">
            <v>伯希和/PELLIOT</v>
          </cell>
          <cell r="E29" t="str">
            <v>服装-外套-冲锋衣</v>
          </cell>
          <cell r="F29" t="str">
            <v>一品多商</v>
          </cell>
          <cell r="G29" t="str">
            <v>品牌直发</v>
          </cell>
          <cell r="H29">
            <v>1274</v>
          </cell>
          <cell r="I29">
            <v>2</v>
          </cell>
          <cell r="J29">
            <v>1210</v>
          </cell>
          <cell r="K29">
            <v>160</v>
          </cell>
          <cell r="L29">
            <v>76</v>
          </cell>
          <cell r="M29">
            <v>2</v>
          </cell>
          <cell r="N29">
            <v>0</v>
          </cell>
          <cell r="O29">
            <v>0</v>
          </cell>
          <cell r="P29">
            <v>1310</v>
          </cell>
          <cell r="Q29">
            <v>2</v>
          </cell>
          <cell r="R29" t="str">
            <v>640-690</v>
          </cell>
          <cell r="S29">
            <v>546</v>
          </cell>
          <cell r="T29">
            <v>545.91</v>
          </cell>
          <cell r="U29" t="str">
            <v>-</v>
          </cell>
          <cell r="V29">
            <v>637</v>
          </cell>
          <cell r="W29">
            <v>2</v>
          </cell>
          <cell r="X29" t="str">
            <v>-</v>
          </cell>
        </row>
        <row r="30">
          <cell r="C30">
            <v>124301070</v>
          </cell>
          <cell r="D30" t="str">
            <v>伯希和/PELLIOT</v>
          </cell>
          <cell r="E30" t="str">
            <v>服装-外套-冲锋衣</v>
          </cell>
          <cell r="F30" t="str">
            <v>一品多商</v>
          </cell>
          <cell r="G30" t="str">
            <v>品牌直发</v>
          </cell>
          <cell r="H30">
            <v>1592</v>
          </cell>
          <cell r="I30">
            <v>2</v>
          </cell>
          <cell r="J30">
            <v>972</v>
          </cell>
          <cell r="K30">
            <v>198</v>
          </cell>
          <cell r="L30">
            <v>41</v>
          </cell>
          <cell r="M30">
            <v>2</v>
          </cell>
          <cell r="N30">
            <v>0</v>
          </cell>
          <cell r="O30">
            <v>0</v>
          </cell>
          <cell r="P30">
            <v>819</v>
          </cell>
          <cell r="Q30">
            <v>1</v>
          </cell>
          <cell r="R30" t="str">
            <v>833-890</v>
          </cell>
          <cell r="S30">
            <v>660</v>
          </cell>
          <cell r="T30">
            <v>713.43</v>
          </cell>
          <cell r="U30" t="str">
            <v>-</v>
          </cell>
          <cell r="V30">
            <v>796</v>
          </cell>
          <cell r="W30">
            <v>2</v>
          </cell>
          <cell r="X30" t="str">
            <v>-</v>
          </cell>
        </row>
        <row r="31">
          <cell r="C31">
            <v>114306147</v>
          </cell>
          <cell r="D31" t="str">
            <v>伯希和/PELLIOT</v>
          </cell>
          <cell r="E31" t="str">
            <v>服装-外套-软壳衣</v>
          </cell>
          <cell r="F31" t="str">
            <v>一品多商</v>
          </cell>
          <cell r="G31" t="str">
            <v>品牌直发</v>
          </cell>
          <cell r="H31">
            <v>902</v>
          </cell>
          <cell r="I31">
            <v>2</v>
          </cell>
          <cell r="J31">
            <v>1105</v>
          </cell>
          <cell r="K31">
            <v>173</v>
          </cell>
          <cell r="L31">
            <v>57</v>
          </cell>
          <cell r="M31">
            <v>2</v>
          </cell>
          <cell r="N31">
            <v>469</v>
          </cell>
          <cell r="O31">
            <v>1</v>
          </cell>
          <cell r="P31">
            <v>0</v>
          </cell>
          <cell r="Q31">
            <v>0</v>
          </cell>
          <cell r="R31" t="str">
            <v>409-490</v>
          </cell>
          <cell r="S31">
            <v>299</v>
          </cell>
          <cell r="T31">
            <v>344.8</v>
          </cell>
          <cell r="U31" t="str">
            <v>-</v>
          </cell>
          <cell r="V31">
            <v>451</v>
          </cell>
          <cell r="W31">
            <v>2</v>
          </cell>
          <cell r="X31" t="str">
            <v>-</v>
          </cell>
        </row>
        <row r="32">
          <cell r="C32">
            <v>114301085</v>
          </cell>
          <cell r="D32" t="str">
            <v>伯希和/PELLIOT</v>
          </cell>
          <cell r="E32" t="str">
            <v>服装-外套-冲锋衣</v>
          </cell>
          <cell r="F32" t="str">
            <v>一品多商</v>
          </cell>
          <cell r="G32" t="str">
            <v>品牌直发</v>
          </cell>
          <cell r="H32">
            <v>1575</v>
          </cell>
          <cell r="I32">
            <v>1</v>
          </cell>
          <cell r="J32">
            <v>498</v>
          </cell>
          <cell r="K32">
            <v>273</v>
          </cell>
          <cell r="L32">
            <v>6</v>
          </cell>
          <cell r="M32">
            <v>1</v>
          </cell>
          <cell r="N32">
            <v>0</v>
          </cell>
          <cell r="O32">
            <v>0</v>
          </cell>
          <cell r="P32">
            <v>0</v>
          </cell>
          <cell r="Q32">
            <v>0</v>
          </cell>
          <cell r="R32" t="str">
            <v>1681-1700</v>
          </cell>
          <cell r="S32">
            <v>1057</v>
          </cell>
          <cell r="T32">
            <v>1449.5</v>
          </cell>
          <cell r="U32" t="str">
            <v>-</v>
          </cell>
          <cell r="V32">
            <v>1575</v>
          </cell>
          <cell r="W32">
            <v>1</v>
          </cell>
          <cell r="X32" t="str">
            <v>-</v>
          </cell>
        </row>
        <row r="33">
          <cell r="C33">
            <v>115215025</v>
          </cell>
          <cell r="D33" t="str">
            <v>伯希和/PELLIOT</v>
          </cell>
          <cell r="E33" t="str">
            <v>服装-户外运动服-速干T恤</v>
          </cell>
          <cell r="F33" t="str">
            <v>一品多商</v>
          </cell>
          <cell r="G33" t="str">
            <v>品牌直发</v>
          </cell>
          <cell r="H33">
            <v>250</v>
          </cell>
          <cell r="I33">
            <v>1</v>
          </cell>
          <cell r="J33">
            <v>1435</v>
          </cell>
          <cell r="K33">
            <v>97</v>
          </cell>
          <cell r="L33">
            <v>69</v>
          </cell>
          <cell r="M33">
            <v>1</v>
          </cell>
          <cell r="N33">
            <v>0</v>
          </cell>
          <cell r="O33">
            <v>0</v>
          </cell>
          <cell r="P33">
            <v>0</v>
          </cell>
          <cell r="Q33">
            <v>0</v>
          </cell>
          <cell r="R33" t="str">
            <v>239-239</v>
          </cell>
          <cell r="S33">
            <v>209</v>
          </cell>
          <cell r="T33">
            <v>198.74</v>
          </cell>
          <cell r="U33" t="str">
            <v>-</v>
          </cell>
          <cell r="V33">
            <v>250</v>
          </cell>
          <cell r="W33">
            <v>1</v>
          </cell>
          <cell r="X33" t="str">
            <v>-</v>
          </cell>
        </row>
        <row r="34">
          <cell r="C34">
            <v>115301054</v>
          </cell>
          <cell r="D34" t="str">
            <v>伯希和/PELLIOT</v>
          </cell>
          <cell r="E34" t="str">
            <v>服装-外套-冲锋衣</v>
          </cell>
          <cell r="F34" t="str">
            <v>一品多商</v>
          </cell>
          <cell r="G34" t="str">
            <v>品牌直发</v>
          </cell>
          <cell r="H34">
            <v>547</v>
          </cell>
          <cell r="I34">
            <v>1</v>
          </cell>
          <cell r="J34">
            <v>537</v>
          </cell>
          <cell r="K34">
            <v>252</v>
          </cell>
          <cell r="L34">
            <v>9</v>
          </cell>
          <cell r="M34">
            <v>1</v>
          </cell>
          <cell r="N34">
            <v>0</v>
          </cell>
          <cell r="O34">
            <v>0</v>
          </cell>
          <cell r="P34">
            <v>0</v>
          </cell>
          <cell r="Q34">
            <v>0</v>
          </cell>
          <cell r="R34" t="str">
            <v>542-589</v>
          </cell>
          <cell r="S34">
            <v>480</v>
          </cell>
          <cell r="T34">
            <v>460.85</v>
          </cell>
          <cell r="U34" t="str">
            <v>-</v>
          </cell>
          <cell r="V34">
            <v>547</v>
          </cell>
          <cell r="W34">
            <v>1</v>
          </cell>
          <cell r="X34" t="str">
            <v>-</v>
          </cell>
        </row>
        <row r="35">
          <cell r="C35">
            <v>115119031</v>
          </cell>
          <cell r="D35" t="str">
            <v>伯希和/PELLIOT</v>
          </cell>
          <cell r="E35" t="str">
            <v>鞋-运动鞋-登山鞋/徒步鞋</v>
          </cell>
          <cell r="F35" t="str">
            <v>一品多商</v>
          </cell>
          <cell r="G35" t="str">
            <v>品牌直发</v>
          </cell>
          <cell r="H35">
            <v>728</v>
          </cell>
          <cell r="I35">
            <v>1</v>
          </cell>
          <cell r="J35">
            <v>429</v>
          </cell>
          <cell r="K35">
            <v>316</v>
          </cell>
          <cell r="L35">
            <v>9</v>
          </cell>
          <cell r="M35">
            <v>1</v>
          </cell>
          <cell r="N35">
            <v>0</v>
          </cell>
          <cell r="O35">
            <v>0</v>
          </cell>
          <cell r="P35">
            <v>0</v>
          </cell>
          <cell r="Q35">
            <v>0</v>
          </cell>
          <cell r="R35" t="str">
            <v>689-742</v>
          </cell>
          <cell r="S35">
            <v>689</v>
          </cell>
          <cell r="T35">
            <v>588.95</v>
          </cell>
          <cell r="U35" t="str">
            <v>-</v>
          </cell>
          <cell r="V35">
            <v>728</v>
          </cell>
          <cell r="W35">
            <v>1</v>
          </cell>
          <cell r="X35" t="str">
            <v>-</v>
          </cell>
        </row>
        <row r="36">
          <cell r="C36">
            <v>114401041</v>
          </cell>
          <cell r="D36" t="str">
            <v>伯希和/PELLIOT</v>
          </cell>
          <cell r="E36" t="str">
            <v>服装-外套-冲锋衣</v>
          </cell>
          <cell r="F36" t="str">
            <v>一品多商</v>
          </cell>
          <cell r="G36" t="str">
            <v>品牌直发</v>
          </cell>
          <cell r="H36">
            <v>913</v>
          </cell>
          <cell r="I36">
            <v>1</v>
          </cell>
          <cell r="J36">
            <v>1446</v>
          </cell>
          <cell r="K36">
            <v>90</v>
          </cell>
          <cell r="L36">
            <v>75</v>
          </cell>
          <cell r="M36">
            <v>1</v>
          </cell>
          <cell r="N36">
            <v>0</v>
          </cell>
          <cell r="O36">
            <v>0</v>
          </cell>
          <cell r="P36">
            <v>0</v>
          </cell>
          <cell r="Q36">
            <v>0</v>
          </cell>
          <cell r="R36" t="str">
            <v>878-990</v>
          </cell>
          <cell r="S36">
            <v>789</v>
          </cell>
          <cell r="T36">
            <v>752.49</v>
          </cell>
          <cell r="U36" t="str">
            <v>-</v>
          </cell>
          <cell r="V36">
            <v>913</v>
          </cell>
          <cell r="W36">
            <v>1</v>
          </cell>
          <cell r="X36" t="str">
            <v>-</v>
          </cell>
        </row>
        <row r="37">
          <cell r="C37">
            <v>114301033</v>
          </cell>
          <cell r="D37" t="str">
            <v>伯希和/PELLIOT</v>
          </cell>
          <cell r="E37" t="str">
            <v>服装-外套-冲锋衣</v>
          </cell>
          <cell r="F37" t="str">
            <v>一品多商</v>
          </cell>
          <cell r="G37" t="str">
            <v>品牌直发</v>
          </cell>
          <cell r="H37">
            <v>538</v>
          </cell>
          <cell r="I37">
            <v>1</v>
          </cell>
          <cell r="J37">
            <v>413</v>
          </cell>
          <cell r="K37">
            <v>327</v>
          </cell>
          <cell r="L37">
            <v>7</v>
          </cell>
          <cell r="M37">
            <v>1</v>
          </cell>
          <cell r="N37">
            <v>0</v>
          </cell>
          <cell r="O37">
            <v>0</v>
          </cell>
          <cell r="P37">
            <v>560</v>
          </cell>
          <cell r="Q37">
            <v>1</v>
          </cell>
          <cell r="R37" t="str">
            <v>559-559</v>
          </cell>
          <cell r="S37">
            <v>394</v>
          </cell>
          <cell r="T37">
            <v>475.6</v>
          </cell>
          <cell r="U37" t="str">
            <v>-</v>
          </cell>
          <cell r="V37">
            <v>538</v>
          </cell>
          <cell r="W37">
            <v>1</v>
          </cell>
          <cell r="X37" t="str">
            <v>-</v>
          </cell>
        </row>
        <row r="38">
          <cell r="C38">
            <v>124301030</v>
          </cell>
          <cell r="D38" t="str">
            <v>伯希和/PELLIOT</v>
          </cell>
          <cell r="E38" t="str">
            <v>女装-外套-冲锋衣</v>
          </cell>
          <cell r="F38" t="str">
            <v>一品多商</v>
          </cell>
          <cell r="G38" t="str">
            <v>品牌直发</v>
          </cell>
          <cell r="H38">
            <v>516</v>
          </cell>
          <cell r="I38">
            <v>1</v>
          </cell>
          <cell r="J38">
            <v>551</v>
          </cell>
          <cell r="K38">
            <v>247</v>
          </cell>
          <cell r="L38">
            <v>14</v>
          </cell>
          <cell r="M38">
            <v>1</v>
          </cell>
          <cell r="N38">
            <v>0</v>
          </cell>
          <cell r="O38">
            <v>0</v>
          </cell>
          <cell r="P38">
            <v>541</v>
          </cell>
          <cell r="Q38">
            <v>1</v>
          </cell>
          <cell r="R38" t="str">
            <v>479-479</v>
          </cell>
          <cell r="S38">
            <v>431</v>
          </cell>
          <cell r="T38">
            <v>404.38</v>
          </cell>
          <cell r="U38" t="str">
            <v>-</v>
          </cell>
          <cell r="V38">
            <v>516</v>
          </cell>
          <cell r="W38">
            <v>1</v>
          </cell>
          <cell r="X38" t="str">
            <v>-</v>
          </cell>
        </row>
        <row r="39">
          <cell r="C39">
            <v>11421409</v>
          </cell>
          <cell r="D39" t="str">
            <v>伯希和/PELLIOT</v>
          </cell>
          <cell r="E39" t="str">
            <v>服装-户外运动服-速干裤</v>
          </cell>
          <cell r="F39" t="str">
            <v>一品多商</v>
          </cell>
          <cell r="G39" t="str">
            <v>品牌直发</v>
          </cell>
          <cell r="H39">
            <v>0</v>
          </cell>
          <cell r="I39">
            <v>0</v>
          </cell>
          <cell r="J39">
            <v>278</v>
          </cell>
          <cell r="K39">
            <v>0</v>
          </cell>
          <cell r="L39">
            <v>2</v>
          </cell>
          <cell r="M39">
            <v>0</v>
          </cell>
          <cell r="N39">
            <v>0</v>
          </cell>
          <cell r="O39">
            <v>0</v>
          </cell>
          <cell r="P39">
            <v>0</v>
          </cell>
          <cell r="Q39">
            <v>0</v>
          </cell>
          <cell r="R39" t="str">
            <v>-</v>
          </cell>
          <cell r="S39">
            <v>155</v>
          </cell>
          <cell r="T39" t="str">
            <v>-</v>
          </cell>
          <cell r="U39" t="str">
            <v>-</v>
          </cell>
          <cell r="V39">
            <v>0</v>
          </cell>
          <cell r="W39">
            <v>0</v>
          </cell>
          <cell r="X39" t="str">
            <v>-</v>
          </cell>
        </row>
        <row r="40">
          <cell r="C40">
            <v>12421250</v>
          </cell>
          <cell r="D40" t="str">
            <v>伯希和/PELLIOT</v>
          </cell>
          <cell r="E40" t="str">
            <v>女装-外套-防晒服</v>
          </cell>
          <cell r="F40" t="str">
            <v>一品多商</v>
          </cell>
          <cell r="G40" t="str">
            <v>品牌直发</v>
          </cell>
          <cell r="H40">
            <v>0</v>
          </cell>
          <cell r="I40">
            <v>0</v>
          </cell>
          <cell r="J40">
            <v>523</v>
          </cell>
          <cell r="K40">
            <v>0</v>
          </cell>
          <cell r="L40">
            <v>10</v>
          </cell>
          <cell r="M40">
            <v>0</v>
          </cell>
          <cell r="N40">
            <v>0</v>
          </cell>
          <cell r="O40">
            <v>0</v>
          </cell>
          <cell r="P40">
            <v>0</v>
          </cell>
          <cell r="Q40">
            <v>0</v>
          </cell>
          <cell r="R40" t="str">
            <v>259-259</v>
          </cell>
          <cell r="S40">
            <v>229</v>
          </cell>
          <cell r="T40">
            <v>216.82</v>
          </cell>
          <cell r="U40" t="str">
            <v>-</v>
          </cell>
          <cell r="V40">
            <v>0</v>
          </cell>
          <cell r="W40">
            <v>0</v>
          </cell>
          <cell r="X40" t="str">
            <v>-</v>
          </cell>
        </row>
        <row r="41">
          <cell r="C41">
            <v>12421534</v>
          </cell>
          <cell r="D41" t="str">
            <v>伯希和/PELLIOT</v>
          </cell>
          <cell r="E41" t="str">
            <v>女装-上衣-Polo衫</v>
          </cell>
          <cell r="F41" t="str">
            <v>一品多商</v>
          </cell>
          <cell r="G41" t="str">
            <v>品牌直发</v>
          </cell>
          <cell r="H41">
            <v>0</v>
          </cell>
          <cell r="I41">
            <v>0</v>
          </cell>
          <cell r="J41">
            <v>1360</v>
          </cell>
          <cell r="K41">
            <v>0</v>
          </cell>
          <cell r="L41">
            <v>41</v>
          </cell>
          <cell r="M41">
            <v>0</v>
          </cell>
          <cell r="N41">
            <v>0</v>
          </cell>
          <cell r="O41">
            <v>0</v>
          </cell>
          <cell r="P41">
            <v>0</v>
          </cell>
          <cell r="Q41">
            <v>0</v>
          </cell>
          <cell r="R41" t="str">
            <v>241-269</v>
          </cell>
          <cell r="S41">
            <v>229</v>
          </cell>
          <cell r="T41">
            <v>199.5</v>
          </cell>
          <cell r="U41" t="str">
            <v>-</v>
          </cell>
          <cell r="V41">
            <v>0</v>
          </cell>
          <cell r="W41">
            <v>0</v>
          </cell>
          <cell r="X41" t="str">
            <v>-</v>
          </cell>
        </row>
        <row r="42">
          <cell r="C42">
            <v>12421254</v>
          </cell>
          <cell r="D42" t="str">
            <v>伯希和/PELLIOT</v>
          </cell>
          <cell r="E42" t="str">
            <v>女装-外套-防晒服</v>
          </cell>
          <cell r="F42" t="str">
            <v>一品多商</v>
          </cell>
          <cell r="G42" t="str">
            <v>品牌直发</v>
          </cell>
          <cell r="H42">
            <v>0</v>
          </cell>
          <cell r="I42">
            <v>0</v>
          </cell>
          <cell r="J42">
            <v>548</v>
          </cell>
          <cell r="K42">
            <v>0</v>
          </cell>
          <cell r="L42">
            <v>7</v>
          </cell>
          <cell r="M42">
            <v>0</v>
          </cell>
          <cell r="N42">
            <v>0</v>
          </cell>
          <cell r="O42">
            <v>0</v>
          </cell>
          <cell r="P42">
            <v>0</v>
          </cell>
          <cell r="Q42">
            <v>0</v>
          </cell>
          <cell r="R42" t="str">
            <v>241-249</v>
          </cell>
          <cell r="S42">
            <v>241</v>
          </cell>
          <cell r="T42">
            <v>201.2</v>
          </cell>
          <cell r="U42" t="str">
            <v>-</v>
          </cell>
          <cell r="V42">
            <v>0</v>
          </cell>
          <cell r="W42">
            <v>0</v>
          </cell>
          <cell r="X42" t="str">
            <v>-</v>
          </cell>
        </row>
        <row r="43">
          <cell r="C43" t="str">
            <v>12340164-新加色</v>
          </cell>
          <cell r="D43" t="str">
            <v>伯希和/PELLIOT</v>
          </cell>
          <cell r="E43" t="str">
            <v>服装-外套-冲锋衣</v>
          </cell>
          <cell r="F43" t="str">
            <v>一品多商</v>
          </cell>
          <cell r="G43" t="str">
            <v>品牌直发</v>
          </cell>
          <cell r="H43">
            <v>0</v>
          </cell>
          <cell r="I43">
            <v>0</v>
          </cell>
          <cell r="J43">
            <v>753</v>
          </cell>
          <cell r="K43">
            <v>0</v>
          </cell>
          <cell r="L43">
            <v>30</v>
          </cell>
          <cell r="M43">
            <v>0</v>
          </cell>
          <cell r="N43">
            <v>0</v>
          </cell>
          <cell r="O43">
            <v>0</v>
          </cell>
          <cell r="P43">
            <v>0</v>
          </cell>
          <cell r="Q43">
            <v>0</v>
          </cell>
          <cell r="R43" t="str">
            <v>656-699</v>
          </cell>
          <cell r="S43">
            <v>597</v>
          </cell>
          <cell r="T43">
            <v>559.8</v>
          </cell>
          <cell r="U43" t="str">
            <v>-</v>
          </cell>
          <cell r="V43">
            <v>0</v>
          </cell>
          <cell r="W43">
            <v>0</v>
          </cell>
          <cell r="X43" t="str">
            <v>-</v>
          </cell>
        </row>
        <row r="44">
          <cell r="C44">
            <v>12340806</v>
          </cell>
          <cell r="D44" t="str">
            <v>伯希和/PELLIOT</v>
          </cell>
          <cell r="E44" t="str">
            <v>女装-外套-羽绒服</v>
          </cell>
          <cell r="F44" t="str">
            <v>一品多商</v>
          </cell>
          <cell r="G44" t="str">
            <v>品牌直发</v>
          </cell>
          <cell r="H44">
            <v>0</v>
          </cell>
          <cell r="I44">
            <v>0</v>
          </cell>
          <cell r="J44">
            <v>2321</v>
          </cell>
          <cell r="K44">
            <v>0</v>
          </cell>
          <cell r="L44">
            <v>88</v>
          </cell>
          <cell r="M44">
            <v>0</v>
          </cell>
          <cell r="N44">
            <v>0</v>
          </cell>
          <cell r="O44">
            <v>0</v>
          </cell>
          <cell r="P44">
            <v>0</v>
          </cell>
          <cell r="Q44">
            <v>0</v>
          </cell>
          <cell r="R44" t="str">
            <v>1574-1790</v>
          </cell>
          <cell r="S44">
            <v>1398</v>
          </cell>
          <cell r="T44">
            <v>1354.74</v>
          </cell>
          <cell r="U44" t="str">
            <v>-</v>
          </cell>
          <cell r="V44">
            <v>0</v>
          </cell>
          <cell r="W44">
            <v>0</v>
          </cell>
          <cell r="X44" t="str">
            <v>-</v>
          </cell>
        </row>
        <row r="45">
          <cell r="C45">
            <v>12340822</v>
          </cell>
          <cell r="D45" t="str">
            <v>伯希和/PELLIOT</v>
          </cell>
          <cell r="E45" t="str">
            <v>女装-外套-羽绒服</v>
          </cell>
          <cell r="F45" t="str">
            <v>一品多商</v>
          </cell>
          <cell r="G45" t="str">
            <v>品牌直发</v>
          </cell>
          <cell r="H45">
            <v>0</v>
          </cell>
          <cell r="I45">
            <v>0</v>
          </cell>
          <cell r="J45">
            <v>1232</v>
          </cell>
          <cell r="K45">
            <v>0</v>
          </cell>
          <cell r="L45">
            <v>71</v>
          </cell>
          <cell r="M45">
            <v>0</v>
          </cell>
          <cell r="N45">
            <v>0</v>
          </cell>
          <cell r="O45">
            <v>0</v>
          </cell>
          <cell r="P45">
            <v>0</v>
          </cell>
          <cell r="Q45">
            <v>0</v>
          </cell>
          <cell r="R45" t="str">
            <v>650-650</v>
          </cell>
          <cell r="S45">
            <v>565</v>
          </cell>
          <cell r="T45">
            <v>552.71</v>
          </cell>
          <cell r="U45" t="str">
            <v>-</v>
          </cell>
          <cell r="V45">
            <v>0</v>
          </cell>
          <cell r="W45">
            <v>0</v>
          </cell>
          <cell r="X45" t="str">
            <v>-</v>
          </cell>
        </row>
        <row r="46">
          <cell r="C46">
            <v>12330602</v>
          </cell>
          <cell r="D46" t="str">
            <v>伯希和/PELLIOT</v>
          </cell>
          <cell r="E46" t="str">
            <v>女装-外套-软壳衣</v>
          </cell>
          <cell r="F46" t="str">
            <v>一品多商</v>
          </cell>
          <cell r="G46" t="str">
            <v>品牌直发</v>
          </cell>
          <cell r="H46">
            <v>0</v>
          </cell>
          <cell r="I46">
            <v>0</v>
          </cell>
          <cell r="J46">
            <v>481</v>
          </cell>
          <cell r="K46">
            <v>0</v>
          </cell>
          <cell r="L46">
            <v>3</v>
          </cell>
          <cell r="M46">
            <v>0</v>
          </cell>
          <cell r="N46">
            <v>0</v>
          </cell>
          <cell r="O46">
            <v>0</v>
          </cell>
          <cell r="P46">
            <v>0</v>
          </cell>
          <cell r="Q46">
            <v>0</v>
          </cell>
          <cell r="R46" t="str">
            <v>389-399</v>
          </cell>
          <cell r="S46">
            <v>296</v>
          </cell>
          <cell r="T46">
            <v>325.46</v>
          </cell>
          <cell r="U46" t="str">
            <v>-</v>
          </cell>
          <cell r="V46">
            <v>0</v>
          </cell>
          <cell r="W46">
            <v>0</v>
          </cell>
          <cell r="X46" t="str">
            <v>-</v>
          </cell>
        </row>
        <row r="47">
          <cell r="C47">
            <v>11121411</v>
          </cell>
          <cell r="D47" t="str">
            <v>伯希和/PELLIOT</v>
          </cell>
          <cell r="E47" t="str">
            <v>服装-户外运动服-速干裤</v>
          </cell>
          <cell r="F47" t="str">
            <v>一品多商</v>
          </cell>
          <cell r="G47" t="str">
            <v>品牌直发</v>
          </cell>
          <cell r="H47">
            <v>0</v>
          </cell>
          <cell r="I47">
            <v>0</v>
          </cell>
          <cell r="J47">
            <v>448</v>
          </cell>
          <cell r="K47">
            <v>0</v>
          </cell>
          <cell r="L47">
            <v>7</v>
          </cell>
          <cell r="M47">
            <v>0</v>
          </cell>
          <cell r="N47">
            <v>0</v>
          </cell>
          <cell r="O47">
            <v>0</v>
          </cell>
          <cell r="P47">
            <v>0</v>
          </cell>
          <cell r="Q47">
            <v>0</v>
          </cell>
          <cell r="R47" t="str">
            <v>-</v>
          </cell>
          <cell r="S47">
            <v>178</v>
          </cell>
          <cell r="T47" t="str">
            <v>-</v>
          </cell>
          <cell r="U47" t="str">
            <v>-</v>
          </cell>
          <cell r="V47">
            <v>0</v>
          </cell>
          <cell r="W47">
            <v>0</v>
          </cell>
          <cell r="X47" t="str">
            <v>-</v>
          </cell>
        </row>
        <row r="48">
          <cell r="C48">
            <v>11321405</v>
          </cell>
          <cell r="D48" t="str">
            <v>伯希和/PELLIOT</v>
          </cell>
          <cell r="E48" t="str">
            <v>服装-户外运动服-速干裤</v>
          </cell>
          <cell r="F48" t="str">
            <v>一品多商</v>
          </cell>
          <cell r="G48" t="str">
            <v>品牌直发</v>
          </cell>
          <cell r="H48">
            <v>0</v>
          </cell>
          <cell r="I48">
            <v>0</v>
          </cell>
          <cell r="J48">
            <v>523</v>
          </cell>
          <cell r="K48">
            <v>0</v>
          </cell>
          <cell r="L48">
            <v>11</v>
          </cell>
          <cell r="M48">
            <v>0</v>
          </cell>
          <cell r="N48">
            <v>0</v>
          </cell>
          <cell r="O48">
            <v>0</v>
          </cell>
          <cell r="P48">
            <v>0</v>
          </cell>
          <cell r="Q48">
            <v>0</v>
          </cell>
          <cell r="R48" t="str">
            <v>273-299</v>
          </cell>
          <cell r="S48">
            <v>250</v>
          </cell>
          <cell r="T48">
            <v>228.15</v>
          </cell>
          <cell r="U48" t="str">
            <v>-</v>
          </cell>
          <cell r="V48">
            <v>0</v>
          </cell>
          <cell r="W48">
            <v>0</v>
          </cell>
          <cell r="X48" t="str">
            <v>-</v>
          </cell>
        </row>
        <row r="49">
          <cell r="C49">
            <v>12321414</v>
          </cell>
          <cell r="D49" t="str">
            <v>伯希和/PELLIOT</v>
          </cell>
          <cell r="E49" t="str">
            <v>女装-户外运动服-速干裤</v>
          </cell>
          <cell r="F49" t="str">
            <v>一品一商</v>
          </cell>
          <cell r="G49" t="str">
            <v>品牌直发</v>
          </cell>
          <cell r="H49">
            <v>0</v>
          </cell>
          <cell r="I49">
            <v>0</v>
          </cell>
          <cell r="J49">
            <v>89</v>
          </cell>
          <cell r="K49">
            <v>0</v>
          </cell>
          <cell r="L49">
            <v>1</v>
          </cell>
          <cell r="M49">
            <v>0</v>
          </cell>
          <cell r="N49">
            <v>0</v>
          </cell>
          <cell r="O49">
            <v>0</v>
          </cell>
          <cell r="P49">
            <v>0</v>
          </cell>
          <cell r="Q49">
            <v>0</v>
          </cell>
          <cell r="R49" t="str">
            <v>-</v>
          </cell>
          <cell r="S49" t="str">
            <v>-</v>
          </cell>
          <cell r="T49" t="str">
            <v>-</v>
          </cell>
          <cell r="U49" t="str">
            <v>-</v>
          </cell>
          <cell r="V49">
            <v>0</v>
          </cell>
          <cell r="W49">
            <v>0</v>
          </cell>
          <cell r="X49" t="str">
            <v>-</v>
          </cell>
        </row>
        <row r="50">
          <cell r="C50">
            <v>12230602</v>
          </cell>
          <cell r="D50" t="str">
            <v>伯希和/PELLIOT</v>
          </cell>
          <cell r="E50" t="str">
            <v>女装-外套-软壳衣</v>
          </cell>
          <cell r="F50" t="str">
            <v>一品多商</v>
          </cell>
          <cell r="G50" t="str">
            <v>品牌直发</v>
          </cell>
          <cell r="H50">
            <v>0</v>
          </cell>
          <cell r="I50">
            <v>0</v>
          </cell>
          <cell r="J50">
            <v>467</v>
          </cell>
          <cell r="K50">
            <v>0</v>
          </cell>
          <cell r="L50">
            <v>8</v>
          </cell>
          <cell r="M50">
            <v>0</v>
          </cell>
          <cell r="N50">
            <v>0</v>
          </cell>
          <cell r="O50">
            <v>0</v>
          </cell>
          <cell r="P50">
            <v>0</v>
          </cell>
          <cell r="Q50">
            <v>0</v>
          </cell>
          <cell r="R50" t="str">
            <v>379-379</v>
          </cell>
          <cell r="S50">
            <v>314</v>
          </cell>
          <cell r="T50">
            <v>316.78</v>
          </cell>
          <cell r="U50" t="str">
            <v>-</v>
          </cell>
          <cell r="V50">
            <v>0</v>
          </cell>
          <cell r="W50">
            <v>0</v>
          </cell>
          <cell r="X50" t="str">
            <v>-</v>
          </cell>
        </row>
        <row r="51">
          <cell r="C51">
            <v>11230601</v>
          </cell>
          <cell r="D51" t="str">
            <v>伯希和/PELLIOT</v>
          </cell>
          <cell r="E51" t="str">
            <v>服装-外套-软壳衣</v>
          </cell>
          <cell r="F51" t="str">
            <v>一品多商</v>
          </cell>
          <cell r="G51" t="str">
            <v>品牌直发</v>
          </cell>
          <cell r="H51">
            <v>0</v>
          </cell>
          <cell r="I51">
            <v>0</v>
          </cell>
          <cell r="J51">
            <v>632</v>
          </cell>
          <cell r="K51">
            <v>0</v>
          </cell>
          <cell r="L51">
            <v>25</v>
          </cell>
          <cell r="M51">
            <v>0</v>
          </cell>
          <cell r="N51">
            <v>0</v>
          </cell>
          <cell r="O51">
            <v>0</v>
          </cell>
          <cell r="P51">
            <v>0</v>
          </cell>
          <cell r="Q51">
            <v>0</v>
          </cell>
          <cell r="R51" t="str">
            <v>-</v>
          </cell>
          <cell r="S51">
            <v>318</v>
          </cell>
          <cell r="T51" t="str">
            <v>-</v>
          </cell>
          <cell r="U51" t="str">
            <v>-</v>
          </cell>
          <cell r="V51">
            <v>0</v>
          </cell>
          <cell r="W51">
            <v>0</v>
          </cell>
          <cell r="X51" t="str">
            <v>-</v>
          </cell>
        </row>
        <row r="52">
          <cell r="C52">
            <v>115110021</v>
          </cell>
          <cell r="D52" t="str">
            <v>伯希和/PELLIOT</v>
          </cell>
          <cell r="E52" t="str">
            <v>服装-户外运动服-抓绒衣</v>
          </cell>
          <cell r="F52" t="str">
            <v>一品多商</v>
          </cell>
          <cell r="G52" t="str">
            <v>品牌直发</v>
          </cell>
          <cell r="H52">
            <v>0</v>
          </cell>
          <cell r="I52">
            <v>0</v>
          </cell>
          <cell r="J52">
            <v>416</v>
          </cell>
          <cell r="K52">
            <v>0</v>
          </cell>
          <cell r="L52">
            <v>12</v>
          </cell>
          <cell r="M52">
            <v>0</v>
          </cell>
          <cell r="N52">
            <v>0</v>
          </cell>
          <cell r="O52">
            <v>0</v>
          </cell>
          <cell r="P52">
            <v>0</v>
          </cell>
          <cell r="Q52">
            <v>0</v>
          </cell>
          <cell r="R52" t="str">
            <v>239-239</v>
          </cell>
          <cell r="S52">
            <v>214</v>
          </cell>
          <cell r="T52">
            <v>197.64</v>
          </cell>
          <cell r="U52" t="str">
            <v>-</v>
          </cell>
          <cell r="V52">
            <v>0</v>
          </cell>
          <cell r="W52">
            <v>0</v>
          </cell>
          <cell r="X52" t="str">
            <v>-</v>
          </cell>
        </row>
        <row r="53">
          <cell r="C53">
            <v>112240128</v>
          </cell>
          <cell r="D53" t="str">
            <v>伯希和/PELLIOT</v>
          </cell>
          <cell r="E53" t="str">
            <v>服装-外套-冲锋衣</v>
          </cell>
          <cell r="F53" t="str">
            <v>一品多商</v>
          </cell>
          <cell r="G53" t="str">
            <v>品牌直发</v>
          </cell>
          <cell r="H53">
            <v>0</v>
          </cell>
          <cell r="I53">
            <v>0</v>
          </cell>
          <cell r="J53">
            <v>549</v>
          </cell>
          <cell r="K53">
            <v>0</v>
          </cell>
          <cell r="L53">
            <v>10</v>
          </cell>
          <cell r="M53">
            <v>0</v>
          </cell>
          <cell r="N53">
            <v>0</v>
          </cell>
          <cell r="O53">
            <v>0</v>
          </cell>
          <cell r="P53">
            <v>0</v>
          </cell>
          <cell r="Q53">
            <v>0</v>
          </cell>
          <cell r="R53" t="str">
            <v>900-959</v>
          </cell>
          <cell r="S53">
            <v>581</v>
          </cell>
          <cell r="T53">
            <v>771.59</v>
          </cell>
          <cell r="U53" t="str">
            <v>-</v>
          </cell>
          <cell r="V53">
            <v>0</v>
          </cell>
          <cell r="W53">
            <v>0</v>
          </cell>
          <cell r="X53" t="str">
            <v>-</v>
          </cell>
        </row>
        <row r="54">
          <cell r="C54">
            <v>12040106</v>
          </cell>
          <cell r="D54" t="str">
            <v>伯希和/PELLIOT</v>
          </cell>
          <cell r="E54" t="str">
            <v>女装-外套-冲锋衣</v>
          </cell>
          <cell r="F54" t="str">
            <v>一品多商</v>
          </cell>
          <cell r="G54" t="str">
            <v>品牌直发</v>
          </cell>
          <cell r="H54">
            <v>0</v>
          </cell>
          <cell r="I54">
            <v>0</v>
          </cell>
          <cell r="J54">
            <v>485</v>
          </cell>
          <cell r="K54">
            <v>0</v>
          </cell>
          <cell r="L54">
            <v>6</v>
          </cell>
          <cell r="M54">
            <v>0</v>
          </cell>
          <cell r="N54">
            <v>0</v>
          </cell>
          <cell r="O54">
            <v>0</v>
          </cell>
          <cell r="P54">
            <v>0</v>
          </cell>
          <cell r="Q54">
            <v>0</v>
          </cell>
          <cell r="R54" t="str">
            <v>599-599</v>
          </cell>
          <cell r="S54">
            <v>480</v>
          </cell>
          <cell r="T54">
            <v>508.54</v>
          </cell>
          <cell r="U54" t="str">
            <v>-</v>
          </cell>
          <cell r="V54">
            <v>0</v>
          </cell>
          <cell r="W54">
            <v>0</v>
          </cell>
          <cell r="X54" t="str">
            <v>-</v>
          </cell>
        </row>
        <row r="55">
          <cell r="C55">
            <v>125215020</v>
          </cell>
          <cell r="D55" t="str">
            <v>伯希和/PELLIOT</v>
          </cell>
          <cell r="E55" t="str">
            <v>女装-上衣-Polo衫</v>
          </cell>
          <cell r="F55" t="str">
            <v>一品多商</v>
          </cell>
          <cell r="G55" t="str">
            <v>品牌直发</v>
          </cell>
          <cell r="H55">
            <v>0</v>
          </cell>
          <cell r="I55">
            <v>0</v>
          </cell>
          <cell r="J55">
            <v>649</v>
          </cell>
          <cell r="K55">
            <v>0</v>
          </cell>
          <cell r="L55">
            <v>12</v>
          </cell>
          <cell r="M55">
            <v>0</v>
          </cell>
          <cell r="N55">
            <v>0</v>
          </cell>
          <cell r="O55">
            <v>0</v>
          </cell>
          <cell r="P55">
            <v>0</v>
          </cell>
          <cell r="Q55">
            <v>0</v>
          </cell>
          <cell r="R55" t="str">
            <v>-</v>
          </cell>
          <cell r="S55">
            <v>173</v>
          </cell>
          <cell r="T55" t="str">
            <v>-</v>
          </cell>
          <cell r="U55" t="str">
            <v>-</v>
          </cell>
          <cell r="V55">
            <v>0</v>
          </cell>
          <cell r="W55">
            <v>0</v>
          </cell>
          <cell r="X55" t="str">
            <v>-</v>
          </cell>
        </row>
        <row r="56">
          <cell r="C56">
            <v>1124301070</v>
          </cell>
          <cell r="D56" t="str">
            <v>伯希和/PELLIOT</v>
          </cell>
          <cell r="E56" t="str">
            <v>服装-外套-冲锋衣</v>
          </cell>
          <cell r="F56" t="str">
            <v>一品多商</v>
          </cell>
          <cell r="G56" t="str">
            <v>品牌直发</v>
          </cell>
          <cell r="H56">
            <v>0</v>
          </cell>
          <cell r="I56">
            <v>0</v>
          </cell>
          <cell r="J56">
            <v>928</v>
          </cell>
          <cell r="K56">
            <v>0</v>
          </cell>
          <cell r="L56">
            <v>36</v>
          </cell>
          <cell r="M56">
            <v>0</v>
          </cell>
          <cell r="N56">
            <v>0</v>
          </cell>
          <cell r="O56">
            <v>0</v>
          </cell>
          <cell r="P56">
            <v>0</v>
          </cell>
          <cell r="Q56">
            <v>0</v>
          </cell>
          <cell r="R56" t="str">
            <v>880-890</v>
          </cell>
          <cell r="S56">
            <v>805</v>
          </cell>
          <cell r="T56">
            <v>754.23</v>
          </cell>
          <cell r="U56" t="str">
            <v>-</v>
          </cell>
          <cell r="V56">
            <v>0</v>
          </cell>
          <cell r="W56">
            <v>0</v>
          </cell>
          <cell r="X56" t="str">
            <v>-</v>
          </cell>
        </row>
        <row r="57">
          <cell r="C57">
            <v>115151007</v>
          </cell>
          <cell r="D57" t="str">
            <v>伯希和/PELLIOT</v>
          </cell>
          <cell r="E57" t="str">
            <v>服装-外套-夹克</v>
          </cell>
          <cell r="F57" t="str">
            <v>一品多商</v>
          </cell>
          <cell r="G57" t="str">
            <v>品牌直发</v>
          </cell>
          <cell r="H57">
            <v>0</v>
          </cell>
          <cell r="I57">
            <v>0</v>
          </cell>
          <cell r="J57">
            <v>265</v>
          </cell>
          <cell r="K57">
            <v>0</v>
          </cell>
          <cell r="L57">
            <v>2</v>
          </cell>
          <cell r="M57">
            <v>0</v>
          </cell>
          <cell r="N57">
            <v>0</v>
          </cell>
          <cell r="O57">
            <v>0</v>
          </cell>
          <cell r="P57">
            <v>0</v>
          </cell>
          <cell r="Q57">
            <v>0</v>
          </cell>
          <cell r="R57" t="str">
            <v>449-449</v>
          </cell>
          <cell r="S57">
            <v>342</v>
          </cell>
          <cell r="T57">
            <v>381.02</v>
          </cell>
          <cell r="U57" t="str">
            <v>-</v>
          </cell>
          <cell r="V57">
            <v>0</v>
          </cell>
          <cell r="W57">
            <v>0</v>
          </cell>
          <cell r="X57" t="str">
            <v>-</v>
          </cell>
        </row>
        <row r="58">
          <cell r="C58">
            <v>115215001</v>
          </cell>
          <cell r="D58" t="str">
            <v>伯希和/PELLIOT</v>
          </cell>
          <cell r="E58" t="str">
            <v>服装-上衣-T恤</v>
          </cell>
          <cell r="F58" t="str">
            <v>一品多商</v>
          </cell>
          <cell r="G58" t="str">
            <v>品牌直发</v>
          </cell>
          <cell r="H58">
            <v>0</v>
          </cell>
          <cell r="I58">
            <v>0</v>
          </cell>
          <cell r="J58">
            <v>514</v>
          </cell>
          <cell r="K58">
            <v>0</v>
          </cell>
          <cell r="L58">
            <v>3</v>
          </cell>
          <cell r="M58">
            <v>0</v>
          </cell>
          <cell r="N58">
            <v>0</v>
          </cell>
          <cell r="O58">
            <v>0</v>
          </cell>
          <cell r="P58">
            <v>0</v>
          </cell>
          <cell r="Q58">
            <v>0</v>
          </cell>
          <cell r="R58" t="str">
            <v>239-239</v>
          </cell>
          <cell r="S58">
            <v>190</v>
          </cell>
          <cell r="T58">
            <v>200.24</v>
          </cell>
          <cell r="U58" t="str">
            <v>-</v>
          </cell>
          <cell r="V58">
            <v>0</v>
          </cell>
          <cell r="W58">
            <v>0</v>
          </cell>
          <cell r="X58" t="str">
            <v>-</v>
          </cell>
        </row>
        <row r="59">
          <cell r="C59">
            <v>115101001</v>
          </cell>
          <cell r="D59" t="str">
            <v>伯希和/PELLIOT</v>
          </cell>
          <cell r="E59" t="str">
            <v>服装-外套-冲锋衣</v>
          </cell>
          <cell r="F59" t="str">
            <v>一品多商</v>
          </cell>
          <cell r="G59" t="str">
            <v>品牌直发</v>
          </cell>
          <cell r="H59">
            <v>0</v>
          </cell>
          <cell r="I59">
            <v>0</v>
          </cell>
          <cell r="J59">
            <v>252</v>
          </cell>
          <cell r="K59">
            <v>0</v>
          </cell>
          <cell r="L59">
            <v>2</v>
          </cell>
          <cell r="M59">
            <v>0</v>
          </cell>
          <cell r="N59">
            <v>0</v>
          </cell>
          <cell r="O59">
            <v>0</v>
          </cell>
          <cell r="P59">
            <v>0</v>
          </cell>
          <cell r="Q59">
            <v>0</v>
          </cell>
          <cell r="R59" t="str">
            <v>590-590</v>
          </cell>
          <cell r="S59">
            <v>420</v>
          </cell>
          <cell r="T59">
            <v>502.51</v>
          </cell>
          <cell r="U59" t="str">
            <v>-</v>
          </cell>
          <cell r="V59">
            <v>0</v>
          </cell>
          <cell r="W59">
            <v>0</v>
          </cell>
          <cell r="X59" t="str">
            <v>-</v>
          </cell>
        </row>
        <row r="60">
          <cell r="C60">
            <v>125212004</v>
          </cell>
          <cell r="D60" t="str">
            <v>伯希和/PELLIOT</v>
          </cell>
          <cell r="E60" t="str">
            <v>女装-外套-防晒服</v>
          </cell>
          <cell r="F60" t="str">
            <v>一品多商</v>
          </cell>
          <cell r="G60" t="str">
            <v>品牌直发</v>
          </cell>
          <cell r="H60">
            <v>0</v>
          </cell>
          <cell r="I60">
            <v>0</v>
          </cell>
          <cell r="J60">
            <v>489</v>
          </cell>
          <cell r="K60">
            <v>0</v>
          </cell>
          <cell r="L60">
            <v>4</v>
          </cell>
          <cell r="M60">
            <v>0</v>
          </cell>
          <cell r="N60">
            <v>0</v>
          </cell>
          <cell r="O60">
            <v>0</v>
          </cell>
          <cell r="P60">
            <v>0</v>
          </cell>
          <cell r="Q60">
            <v>0</v>
          </cell>
          <cell r="R60" t="str">
            <v>229-229</v>
          </cell>
          <cell r="S60">
            <v>229</v>
          </cell>
          <cell r="T60">
            <v>197.65</v>
          </cell>
          <cell r="U60" t="str">
            <v>-</v>
          </cell>
          <cell r="V60">
            <v>0</v>
          </cell>
          <cell r="W60">
            <v>0</v>
          </cell>
          <cell r="X60" t="str">
            <v>-</v>
          </cell>
        </row>
        <row r="61">
          <cell r="C61">
            <v>115102001</v>
          </cell>
          <cell r="D61" t="str">
            <v>伯希和/PELLIOT</v>
          </cell>
          <cell r="E61" t="str">
            <v>服装-长裤-冲锋裤</v>
          </cell>
          <cell r="F61" t="str">
            <v>一品多商</v>
          </cell>
          <cell r="G61" t="str">
            <v>品牌直发</v>
          </cell>
          <cell r="H61">
            <v>0</v>
          </cell>
          <cell r="I61">
            <v>0</v>
          </cell>
          <cell r="J61">
            <v>498</v>
          </cell>
          <cell r="K61">
            <v>0</v>
          </cell>
          <cell r="L61">
            <v>5</v>
          </cell>
          <cell r="M61">
            <v>0</v>
          </cell>
          <cell r="N61">
            <v>0</v>
          </cell>
          <cell r="O61">
            <v>0</v>
          </cell>
          <cell r="P61">
            <v>0</v>
          </cell>
          <cell r="Q61">
            <v>0</v>
          </cell>
          <cell r="R61" t="str">
            <v>790-790</v>
          </cell>
          <cell r="S61">
            <v>659</v>
          </cell>
          <cell r="T61">
            <v>678.11</v>
          </cell>
          <cell r="U61" t="str">
            <v>-</v>
          </cell>
          <cell r="V61">
            <v>0</v>
          </cell>
          <cell r="W61">
            <v>0</v>
          </cell>
          <cell r="X61" t="str">
            <v>-</v>
          </cell>
        </row>
        <row r="62">
          <cell r="C62">
            <v>125301055</v>
          </cell>
          <cell r="D62" t="str">
            <v>伯希和/PELLIOT</v>
          </cell>
          <cell r="E62" t="str">
            <v>女装-外套-冲锋衣</v>
          </cell>
          <cell r="F62" t="str">
            <v>一品多商</v>
          </cell>
          <cell r="G62" t="str">
            <v>品牌直发</v>
          </cell>
          <cell r="H62">
            <v>0</v>
          </cell>
          <cell r="I62">
            <v>0</v>
          </cell>
          <cell r="J62">
            <v>424</v>
          </cell>
          <cell r="K62">
            <v>0</v>
          </cell>
          <cell r="L62">
            <v>6</v>
          </cell>
          <cell r="M62">
            <v>0</v>
          </cell>
          <cell r="N62">
            <v>0</v>
          </cell>
          <cell r="O62">
            <v>0</v>
          </cell>
          <cell r="P62">
            <v>0</v>
          </cell>
          <cell r="Q62">
            <v>0</v>
          </cell>
          <cell r="R62" t="str">
            <v>590-599</v>
          </cell>
          <cell r="S62">
            <v>537</v>
          </cell>
          <cell r="T62">
            <v>500.73</v>
          </cell>
          <cell r="U62" t="str">
            <v>-</v>
          </cell>
          <cell r="V62">
            <v>0</v>
          </cell>
          <cell r="W62">
            <v>0</v>
          </cell>
          <cell r="X62" t="str">
            <v>-</v>
          </cell>
        </row>
        <row r="63">
          <cell r="C63">
            <v>105212020</v>
          </cell>
          <cell r="D63" t="str">
            <v>伯希和/PELLIOT</v>
          </cell>
          <cell r="E63" t="str">
            <v>服装-外套-防晒服</v>
          </cell>
          <cell r="F63" t="str">
            <v>一品多商</v>
          </cell>
          <cell r="G63" t="str">
            <v>品牌直发</v>
          </cell>
          <cell r="H63">
            <v>0</v>
          </cell>
          <cell r="I63">
            <v>0</v>
          </cell>
          <cell r="J63">
            <v>1638</v>
          </cell>
          <cell r="K63">
            <v>0</v>
          </cell>
          <cell r="L63">
            <v>81</v>
          </cell>
          <cell r="M63">
            <v>0</v>
          </cell>
          <cell r="N63">
            <v>826</v>
          </cell>
          <cell r="O63">
            <v>3</v>
          </cell>
          <cell r="P63">
            <v>0</v>
          </cell>
          <cell r="Q63">
            <v>0</v>
          </cell>
          <cell r="R63" t="str">
            <v>235-235</v>
          </cell>
          <cell r="S63">
            <v>222</v>
          </cell>
          <cell r="T63">
            <v>196.47</v>
          </cell>
          <cell r="U63" t="str">
            <v>-</v>
          </cell>
          <cell r="V63">
            <v>0</v>
          </cell>
          <cell r="W63">
            <v>0</v>
          </cell>
          <cell r="X63" t="str">
            <v>-</v>
          </cell>
        </row>
        <row r="64">
          <cell r="C64">
            <v>114310191</v>
          </cell>
          <cell r="D64" t="str">
            <v>伯希和/PELLIOT</v>
          </cell>
          <cell r="E64" t="str">
            <v>服装-户外运动服-抓绒衣</v>
          </cell>
          <cell r="F64" t="str">
            <v>一品多商</v>
          </cell>
          <cell r="G64" t="str">
            <v>品牌直发</v>
          </cell>
          <cell r="H64">
            <v>0</v>
          </cell>
          <cell r="I64">
            <v>0</v>
          </cell>
          <cell r="J64">
            <v>250</v>
          </cell>
          <cell r="K64">
            <v>0</v>
          </cell>
          <cell r="L64">
            <v>3</v>
          </cell>
          <cell r="M64">
            <v>0</v>
          </cell>
          <cell r="N64">
            <v>0</v>
          </cell>
          <cell r="O64">
            <v>0</v>
          </cell>
          <cell r="P64">
            <v>0</v>
          </cell>
          <cell r="Q64">
            <v>0</v>
          </cell>
          <cell r="R64" t="str">
            <v>379-390</v>
          </cell>
          <cell r="S64">
            <v>299</v>
          </cell>
          <cell r="T64">
            <v>319.16</v>
          </cell>
          <cell r="U64" t="str">
            <v>-</v>
          </cell>
          <cell r="V64">
            <v>0</v>
          </cell>
          <cell r="W64">
            <v>0</v>
          </cell>
          <cell r="X64" t="str">
            <v>-</v>
          </cell>
        </row>
        <row r="65">
          <cell r="C65">
            <v>124419008</v>
          </cell>
          <cell r="D65" t="str">
            <v>伯希和/PELLIOT</v>
          </cell>
          <cell r="E65" t="str">
            <v>鞋-运动鞋-登山鞋/徒步鞋</v>
          </cell>
          <cell r="F65" t="str">
            <v>一品一商</v>
          </cell>
          <cell r="G65" t="str">
            <v>品牌直发</v>
          </cell>
          <cell r="H65">
            <v>0</v>
          </cell>
          <cell r="I65">
            <v>0</v>
          </cell>
          <cell r="J65">
            <v>99</v>
          </cell>
          <cell r="K65">
            <v>0</v>
          </cell>
          <cell r="L65">
            <v>8</v>
          </cell>
          <cell r="M65">
            <v>0</v>
          </cell>
          <cell r="N65">
            <v>0</v>
          </cell>
          <cell r="O65">
            <v>0</v>
          </cell>
          <cell r="P65">
            <v>0</v>
          </cell>
          <cell r="Q65">
            <v>0</v>
          </cell>
          <cell r="R65" t="str">
            <v>-</v>
          </cell>
          <cell r="S65" t="str">
            <v>-</v>
          </cell>
          <cell r="T65" t="str">
            <v>-</v>
          </cell>
          <cell r="U65" t="str">
            <v>-</v>
          </cell>
          <cell r="V65">
            <v>0</v>
          </cell>
          <cell r="W65">
            <v>0</v>
          </cell>
          <cell r="X65" t="str">
            <v>-</v>
          </cell>
        </row>
        <row r="66">
          <cell r="C66" t="str">
            <v>PE124314376</v>
          </cell>
          <cell r="D66" t="str">
            <v>伯希和/PELLIOT</v>
          </cell>
          <cell r="E66" t="str">
            <v>服装-户外运动服-速干裤</v>
          </cell>
          <cell r="F66" t="str">
            <v>一品多商</v>
          </cell>
          <cell r="G66" t="str">
            <v>品牌直发</v>
          </cell>
          <cell r="H66">
            <v>0</v>
          </cell>
          <cell r="I66">
            <v>0</v>
          </cell>
          <cell r="J66">
            <v>382</v>
          </cell>
          <cell r="K66">
            <v>0</v>
          </cell>
          <cell r="L66">
            <v>5</v>
          </cell>
          <cell r="M66">
            <v>0</v>
          </cell>
          <cell r="N66">
            <v>0</v>
          </cell>
          <cell r="O66">
            <v>0</v>
          </cell>
          <cell r="P66">
            <v>0</v>
          </cell>
          <cell r="Q66">
            <v>0</v>
          </cell>
          <cell r="R66" t="str">
            <v>341-341</v>
          </cell>
          <cell r="S66">
            <v>341</v>
          </cell>
          <cell r="T66">
            <v>287.18</v>
          </cell>
          <cell r="U66" t="str">
            <v>-</v>
          </cell>
          <cell r="V66">
            <v>0</v>
          </cell>
          <cell r="W66">
            <v>0</v>
          </cell>
          <cell r="X66" t="str">
            <v>-</v>
          </cell>
        </row>
        <row r="67">
          <cell r="C67">
            <v>114301001</v>
          </cell>
          <cell r="D67" t="str">
            <v>伯希和/PELLIOT</v>
          </cell>
          <cell r="E67" t="str">
            <v>服装-外套-冲锋衣</v>
          </cell>
          <cell r="F67" t="str">
            <v>一品多商</v>
          </cell>
          <cell r="G67" t="str">
            <v>品牌直发</v>
          </cell>
          <cell r="H67">
            <v>0</v>
          </cell>
          <cell r="I67">
            <v>0</v>
          </cell>
          <cell r="J67">
            <v>403</v>
          </cell>
          <cell r="K67">
            <v>0</v>
          </cell>
          <cell r="L67">
            <v>2</v>
          </cell>
          <cell r="M67">
            <v>0</v>
          </cell>
          <cell r="N67">
            <v>0</v>
          </cell>
          <cell r="O67">
            <v>0</v>
          </cell>
          <cell r="P67">
            <v>0</v>
          </cell>
          <cell r="Q67">
            <v>0</v>
          </cell>
          <cell r="R67" t="str">
            <v>448-448</v>
          </cell>
          <cell r="S67">
            <v>394</v>
          </cell>
          <cell r="T67">
            <v>379.25</v>
          </cell>
          <cell r="U67" t="str">
            <v>-</v>
          </cell>
          <cell r="V67">
            <v>0</v>
          </cell>
          <cell r="W67">
            <v>0</v>
          </cell>
          <cell r="X67" t="str">
            <v>-</v>
          </cell>
        </row>
        <row r="68">
          <cell r="C68">
            <v>11421419</v>
          </cell>
          <cell r="D68" t="str">
            <v>伯希和/PELLIOT</v>
          </cell>
          <cell r="E68" t="str">
            <v>服装-健身服-运动短裤</v>
          </cell>
          <cell r="F68" t="str">
            <v>一品一商</v>
          </cell>
          <cell r="G68" t="str">
            <v>普通现货</v>
          </cell>
          <cell r="H68">
            <v>0</v>
          </cell>
          <cell r="I68">
            <v>0</v>
          </cell>
          <cell r="J68">
            <v>130</v>
          </cell>
          <cell r="K68">
            <v>0</v>
          </cell>
          <cell r="L68">
            <v>5</v>
          </cell>
          <cell r="M68">
            <v>0</v>
          </cell>
          <cell r="N68">
            <v>0</v>
          </cell>
          <cell r="O68">
            <v>0</v>
          </cell>
          <cell r="P68">
            <v>0</v>
          </cell>
          <cell r="Q68">
            <v>0</v>
          </cell>
          <cell r="R68" t="str">
            <v>-</v>
          </cell>
          <cell r="S68" t="str">
            <v>-</v>
          </cell>
          <cell r="T68" t="str">
            <v>-</v>
          </cell>
          <cell r="U68" t="str">
            <v>-</v>
          </cell>
          <cell r="V68">
            <v>0</v>
          </cell>
          <cell r="W68">
            <v>0</v>
          </cell>
          <cell r="X68" t="str">
            <v>-</v>
          </cell>
        </row>
        <row r="69">
          <cell r="C69">
            <v>12422002</v>
          </cell>
          <cell r="D69" t="str">
            <v>伯希和/PELLIOT</v>
          </cell>
          <cell r="E69" t="str">
            <v>鞋-运动鞋-户外功能鞋</v>
          </cell>
          <cell r="F69" t="str">
            <v>一品多商</v>
          </cell>
          <cell r="G69" t="str">
            <v>品牌直发</v>
          </cell>
          <cell r="H69">
            <v>0</v>
          </cell>
          <cell r="I69">
            <v>0</v>
          </cell>
          <cell r="J69">
            <v>441</v>
          </cell>
          <cell r="K69">
            <v>0</v>
          </cell>
          <cell r="L69">
            <v>2</v>
          </cell>
          <cell r="M69">
            <v>0</v>
          </cell>
          <cell r="N69">
            <v>0</v>
          </cell>
          <cell r="O69">
            <v>0</v>
          </cell>
          <cell r="P69">
            <v>0</v>
          </cell>
          <cell r="Q69">
            <v>0</v>
          </cell>
          <cell r="R69" t="str">
            <v>268-268</v>
          </cell>
          <cell r="S69">
            <v>204</v>
          </cell>
          <cell r="T69">
            <v>223.42</v>
          </cell>
          <cell r="U69" t="str">
            <v>-</v>
          </cell>
          <cell r="V69">
            <v>0</v>
          </cell>
          <cell r="W69">
            <v>0</v>
          </cell>
          <cell r="X69" t="str">
            <v>-</v>
          </cell>
        </row>
      </sheetData>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heet1"/>
    </sheetNames>
    <sheetDataSet>
      <sheetData sheetId="0">
        <row r="1">
          <cell r="C1" t="str">
            <v>商品货号</v>
          </cell>
          <cell r="D1" t="str">
            <v>品牌名称</v>
          </cell>
          <cell r="E1" t="str">
            <v>类目名称</v>
          </cell>
          <cell r="F1" t="str">
            <v>商品类型</v>
          </cell>
          <cell r="G1" t="str">
            <v>出价渠道</v>
          </cell>
          <cell r="H1" t="str">
            <v>支付金额</v>
          </cell>
          <cell r="I1" t="str">
            <v>支付订单数</v>
          </cell>
          <cell r="J1" t="str">
            <v>商详访问人数</v>
          </cell>
          <cell r="K1" t="str">
            <v>商详转化率</v>
          </cell>
          <cell r="L1" t="str">
            <v>收藏用户数</v>
          </cell>
          <cell r="M1" t="str">
            <v>我的销量</v>
          </cell>
          <cell r="N1" t="str">
            <v>退货金额（退款时间）</v>
          </cell>
          <cell r="O1" t="str">
            <v>退货订单数（退款时间）</v>
          </cell>
          <cell r="P1" t="str">
            <v>退货金额（支付时间）</v>
          </cell>
          <cell r="Q1" t="str">
            <v>退货订单数（支付时间）</v>
          </cell>
          <cell r="R1" t="str">
            <v>我的出价（元）</v>
          </cell>
          <cell r="S1" t="str">
            <v>平台最低价（元）</v>
          </cell>
          <cell r="T1" t="str">
            <v>当前单品收入</v>
          </cell>
          <cell r="U1" t="str">
            <v>当前单品利润</v>
          </cell>
          <cell r="V1" t="str">
            <v>支付笔单价</v>
          </cell>
          <cell r="W1" t="str">
            <v>支付用户数</v>
          </cell>
        </row>
        <row r="2">
          <cell r="C2">
            <v>12421220</v>
          </cell>
          <cell r="D2" t="str">
            <v>伯希和/PELLIOT</v>
          </cell>
          <cell r="E2" t="str">
            <v>服装-外套-防晒服</v>
          </cell>
          <cell r="F2" t="str">
            <v>一品多商</v>
          </cell>
          <cell r="G2" t="str">
            <v>品牌直发</v>
          </cell>
          <cell r="H2">
            <v>12303.86</v>
          </cell>
          <cell r="I2">
            <v>57</v>
          </cell>
          <cell r="J2">
            <v>2133</v>
          </cell>
          <cell r="K2">
            <v>445</v>
          </cell>
          <cell r="L2">
            <v>210</v>
          </cell>
          <cell r="M2">
            <v>57</v>
          </cell>
          <cell r="N2">
            <v>5594</v>
          </cell>
          <cell r="O2">
            <v>27</v>
          </cell>
          <cell r="P2">
            <v>3735</v>
          </cell>
          <cell r="Q2">
            <v>18</v>
          </cell>
          <cell r="R2" t="str">
            <v>274-290</v>
          </cell>
          <cell r="S2">
            <v>259</v>
          </cell>
          <cell r="T2">
            <v>230.32</v>
          </cell>
          <cell r="U2" t="str">
            <v>-</v>
          </cell>
          <cell r="V2">
            <v>215.86</v>
          </cell>
          <cell r="W2">
            <v>49</v>
          </cell>
        </row>
        <row r="3">
          <cell r="C3">
            <v>11421507</v>
          </cell>
          <cell r="D3" t="str">
            <v>伯希和/PELLIOT</v>
          </cell>
          <cell r="E3" t="str">
            <v>服装-上衣-Polo衫</v>
          </cell>
          <cell r="F3" t="str">
            <v>一品多商</v>
          </cell>
          <cell r="G3" t="str">
            <v>品牌直发</v>
          </cell>
          <cell r="H3">
            <v>6257</v>
          </cell>
          <cell r="I3">
            <v>51</v>
          </cell>
          <cell r="J3">
            <v>3016</v>
          </cell>
          <cell r="K3">
            <v>303</v>
          </cell>
          <cell r="L3">
            <v>327</v>
          </cell>
          <cell r="M3">
            <v>51</v>
          </cell>
          <cell r="N3">
            <v>1394</v>
          </cell>
          <cell r="O3">
            <v>12</v>
          </cell>
          <cell r="P3">
            <v>956</v>
          </cell>
          <cell r="Q3">
            <v>7</v>
          </cell>
          <cell r="R3" t="str">
            <v>163-196</v>
          </cell>
          <cell r="S3">
            <v>154</v>
          </cell>
          <cell r="T3">
            <v>133.07</v>
          </cell>
          <cell r="U3" t="str">
            <v>-</v>
          </cell>
          <cell r="V3">
            <v>122.69</v>
          </cell>
          <cell r="W3">
            <v>46</v>
          </cell>
        </row>
        <row r="4">
          <cell r="C4" t="str">
            <v>PE1124101048</v>
          </cell>
          <cell r="D4" t="str">
            <v>伯希和/PELLIOT</v>
          </cell>
          <cell r="E4" t="str">
            <v>服装-外套-冲锋衣</v>
          </cell>
          <cell r="F4" t="str">
            <v>一品多商</v>
          </cell>
          <cell r="G4" t="str">
            <v>品牌直发</v>
          </cell>
          <cell r="H4">
            <v>26185</v>
          </cell>
          <cell r="I4">
            <v>47</v>
          </cell>
          <cell r="J4">
            <v>2443</v>
          </cell>
          <cell r="K4">
            <v>355</v>
          </cell>
          <cell r="L4">
            <v>252</v>
          </cell>
          <cell r="M4">
            <v>47</v>
          </cell>
          <cell r="N4">
            <v>5253</v>
          </cell>
          <cell r="O4">
            <v>9</v>
          </cell>
          <cell r="P4">
            <v>9320</v>
          </cell>
          <cell r="Q4">
            <v>18</v>
          </cell>
          <cell r="R4" t="str">
            <v>621-690</v>
          </cell>
          <cell r="S4">
            <v>499</v>
          </cell>
          <cell r="T4">
            <v>529.42</v>
          </cell>
          <cell r="U4" t="str">
            <v>-</v>
          </cell>
          <cell r="V4">
            <v>557.13</v>
          </cell>
          <cell r="W4">
            <v>41</v>
          </cell>
        </row>
        <row r="5">
          <cell r="C5">
            <v>12340164</v>
          </cell>
          <cell r="D5" t="str">
            <v>伯希和/PELLIOT</v>
          </cell>
          <cell r="E5" t="str">
            <v>服装-外套-冲锋衣</v>
          </cell>
          <cell r="F5" t="str">
            <v>一品多商</v>
          </cell>
          <cell r="G5" t="str">
            <v>品牌直发</v>
          </cell>
          <cell r="H5">
            <v>16839</v>
          </cell>
          <cell r="I5">
            <v>32</v>
          </cell>
          <cell r="J5">
            <v>1365</v>
          </cell>
          <cell r="K5">
            <v>506</v>
          </cell>
          <cell r="L5">
            <v>88</v>
          </cell>
          <cell r="M5">
            <v>32</v>
          </cell>
          <cell r="N5">
            <v>3188</v>
          </cell>
          <cell r="O5">
            <v>6</v>
          </cell>
          <cell r="P5">
            <v>4460</v>
          </cell>
          <cell r="Q5">
            <v>8</v>
          </cell>
          <cell r="R5" t="str">
            <v>608-699</v>
          </cell>
          <cell r="S5">
            <v>494</v>
          </cell>
          <cell r="T5">
            <v>518.13</v>
          </cell>
          <cell r="U5" t="str">
            <v>-</v>
          </cell>
          <cell r="V5">
            <v>526.22</v>
          </cell>
          <cell r="W5">
            <v>26</v>
          </cell>
        </row>
        <row r="6">
          <cell r="C6">
            <v>11410201</v>
          </cell>
          <cell r="D6" t="str">
            <v>伯希和/PELLIOT</v>
          </cell>
          <cell r="E6" t="str">
            <v>服装-长裤-冲锋裤</v>
          </cell>
          <cell r="F6" t="str">
            <v>一品多商</v>
          </cell>
          <cell r="G6" t="str">
            <v>品牌直发</v>
          </cell>
          <cell r="H6">
            <v>5566</v>
          </cell>
          <cell r="I6">
            <v>15</v>
          </cell>
          <cell r="J6">
            <v>1335</v>
          </cell>
          <cell r="K6">
            <v>393</v>
          </cell>
          <cell r="L6">
            <v>84</v>
          </cell>
          <cell r="M6">
            <v>15</v>
          </cell>
          <cell r="N6">
            <v>806</v>
          </cell>
          <cell r="O6">
            <v>2</v>
          </cell>
          <cell r="P6">
            <v>1970</v>
          </cell>
          <cell r="Q6">
            <v>7</v>
          </cell>
          <cell r="R6" t="str">
            <v>437-482</v>
          </cell>
          <cell r="S6">
            <v>389</v>
          </cell>
          <cell r="T6">
            <v>371.71</v>
          </cell>
          <cell r="U6" t="str">
            <v>-</v>
          </cell>
          <cell r="V6">
            <v>371.07</v>
          </cell>
          <cell r="W6">
            <v>15</v>
          </cell>
        </row>
        <row r="7">
          <cell r="C7">
            <v>12340106</v>
          </cell>
          <cell r="D7" t="str">
            <v>伯希和/PELLIOT</v>
          </cell>
          <cell r="E7" t="str">
            <v>女装-外套-冲锋衣</v>
          </cell>
          <cell r="F7" t="str">
            <v>一品多商</v>
          </cell>
          <cell r="G7" t="str">
            <v>品牌直发</v>
          </cell>
          <cell r="H7">
            <v>4896</v>
          </cell>
          <cell r="I7">
            <v>12</v>
          </cell>
          <cell r="J7">
            <v>1535</v>
          </cell>
          <cell r="K7">
            <v>292</v>
          </cell>
          <cell r="L7">
            <v>104</v>
          </cell>
          <cell r="M7">
            <v>12</v>
          </cell>
          <cell r="N7">
            <v>1293</v>
          </cell>
          <cell r="O7">
            <v>3</v>
          </cell>
          <cell r="P7">
            <v>1693</v>
          </cell>
          <cell r="Q7">
            <v>4</v>
          </cell>
          <cell r="R7" t="str">
            <v>404-428</v>
          </cell>
          <cell r="S7">
            <v>365</v>
          </cell>
          <cell r="T7">
            <v>339.28</v>
          </cell>
          <cell r="U7" t="str">
            <v>-</v>
          </cell>
          <cell r="V7">
            <v>408</v>
          </cell>
          <cell r="W7">
            <v>11</v>
          </cell>
        </row>
        <row r="8">
          <cell r="C8">
            <v>11421201</v>
          </cell>
          <cell r="D8" t="str">
            <v>伯希和/PELLIOT</v>
          </cell>
          <cell r="E8" t="str">
            <v>服装-外套-防晒服</v>
          </cell>
          <cell r="F8" t="str">
            <v>一品多商</v>
          </cell>
          <cell r="G8" t="str">
            <v>品牌直发</v>
          </cell>
          <cell r="H8">
            <v>2254.17</v>
          </cell>
          <cell r="I8">
            <v>11</v>
          </cell>
          <cell r="J8">
            <v>1184</v>
          </cell>
          <cell r="K8">
            <v>379</v>
          </cell>
          <cell r="L8">
            <v>43</v>
          </cell>
          <cell r="M8">
            <v>11</v>
          </cell>
          <cell r="N8">
            <v>388</v>
          </cell>
          <cell r="O8">
            <v>2</v>
          </cell>
          <cell r="P8">
            <v>441</v>
          </cell>
          <cell r="Q8">
            <v>2</v>
          </cell>
          <cell r="R8" t="str">
            <v>259-259</v>
          </cell>
          <cell r="S8">
            <v>209</v>
          </cell>
          <cell r="T8">
            <v>217.3</v>
          </cell>
          <cell r="U8" t="str">
            <v>-</v>
          </cell>
          <cell r="V8">
            <v>204.92</v>
          </cell>
          <cell r="W8">
            <v>11</v>
          </cell>
        </row>
        <row r="9">
          <cell r="C9">
            <v>115214024</v>
          </cell>
          <cell r="D9" t="str">
            <v>伯希和/PELLIOT</v>
          </cell>
          <cell r="E9" t="str">
            <v>服装-户外运动服-速干裤</v>
          </cell>
          <cell r="F9" t="str">
            <v>一品多商</v>
          </cell>
          <cell r="G9" t="str">
            <v>品牌直发</v>
          </cell>
          <cell r="H9">
            <v>1964</v>
          </cell>
          <cell r="I9">
            <v>10</v>
          </cell>
          <cell r="J9">
            <v>1163</v>
          </cell>
          <cell r="K9">
            <v>368</v>
          </cell>
          <cell r="L9">
            <v>39</v>
          </cell>
          <cell r="M9">
            <v>10</v>
          </cell>
          <cell r="N9">
            <v>454</v>
          </cell>
          <cell r="O9">
            <v>3</v>
          </cell>
          <cell r="P9">
            <v>0</v>
          </cell>
          <cell r="Q9">
            <v>0</v>
          </cell>
          <cell r="R9" t="str">
            <v>196-198</v>
          </cell>
          <cell r="S9">
            <v>174</v>
          </cell>
          <cell r="T9">
            <v>161.32</v>
          </cell>
          <cell r="U9" t="str">
            <v>-</v>
          </cell>
          <cell r="V9">
            <v>196.4</v>
          </cell>
          <cell r="W9">
            <v>10</v>
          </cell>
        </row>
        <row r="10">
          <cell r="C10" t="str">
            <v>12421220-新加色</v>
          </cell>
          <cell r="D10" t="str">
            <v>伯希和/PELLIOT</v>
          </cell>
          <cell r="E10" t="str">
            <v>服装-外套-防晒服</v>
          </cell>
          <cell r="F10" t="str">
            <v>一品多商</v>
          </cell>
          <cell r="G10" t="str">
            <v>品牌直发</v>
          </cell>
          <cell r="H10">
            <v>2457</v>
          </cell>
          <cell r="I10">
            <v>10</v>
          </cell>
          <cell r="J10">
            <v>917</v>
          </cell>
          <cell r="K10">
            <v>467</v>
          </cell>
          <cell r="L10">
            <v>50</v>
          </cell>
          <cell r="M10">
            <v>10</v>
          </cell>
          <cell r="N10">
            <v>231</v>
          </cell>
          <cell r="O10">
            <v>1</v>
          </cell>
          <cell r="P10">
            <v>1072</v>
          </cell>
          <cell r="Q10">
            <v>4</v>
          </cell>
          <cell r="R10" t="str">
            <v>274-299</v>
          </cell>
          <cell r="S10">
            <v>257</v>
          </cell>
          <cell r="T10">
            <v>230.32</v>
          </cell>
          <cell r="U10" t="str">
            <v>-</v>
          </cell>
          <cell r="V10">
            <v>245.7</v>
          </cell>
          <cell r="W10">
            <v>10</v>
          </cell>
        </row>
        <row r="11">
          <cell r="C11">
            <v>115119025</v>
          </cell>
          <cell r="D11" t="str">
            <v>伯希和/PELLIOT</v>
          </cell>
          <cell r="E11" t="str">
            <v>鞋-运动鞋-越野跑鞋</v>
          </cell>
          <cell r="F11" t="str">
            <v>一品多商</v>
          </cell>
          <cell r="G11" t="str">
            <v>品牌直发</v>
          </cell>
          <cell r="H11">
            <v>2881</v>
          </cell>
          <cell r="I11">
            <v>10</v>
          </cell>
          <cell r="J11">
            <v>1155</v>
          </cell>
          <cell r="K11">
            <v>372</v>
          </cell>
          <cell r="L11">
            <v>54</v>
          </cell>
          <cell r="M11">
            <v>10</v>
          </cell>
          <cell r="N11">
            <v>0</v>
          </cell>
          <cell r="O11">
            <v>0</v>
          </cell>
          <cell r="P11">
            <v>944</v>
          </cell>
          <cell r="Q11">
            <v>3</v>
          </cell>
          <cell r="R11" t="str">
            <v>354-399</v>
          </cell>
          <cell r="S11">
            <v>322</v>
          </cell>
          <cell r="T11">
            <v>297.37</v>
          </cell>
          <cell r="U11" t="str">
            <v>-</v>
          </cell>
          <cell r="V11">
            <v>288.1</v>
          </cell>
          <cell r="W11">
            <v>10</v>
          </cell>
        </row>
        <row r="12">
          <cell r="C12" t="str">
            <v>11340105-新加色</v>
          </cell>
          <cell r="D12" t="str">
            <v>伯希和/PELLIOT</v>
          </cell>
          <cell r="E12" t="str">
            <v>服装-外套-冲锋衣</v>
          </cell>
          <cell r="F12" t="str">
            <v>一品多商</v>
          </cell>
          <cell r="G12" t="str">
            <v>品牌直发</v>
          </cell>
          <cell r="H12">
            <v>3366</v>
          </cell>
          <cell r="I12">
            <v>8</v>
          </cell>
          <cell r="J12">
            <v>1181</v>
          </cell>
          <cell r="K12">
            <v>325</v>
          </cell>
          <cell r="L12">
            <v>66</v>
          </cell>
          <cell r="M12">
            <v>8</v>
          </cell>
          <cell r="N12">
            <v>408</v>
          </cell>
          <cell r="O12">
            <v>1</v>
          </cell>
          <cell r="P12">
            <v>428</v>
          </cell>
          <cell r="Q12">
            <v>1</v>
          </cell>
          <cell r="R12" t="str">
            <v>440-499</v>
          </cell>
          <cell r="S12">
            <v>401</v>
          </cell>
          <cell r="T12">
            <v>372.31</v>
          </cell>
          <cell r="U12" t="str">
            <v>-</v>
          </cell>
          <cell r="V12">
            <v>420.75</v>
          </cell>
          <cell r="W12">
            <v>8</v>
          </cell>
        </row>
        <row r="13">
          <cell r="C13">
            <v>11340105</v>
          </cell>
          <cell r="D13" t="str">
            <v>伯希和/PELLIOT</v>
          </cell>
          <cell r="E13" t="str">
            <v>服装-外套-冲锋衣</v>
          </cell>
          <cell r="F13" t="str">
            <v>一品多商</v>
          </cell>
          <cell r="G13" t="str">
            <v>品牌直发</v>
          </cell>
          <cell r="H13">
            <v>3155</v>
          </cell>
          <cell r="I13">
            <v>7</v>
          </cell>
          <cell r="J13">
            <v>1407</v>
          </cell>
          <cell r="K13">
            <v>255</v>
          </cell>
          <cell r="L13">
            <v>83</v>
          </cell>
          <cell r="M13">
            <v>7</v>
          </cell>
          <cell r="N13">
            <v>448</v>
          </cell>
          <cell r="O13">
            <v>1</v>
          </cell>
          <cell r="P13">
            <v>1436</v>
          </cell>
          <cell r="Q13">
            <v>3</v>
          </cell>
          <cell r="R13" t="str">
            <v>437-489</v>
          </cell>
          <cell r="S13">
            <v>389</v>
          </cell>
          <cell r="T13">
            <v>369.71</v>
          </cell>
          <cell r="U13" t="str">
            <v>-</v>
          </cell>
          <cell r="V13">
            <v>450.71</v>
          </cell>
          <cell r="W13">
            <v>7</v>
          </cell>
        </row>
        <row r="14">
          <cell r="C14">
            <v>115119035</v>
          </cell>
          <cell r="D14" t="str">
            <v>伯希和/PELLIOT</v>
          </cell>
          <cell r="E14" t="str">
            <v>鞋-运动鞋-登山鞋/徒步鞋</v>
          </cell>
          <cell r="F14" t="str">
            <v>一品多商</v>
          </cell>
          <cell r="G14" t="str">
            <v>品牌直发</v>
          </cell>
          <cell r="H14">
            <v>2603</v>
          </cell>
          <cell r="I14">
            <v>7</v>
          </cell>
          <cell r="J14">
            <v>1221</v>
          </cell>
          <cell r="K14">
            <v>294</v>
          </cell>
          <cell r="L14">
            <v>61</v>
          </cell>
          <cell r="M14">
            <v>7</v>
          </cell>
          <cell r="N14">
            <v>1215</v>
          </cell>
          <cell r="O14">
            <v>3</v>
          </cell>
          <cell r="P14">
            <v>358</v>
          </cell>
          <cell r="Q14">
            <v>1</v>
          </cell>
          <cell r="R14" t="str">
            <v>499-499</v>
          </cell>
          <cell r="S14">
            <v>399</v>
          </cell>
          <cell r="T14">
            <v>424.03</v>
          </cell>
          <cell r="U14" t="str">
            <v>-</v>
          </cell>
          <cell r="V14">
            <v>371.86</v>
          </cell>
          <cell r="W14">
            <v>7</v>
          </cell>
        </row>
        <row r="15">
          <cell r="C15">
            <v>11421533</v>
          </cell>
          <cell r="D15" t="str">
            <v>伯希和/PELLIOT</v>
          </cell>
          <cell r="E15" t="str">
            <v>服装-上衣-Polo衫</v>
          </cell>
          <cell r="F15" t="str">
            <v>一品多商</v>
          </cell>
          <cell r="G15" t="str">
            <v>品牌直发</v>
          </cell>
          <cell r="H15">
            <v>1215</v>
          </cell>
          <cell r="I15">
            <v>6</v>
          </cell>
          <cell r="J15">
            <v>2424</v>
          </cell>
          <cell r="K15">
            <v>138</v>
          </cell>
          <cell r="L15">
            <v>226</v>
          </cell>
          <cell r="M15">
            <v>6</v>
          </cell>
          <cell r="N15">
            <v>217</v>
          </cell>
          <cell r="O15">
            <v>1</v>
          </cell>
          <cell r="P15">
            <v>218</v>
          </cell>
          <cell r="Q15">
            <v>1</v>
          </cell>
          <cell r="R15" t="str">
            <v>232-249</v>
          </cell>
          <cell r="S15">
            <v>201</v>
          </cell>
          <cell r="T15">
            <v>192.97</v>
          </cell>
          <cell r="U15" t="str">
            <v>-</v>
          </cell>
          <cell r="V15">
            <v>202.5</v>
          </cell>
          <cell r="W15">
            <v>6</v>
          </cell>
        </row>
        <row r="16">
          <cell r="C16">
            <v>12321218</v>
          </cell>
          <cell r="D16" t="str">
            <v>伯希和/PELLIOT</v>
          </cell>
          <cell r="E16" t="str">
            <v>女装-外套-防晒服</v>
          </cell>
          <cell r="F16" t="str">
            <v>一品多商</v>
          </cell>
          <cell r="G16" t="str">
            <v>品牌直发</v>
          </cell>
          <cell r="H16">
            <v>490.95</v>
          </cell>
          <cell r="I16">
            <v>6</v>
          </cell>
          <cell r="J16">
            <v>1410</v>
          </cell>
          <cell r="K16">
            <v>236</v>
          </cell>
          <cell r="L16">
            <v>85</v>
          </cell>
          <cell r="M16">
            <v>6</v>
          </cell>
          <cell r="N16">
            <v>192</v>
          </cell>
          <cell r="O16">
            <v>2</v>
          </cell>
          <cell r="P16">
            <v>99</v>
          </cell>
          <cell r="Q16">
            <v>1</v>
          </cell>
          <cell r="R16" t="str">
            <v>-</v>
          </cell>
          <cell r="S16">
            <v>95</v>
          </cell>
          <cell r="T16" t="str">
            <v>-</v>
          </cell>
          <cell r="U16" t="str">
            <v>-</v>
          </cell>
          <cell r="V16">
            <v>81.82</v>
          </cell>
          <cell r="W16">
            <v>6</v>
          </cell>
        </row>
        <row r="17">
          <cell r="C17">
            <v>12421252</v>
          </cell>
          <cell r="D17" t="str">
            <v>伯希和/PELLIOT</v>
          </cell>
          <cell r="E17" t="str">
            <v>女装-外套-防晒服</v>
          </cell>
          <cell r="F17" t="str">
            <v>一品多商</v>
          </cell>
          <cell r="G17" t="str">
            <v>品牌直发</v>
          </cell>
          <cell r="H17">
            <v>285</v>
          </cell>
          <cell r="I17">
            <v>3</v>
          </cell>
          <cell r="J17">
            <v>528</v>
          </cell>
          <cell r="K17">
            <v>445</v>
          </cell>
          <cell r="L17">
            <v>5</v>
          </cell>
          <cell r="M17">
            <v>3</v>
          </cell>
          <cell r="N17">
            <v>238</v>
          </cell>
          <cell r="O17">
            <v>2</v>
          </cell>
          <cell r="P17">
            <v>89</v>
          </cell>
          <cell r="Q17">
            <v>1</v>
          </cell>
          <cell r="R17" t="str">
            <v>119-119</v>
          </cell>
          <cell r="S17">
            <v>93</v>
          </cell>
          <cell r="T17">
            <v>95.3</v>
          </cell>
          <cell r="U17" t="str">
            <v>-</v>
          </cell>
          <cell r="V17">
            <v>95</v>
          </cell>
          <cell r="W17">
            <v>3</v>
          </cell>
        </row>
        <row r="18">
          <cell r="C18">
            <v>11421425</v>
          </cell>
          <cell r="D18" t="str">
            <v>伯希和/PELLIOT</v>
          </cell>
          <cell r="E18" t="str">
            <v>服装-长裤-针织运动裤</v>
          </cell>
          <cell r="F18" t="str">
            <v>一品多商</v>
          </cell>
          <cell r="G18" t="str">
            <v>品牌直发</v>
          </cell>
          <cell r="H18">
            <v>415</v>
          </cell>
          <cell r="I18">
            <v>3</v>
          </cell>
          <cell r="J18">
            <v>418</v>
          </cell>
          <cell r="K18">
            <v>562</v>
          </cell>
          <cell r="L18">
            <v>8</v>
          </cell>
          <cell r="M18">
            <v>3</v>
          </cell>
          <cell r="N18">
            <v>160</v>
          </cell>
          <cell r="O18">
            <v>1</v>
          </cell>
          <cell r="P18">
            <v>300</v>
          </cell>
          <cell r="Q18">
            <v>2</v>
          </cell>
          <cell r="R18" t="str">
            <v>135-135</v>
          </cell>
          <cell r="S18">
            <v>108</v>
          </cell>
          <cell r="T18">
            <v>110.07</v>
          </cell>
          <cell r="U18" t="str">
            <v>-</v>
          </cell>
          <cell r="V18">
            <v>138.33</v>
          </cell>
          <cell r="W18">
            <v>3</v>
          </cell>
        </row>
        <row r="19">
          <cell r="C19">
            <v>115107003</v>
          </cell>
          <cell r="D19" t="str">
            <v>伯希和/PELLIOT</v>
          </cell>
          <cell r="E19" t="str">
            <v>服装-长裤-软壳裤</v>
          </cell>
          <cell r="F19" t="str">
            <v>一品多商</v>
          </cell>
          <cell r="G19" t="str">
            <v>品牌直发</v>
          </cell>
          <cell r="H19">
            <v>1483</v>
          </cell>
          <cell r="I19">
            <v>3</v>
          </cell>
          <cell r="J19">
            <v>609</v>
          </cell>
          <cell r="K19">
            <v>384</v>
          </cell>
          <cell r="L19">
            <v>8</v>
          </cell>
          <cell r="M19">
            <v>3</v>
          </cell>
          <cell r="N19">
            <v>0</v>
          </cell>
          <cell r="O19">
            <v>0</v>
          </cell>
          <cell r="P19">
            <v>1018</v>
          </cell>
          <cell r="Q19">
            <v>2</v>
          </cell>
          <cell r="R19" t="str">
            <v>550-550</v>
          </cell>
          <cell r="S19">
            <v>429</v>
          </cell>
          <cell r="T19">
            <v>467.49</v>
          </cell>
          <cell r="U19" t="str">
            <v>-</v>
          </cell>
          <cell r="V19">
            <v>494.33</v>
          </cell>
          <cell r="W19">
            <v>3</v>
          </cell>
        </row>
        <row r="20">
          <cell r="C20">
            <v>105212020</v>
          </cell>
          <cell r="D20" t="str">
            <v>伯希和/PELLIOT</v>
          </cell>
          <cell r="E20" t="str">
            <v>服装-外套-防晒服</v>
          </cell>
          <cell r="F20" t="str">
            <v>一品多商</v>
          </cell>
          <cell r="G20" t="str">
            <v>品牌直发</v>
          </cell>
          <cell r="H20">
            <v>736</v>
          </cell>
          <cell r="I20">
            <v>3</v>
          </cell>
          <cell r="J20">
            <v>1232</v>
          </cell>
          <cell r="K20">
            <v>191</v>
          </cell>
          <cell r="L20">
            <v>59</v>
          </cell>
          <cell r="M20">
            <v>3</v>
          </cell>
          <cell r="N20">
            <v>542</v>
          </cell>
          <cell r="O20">
            <v>2</v>
          </cell>
          <cell r="P20">
            <v>0</v>
          </cell>
          <cell r="Q20">
            <v>0</v>
          </cell>
          <cell r="R20" t="str">
            <v>235-235</v>
          </cell>
          <cell r="S20">
            <v>222</v>
          </cell>
          <cell r="T20">
            <v>196.47</v>
          </cell>
          <cell r="U20" t="str">
            <v>-</v>
          </cell>
          <cell r="V20">
            <v>245.33</v>
          </cell>
          <cell r="W20">
            <v>3</v>
          </cell>
        </row>
        <row r="21">
          <cell r="C21">
            <v>12421228</v>
          </cell>
          <cell r="D21" t="str">
            <v>伯希和/PELLIOT</v>
          </cell>
          <cell r="E21" t="str">
            <v>女装-外套-防晒服</v>
          </cell>
          <cell r="F21" t="str">
            <v>一品多商</v>
          </cell>
          <cell r="G21" t="str">
            <v>品牌直发</v>
          </cell>
          <cell r="H21">
            <v>259</v>
          </cell>
          <cell r="I21">
            <v>2</v>
          </cell>
          <cell r="J21">
            <v>426</v>
          </cell>
          <cell r="K21">
            <v>449</v>
          </cell>
          <cell r="L21">
            <v>10</v>
          </cell>
          <cell r="M21">
            <v>2</v>
          </cell>
          <cell r="N21">
            <v>0</v>
          </cell>
          <cell r="O21">
            <v>0</v>
          </cell>
          <cell r="P21">
            <v>0</v>
          </cell>
          <cell r="Q21">
            <v>0</v>
          </cell>
          <cell r="R21" t="str">
            <v>107-179</v>
          </cell>
          <cell r="S21">
            <v>107</v>
          </cell>
          <cell r="T21">
            <v>84.89</v>
          </cell>
          <cell r="U21" t="str">
            <v>-</v>
          </cell>
          <cell r="V21">
            <v>129.5</v>
          </cell>
          <cell r="W21">
            <v>2</v>
          </cell>
        </row>
        <row r="22">
          <cell r="C22">
            <v>12421534</v>
          </cell>
          <cell r="D22" t="str">
            <v>伯希和/PELLIOT</v>
          </cell>
          <cell r="E22" t="str">
            <v>女装-上衣-Polo衫</v>
          </cell>
          <cell r="F22" t="str">
            <v>一品多商</v>
          </cell>
          <cell r="G22" t="str">
            <v>品牌直发</v>
          </cell>
          <cell r="H22">
            <v>474</v>
          </cell>
          <cell r="I22">
            <v>2</v>
          </cell>
          <cell r="J22">
            <v>816</v>
          </cell>
          <cell r="K22">
            <v>236</v>
          </cell>
          <cell r="L22">
            <v>13</v>
          </cell>
          <cell r="M22">
            <v>2</v>
          </cell>
          <cell r="N22">
            <v>0</v>
          </cell>
          <cell r="O22">
            <v>0</v>
          </cell>
          <cell r="P22">
            <v>255</v>
          </cell>
          <cell r="Q22">
            <v>1</v>
          </cell>
          <cell r="R22" t="str">
            <v>241-269</v>
          </cell>
          <cell r="S22">
            <v>229</v>
          </cell>
          <cell r="T22">
            <v>199.5</v>
          </cell>
          <cell r="U22" t="str">
            <v>-</v>
          </cell>
          <cell r="V22">
            <v>237</v>
          </cell>
          <cell r="W22">
            <v>2</v>
          </cell>
        </row>
        <row r="23">
          <cell r="C23">
            <v>115214025</v>
          </cell>
          <cell r="D23" t="str">
            <v>伯希和/PELLIOT</v>
          </cell>
          <cell r="E23" t="str">
            <v>服装-户外运动服-速干裤</v>
          </cell>
          <cell r="F23" t="str">
            <v>一品多商</v>
          </cell>
          <cell r="G23" t="str">
            <v>品牌直发</v>
          </cell>
          <cell r="H23">
            <v>484</v>
          </cell>
          <cell r="I23">
            <v>2</v>
          </cell>
          <cell r="J23">
            <v>674</v>
          </cell>
          <cell r="K23">
            <v>285</v>
          </cell>
          <cell r="L23">
            <v>14</v>
          </cell>
          <cell r="M23">
            <v>2</v>
          </cell>
          <cell r="N23">
            <v>0</v>
          </cell>
          <cell r="O23">
            <v>0</v>
          </cell>
          <cell r="P23">
            <v>260</v>
          </cell>
          <cell r="Q23">
            <v>1</v>
          </cell>
          <cell r="R23" t="str">
            <v>287-299</v>
          </cell>
          <cell r="S23">
            <v>259</v>
          </cell>
          <cell r="T23">
            <v>240.31</v>
          </cell>
          <cell r="U23" t="str">
            <v>-</v>
          </cell>
          <cell r="V23">
            <v>242</v>
          </cell>
          <cell r="W23">
            <v>2</v>
          </cell>
        </row>
        <row r="24">
          <cell r="C24">
            <v>12040106</v>
          </cell>
          <cell r="D24" t="str">
            <v>伯希和/PELLIOT</v>
          </cell>
          <cell r="E24" t="str">
            <v>女装-外套-冲锋衣</v>
          </cell>
          <cell r="F24" t="str">
            <v>一品多商</v>
          </cell>
          <cell r="G24" t="str">
            <v>品牌直发</v>
          </cell>
          <cell r="H24">
            <v>1069</v>
          </cell>
          <cell r="I24">
            <v>2</v>
          </cell>
          <cell r="J24">
            <v>449</v>
          </cell>
          <cell r="K24">
            <v>426</v>
          </cell>
          <cell r="L24">
            <v>9</v>
          </cell>
          <cell r="M24">
            <v>2</v>
          </cell>
          <cell r="N24">
            <v>0</v>
          </cell>
          <cell r="O24">
            <v>0</v>
          </cell>
          <cell r="P24">
            <v>0</v>
          </cell>
          <cell r="Q24">
            <v>0</v>
          </cell>
          <cell r="R24" t="str">
            <v>599-599</v>
          </cell>
          <cell r="S24">
            <v>480</v>
          </cell>
          <cell r="T24">
            <v>508.54</v>
          </cell>
          <cell r="U24" t="str">
            <v>-</v>
          </cell>
          <cell r="V24">
            <v>534.5</v>
          </cell>
          <cell r="W24">
            <v>2</v>
          </cell>
        </row>
        <row r="25">
          <cell r="C25">
            <v>115212003</v>
          </cell>
          <cell r="D25" t="str">
            <v>伯希和/PELLIOT</v>
          </cell>
          <cell r="E25" t="str">
            <v>服装-外套-防晒服</v>
          </cell>
          <cell r="F25" t="str">
            <v>一品多商</v>
          </cell>
          <cell r="G25" t="str">
            <v>品牌直发</v>
          </cell>
          <cell r="H25">
            <v>404</v>
          </cell>
          <cell r="I25">
            <v>2</v>
          </cell>
          <cell r="J25">
            <v>869</v>
          </cell>
          <cell r="K25">
            <v>221</v>
          </cell>
          <cell r="L25">
            <v>24</v>
          </cell>
          <cell r="M25">
            <v>2</v>
          </cell>
          <cell r="N25">
            <v>0</v>
          </cell>
          <cell r="O25">
            <v>0</v>
          </cell>
          <cell r="P25">
            <v>0</v>
          </cell>
          <cell r="Q25">
            <v>0</v>
          </cell>
          <cell r="R25" t="str">
            <v>246-269</v>
          </cell>
          <cell r="S25">
            <v>246</v>
          </cell>
          <cell r="T25">
            <v>206.02</v>
          </cell>
          <cell r="U25" t="str">
            <v>-</v>
          </cell>
          <cell r="V25">
            <v>202</v>
          </cell>
          <cell r="W25">
            <v>2</v>
          </cell>
        </row>
        <row r="26">
          <cell r="C26">
            <v>114306147</v>
          </cell>
          <cell r="D26" t="str">
            <v>伯希和/PELLIOT</v>
          </cell>
          <cell r="E26" t="str">
            <v>服装-外套-软壳衣</v>
          </cell>
          <cell r="F26" t="str">
            <v>一品多商</v>
          </cell>
          <cell r="G26" t="str">
            <v>品牌直发</v>
          </cell>
          <cell r="H26">
            <v>899</v>
          </cell>
          <cell r="I26">
            <v>2</v>
          </cell>
          <cell r="J26">
            <v>766</v>
          </cell>
          <cell r="K26">
            <v>250</v>
          </cell>
          <cell r="L26">
            <v>25</v>
          </cell>
          <cell r="M26">
            <v>2</v>
          </cell>
          <cell r="N26">
            <v>0</v>
          </cell>
          <cell r="O26">
            <v>0</v>
          </cell>
          <cell r="P26">
            <v>465</v>
          </cell>
          <cell r="Q26">
            <v>1</v>
          </cell>
          <cell r="R26" t="str">
            <v>409-490</v>
          </cell>
          <cell r="S26">
            <v>299</v>
          </cell>
          <cell r="T26">
            <v>344.8</v>
          </cell>
          <cell r="U26" t="str">
            <v>-</v>
          </cell>
          <cell r="V26">
            <v>449.5</v>
          </cell>
          <cell r="W26">
            <v>2</v>
          </cell>
        </row>
        <row r="27">
          <cell r="C27">
            <v>124301030</v>
          </cell>
          <cell r="D27" t="str">
            <v>伯希和/PELLIOT</v>
          </cell>
          <cell r="E27" t="str">
            <v>女装-外套-冲锋衣</v>
          </cell>
          <cell r="F27" t="str">
            <v>一品多商</v>
          </cell>
          <cell r="G27" t="str">
            <v>品牌直发</v>
          </cell>
          <cell r="H27">
            <v>1043</v>
          </cell>
          <cell r="I27">
            <v>2</v>
          </cell>
          <cell r="J27">
            <v>507</v>
          </cell>
          <cell r="K27">
            <v>377</v>
          </cell>
          <cell r="L27">
            <v>14</v>
          </cell>
          <cell r="M27">
            <v>2</v>
          </cell>
          <cell r="N27">
            <v>541</v>
          </cell>
          <cell r="O27">
            <v>1</v>
          </cell>
          <cell r="P27">
            <v>0</v>
          </cell>
          <cell r="Q27">
            <v>0</v>
          </cell>
          <cell r="R27" t="str">
            <v>479-479</v>
          </cell>
          <cell r="S27">
            <v>431</v>
          </cell>
          <cell r="T27">
            <v>404.38</v>
          </cell>
          <cell r="U27" t="str">
            <v>-</v>
          </cell>
          <cell r="V27">
            <v>521.5</v>
          </cell>
          <cell r="W27">
            <v>2</v>
          </cell>
        </row>
        <row r="28">
          <cell r="C28">
            <v>11421415</v>
          </cell>
          <cell r="D28" t="str">
            <v>伯希和/PELLIOT</v>
          </cell>
          <cell r="E28" t="str">
            <v>服装-户外运动服-速干裤</v>
          </cell>
          <cell r="F28" t="str">
            <v>一品多商</v>
          </cell>
          <cell r="G28" t="str">
            <v>品牌直发</v>
          </cell>
          <cell r="H28">
            <v>221</v>
          </cell>
          <cell r="I28">
            <v>1</v>
          </cell>
          <cell r="J28">
            <v>1435</v>
          </cell>
          <cell r="K28">
            <v>97</v>
          </cell>
          <cell r="L28">
            <v>59</v>
          </cell>
          <cell r="M28">
            <v>1</v>
          </cell>
          <cell r="N28">
            <v>0</v>
          </cell>
          <cell r="O28">
            <v>0</v>
          </cell>
          <cell r="P28">
            <v>0</v>
          </cell>
          <cell r="Q28">
            <v>0</v>
          </cell>
          <cell r="R28" t="str">
            <v>214-214</v>
          </cell>
          <cell r="S28">
            <v>201</v>
          </cell>
          <cell r="T28">
            <v>176.94</v>
          </cell>
          <cell r="U28" t="str">
            <v>-</v>
          </cell>
          <cell r="V28">
            <v>221</v>
          </cell>
          <cell r="W28">
            <v>1</v>
          </cell>
        </row>
        <row r="29">
          <cell r="C29" t="str">
            <v>112340164-271037</v>
          </cell>
          <cell r="D29" t="str">
            <v>伯希和/PELLIOT</v>
          </cell>
          <cell r="E29" t="str">
            <v>服装-外套-冲锋衣</v>
          </cell>
          <cell r="F29" t="str">
            <v>一品多商</v>
          </cell>
          <cell r="G29" t="str">
            <v>品牌直发</v>
          </cell>
          <cell r="H29">
            <v>646</v>
          </cell>
          <cell r="I29">
            <v>1</v>
          </cell>
          <cell r="J29">
            <v>464</v>
          </cell>
          <cell r="K29">
            <v>292</v>
          </cell>
          <cell r="L29">
            <v>6</v>
          </cell>
          <cell r="M29">
            <v>1</v>
          </cell>
          <cell r="N29">
            <v>0</v>
          </cell>
          <cell r="O29">
            <v>0</v>
          </cell>
          <cell r="P29">
            <v>0</v>
          </cell>
          <cell r="Q29">
            <v>0</v>
          </cell>
          <cell r="R29" t="str">
            <v>629-699</v>
          </cell>
          <cell r="S29">
            <v>629</v>
          </cell>
          <cell r="T29">
            <v>536.36</v>
          </cell>
          <cell r="U29" t="str">
            <v>-</v>
          </cell>
          <cell r="V29">
            <v>646</v>
          </cell>
          <cell r="W29">
            <v>1</v>
          </cell>
        </row>
        <row r="30">
          <cell r="C30">
            <v>11421509</v>
          </cell>
          <cell r="D30" t="str">
            <v>伯希和/PELLIOT</v>
          </cell>
          <cell r="E30" t="str">
            <v>服装-上衣-T恤</v>
          </cell>
          <cell r="F30" t="str">
            <v>一品多商</v>
          </cell>
          <cell r="G30" t="str">
            <v>品牌直发</v>
          </cell>
          <cell r="H30">
            <v>108</v>
          </cell>
          <cell r="I30">
            <v>1</v>
          </cell>
          <cell r="J30">
            <v>1216</v>
          </cell>
          <cell r="K30">
            <v>110</v>
          </cell>
          <cell r="L30">
            <v>23</v>
          </cell>
          <cell r="M30">
            <v>1</v>
          </cell>
          <cell r="N30">
            <v>0</v>
          </cell>
          <cell r="O30">
            <v>0</v>
          </cell>
          <cell r="P30">
            <v>0</v>
          </cell>
          <cell r="Q30">
            <v>0</v>
          </cell>
          <cell r="R30" t="str">
            <v>125-139</v>
          </cell>
          <cell r="S30">
            <v>114</v>
          </cell>
          <cell r="T30">
            <v>101.29</v>
          </cell>
          <cell r="U30" t="str">
            <v>-</v>
          </cell>
          <cell r="V30">
            <v>108</v>
          </cell>
          <cell r="W30">
            <v>1</v>
          </cell>
        </row>
        <row r="31">
          <cell r="C31">
            <v>115119031</v>
          </cell>
          <cell r="D31" t="str">
            <v>伯希和/PELLIOT</v>
          </cell>
          <cell r="E31" t="str">
            <v>鞋-运动鞋-登山鞋/徒步鞋</v>
          </cell>
          <cell r="F31" t="str">
            <v>一品多商</v>
          </cell>
          <cell r="G31" t="str">
            <v>品牌直发</v>
          </cell>
          <cell r="H31">
            <v>728</v>
          </cell>
          <cell r="I31">
            <v>1</v>
          </cell>
          <cell r="J31">
            <v>437</v>
          </cell>
          <cell r="K31">
            <v>310</v>
          </cell>
          <cell r="L31">
            <v>7</v>
          </cell>
          <cell r="M31">
            <v>1</v>
          </cell>
          <cell r="N31">
            <v>0</v>
          </cell>
          <cell r="O31">
            <v>0</v>
          </cell>
          <cell r="P31">
            <v>0</v>
          </cell>
          <cell r="Q31">
            <v>0</v>
          </cell>
          <cell r="R31" t="str">
            <v>689-742</v>
          </cell>
          <cell r="S31">
            <v>689</v>
          </cell>
          <cell r="T31">
            <v>588.95</v>
          </cell>
          <cell r="U31" t="str">
            <v>-</v>
          </cell>
          <cell r="V31">
            <v>728</v>
          </cell>
          <cell r="W31">
            <v>1</v>
          </cell>
        </row>
        <row r="32">
          <cell r="C32">
            <v>124301070</v>
          </cell>
          <cell r="D32" t="str">
            <v>伯希和/PELLIOT</v>
          </cell>
          <cell r="E32" t="str">
            <v>服装-外套-冲锋衣</v>
          </cell>
          <cell r="F32" t="str">
            <v>一品多商</v>
          </cell>
          <cell r="G32" t="str">
            <v>品牌直发</v>
          </cell>
          <cell r="H32">
            <v>808</v>
          </cell>
          <cell r="I32">
            <v>1</v>
          </cell>
          <cell r="J32">
            <v>1085</v>
          </cell>
          <cell r="K32">
            <v>122</v>
          </cell>
          <cell r="L32">
            <v>49</v>
          </cell>
          <cell r="M32">
            <v>1</v>
          </cell>
          <cell r="N32">
            <v>0</v>
          </cell>
          <cell r="O32">
            <v>0</v>
          </cell>
          <cell r="P32">
            <v>829</v>
          </cell>
          <cell r="Q32">
            <v>1</v>
          </cell>
          <cell r="R32" t="str">
            <v>833-890</v>
          </cell>
          <cell r="S32">
            <v>660</v>
          </cell>
          <cell r="T32">
            <v>713.43</v>
          </cell>
          <cell r="U32" t="str">
            <v>-</v>
          </cell>
          <cell r="V32">
            <v>808</v>
          </cell>
          <cell r="W32">
            <v>1</v>
          </cell>
        </row>
        <row r="33">
          <cell r="C33">
            <v>11421409</v>
          </cell>
          <cell r="D33" t="str">
            <v>伯希和/PELLIOT</v>
          </cell>
          <cell r="E33" t="str">
            <v>服装-户外运动服-速干裤</v>
          </cell>
          <cell r="F33" t="str">
            <v>一品多商</v>
          </cell>
          <cell r="G33" t="str">
            <v>品牌直发</v>
          </cell>
          <cell r="H33">
            <v>0</v>
          </cell>
          <cell r="I33">
            <v>0</v>
          </cell>
          <cell r="J33">
            <v>273</v>
          </cell>
          <cell r="K33">
            <v>0</v>
          </cell>
          <cell r="L33">
            <v>2</v>
          </cell>
          <cell r="M33">
            <v>0</v>
          </cell>
          <cell r="N33">
            <v>0</v>
          </cell>
          <cell r="O33">
            <v>0</v>
          </cell>
          <cell r="P33">
            <v>0</v>
          </cell>
          <cell r="Q33">
            <v>0</v>
          </cell>
          <cell r="R33" t="str">
            <v>-</v>
          </cell>
          <cell r="S33">
            <v>155</v>
          </cell>
          <cell r="T33" t="str">
            <v>-</v>
          </cell>
          <cell r="U33" t="str">
            <v>-</v>
          </cell>
          <cell r="V33">
            <v>0</v>
          </cell>
          <cell r="W33">
            <v>0</v>
          </cell>
        </row>
        <row r="34">
          <cell r="C34">
            <v>12421250</v>
          </cell>
          <cell r="D34" t="str">
            <v>伯希和/PELLIOT</v>
          </cell>
          <cell r="E34" t="str">
            <v>女装-外套-防晒服</v>
          </cell>
          <cell r="F34" t="str">
            <v>一品多商</v>
          </cell>
          <cell r="G34" t="str">
            <v>品牌直发</v>
          </cell>
          <cell r="H34">
            <v>0</v>
          </cell>
          <cell r="I34">
            <v>0</v>
          </cell>
          <cell r="J34">
            <v>678</v>
          </cell>
          <cell r="K34">
            <v>0</v>
          </cell>
          <cell r="L34">
            <v>25</v>
          </cell>
          <cell r="M34">
            <v>0</v>
          </cell>
          <cell r="N34">
            <v>0</v>
          </cell>
          <cell r="O34">
            <v>0</v>
          </cell>
          <cell r="P34">
            <v>0</v>
          </cell>
          <cell r="Q34">
            <v>0</v>
          </cell>
          <cell r="R34" t="str">
            <v>259-259</v>
          </cell>
          <cell r="S34">
            <v>229</v>
          </cell>
          <cell r="T34">
            <v>216.82</v>
          </cell>
          <cell r="U34" t="str">
            <v>-</v>
          </cell>
          <cell r="V34">
            <v>0</v>
          </cell>
          <cell r="W34">
            <v>0</v>
          </cell>
        </row>
        <row r="35">
          <cell r="C35">
            <v>12421254</v>
          </cell>
          <cell r="D35" t="str">
            <v>伯希和/PELLIOT</v>
          </cell>
          <cell r="E35" t="str">
            <v>女装-外套-防晒服</v>
          </cell>
          <cell r="F35" t="str">
            <v>一品多商</v>
          </cell>
          <cell r="G35" t="str">
            <v>品牌直发</v>
          </cell>
          <cell r="H35">
            <v>0</v>
          </cell>
          <cell r="I35">
            <v>0</v>
          </cell>
          <cell r="J35">
            <v>630</v>
          </cell>
          <cell r="K35">
            <v>0</v>
          </cell>
          <cell r="L35">
            <v>12</v>
          </cell>
          <cell r="M35">
            <v>0</v>
          </cell>
          <cell r="N35">
            <v>0</v>
          </cell>
          <cell r="O35">
            <v>0</v>
          </cell>
          <cell r="P35">
            <v>0</v>
          </cell>
          <cell r="Q35">
            <v>0</v>
          </cell>
          <cell r="R35" t="str">
            <v>241-249</v>
          </cell>
          <cell r="S35">
            <v>241</v>
          </cell>
          <cell r="T35">
            <v>201.2</v>
          </cell>
          <cell r="U35" t="str">
            <v>-</v>
          </cell>
          <cell r="V35">
            <v>0</v>
          </cell>
          <cell r="W35">
            <v>0</v>
          </cell>
        </row>
        <row r="36">
          <cell r="C36" t="str">
            <v>12340164-新加色</v>
          </cell>
          <cell r="D36" t="str">
            <v>伯希和/PELLIOT</v>
          </cell>
          <cell r="E36" t="str">
            <v>服装-外套-冲锋衣</v>
          </cell>
          <cell r="F36" t="str">
            <v>一品多商</v>
          </cell>
          <cell r="G36" t="str">
            <v>品牌直发</v>
          </cell>
          <cell r="H36">
            <v>0</v>
          </cell>
          <cell r="I36">
            <v>0</v>
          </cell>
          <cell r="J36">
            <v>693</v>
          </cell>
          <cell r="K36">
            <v>0</v>
          </cell>
          <cell r="L36">
            <v>13</v>
          </cell>
          <cell r="M36">
            <v>0</v>
          </cell>
          <cell r="N36">
            <v>0</v>
          </cell>
          <cell r="O36">
            <v>0</v>
          </cell>
          <cell r="P36">
            <v>0</v>
          </cell>
          <cell r="Q36">
            <v>0</v>
          </cell>
          <cell r="R36" t="str">
            <v>656-699</v>
          </cell>
          <cell r="S36">
            <v>597</v>
          </cell>
          <cell r="T36">
            <v>559.8</v>
          </cell>
          <cell r="U36" t="str">
            <v>-</v>
          </cell>
          <cell r="V36">
            <v>0</v>
          </cell>
          <cell r="W36">
            <v>0</v>
          </cell>
        </row>
        <row r="37">
          <cell r="C37">
            <v>12340806</v>
          </cell>
          <cell r="D37" t="str">
            <v>伯希和/PELLIOT</v>
          </cell>
          <cell r="E37" t="str">
            <v>女装-外套-羽绒服</v>
          </cell>
          <cell r="F37" t="str">
            <v>一品多商</v>
          </cell>
          <cell r="G37" t="str">
            <v>品牌直发</v>
          </cell>
          <cell r="H37">
            <v>0</v>
          </cell>
          <cell r="I37">
            <v>0</v>
          </cell>
          <cell r="J37">
            <v>819</v>
          </cell>
          <cell r="K37">
            <v>0</v>
          </cell>
          <cell r="L37">
            <v>18</v>
          </cell>
          <cell r="M37">
            <v>0</v>
          </cell>
          <cell r="N37">
            <v>0</v>
          </cell>
          <cell r="O37">
            <v>0</v>
          </cell>
          <cell r="P37">
            <v>0</v>
          </cell>
          <cell r="Q37">
            <v>0</v>
          </cell>
          <cell r="R37" t="str">
            <v>1574-1790</v>
          </cell>
          <cell r="S37">
            <v>1398</v>
          </cell>
          <cell r="T37">
            <v>1354.74</v>
          </cell>
          <cell r="U37" t="str">
            <v>-</v>
          </cell>
          <cell r="V37">
            <v>0</v>
          </cell>
          <cell r="W37">
            <v>0</v>
          </cell>
        </row>
        <row r="38">
          <cell r="C38">
            <v>12340822</v>
          </cell>
          <cell r="D38" t="str">
            <v>伯希和/PELLIOT</v>
          </cell>
          <cell r="E38" t="str">
            <v>女装-外套-羽绒服</v>
          </cell>
          <cell r="F38" t="str">
            <v>一品多商</v>
          </cell>
          <cell r="G38" t="str">
            <v>品牌直发</v>
          </cell>
          <cell r="H38">
            <v>0</v>
          </cell>
          <cell r="I38">
            <v>0</v>
          </cell>
          <cell r="J38">
            <v>991</v>
          </cell>
          <cell r="K38">
            <v>0</v>
          </cell>
          <cell r="L38">
            <v>47</v>
          </cell>
          <cell r="M38">
            <v>0</v>
          </cell>
          <cell r="N38">
            <v>0</v>
          </cell>
          <cell r="O38">
            <v>0</v>
          </cell>
          <cell r="P38">
            <v>0</v>
          </cell>
          <cell r="Q38">
            <v>0</v>
          </cell>
          <cell r="R38" t="str">
            <v>650-650</v>
          </cell>
          <cell r="S38">
            <v>565</v>
          </cell>
          <cell r="T38">
            <v>552.71</v>
          </cell>
          <cell r="U38" t="str">
            <v>-</v>
          </cell>
          <cell r="V38">
            <v>0</v>
          </cell>
          <cell r="W38">
            <v>0</v>
          </cell>
        </row>
        <row r="39">
          <cell r="C39">
            <v>114301085</v>
          </cell>
          <cell r="D39" t="str">
            <v>伯希和/PELLIOT</v>
          </cell>
          <cell r="E39" t="str">
            <v>服装-外套-冲锋衣</v>
          </cell>
          <cell r="F39" t="str">
            <v>一品多商</v>
          </cell>
          <cell r="G39" t="str">
            <v>品牌直发</v>
          </cell>
          <cell r="H39">
            <v>0</v>
          </cell>
          <cell r="I39">
            <v>0</v>
          </cell>
          <cell r="J39">
            <v>415</v>
          </cell>
          <cell r="K39">
            <v>0</v>
          </cell>
          <cell r="L39">
            <v>3</v>
          </cell>
          <cell r="M39">
            <v>0</v>
          </cell>
          <cell r="N39">
            <v>0</v>
          </cell>
          <cell r="O39">
            <v>0</v>
          </cell>
          <cell r="P39">
            <v>0</v>
          </cell>
          <cell r="Q39">
            <v>0</v>
          </cell>
          <cell r="R39" t="str">
            <v>1681-1700</v>
          </cell>
          <cell r="S39">
            <v>1057</v>
          </cell>
          <cell r="T39">
            <v>1449.5</v>
          </cell>
          <cell r="U39" t="str">
            <v>-</v>
          </cell>
          <cell r="V39">
            <v>0</v>
          </cell>
          <cell r="W39">
            <v>0</v>
          </cell>
        </row>
        <row r="40">
          <cell r="C40">
            <v>12330602</v>
          </cell>
          <cell r="D40" t="str">
            <v>伯希和/PELLIOT</v>
          </cell>
          <cell r="E40" t="str">
            <v>女装-外套-软壳衣</v>
          </cell>
          <cell r="F40" t="str">
            <v>一品多商</v>
          </cell>
          <cell r="G40" t="str">
            <v>品牌直发</v>
          </cell>
          <cell r="H40">
            <v>0</v>
          </cell>
          <cell r="I40">
            <v>0</v>
          </cell>
          <cell r="J40">
            <v>319</v>
          </cell>
          <cell r="K40">
            <v>0</v>
          </cell>
          <cell r="L40">
            <v>3</v>
          </cell>
          <cell r="M40">
            <v>0</v>
          </cell>
          <cell r="N40">
            <v>379</v>
          </cell>
          <cell r="O40">
            <v>1</v>
          </cell>
          <cell r="P40">
            <v>0</v>
          </cell>
          <cell r="Q40">
            <v>0</v>
          </cell>
          <cell r="R40" t="str">
            <v>389-399</v>
          </cell>
          <cell r="S40">
            <v>296</v>
          </cell>
          <cell r="T40">
            <v>325.46</v>
          </cell>
          <cell r="U40" t="str">
            <v>-</v>
          </cell>
          <cell r="V40">
            <v>0</v>
          </cell>
          <cell r="W40">
            <v>0</v>
          </cell>
        </row>
        <row r="41">
          <cell r="C41">
            <v>11121411</v>
          </cell>
          <cell r="D41" t="str">
            <v>伯希和/PELLIOT</v>
          </cell>
          <cell r="E41" t="str">
            <v>服装-户外运动服-速干裤</v>
          </cell>
          <cell r="F41" t="str">
            <v>一品多商</v>
          </cell>
          <cell r="G41" t="str">
            <v>品牌直发</v>
          </cell>
          <cell r="H41">
            <v>0</v>
          </cell>
          <cell r="I41">
            <v>0</v>
          </cell>
          <cell r="J41">
            <v>434</v>
          </cell>
          <cell r="K41">
            <v>0</v>
          </cell>
          <cell r="L41">
            <v>2</v>
          </cell>
          <cell r="M41">
            <v>0</v>
          </cell>
          <cell r="N41">
            <v>0</v>
          </cell>
          <cell r="O41">
            <v>0</v>
          </cell>
          <cell r="P41">
            <v>0</v>
          </cell>
          <cell r="Q41">
            <v>0</v>
          </cell>
          <cell r="R41" t="str">
            <v>-</v>
          </cell>
          <cell r="S41">
            <v>178</v>
          </cell>
          <cell r="T41" t="str">
            <v>-</v>
          </cell>
          <cell r="U41" t="str">
            <v>-</v>
          </cell>
          <cell r="V41">
            <v>0</v>
          </cell>
          <cell r="W41">
            <v>0</v>
          </cell>
        </row>
        <row r="42">
          <cell r="C42">
            <v>11321405</v>
          </cell>
          <cell r="D42" t="str">
            <v>伯希和/PELLIOT</v>
          </cell>
          <cell r="E42" t="str">
            <v>服装-户外运动服-速干裤</v>
          </cell>
          <cell r="F42" t="str">
            <v>一品多商</v>
          </cell>
          <cell r="G42" t="str">
            <v>品牌直发</v>
          </cell>
          <cell r="H42">
            <v>0</v>
          </cell>
          <cell r="I42">
            <v>0</v>
          </cell>
          <cell r="J42">
            <v>988</v>
          </cell>
          <cell r="K42">
            <v>0</v>
          </cell>
          <cell r="L42">
            <v>19</v>
          </cell>
          <cell r="M42">
            <v>0</v>
          </cell>
          <cell r="N42">
            <v>0</v>
          </cell>
          <cell r="O42">
            <v>0</v>
          </cell>
          <cell r="P42">
            <v>0</v>
          </cell>
          <cell r="Q42">
            <v>0</v>
          </cell>
          <cell r="R42" t="str">
            <v>273-299</v>
          </cell>
          <cell r="S42">
            <v>250</v>
          </cell>
          <cell r="T42">
            <v>228.15</v>
          </cell>
          <cell r="U42" t="str">
            <v>-</v>
          </cell>
          <cell r="V42">
            <v>0</v>
          </cell>
          <cell r="W42">
            <v>0</v>
          </cell>
        </row>
        <row r="43">
          <cell r="C43">
            <v>12321414</v>
          </cell>
          <cell r="D43" t="str">
            <v>伯希和/PELLIOT</v>
          </cell>
          <cell r="E43" t="str">
            <v>女装-户外运动服-速干裤</v>
          </cell>
          <cell r="F43" t="str">
            <v>一品一商</v>
          </cell>
          <cell r="G43" t="str">
            <v>品牌直发</v>
          </cell>
          <cell r="H43">
            <v>0</v>
          </cell>
          <cell r="I43">
            <v>0</v>
          </cell>
          <cell r="J43">
            <v>77</v>
          </cell>
          <cell r="K43">
            <v>0</v>
          </cell>
          <cell r="L43">
            <v>2</v>
          </cell>
          <cell r="M43">
            <v>0</v>
          </cell>
          <cell r="N43">
            <v>0</v>
          </cell>
          <cell r="O43">
            <v>0</v>
          </cell>
          <cell r="P43">
            <v>0</v>
          </cell>
          <cell r="Q43">
            <v>0</v>
          </cell>
          <cell r="R43" t="str">
            <v>-</v>
          </cell>
          <cell r="S43" t="str">
            <v>-</v>
          </cell>
          <cell r="T43" t="str">
            <v>-</v>
          </cell>
          <cell r="U43" t="str">
            <v>-</v>
          </cell>
          <cell r="V43">
            <v>0</v>
          </cell>
          <cell r="W43">
            <v>0</v>
          </cell>
        </row>
        <row r="44">
          <cell r="C44">
            <v>12230602</v>
          </cell>
          <cell r="D44" t="str">
            <v>伯希和/PELLIOT</v>
          </cell>
          <cell r="E44" t="str">
            <v>女装-外套-软壳衣</v>
          </cell>
          <cell r="F44" t="str">
            <v>一品多商</v>
          </cell>
          <cell r="G44" t="str">
            <v>品牌直发</v>
          </cell>
          <cell r="H44">
            <v>0</v>
          </cell>
          <cell r="I44">
            <v>0</v>
          </cell>
          <cell r="J44">
            <v>419</v>
          </cell>
          <cell r="K44">
            <v>0</v>
          </cell>
          <cell r="L44">
            <v>10</v>
          </cell>
          <cell r="M44">
            <v>0</v>
          </cell>
          <cell r="N44">
            <v>0</v>
          </cell>
          <cell r="O44">
            <v>0</v>
          </cell>
          <cell r="P44">
            <v>0</v>
          </cell>
          <cell r="Q44">
            <v>0</v>
          </cell>
          <cell r="R44" t="str">
            <v>379-379</v>
          </cell>
          <cell r="S44">
            <v>314</v>
          </cell>
          <cell r="T44">
            <v>316.78</v>
          </cell>
          <cell r="U44" t="str">
            <v>-</v>
          </cell>
          <cell r="V44">
            <v>0</v>
          </cell>
          <cell r="W44">
            <v>0</v>
          </cell>
        </row>
        <row r="45">
          <cell r="C45">
            <v>11230601</v>
          </cell>
          <cell r="D45" t="str">
            <v>伯希和/PELLIOT</v>
          </cell>
          <cell r="E45" t="str">
            <v>服装-外套-软壳衣</v>
          </cell>
          <cell r="F45" t="str">
            <v>一品多商</v>
          </cell>
          <cell r="G45" t="str">
            <v>品牌直发</v>
          </cell>
          <cell r="H45">
            <v>0</v>
          </cell>
          <cell r="I45">
            <v>0</v>
          </cell>
          <cell r="J45">
            <v>678</v>
          </cell>
          <cell r="K45">
            <v>0</v>
          </cell>
          <cell r="L45">
            <v>25</v>
          </cell>
          <cell r="M45">
            <v>0</v>
          </cell>
          <cell r="N45">
            <v>0</v>
          </cell>
          <cell r="O45">
            <v>0</v>
          </cell>
          <cell r="P45">
            <v>0</v>
          </cell>
          <cell r="Q45">
            <v>0</v>
          </cell>
          <cell r="R45" t="str">
            <v>-</v>
          </cell>
          <cell r="S45">
            <v>318</v>
          </cell>
          <cell r="T45" t="str">
            <v>-</v>
          </cell>
          <cell r="U45" t="str">
            <v>-</v>
          </cell>
          <cell r="V45">
            <v>0</v>
          </cell>
          <cell r="W45">
            <v>0</v>
          </cell>
        </row>
        <row r="46">
          <cell r="C46">
            <v>115110021</v>
          </cell>
          <cell r="D46" t="str">
            <v>伯希和/PELLIOT</v>
          </cell>
          <cell r="E46" t="str">
            <v>服装-户外运动服-抓绒衣</v>
          </cell>
          <cell r="F46" t="str">
            <v>一品多商</v>
          </cell>
          <cell r="G46" t="str">
            <v>品牌直发</v>
          </cell>
          <cell r="H46">
            <v>0</v>
          </cell>
          <cell r="I46">
            <v>0</v>
          </cell>
          <cell r="J46">
            <v>421</v>
          </cell>
          <cell r="K46">
            <v>0</v>
          </cell>
          <cell r="L46">
            <v>13</v>
          </cell>
          <cell r="M46">
            <v>0</v>
          </cell>
          <cell r="N46">
            <v>0</v>
          </cell>
          <cell r="O46">
            <v>0</v>
          </cell>
          <cell r="P46">
            <v>0</v>
          </cell>
          <cell r="Q46">
            <v>0</v>
          </cell>
          <cell r="R46" t="str">
            <v>239-239</v>
          </cell>
          <cell r="S46">
            <v>214</v>
          </cell>
          <cell r="T46">
            <v>197.64</v>
          </cell>
          <cell r="U46" t="str">
            <v>-</v>
          </cell>
          <cell r="V46">
            <v>0</v>
          </cell>
          <cell r="W46">
            <v>0</v>
          </cell>
        </row>
        <row r="47">
          <cell r="C47">
            <v>112240128</v>
          </cell>
          <cell r="D47" t="str">
            <v>伯希和/PELLIOT</v>
          </cell>
          <cell r="E47" t="str">
            <v>服装-外套-冲锋衣</v>
          </cell>
          <cell r="F47" t="str">
            <v>一品多商</v>
          </cell>
          <cell r="G47" t="str">
            <v>品牌直发</v>
          </cell>
          <cell r="H47">
            <v>0</v>
          </cell>
          <cell r="I47">
            <v>0</v>
          </cell>
          <cell r="J47">
            <v>546</v>
          </cell>
          <cell r="K47">
            <v>0</v>
          </cell>
          <cell r="L47">
            <v>10</v>
          </cell>
          <cell r="M47">
            <v>0</v>
          </cell>
          <cell r="N47">
            <v>0</v>
          </cell>
          <cell r="O47">
            <v>0</v>
          </cell>
          <cell r="P47">
            <v>0</v>
          </cell>
          <cell r="Q47">
            <v>0</v>
          </cell>
          <cell r="R47" t="str">
            <v>900-959</v>
          </cell>
          <cell r="S47">
            <v>581</v>
          </cell>
          <cell r="T47">
            <v>771.59</v>
          </cell>
          <cell r="U47" t="str">
            <v>-</v>
          </cell>
          <cell r="V47">
            <v>0</v>
          </cell>
          <cell r="W47">
            <v>0</v>
          </cell>
        </row>
        <row r="48">
          <cell r="C48">
            <v>11040105</v>
          </cell>
          <cell r="D48" t="str">
            <v>伯希和/PELLIOT</v>
          </cell>
          <cell r="E48" t="str">
            <v>服装-外套-冲锋衣</v>
          </cell>
          <cell r="F48" t="str">
            <v>一品多商</v>
          </cell>
          <cell r="G48" t="str">
            <v>品牌直发</v>
          </cell>
          <cell r="H48">
            <v>0</v>
          </cell>
          <cell r="I48">
            <v>0</v>
          </cell>
          <cell r="J48">
            <v>461</v>
          </cell>
          <cell r="K48">
            <v>0</v>
          </cell>
          <cell r="L48">
            <v>18</v>
          </cell>
          <cell r="M48">
            <v>0</v>
          </cell>
          <cell r="N48">
            <v>0</v>
          </cell>
          <cell r="O48">
            <v>0</v>
          </cell>
          <cell r="P48">
            <v>0</v>
          </cell>
          <cell r="Q48">
            <v>0</v>
          </cell>
          <cell r="R48" t="str">
            <v>599-599</v>
          </cell>
          <cell r="S48">
            <v>469</v>
          </cell>
          <cell r="T48">
            <v>510.32</v>
          </cell>
          <cell r="U48" t="str">
            <v>-</v>
          </cell>
          <cell r="V48">
            <v>0</v>
          </cell>
          <cell r="W48">
            <v>0</v>
          </cell>
        </row>
        <row r="49">
          <cell r="C49">
            <v>125215020</v>
          </cell>
          <cell r="D49" t="str">
            <v>伯希和/PELLIOT</v>
          </cell>
          <cell r="E49" t="str">
            <v>女装-上衣-Polo衫</v>
          </cell>
          <cell r="F49" t="str">
            <v>一品多商</v>
          </cell>
          <cell r="G49" t="str">
            <v>品牌直发</v>
          </cell>
          <cell r="H49">
            <v>0</v>
          </cell>
          <cell r="I49">
            <v>0</v>
          </cell>
          <cell r="J49">
            <v>636</v>
          </cell>
          <cell r="K49">
            <v>0</v>
          </cell>
          <cell r="L49">
            <v>25</v>
          </cell>
          <cell r="M49">
            <v>0</v>
          </cell>
          <cell r="N49">
            <v>0</v>
          </cell>
          <cell r="O49">
            <v>0</v>
          </cell>
          <cell r="P49">
            <v>0</v>
          </cell>
          <cell r="Q49">
            <v>0</v>
          </cell>
          <cell r="R49" t="str">
            <v>-</v>
          </cell>
          <cell r="S49">
            <v>173</v>
          </cell>
          <cell r="T49" t="str">
            <v>-</v>
          </cell>
          <cell r="U49" t="str">
            <v>-</v>
          </cell>
          <cell r="V49">
            <v>0</v>
          </cell>
          <cell r="W49">
            <v>0</v>
          </cell>
        </row>
        <row r="50">
          <cell r="C50">
            <v>1124301070</v>
          </cell>
          <cell r="D50" t="str">
            <v>伯希和/PELLIOT</v>
          </cell>
          <cell r="E50" t="str">
            <v>服装-外套-冲锋衣</v>
          </cell>
          <cell r="F50" t="str">
            <v>一品多商</v>
          </cell>
          <cell r="G50" t="str">
            <v>品牌直发</v>
          </cell>
          <cell r="H50">
            <v>0</v>
          </cell>
          <cell r="I50">
            <v>0</v>
          </cell>
          <cell r="J50">
            <v>908</v>
          </cell>
          <cell r="K50">
            <v>0</v>
          </cell>
          <cell r="L50">
            <v>24</v>
          </cell>
          <cell r="M50">
            <v>0</v>
          </cell>
          <cell r="N50">
            <v>0</v>
          </cell>
          <cell r="O50">
            <v>0</v>
          </cell>
          <cell r="P50">
            <v>0</v>
          </cell>
          <cell r="Q50">
            <v>0</v>
          </cell>
          <cell r="R50" t="str">
            <v>880-890</v>
          </cell>
          <cell r="S50">
            <v>805</v>
          </cell>
          <cell r="T50">
            <v>754.23</v>
          </cell>
          <cell r="U50" t="str">
            <v>-</v>
          </cell>
          <cell r="V50">
            <v>0</v>
          </cell>
          <cell r="W50">
            <v>0</v>
          </cell>
        </row>
        <row r="51">
          <cell r="C51">
            <v>115151007</v>
          </cell>
          <cell r="D51" t="str">
            <v>伯希和/PELLIOT</v>
          </cell>
          <cell r="E51" t="str">
            <v>服装-外套-夹克</v>
          </cell>
          <cell r="F51" t="str">
            <v>一品多商</v>
          </cell>
          <cell r="G51" t="str">
            <v>品牌直发</v>
          </cell>
          <cell r="H51">
            <v>0</v>
          </cell>
          <cell r="I51">
            <v>0</v>
          </cell>
          <cell r="J51">
            <v>252</v>
          </cell>
          <cell r="K51">
            <v>0</v>
          </cell>
          <cell r="L51">
            <v>3</v>
          </cell>
          <cell r="M51">
            <v>0</v>
          </cell>
          <cell r="N51">
            <v>0</v>
          </cell>
          <cell r="O51">
            <v>0</v>
          </cell>
          <cell r="P51">
            <v>0</v>
          </cell>
          <cell r="Q51">
            <v>0</v>
          </cell>
          <cell r="R51" t="str">
            <v>449-449</v>
          </cell>
          <cell r="S51">
            <v>342</v>
          </cell>
          <cell r="T51">
            <v>381.02</v>
          </cell>
          <cell r="U51" t="str">
            <v>-</v>
          </cell>
          <cell r="V51">
            <v>0</v>
          </cell>
          <cell r="W51">
            <v>0</v>
          </cell>
        </row>
        <row r="52">
          <cell r="C52">
            <v>115215001</v>
          </cell>
          <cell r="D52" t="str">
            <v>伯希和/PELLIOT</v>
          </cell>
          <cell r="E52" t="str">
            <v>服装-上衣-T恤</v>
          </cell>
          <cell r="F52" t="str">
            <v>一品多商</v>
          </cell>
          <cell r="G52" t="str">
            <v>品牌直发</v>
          </cell>
          <cell r="H52">
            <v>0</v>
          </cell>
          <cell r="I52">
            <v>0</v>
          </cell>
          <cell r="J52">
            <v>518</v>
          </cell>
          <cell r="K52">
            <v>0</v>
          </cell>
          <cell r="L52">
            <v>8</v>
          </cell>
          <cell r="M52">
            <v>0</v>
          </cell>
          <cell r="N52">
            <v>0</v>
          </cell>
          <cell r="O52">
            <v>0</v>
          </cell>
          <cell r="P52">
            <v>0</v>
          </cell>
          <cell r="Q52">
            <v>0</v>
          </cell>
          <cell r="R52" t="str">
            <v>239-239</v>
          </cell>
          <cell r="S52">
            <v>190</v>
          </cell>
          <cell r="T52">
            <v>200.24</v>
          </cell>
          <cell r="U52" t="str">
            <v>-</v>
          </cell>
          <cell r="V52">
            <v>0</v>
          </cell>
          <cell r="W52">
            <v>0</v>
          </cell>
        </row>
        <row r="53">
          <cell r="C53">
            <v>115215025</v>
          </cell>
          <cell r="D53" t="str">
            <v>伯希和/PELLIOT</v>
          </cell>
          <cell r="E53" t="str">
            <v>服装-户外运动服-速干T恤</v>
          </cell>
          <cell r="F53" t="str">
            <v>一品多商</v>
          </cell>
          <cell r="G53" t="str">
            <v>品牌直发</v>
          </cell>
          <cell r="H53">
            <v>0</v>
          </cell>
          <cell r="I53">
            <v>0</v>
          </cell>
          <cell r="J53">
            <v>1143</v>
          </cell>
          <cell r="K53">
            <v>0</v>
          </cell>
          <cell r="L53">
            <v>41</v>
          </cell>
          <cell r="M53">
            <v>0</v>
          </cell>
          <cell r="N53">
            <v>0</v>
          </cell>
          <cell r="O53">
            <v>0</v>
          </cell>
          <cell r="P53">
            <v>0</v>
          </cell>
          <cell r="Q53">
            <v>0</v>
          </cell>
          <cell r="R53" t="str">
            <v>239-239</v>
          </cell>
          <cell r="S53">
            <v>209</v>
          </cell>
          <cell r="T53">
            <v>198.74</v>
          </cell>
          <cell r="U53" t="str">
            <v>-</v>
          </cell>
          <cell r="V53">
            <v>0</v>
          </cell>
          <cell r="W53">
            <v>0</v>
          </cell>
        </row>
        <row r="54">
          <cell r="C54">
            <v>115101001</v>
          </cell>
          <cell r="D54" t="str">
            <v>伯希和/PELLIOT</v>
          </cell>
          <cell r="E54" t="str">
            <v>服装-外套-冲锋衣</v>
          </cell>
          <cell r="F54" t="str">
            <v>一品多商</v>
          </cell>
          <cell r="G54" t="str">
            <v>品牌直发</v>
          </cell>
          <cell r="H54">
            <v>0</v>
          </cell>
          <cell r="I54">
            <v>0</v>
          </cell>
          <cell r="J54">
            <v>238</v>
          </cell>
          <cell r="K54">
            <v>0</v>
          </cell>
          <cell r="L54">
            <v>2</v>
          </cell>
          <cell r="M54">
            <v>0</v>
          </cell>
          <cell r="N54">
            <v>0</v>
          </cell>
          <cell r="O54">
            <v>0</v>
          </cell>
          <cell r="P54">
            <v>0</v>
          </cell>
          <cell r="Q54">
            <v>0</v>
          </cell>
          <cell r="R54" t="str">
            <v>590-590</v>
          </cell>
          <cell r="S54">
            <v>420</v>
          </cell>
          <cell r="T54">
            <v>502.51</v>
          </cell>
          <cell r="U54" t="str">
            <v>-</v>
          </cell>
          <cell r="V54">
            <v>0</v>
          </cell>
          <cell r="W54">
            <v>0</v>
          </cell>
        </row>
        <row r="55">
          <cell r="C55">
            <v>125212004</v>
          </cell>
          <cell r="D55" t="str">
            <v>伯希和/PELLIOT</v>
          </cell>
          <cell r="E55" t="str">
            <v>女装-外套-防晒服</v>
          </cell>
          <cell r="F55" t="str">
            <v>一品多商</v>
          </cell>
          <cell r="G55" t="str">
            <v>品牌直发</v>
          </cell>
          <cell r="H55">
            <v>0</v>
          </cell>
          <cell r="I55">
            <v>0</v>
          </cell>
          <cell r="J55">
            <v>470</v>
          </cell>
          <cell r="K55">
            <v>0</v>
          </cell>
          <cell r="L55">
            <v>11</v>
          </cell>
          <cell r="M55">
            <v>0</v>
          </cell>
          <cell r="N55">
            <v>0</v>
          </cell>
          <cell r="O55">
            <v>0</v>
          </cell>
          <cell r="P55">
            <v>0</v>
          </cell>
          <cell r="Q55">
            <v>0</v>
          </cell>
          <cell r="R55" t="str">
            <v>229-229</v>
          </cell>
          <cell r="S55">
            <v>229</v>
          </cell>
          <cell r="T55">
            <v>197.65</v>
          </cell>
          <cell r="U55" t="str">
            <v>-</v>
          </cell>
          <cell r="V55">
            <v>0</v>
          </cell>
          <cell r="W55">
            <v>0</v>
          </cell>
        </row>
        <row r="56">
          <cell r="C56">
            <v>115102001</v>
          </cell>
          <cell r="D56" t="str">
            <v>伯希和/PELLIOT</v>
          </cell>
          <cell r="E56" t="str">
            <v>服装-长裤-冲锋裤</v>
          </cell>
          <cell r="F56" t="str">
            <v>一品多商</v>
          </cell>
          <cell r="G56" t="str">
            <v>品牌直发</v>
          </cell>
          <cell r="H56">
            <v>0</v>
          </cell>
          <cell r="I56">
            <v>0</v>
          </cell>
          <cell r="J56">
            <v>481</v>
          </cell>
          <cell r="K56">
            <v>0</v>
          </cell>
          <cell r="L56">
            <v>3</v>
          </cell>
          <cell r="M56">
            <v>0</v>
          </cell>
          <cell r="N56">
            <v>0</v>
          </cell>
          <cell r="O56">
            <v>0</v>
          </cell>
          <cell r="P56">
            <v>0</v>
          </cell>
          <cell r="Q56">
            <v>0</v>
          </cell>
          <cell r="R56" t="str">
            <v>790-790</v>
          </cell>
          <cell r="S56">
            <v>659</v>
          </cell>
          <cell r="T56">
            <v>678.11</v>
          </cell>
          <cell r="U56" t="str">
            <v>-</v>
          </cell>
          <cell r="V56">
            <v>0</v>
          </cell>
          <cell r="W56">
            <v>0</v>
          </cell>
        </row>
        <row r="57">
          <cell r="C57">
            <v>125301055</v>
          </cell>
          <cell r="D57" t="str">
            <v>伯希和/PELLIOT</v>
          </cell>
          <cell r="E57" t="str">
            <v>女装-外套-冲锋衣</v>
          </cell>
          <cell r="F57" t="str">
            <v>一品多商</v>
          </cell>
          <cell r="G57" t="str">
            <v>品牌直发</v>
          </cell>
          <cell r="H57">
            <v>0</v>
          </cell>
          <cell r="I57">
            <v>0</v>
          </cell>
          <cell r="J57">
            <v>413</v>
          </cell>
          <cell r="K57">
            <v>0</v>
          </cell>
          <cell r="L57">
            <v>6</v>
          </cell>
          <cell r="M57">
            <v>0</v>
          </cell>
          <cell r="N57">
            <v>0</v>
          </cell>
          <cell r="O57">
            <v>0</v>
          </cell>
          <cell r="P57">
            <v>0</v>
          </cell>
          <cell r="Q57">
            <v>0</v>
          </cell>
          <cell r="R57" t="str">
            <v>590-599</v>
          </cell>
          <cell r="S57">
            <v>537</v>
          </cell>
          <cell r="T57">
            <v>500.73</v>
          </cell>
          <cell r="U57" t="str">
            <v>-</v>
          </cell>
          <cell r="V57">
            <v>0</v>
          </cell>
          <cell r="W57">
            <v>0</v>
          </cell>
        </row>
        <row r="58">
          <cell r="C58">
            <v>115301054</v>
          </cell>
          <cell r="D58" t="str">
            <v>伯希和/PELLIOT</v>
          </cell>
          <cell r="E58" t="str">
            <v>服装-外套-冲锋衣</v>
          </cell>
          <cell r="F58" t="str">
            <v>一品多商</v>
          </cell>
          <cell r="G58" t="str">
            <v>品牌直发</v>
          </cell>
          <cell r="H58">
            <v>0</v>
          </cell>
          <cell r="I58">
            <v>0</v>
          </cell>
          <cell r="J58">
            <v>507</v>
          </cell>
          <cell r="K58">
            <v>0</v>
          </cell>
          <cell r="L58">
            <v>13</v>
          </cell>
          <cell r="M58">
            <v>0</v>
          </cell>
          <cell r="N58">
            <v>0</v>
          </cell>
          <cell r="O58">
            <v>0</v>
          </cell>
          <cell r="P58">
            <v>0</v>
          </cell>
          <cell r="Q58">
            <v>0</v>
          </cell>
          <cell r="R58" t="str">
            <v>542-589</v>
          </cell>
          <cell r="S58">
            <v>480</v>
          </cell>
          <cell r="T58">
            <v>460.85</v>
          </cell>
          <cell r="U58" t="str">
            <v>-</v>
          </cell>
          <cell r="V58">
            <v>0</v>
          </cell>
          <cell r="W58">
            <v>0</v>
          </cell>
        </row>
        <row r="59">
          <cell r="C59" t="str">
            <v>124101048-新加色</v>
          </cell>
          <cell r="D59" t="str">
            <v>伯希和/PELLIOT</v>
          </cell>
          <cell r="E59" t="str">
            <v>服装-外套-冲锋衣</v>
          </cell>
          <cell r="F59" t="str">
            <v>一品多商</v>
          </cell>
          <cell r="G59" t="str">
            <v>品牌直发</v>
          </cell>
          <cell r="H59">
            <v>0</v>
          </cell>
          <cell r="I59">
            <v>0</v>
          </cell>
          <cell r="J59">
            <v>1733</v>
          </cell>
          <cell r="K59">
            <v>0</v>
          </cell>
          <cell r="L59">
            <v>142</v>
          </cell>
          <cell r="M59">
            <v>0</v>
          </cell>
          <cell r="N59">
            <v>0</v>
          </cell>
          <cell r="O59">
            <v>0</v>
          </cell>
          <cell r="P59">
            <v>0</v>
          </cell>
          <cell r="Q59">
            <v>0</v>
          </cell>
          <cell r="R59" t="str">
            <v>640-690</v>
          </cell>
          <cell r="S59">
            <v>546</v>
          </cell>
          <cell r="T59">
            <v>545.91</v>
          </cell>
          <cell r="U59" t="str">
            <v>-</v>
          </cell>
          <cell r="V59">
            <v>0</v>
          </cell>
          <cell r="W59">
            <v>0</v>
          </cell>
        </row>
        <row r="60">
          <cell r="C60">
            <v>114310191</v>
          </cell>
          <cell r="D60" t="str">
            <v>伯希和/PELLIOT</v>
          </cell>
          <cell r="E60" t="str">
            <v>服装-户外运动服-抓绒衣</v>
          </cell>
          <cell r="F60" t="str">
            <v>一品多商</v>
          </cell>
          <cell r="G60" t="str">
            <v>品牌直发</v>
          </cell>
          <cell r="H60">
            <v>0</v>
          </cell>
          <cell r="I60">
            <v>0</v>
          </cell>
          <cell r="J60">
            <v>221</v>
          </cell>
          <cell r="K60">
            <v>0</v>
          </cell>
          <cell r="L60">
            <v>4</v>
          </cell>
          <cell r="M60">
            <v>0</v>
          </cell>
          <cell r="N60">
            <v>0</v>
          </cell>
          <cell r="O60">
            <v>0</v>
          </cell>
          <cell r="P60">
            <v>0</v>
          </cell>
          <cell r="Q60">
            <v>0</v>
          </cell>
          <cell r="R60" t="str">
            <v>379-390</v>
          </cell>
          <cell r="S60">
            <v>299</v>
          </cell>
          <cell r="T60">
            <v>319.16</v>
          </cell>
          <cell r="U60" t="str">
            <v>-</v>
          </cell>
          <cell r="V60">
            <v>0</v>
          </cell>
          <cell r="W60">
            <v>0</v>
          </cell>
        </row>
        <row r="61">
          <cell r="C61">
            <v>114401041</v>
          </cell>
          <cell r="D61" t="str">
            <v>伯希和/PELLIOT</v>
          </cell>
          <cell r="E61" t="str">
            <v>服装-外套-冲锋衣</v>
          </cell>
          <cell r="F61" t="str">
            <v>一品多商</v>
          </cell>
          <cell r="G61" t="str">
            <v>品牌直发</v>
          </cell>
          <cell r="H61">
            <v>0</v>
          </cell>
          <cell r="I61">
            <v>0</v>
          </cell>
          <cell r="J61">
            <v>594</v>
          </cell>
          <cell r="K61">
            <v>0</v>
          </cell>
          <cell r="L61">
            <v>15</v>
          </cell>
          <cell r="M61">
            <v>0</v>
          </cell>
          <cell r="N61">
            <v>0</v>
          </cell>
          <cell r="O61">
            <v>0</v>
          </cell>
          <cell r="P61">
            <v>0</v>
          </cell>
          <cell r="Q61">
            <v>0</v>
          </cell>
          <cell r="R61" t="str">
            <v>878-990</v>
          </cell>
          <cell r="S61">
            <v>789</v>
          </cell>
          <cell r="T61">
            <v>752.49</v>
          </cell>
          <cell r="U61" t="str">
            <v>-</v>
          </cell>
          <cell r="V61">
            <v>0</v>
          </cell>
          <cell r="W61">
            <v>0</v>
          </cell>
        </row>
        <row r="62">
          <cell r="C62">
            <v>124419008</v>
          </cell>
          <cell r="D62" t="str">
            <v>伯希和/PELLIOT</v>
          </cell>
          <cell r="E62" t="str">
            <v>鞋-运动鞋-登山鞋/徒步鞋</v>
          </cell>
          <cell r="F62" t="str">
            <v>一品一商</v>
          </cell>
          <cell r="G62" t="str">
            <v>品牌直发</v>
          </cell>
          <cell r="H62">
            <v>0</v>
          </cell>
          <cell r="I62">
            <v>0</v>
          </cell>
          <cell r="J62">
            <v>92</v>
          </cell>
          <cell r="K62">
            <v>0</v>
          </cell>
          <cell r="L62">
            <v>13</v>
          </cell>
          <cell r="M62">
            <v>0</v>
          </cell>
          <cell r="N62">
            <v>0</v>
          </cell>
          <cell r="O62">
            <v>0</v>
          </cell>
          <cell r="P62">
            <v>0</v>
          </cell>
          <cell r="Q62">
            <v>0</v>
          </cell>
          <cell r="R62" t="str">
            <v>-</v>
          </cell>
          <cell r="S62" t="str">
            <v>-</v>
          </cell>
          <cell r="T62" t="str">
            <v>-</v>
          </cell>
          <cell r="U62" t="str">
            <v>-</v>
          </cell>
          <cell r="V62">
            <v>0</v>
          </cell>
          <cell r="W62">
            <v>0</v>
          </cell>
        </row>
        <row r="63">
          <cell r="C63" t="str">
            <v>PE124314376</v>
          </cell>
          <cell r="D63" t="str">
            <v>伯希和/PELLIOT</v>
          </cell>
          <cell r="E63" t="str">
            <v>服装-户外运动服-速干裤</v>
          </cell>
          <cell r="F63" t="str">
            <v>一品多商</v>
          </cell>
          <cell r="G63" t="str">
            <v>品牌直发</v>
          </cell>
          <cell r="H63">
            <v>0</v>
          </cell>
          <cell r="I63">
            <v>0</v>
          </cell>
          <cell r="J63">
            <v>406</v>
          </cell>
          <cell r="K63">
            <v>0</v>
          </cell>
          <cell r="L63">
            <v>7</v>
          </cell>
          <cell r="M63">
            <v>0</v>
          </cell>
          <cell r="N63">
            <v>0</v>
          </cell>
          <cell r="O63">
            <v>0</v>
          </cell>
          <cell r="P63">
            <v>0</v>
          </cell>
          <cell r="Q63">
            <v>0</v>
          </cell>
          <cell r="R63" t="str">
            <v>341-341</v>
          </cell>
          <cell r="S63">
            <v>341</v>
          </cell>
          <cell r="T63">
            <v>287.18</v>
          </cell>
          <cell r="U63" t="str">
            <v>-</v>
          </cell>
          <cell r="V63">
            <v>0</v>
          </cell>
          <cell r="W63">
            <v>0</v>
          </cell>
        </row>
        <row r="64">
          <cell r="C64">
            <v>114301033</v>
          </cell>
          <cell r="D64" t="str">
            <v>伯希和/PELLIOT</v>
          </cell>
          <cell r="E64" t="str">
            <v>服装-外套-冲锋衣</v>
          </cell>
          <cell r="F64" t="str">
            <v>一品多商</v>
          </cell>
          <cell r="G64" t="str">
            <v>品牌直发</v>
          </cell>
          <cell r="H64">
            <v>0</v>
          </cell>
          <cell r="I64">
            <v>0</v>
          </cell>
          <cell r="J64">
            <v>448</v>
          </cell>
          <cell r="K64">
            <v>0</v>
          </cell>
          <cell r="L64">
            <v>9</v>
          </cell>
          <cell r="M64">
            <v>0</v>
          </cell>
          <cell r="N64">
            <v>0</v>
          </cell>
          <cell r="O64">
            <v>0</v>
          </cell>
          <cell r="P64">
            <v>0</v>
          </cell>
          <cell r="Q64">
            <v>0</v>
          </cell>
          <cell r="R64" t="str">
            <v>559-559</v>
          </cell>
          <cell r="S64">
            <v>394</v>
          </cell>
          <cell r="T64">
            <v>475.6</v>
          </cell>
          <cell r="U64" t="str">
            <v>-</v>
          </cell>
          <cell r="V64">
            <v>0</v>
          </cell>
          <cell r="W64">
            <v>0</v>
          </cell>
        </row>
        <row r="65">
          <cell r="C65">
            <v>114301029</v>
          </cell>
          <cell r="D65" t="str">
            <v>伯希和/PELLIOT</v>
          </cell>
          <cell r="E65" t="str">
            <v>服装-外套-冲锋衣</v>
          </cell>
          <cell r="F65" t="str">
            <v>一品多商</v>
          </cell>
          <cell r="G65" t="str">
            <v>品牌直发</v>
          </cell>
          <cell r="H65">
            <v>0</v>
          </cell>
          <cell r="I65">
            <v>0</v>
          </cell>
          <cell r="J65">
            <v>547</v>
          </cell>
          <cell r="K65">
            <v>0</v>
          </cell>
          <cell r="L65">
            <v>10</v>
          </cell>
          <cell r="M65">
            <v>0</v>
          </cell>
          <cell r="N65">
            <v>0</v>
          </cell>
          <cell r="O65">
            <v>0</v>
          </cell>
          <cell r="P65">
            <v>0</v>
          </cell>
          <cell r="Q65">
            <v>0</v>
          </cell>
          <cell r="R65" t="str">
            <v>451-499</v>
          </cell>
          <cell r="S65">
            <v>412</v>
          </cell>
          <cell r="T65">
            <v>381.86</v>
          </cell>
          <cell r="U65" t="str">
            <v>-</v>
          </cell>
          <cell r="V65">
            <v>0</v>
          </cell>
          <cell r="W65">
            <v>0</v>
          </cell>
        </row>
        <row r="66">
          <cell r="C66">
            <v>114301001</v>
          </cell>
          <cell r="D66" t="str">
            <v>伯希和/PELLIOT</v>
          </cell>
          <cell r="E66" t="str">
            <v>服装-外套-冲锋衣</v>
          </cell>
          <cell r="F66" t="str">
            <v>一品多商</v>
          </cell>
          <cell r="G66" t="str">
            <v>品牌直发</v>
          </cell>
          <cell r="H66">
            <v>0</v>
          </cell>
          <cell r="I66">
            <v>0</v>
          </cell>
          <cell r="J66">
            <v>465</v>
          </cell>
          <cell r="K66">
            <v>0</v>
          </cell>
          <cell r="L66">
            <v>3</v>
          </cell>
          <cell r="M66">
            <v>0</v>
          </cell>
          <cell r="N66">
            <v>0</v>
          </cell>
          <cell r="O66">
            <v>0</v>
          </cell>
          <cell r="P66">
            <v>0</v>
          </cell>
          <cell r="Q66">
            <v>0</v>
          </cell>
          <cell r="R66" t="str">
            <v>448-448</v>
          </cell>
          <cell r="S66">
            <v>394</v>
          </cell>
          <cell r="T66">
            <v>379.25</v>
          </cell>
          <cell r="U66" t="str">
            <v>-</v>
          </cell>
          <cell r="V66">
            <v>0</v>
          </cell>
          <cell r="W66">
            <v>0</v>
          </cell>
        </row>
        <row r="67">
          <cell r="C67">
            <v>11421419</v>
          </cell>
          <cell r="D67" t="str">
            <v>伯希和/PELLIOT</v>
          </cell>
          <cell r="E67" t="str">
            <v>服装-健身服-运动短裤</v>
          </cell>
          <cell r="F67" t="str">
            <v>一品一商</v>
          </cell>
          <cell r="G67" t="str">
            <v>普通现货</v>
          </cell>
          <cell r="H67">
            <v>0</v>
          </cell>
          <cell r="I67">
            <v>0</v>
          </cell>
          <cell r="J67">
            <v>120</v>
          </cell>
          <cell r="K67">
            <v>0</v>
          </cell>
          <cell r="L67">
            <v>2</v>
          </cell>
          <cell r="M67">
            <v>0</v>
          </cell>
          <cell r="N67">
            <v>0</v>
          </cell>
          <cell r="O67">
            <v>0</v>
          </cell>
          <cell r="P67">
            <v>0</v>
          </cell>
          <cell r="Q67">
            <v>0</v>
          </cell>
          <cell r="R67" t="str">
            <v>-</v>
          </cell>
          <cell r="S67" t="str">
            <v>-</v>
          </cell>
          <cell r="T67" t="str">
            <v>-</v>
          </cell>
          <cell r="U67" t="str">
            <v>-</v>
          </cell>
          <cell r="V67">
            <v>0</v>
          </cell>
          <cell r="W67">
            <v>0</v>
          </cell>
        </row>
        <row r="68">
          <cell r="C68" t="str">
            <v>11340105-CF05</v>
          </cell>
          <cell r="D68" t="str">
            <v>伯希和/PELLIOT</v>
          </cell>
          <cell r="E68" t="str">
            <v>服装-外套-冲锋衣</v>
          </cell>
          <cell r="F68" t="str">
            <v>一品多商</v>
          </cell>
          <cell r="G68" t="str">
            <v>品牌直发</v>
          </cell>
          <cell r="H68">
            <v>0</v>
          </cell>
          <cell r="I68">
            <v>0</v>
          </cell>
          <cell r="J68">
            <v>765</v>
          </cell>
          <cell r="K68">
            <v>0</v>
          </cell>
          <cell r="L68">
            <v>19</v>
          </cell>
          <cell r="M68">
            <v>0</v>
          </cell>
          <cell r="N68">
            <v>0</v>
          </cell>
          <cell r="O68">
            <v>0</v>
          </cell>
          <cell r="P68">
            <v>0</v>
          </cell>
          <cell r="Q68">
            <v>0</v>
          </cell>
          <cell r="R68" t="str">
            <v>441-464</v>
          </cell>
          <cell r="S68">
            <v>420</v>
          </cell>
          <cell r="T68">
            <v>373.18</v>
          </cell>
          <cell r="U68" t="str">
            <v>-</v>
          </cell>
          <cell r="V68">
            <v>0</v>
          </cell>
          <cell r="W68">
            <v>0</v>
          </cell>
        </row>
        <row r="69">
          <cell r="C69">
            <v>11411909</v>
          </cell>
          <cell r="D69" t="str">
            <v>伯希和/PELLIOT</v>
          </cell>
          <cell r="E69" t="str">
            <v>鞋-运动鞋-登山鞋/徒步鞋</v>
          </cell>
          <cell r="F69" t="str">
            <v>一品多商</v>
          </cell>
          <cell r="G69" t="str">
            <v>品牌直发</v>
          </cell>
          <cell r="H69">
            <v>0</v>
          </cell>
          <cell r="I69">
            <v>0</v>
          </cell>
          <cell r="J69">
            <v>499</v>
          </cell>
          <cell r="K69">
            <v>0</v>
          </cell>
          <cell r="L69">
            <v>10</v>
          </cell>
          <cell r="M69">
            <v>0</v>
          </cell>
          <cell r="N69">
            <v>349</v>
          </cell>
          <cell r="O69">
            <v>1</v>
          </cell>
          <cell r="P69">
            <v>0</v>
          </cell>
          <cell r="Q69">
            <v>0</v>
          </cell>
          <cell r="R69" t="str">
            <v>369-369</v>
          </cell>
          <cell r="S69">
            <v>258</v>
          </cell>
          <cell r="T69">
            <v>311.19</v>
          </cell>
          <cell r="U69" t="str">
            <v>-</v>
          </cell>
          <cell r="V69">
            <v>0</v>
          </cell>
          <cell r="W69">
            <v>0</v>
          </cell>
        </row>
        <row r="70">
          <cell r="C70">
            <v>12422002</v>
          </cell>
          <cell r="D70" t="str">
            <v>伯希和/PELLIOT</v>
          </cell>
          <cell r="E70" t="str">
            <v>鞋-运动鞋-户外功能鞋</v>
          </cell>
          <cell r="F70" t="str">
            <v>一品多商</v>
          </cell>
          <cell r="G70" t="str">
            <v>品牌直发</v>
          </cell>
          <cell r="H70">
            <v>0</v>
          </cell>
          <cell r="I70">
            <v>0</v>
          </cell>
          <cell r="J70">
            <v>386</v>
          </cell>
          <cell r="K70">
            <v>0</v>
          </cell>
          <cell r="L70">
            <v>0</v>
          </cell>
          <cell r="M70">
            <v>0</v>
          </cell>
          <cell r="N70">
            <v>0</v>
          </cell>
          <cell r="O70">
            <v>0</v>
          </cell>
          <cell r="P70">
            <v>0</v>
          </cell>
          <cell r="Q70">
            <v>0</v>
          </cell>
          <cell r="R70" t="str">
            <v>268-268</v>
          </cell>
          <cell r="S70">
            <v>204</v>
          </cell>
          <cell r="T70">
            <v>223.42</v>
          </cell>
          <cell r="U70" t="str">
            <v>-</v>
          </cell>
          <cell r="V70">
            <v>0</v>
          </cell>
          <cell r="W70">
            <v>0</v>
          </cell>
        </row>
      </sheetData>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sheet1"/>
    </sheetNames>
    <sheetDataSet>
      <sheetData sheetId="0">
        <row r="1">
          <cell r="C1" t="str">
            <v>商品货号</v>
          </cell>
          <cell r="D1" t="str">
            <v>品牌名称</v>
          </cell>
          <cell r="E1" t="str">
            <v>类目名称</v>
          </cell>
          <cell r="F1" t="str">
            <v>商品类型</v>
          </cell>
          <cell r="G1" t="str">
            <v>出价渠道</v>
          </cell>
          <cell r="H1" t="str">
            <v>支付金额</v>
          </cell>
          <cell r="I1" t="str">
            <v>支付订单数</v>
          </cell>
          <cell r="J1" t="str">
            <v>商详访问人数</v>
          </cell>
          <cell r="K1" t="str">
            <v>商详转化率</v>
          </cell>
          <cell r="L1" t="str">
            <v>收藏用户数</v>
          </cell>
          <cell r="M1" t="str">
            <v>我的销量</v>
          </cell>
          <cell r="N1" t="str">
            <v>退货金额（退款时间）</v>
          </cell>
          <cell r="O1" t="str">
            <v>退货订单数（退款时间）</v>
          </cell>
          <cell r="P1" t="str">
            <v>退货金额（支付时间）</v>
          </cell>
          <cell r="Q1" t="str">
            <v>退货订单数（支付时间）</v>
          </cell>
          <cell r="R1" t="str">
            <v>我的出价（元）</v>
          </cell>
          <cell r="S1" t="str">
            <v>平台最低价（元）</v>
          </cell>
          <cell r="T1" t="str">
            <v>当前单品收入</v>
          </cell>
          <cell r="U1" t="str">
            <v>当前单品利润</v>
          </cell>
          <cell r="V1" t="str">
            <v>支付笔单价</v>
          </cell>
          <cell r="W1" t="str">
            <v>支付用户数</v>
          </cell>
          <cell r="X1" t="str">
            <v>商家成本价</v>
          </cell>
        </row>
        <row r="2">
          <cell r="C2">
            <v>12421220</v>
          </cell>
          <cell r="D2" t="str">
            <v>伯希和/PELLIOT</v>
          </cell>
          <cell r="E2" t="str">
            <v>服装-外套-防晒服</v>
          </cell>
          <cell r="F2" t="str">
            <v>一品多商</v>
          </cell>
          <cell r="G2" t="str">
            <v>品牌直发</v>
          </cell>
          <cell r="H2">
            <v>20578</v>
          </cell>
          <cell r="I2">
            <v>97</v>
          </cell>
          <cell r="J2">
            <v>2275</v>
          </cell>
          <cell r="K2">
            <v>542</v>
          </cell>
          <cell r="L2">
            <v>247</v>
          </cell>
          <cell r="M2">
            <v>97</v>
          </cell>
          <cell r="N2">
            <v>5446</v>
          </cell>
          <cell r="O2">
            <v>26</v>
          </cell>
          <cell r="P2">
            <v>6491</v>
          </cell>
          <cell r="Q2">
            <v>31</v>
          </cell>
          <cell r="R2" t="str">
            <v>274-290</v>
          </cell>
          <cell r="S2">
            <v>259</v>
          </cell>
          <cell r="T2">
            <v>230.32</v>
          </cell>
          <cell r="U2" t="str">
            <v>-</v>
          </cell>
          <cell r="V2">
            <v>212.14</v>
          </cell>
          <cell r="W2">
            <v>83</v>
          </cell>
          <cell r="X2" t="str">
            <v>-</v>
          </cell>
        </row>
        <row r="3">
          <cell r="C3">
            <v>11421507</v>
          </cell>
          <cell r="D3" t="str">
            <v>伯希和/PELLIOT</v>
          </cell>
          <cell r="E3" t="str">
            <v>服装-上衣-Polo衫</v>
          </cell>
          <cell r="F3" t="str">
            <v>一品多商</v>
          </cell>
          <cell r="G3" t="str">
            <v>品牌直发</v>
          </cell>
          <cell r="H3">
            <v>4329</v>
          </cell>
          <cell r="I3">
            <v>35</v>
          </cell>
          <cell r="J3">
            <v>2743</v>
          </cell>
          <cell r="K3">
            <v>292</v>
          </cell>
          <cell r="L3">
            <v>301</v>
          </cell>
          <cell r="M3">
            <v>35</v>
          </cell>
          <cell r="N3">
            <v>1186</v>
          </cell>
          <cell r="O3">
            <v>9</v>
          </cell>
          <cell r="P3">
            <v>977</v>
          </cell>
          <cell r="Q3">
            <v>9</v>
          </cell>
          <cell r="R3" t="str">
            <v>163-196</v>
          </cell>
          <cell r="S3">
            <v>154</v>
          </cell>
          <cell r="T3">
            <v>133.07</v>
          </cell>
          <cell r="U3" t="str">
            <v>-</v>
          </cell>
          <cell r="V3">
            <v>123.69</v>
          </cell>
          <cell r="W3">
            <v>35</v>
          </cell>
          <cell r="X3" t="str">
            <v>-</v>
          </cell>
        </row>
        <row r="4">
          <cell r="C4" t="str">
            <v>PE1124101048</v>
          </cell>
          <cell r="D4" t="str">
            <v>伯希和/PELLIOT</v>
          </cell>
          <cell r="E4" t="str">
            <v>服装-外套-冲锋衣</v>
          </cell>
          <cell r="F4" t="str">
            <v>一品多商</v>
          </cell>
          <cell r="G4" t="str">
            <v>品牌直发</v>
          </cell>
          <cell r="H4">
            <v>19889</v>
          </cell>
          <cell r="I4">
            <v>35</v>
          </cell>
          <cell r="J4">
            <v>1913</v>
          </cell>
          <cell r="K4">
            <v>388</v>
          </cell>
          <cell r="L4">
            <v>214</v>
          </cell>
          <cell r="M4">
            <v>35</v>
          </cell>
          <cell r="N4">
            <v>3367</v>
          </cell>
          <cell r="O4">
            <v>6</v>
          </cell>
          <cell r="P4">
            <v>5656</v>
          </cell>
          <cell r="Q4">
            <v>11</v>
          </cell>
          <cell r="R4" t="str">
            <v>621-690</v>
          </cell>
          <cell r="S4">
            <v>499</v>
          </cell>
          <cell r="T4">
            <v>529.42</v>
          </cell>
          <cell r="U4" t="str">
            <v>-</v>
          </cell>
          <cell r="V4">
            <v>568.26</v>
          </cell>
          <cell r="W4">
            <v>30</v>
          </cell>
          <cell r="X4" t="str">
            <v>-</v>
          </cell>
        </row>
        <row r="5">
          <cell r="C5">
            <v>11340105</v>
          </cell>
          <cell r="D5" t="str">
            <v>伯希和/PELLIOT</v>
          </cell>
          <cell r="E5" t="str">
            <v>服装-外套-冲锋衣</v>
          </cell>
          <cell r="F5" t="str">
            <v>一品多商</v>
          </cell>
          <cell r="G5" t="str">
            <v>品牌直发</v>
          </cell>
          <cell r="H5">
            <v>7155</v>
          </cell>
          <cell r="I5">
            <v>18</v>
          </cell>
          <cell r="J5">
            <v>1438</v>
          </cell>
          <cell r="K5">
            <v>377</v>
          </cell>
          <cell r="L5">
            <v>117</v>
          </cell>
          <cell r="M5">
            <v>18</v>
          </cell>
          <cell r="N5">
            <v>3375</v>
          </cell>
          <cell r="O5">
            <v>8</v>
          </cell>
          <cell r="P5">
            <v>2141</v>
          </cell>
          <cell r="Q5">
            <v>6</v>
          </cell>
          <cell r="R5" t="str">
            <v>437-489</v>
          </cell>
          <cell r="S5">
            <v>389</v>
          </cell>
          <cell r="T5">
            <v>369.71</v>
          </cell>
          <cell r="U5" t="str">
            <v>-</v>
          </cell>
          <cell r="V5">
            <v>397.5</v>
          </cell>
          <cell r="W5">
            <v>16</v>
          </cell>
          <cell r="X5" t="str">
            <v>-</v>
          </cell>
        </row>
        <row r="6">
          <cell r="C6" t="str">
            <v>12421220-新加色</v>
          </cell>
          <cell r="D6" t="str">
            <v>伯希和/PELLIOT</v>
          </cell>
          <cell r="E6" t="str">
            <v>服装-外套-防晒服</v>
          </cell>
          <cell r="F6" t="str">
            <v>一品多商</v>
          </cell>
          <cell r="G6" t="str">
            <v>品牌直发</v>
          </cell>
          <cell r="H6">
            <v>4057</v>
          </cell>
          <cell r="I6">
            <v>17</v>
          </cell>
          <cell r="J6">
            <v>852</v>
          </cell>
          <cell r="K6">
            <v>594</v>
          </cell>
          <cell r="L6">
            <v>37</v>
          </cell>
          <cell r="M6">
            <v>17</v>
          </cell>
          <cell r="N6">
            <v>782</v>
          </cell>
          <cell r="O6">
            <v>3</v>
          </cell>
          <cell r="P6">
            <v>1518</v>
          </cell>
          <cell r="Q6">
            <v>6</v>
          </cell>
          <cell r="R6" t="str">
            <v>274-299</v>
          </cell>
          <cell r="S6">
            <v>257</v>
          </cell>
          <cell r="T6">
            <v>230.32</v>
          </cell>
          <cell r="U6" t="str">
            <v>-</v>
          </cell>
          <cell r="V6">
            <v>238.65</v>
          </cell>
          <cell r="W6">
            <v>14</v>
          </cell>
          <cell r="X6" t="str">
            <v>-</v>
          </cell>
        </row>
        <row r="7">
          <cell r="C7">
            <v>11421201</v>
          </cell>
          <cell r="D7" t="str">
            <v>伯希和/PELLIOT</v>
          </cell>
          <cell r="E7" t="str">
            <v>服装-外套-防晒服</v>
          </cell>
          <cell r="F7" t="str">
            <v>一品多商</v>
          </cell>
          <cell r="G7" t="str">
            <v>品牌直发</v>
          </cell>
          <cell r="H7">
            <v>2849.36</v>
          </cell>
          <cell r="I7">
            <v>16</v>
          </cell>
          <cell r="J7">
            <v>1489</v>
          </cell>
          <cell r="K7">
            <v>364</v>
          </cell>
          <cell r="L7">
            <v>80</v>
          </cell>
          <cell r="M7">
            <v>16</v>
          </cell>
          <cell r="N7">
            <v>776</v>
          </cell>
          <cell r="O7">
            <v>4</v>
          </cell>
          <cell r="P7">
            <v>388</v>
          </cell>
          <cell r="Q7">
            <v>2</v>
          </cell>
          <cell r="R7" t="str">
            <v>259-259</v>
          </cell>
          <cell r="S7">
            <v>209</v>
          </cell>
          <cell r="T7">
            <v>217.3</v>
          </cell>
          <cell r="U7" t="str">
            <v>-</v>
          </cell>
          <cell r="V7">
            <v>178.08</v>
          </cell>
          <cell r="W7">
            <v>16</v>
          </cell>
          <cell r="X7" t="str">
            <v>-</v>
          </cell>
        </row>
        <row r="8">
          <cell r="C8">
            <v>11410201</v>
          </cell>
          <cell r="D8" t="str">
            <v>伯希和/PELLIOT</v>
          </cell>
          <cell r="E8" t="str">
            <v>服装-长裤-冲锋裤</v>
          </cell>
          <cell r="F8" t="str">
            <v>一品多商</v>
          </cell>
          <cell r="G8" t="str">
            <v>品牌直发</v>
          </cell>
          <cell r="H8">
            <v>6466</v>
          </cell>
          <cell r="I8">
            <v>16</v>
          </cell>
          <cell r="J8">
            <v>1524</v>
          </cell>
          <cell r="K8">
            <v>333</v>
          </cell>
          <cell r="L8">
            <v>99</v>
          </cell>
          <cell r="M8">
            <v>16</v>
          </cell>
          <cell r="N8">
            <v>2428</v>
          </cell>
          <cell r="O8">
            <v>6</v>
          </cell>
          <cell r="P8">
            <v>1318</v>
          </cell>
          <cell r="Q8">
            <v>3</v>
          </cell>
          <cell r="R8" t="str">
            <v>437-482</v>
          </cell>
          <cell r="S8">
            <v>389</v>
          </cell>
          <cell r="T8">
            <v>371.71</v>
          </cell>
          <cell r="U8" t="str">
            <v>-</v>
          </cell>
          <cell r="V8">
            <v>404.12</v>
          </cell>
          <cell r="W8">
            <v>14</v>
          </cell>
          <cell r="X8" t="str">
            <v>-</v>
          </cell>
        </row>
        <row r="9">
          <cell r="C9">
            <v>12321218</v>
          </cell>
          <cell r="D9" t="str">
            <v>伯希和/PELLIOT</v>
          </cell>
          <cell r="E9" t="str">
            <v>女装-外套-防晒服</v>
          </cell>
          <cell r="F9" t="str">
            <v>一品多商</v>
          </cell>
          <cell r="G9" t="str">
            <v>品牌直发</v>
          </cell>
          <cell r="H9">
            <v>1287</v>
          </cell>
          <cell r="I9">
            <v>15</v>
          </cell>
          <cell r="J9">
            <v>1721</v>
          </cell>
          <cell r="K9">
            <v>294</v>
          </cell>
          <cell r="L9">
            <v>106</v>
          </cell>
          <cell r="M9">
            <v>15</v>
          </cell>
          <cell r="N9">
            <v>102</v>
          </cell>
          <cell r="O9">
            <v>1</v>
          </cell>
          <cell r="P9">
            <v>304</v>
          </cell>
          <cell r="Q9">
            <v>4</v>
          </cell>
          <cell r="R9" t="str">
            <v>-</v>
          </cell>
          <cell r="S9">
            <v>95</v>
          </cell>
          <cell r="T9" t="str">
            <v>-</v>
          </cell>
          <cell r="U9" t="str">
            <v>-</v>
          </cell>
          <cell r="V9">
            <v>85.8</v>
          </cell>
          <cell r="W9">
            <v>14</v>
          </cell>
          <cell r="X9" t="str">
            <v>-</v>
          </cell>
        </row>
        <row r="10">
          <cell r="C10">
            <v>12340106</v>
          </cell>
          <cell r="D10" t="str">
            <v>伯希和/PELLIOT</v>
          </cell>
          <cell r="E10" t="str">
            <v>女装-外套-冲锋衣</v>
          </cell>
          <cell r="F10" t="str">
            <v>一品多商</v>
          </cell>
          <cell r="G10" t="str">
            <v>品牌直发</v>
          </cell>
          <cell r="H10">
            <v>5670</v>
          </cell>
          <cell r="I10">
            <v>14</v>
          </cell>
          <cell r="J10">
            <v>1459</v>
          </cell>
          <cell r="K10">
            <v>321</v>
          </cell>
          <cell r="L10">
            <v>126</v>
          </cell>
          <cell r="M10">
            <v>14</v>
          </cell>
          <cell r="N10">
            <v>803</v>
          </cell>
          <cell r="O10">
            <v>2</v>
          </cell>
          <cell r="P10">
            <v>1788</v>
          </cell>
          <cell r="Q10">
            <v>4</v>
          </cell>
          <cell r="R10" t="str">
            <v>404-428</v>
          </cell>
          <cell r="S10">
            <v>365</v>
          </cell>
          <cell r="T10">
            <v>339.28</v>
          </cell>
          <cell r="U10" t="str">
            <v>-</v>
          </cell>
          <cell r="V10">
            <v>405</v>
          </cell>
          <cell r="W10">
            <v>12</v>
          </cell>
          <cell r="X10" t="str">
            <v>-</v>
          </cell>
        </row>
        <row r="11">
          <cell r="C11" t="str">
            <v>11340105-新加色</v>
          </cell>
          <cell r="D11" t="str">
            <v>伯希和/PELLIOT</v>
          </cell>
          <cell r="E11" t="str">
            <v>服装-外套-冲锋衣</v>
          </cell>
          <cell r="F11" t="str">
            <v>一品多商</v>
          </cell>
          <cell r="G11" t="str">
            <v>品牌直发</v>
          </cell>
          <cell r="H11">
            <v>5619</v>
          </cell>
          <cell r="I11">
            <v>13</v>
          </cell>
          <cell r="J11">
            <v>1182</v>
          </cell>
          <cell r="K11">
            <v>379</v>
          </cell>
          <cell r="L11">
            <v>70</v>
          </cell>
          <cell r="M11">
            <v>13</v>
          </cell>
          <cell r="N11">
            <v>2673</v>
          </cell>
          <cell r="O11">
            <v>6</v>
          </cell>
          <cell r="P11">
            <v>1396</v>
          </cell>
          <cell r="Q11">
            <v>3</v>
          </cell>
          <cell r="R11" t="str">
            <v>440-499</v>
          </cell>
          <cell r="S11">
            <v>401</v>
          </cell>
          <cell r="T11">
            <v>372.31</v>
          </cell>
          <cell r="U11" t="str">
            <v>-</v>
          </cell>
          <cell r="V11">
            <v>432.23</v>
          </cell>
          <cell r="W11">
            <v>11</v>
          </cell>
          <cell r="X11" t="str">
            <v>-</v>
          </cell>
        </row>
        <row r="12">
          <cell r="C12">
            <v>115119025</v>
          </cell>
          <cell r="D12" t="str">
            <v>伯希和/PELLIOT</v>
          </cell>
          <cell r="E12" t="str">
            <v>鞋-运动鞋-越野跑鞋</v>
          </cell>
          <cell r="F12" t="str">
            <v>一品多商</v>
          </cell>
          <cell r="G12" t="str">
            <v>品牌直发</v>
          </cell>
          <cell r="H12">
            <v>3097.2</v>
          </cell>
          <cell r="I12">
            <v>11</v>
          </cell>
          <cell r="J12">
            <v>1231</v>
          </cell>
          <cell r="K12">
            <v>364</v>
          </cell>
          <cell r="L12">
            <v>53</v>
          </cell>
          <cell r="M12">
            <v>11</v>
          </cell>
          <cell r="N12">
            <v>1203</v>
          </cell>
          <cell r="O12">
            <v>4</v>
          </cell>
          <cell r="P12">
            <v>308</v>
          </cell>
          <cell r="Q12">
            <v>1</v>
          </cell>
          <cell r="R12" t="str">
            <v>354-399</v>
          </cell>
          <cell r="S12">
            <v>322</v>
          </cell>
          <cell r="T12">
            <v>297.37</v>
          </cell>
          <cell r="U12" t="str">
            <v>-</v>
          </cell>
          <cell r="V12">
            <v>281.56</v>
          </cell>
          <cell r="W12">
            <v>11</v>
          </cell>
          <cell r="X12" t="str">
            <v>-</v>
          </cell>
        </row>
        <row r="13">
          <cell r="C13">
            <v>12421228</v>
          </cell>
          <cell r="D13" t="str">
            <v>伯希和/PELLIOT</v>
          </cell>
          <cell r="E13" t="str">
            <v>女装-外套-防晒服</v>
          </cell>
          <cell r="F13" t="str">
            <v>一品多商</v>
          </cell>
          <cell r="G13" t="str">
            <v>品牌直发</v>
          </cell>
          <cell r="H13">
            <v>774</v>
          </cell>
          <cell r="I13">
            <v>10</v>
          </cell>
          <cell r="J13">
            <v>471</v>
          </cell>
          <cell r="K13">
            <v>909</v>
          </cell>
          <cell r="L13">
            <v>9</v>
          </cell>
          <cell r="M13">
            <v>10</v>
          </cell>
          <cell r="N13">
            <v>198</v>
          </cell>
          <cell r="O13">
            <v>2</v>
          </cell>
          <cell r="P13">
            <v>571</v>
          </cell>
          <cell r="Q13">
            <v>6</v>
          </cell>
          <cell r="R13" t="str">
            <v>107-179</v>
          </cell>
          <cell r="S13">
            <v>107</v>
          </cell>
          <cell r="T13">
            <v>84.89</v>
          </cell>
          <cell r="U13" t="str">
            <v>-</v>
          </cell>
          <cell r="V13">
            <v>77.4</v>
          </cell>
          <cell r="W13">
            <v>10</v>
          </cell>
          <cell r="X13" t="str">
            <v>-</v>
          </cell>
        </row>
        <row r="14">
          <cell r="C14">
            <v>12421252</v>
          </cell>
          <cell r="D14" t="str">
            <v>伯希和/PELLIOT</v>
          </cell>
          <cell r="E14" t="str">
            <v>女装-外套-防晒服</v>
          </cell>
          <cell r="F14" t="str">
            <v>一品多商</v>
          </cell>
          <cell r="G14" t="str">
            <v>品牌直发</v>
          </cell>
          <cell r="H14">
            <v>842</v>
          </cell>
          <cell r="I14">
            <v>8</v>
          </cell>
          <cell r="J14">
            <v>631</v>
          </cell>
          <cell r="K14">
            <v>568</v>
          </cell>
          <cell r="L14">
            <v>8</v>
          </cell>
          <cell r="M14">
            <v>8</v>
          </cell>
          <cell r="N14">
            <v>119</v>
          </cell>
          <cell r="O14">
            <v>1</v>
          </cell>
          <cell r="P14">
            <v>238</v>
          </cell>
          <cell r="Q14">
            <v>2</v>
          </cell>
          <cell r="R14" t="str">
            <v>119-119</v>
          </cell>
          <cell r="S14">
            <v>93</v>
          </cell>
          <cell r="T14">
            <v>95.3</v>
          </cell>
          <cell r="U14" t="str">
            <v>-</v>
          </cell>
          <cell r="V14">
            <v>105.25</v>
          </cell>
          <cell r="W14">
            <v>7</v>
          </cell>
          <cell r="X14" t="str">
            <v>-</v>
          </cell>
        </row>
        <row r="15">
          <cell r="C15">
            <v>11421533</v>
          </cell>
          <cell r="D15" t="str">
            <v>伯希和/PELLIOT</v>
          </cell>
          <cell r="E15" t="str">
            <v>服装-上衣-Polo衫</v>
          </cell>
          <cell r="F15" t="str">
            <v>一品多商</v>
          </cell>
          <cell r="G15" t="str">
            <v>品牌直发</v>
          </cell>
          <cell r="H15">
            <v>1589</v>
          </cell>
          <cell r="I15">
            <v>8</v>
          </cell>
          <cell r="J15">
            <v>2307</v>
          </cell>
          <cell r="K15">
            <v>165</v>
          </cell>
          <cell r="L15">
            <v>190</v>
          </cell>
          <cell r="M15">
            <v>8</v>
          </cell>
          <cell r="N15">
            <v>220</v>
          </cell>
          <cell r="O15">
            <v>2</v>
          </cell>
          <cell r="P15">
            <v>211</v>
          </cell>
          <cell r="Q15">
            <v>1</v>
          </cell>
          <cell r="R15" t="str">
            <v>232-249</v>
          </cell>
          <cell r="S15">
            <v>201</v>
          </cell>
          <cell r="T15">
            <v>192.97</v>
          </cell>
          <cell r="U15" t="str">
            <v>-</v>
          </cell>
          <cell r="V15">
            <v>198.62</v>
          </cell>
          <cell r="W15">
            <v>8</v>
          </cell>
          <cell r="X15" t="str">
            <v>-</v>
          </cell>
        </row>
        <row r="16">
          <cell r="C16">
            <v>12340164</v>
          </cell>
          <cell r="D16" t="str">
            <v>伯希和/PELLIOT</v>
          </cell>
          <cell r="E16" t="str">
            <v>服装-外套-冲锋衣</v>
          </cell>
          <cell r="F16" t="str">
            <v>一品多商</v>
          </cell>
          <cell r="G16" t="str">
            <v>品牌直发</v>
          </cell>
          <cell r="H16">
            <v>4206.71</v>
          </cell>
          <cell r="I16">
            <v>8</v>
          </cell>
          <cell r="J16">
            <v>1343</v>
          </cell>
          <cell r="K16">
            <v>285</v>
          </cell>
          <cell r="L16">
            <v>89</v>
          </cell>
          <cell r="M16">
            <v>8</v>
          </cell>
          <cell r="N16">
            <v>1065</v>
          </cell>
          <cell r="O16">
            <v>2</v>
          </cell>
          <cell r="P16">
            <v>589</v>
          </cell>
          <cell r="Q16">
            <v>1</v>
          </cell>
          <cell r="R16" t="str">
            <v>608-699</v>
          </cell>
          <cell r="S16">
            <v>494</v>
          </cell>
          <cell r="T16">
            <v>518.13</v>
          </cell>
          <cell r="U16" t="str">
            <v>-</v>
          </cell>
          <cell r="V16">
            <v>525.84</v>
          </cell>
          <cell r="W16">
            <v>8</v>
          </cell>
          <cell r="X16" t="str">
            <v>-</v>
          </cell>
        </row>
        <row r="17">
          <cell r="C17">
            <v>11421425</v>
          </cell>
          <cell r="D17" t="str">
            <v>伯希和/PELLIOT</v>
          </cell>
          <cell r="E17" t="str">
            <v>服装-长裤-针织运动裤</v>
          </cell>
          <cell r="F17" t="str">
            <v>一品多商</v>
          </cell>
          <cell r="G17" t="str">
            <v>品牌直发</v>
          </cell>
          <cell r="H17">
            <v>873</v>
          </cell>
          <cell r="I17">
            <v>6</v>
          </cell>
          <cell r="J17">
            <v>693</v>
          </cell>
          <cell r="K17">
            <v>478</v>
          </cell>
          <cell r="L17">
            <v>8</v>
          </cell>
          <cell r="M17">
            <v>6</v>
          </cell>
          <cell r="N17">
            <v>0</v>
          </cell>
          <cell r="O17">
            <v>0</v>
          </cell>
          <cell r="P17">
            <v>160</v>
          </cell>
          <cell r="Q17">
            <v>1</v>
          </cell>
          <cell r="R17" t="str">
            <v>135-135</v>
          </cell>
          <cell r="S17">
            <v>108</v>
          </cell>
          <cell r="T17">
            <v>110.07</v>
          </cell>
          <cell r="U17" t="str">
            <v>-</v>
          </cell>
          <cell r="V17">
            <v>145.5</v>
          </cell>
          <cell r="W17">
            <v>6</v>
          </cell>
          <cell r="X17" t="str">
            <v>-</v>
          </cell>
        </row>
        <row r="18">
          <cell r="C18">
            <v>11421415</v>
          </cell>
          <cell r="D18" t="str">
            <v>伯希和/PELLIOT</v>
          </cell>
          <cell r="E18" t="str">
            <v>服装-户外运动服-速干裤</v>
          </cell>
          <cell r="F18" t="str">
            <v>一品多商</v>
          </cell>
          <cell r="G18" t="str">
            <v>品牌直发</v>
          </cell>
          <cell r="H18">
            <v>1085</v>
          </cell>
          <cell r="I18">
            <v>5</v>
          </cell>
          <cell r="J18">
            <v>1627</v>
          </cell>
          <cell r="K18">
            <v>188</v>
          </cell>
          <cell r="L18">
            <v>78</v>
          </cell>
          <cell r="M18">
            <v>5</v>
          </cell>
          <cell r="N18">
            <v>1150</v>
          </cell>
          <cell r="O18">
            <v>5</v>
          </cell>
          <cell r="P18">
            <v>478</v>
          </cell>
          <cell r="Q18">
            <v>2</v>
          </cell>
          <cell r="R18" t="str">
            <v>214-214</v>
          </cell>
          <cell r="S18">
            <v>201</v>
          </cell>
          <cell r="T18">
            <v>176.94</v>
          </cell>
          <cell r="U18" t="str">
            <v>-</v>
          </cell>
          <cell r="V18">
            <v>217</v>
          </cell>
          <cell r="W18">
            <v>5</v>
          </cell>
          <cell r="X18" t="str">
            <v>-</v>
          </cell>
        </row>
        <row r="19">
          <cell r="C19">
            <v>115212003</v>
          </cell>
          <cell r="D19" t="str">
            <v>伯希和/PELLIOT</v>
          </cell>
          <cell r="E19" t="str">
            <v>服装-外套-防晒服</v>
          </cell>
          <cell r="F19" t="str">
            <v>一品多商</v>
          </cell>
          <cell r="G19" t="str">
            <v>品牌直发</v>
          </cell>
          <cell r="H19">
            <v>1002</v>
          </cell>
          <cell r="I19">
            <v>5</v>
          </cell>
          <cell r="J19">
            <v>1068</v>
          </cell>
          <cell r="K19">
            <v>283</v>
          </cell>
          <cell r="L19">
            <v>40</v>
          </cell>
          <cell r="M19">
            <v>5</v>
          </cell>
          <cell r="N19">
            <v>0</v>
          </cell>
          <cell r="O19">
            <v>0</v>
          </cell>
          <cell r="P19">
            <v>440</v>
          </cell>
          <cell r="Q19">
            <v>2</v>
          </cell>
          <cell r="R19" t="str">
            <v>246-269</v>
          </cell>
          <cell r="S19">
            <v>246</v>
          </cell>
          <cell r="T19">
            <v>206.02</v>
          </cell>
          <cell r="U19" t="str">
            <v>-</v>
          </cell>
          <cell r="V19">
            <v>200.4</v>
          </cell>
          <cell r="W19">
            <v>5</v>
          </cell>
          <cell r="X19" t="str">
            <v>-</v>
          </cell>
        </row>
        <row r="20">
          <cell r="C20">
            <v>115119035</v>
          </cell>
          <cell r="D20" t="str">
            <v>伯希和/PELLIOT</v>
          </cell>
          <cell r="E20" t="str">
            <v>鞋-运动鞋-登山鞋/徒步鞋</v>
          </cell>
          <cell r="F20" t="str">
            <v>一品多商</v>
          </cell>
          <cell r="G20" t="str">
            <v>品牌直发</v>
          </cell>
          <cell r="H20">
            <v>1854.45</v>
          </cell>
          <cell r="I20">
            <v>5</v>
          </cell>
          <cell r="J20">
            <v>1470</v>
          </cell>
          <cell r="K20">
            <v>205</v>
          </cell>
          <cell r="L20">
            <v>66</v>
          </cell>
          <cell r="M20">
            <v>5</v>
          </cell>
          <cell r="N20">
            <v>826</v>
          </cell>
          <cell r="O20">
            <v>2</v>
          </cell>
          <cell r="P20">
            <v>10</v>
          </cell>
          <cell r="Q20">
            <v>1</v>
          </cell>
          <cell r="R20" t="str">
            <v>499-499</v>
          </cell>
          <cell r="S20">
            <v>399</v>
          </cell>
          <cell r="T20">
            <v>424.03</v>
          </cell>
          <cell r="U20" t="str">
            <v>-</v>
          </cell>
          <cell r="V20">
            <v>370.89</v>
          </cell>
          <cell r="W20">
            <v>5</v>
          </cell>
          <cell r="X20" t="str">
            <v>-</v>
          </cell>
        </row>
        <row r="21">
          <cell r="C21">
            <v>105212020</v>
          </cell>
          <cell r="D21" t="str">
            <v>伯希和/PELLIOT</v>
          </cell>
          <cell r="E21" t="str">
            <v>服装-外套-防晒服</v>
          </cell>
          <cell r="F21" t="str">
            <v>一品多商</v>
          </cell>
          <cell r="G21" t="str">
            <v>品牌直发</v>
          </cell>
          <cell r="H21">
            <v>1278</v>
          </cell>
          <cell r="I21">
            <v>5</v>
          </cell>
          <cell r="J21">
            <v>1172</v>
          </cell>
          <cell r="K21">
            <v>230</v>
          </cell>
          <cell r="L21">
            <v>49</v>
          </cell>
          <cell r="M21">
            <v>5</v>
          </cell>
          <cell r="N21">
            <v>284</v>
          </cell>
          <cell r="O21">
            <v>1</v>
          </cell>
          <cell r="P21">
            <v>284</v>
          </cell>
          <cell r="Q21">
            <v>1</v>
          </cell>
          <cell r="R21" t="str">
            <v>235-235</v>
          </cell>
          <cell r="S21">
            <v>222</v>
          </cell>
          <cell r="T21">
            <v>196.47</v>
          </cell>
          <cell r="U21" t="str">
            <v>-</v>
          </cell>
          <cell r="V21">
            <v>255.6</v>
          </cell>
          <cell r="W21">
            <v>4</v>
          </cell>
          <cell r="X21" t="str">
            <v>-</v>
          </cell>
        </row>
        <row r="22">
          <cell r="C22">
            <v>115214025</v>
          </cell>
          <cell r="D22" t="str">
            <v>伯希和/PELLIOT</v>
          </cell>
          <cell r="E22" t="str">
            <v>服装-户外运动服-速干裤</v>
          </cell>
          <cell r="F22" t="str">
            <v>一品多商</v>
          </cell>
          <cell r="G22" t="str">
            <v>品牌直发</v>
          </cell>
          <cell r="H22">
            <v>961</v>
          </cell>
          <cell r="I22">
            <v>4</v>
          </cell>
          <cell r="J22">
            <v>697</v>
          </cell>
          <cell r="K22">
            <v>388</v>
          </cell>
          <cell r="L22">
            <v>21</v>
          </cell>
          <cell r="M22">
            <v>4</v>
          </cell>
          <cell r="N22">
            <v>760</v>
          </cell>
          <cell r="O22">
            <v>3</v>
          </cell>
          <cell r="P22">
            <v>0</v>
          </cell>
          <cell r="Q22">
            <v>0</v>
          </cell>
          <cell r="R22" t="str">
            <v>287-299</v>
          </cell>
          <cell r="S22">
            <v>259</v>
          </cell>
          <cell r="T22">
            <v>240.31</v>
          </cell>
          <cell r="U22" t="str">
            <v>-</v>
          </cell>
          <cell r="V22">
            <v>240.25</v>
          </cell>
          <cell r="W22">
            <v>4</v>
          </cell>
          <cell r="X22" t="str">
            <v>-</v>
          </cell>
        </row>
        <row r="23">
          <cell r="C23">
            <v>124301030</v>
          </cell>
          <cell r="D23" t="str">
            <v>伯希和/PELLIOT</v>
          </cell>
          <cell r="E23" t="str">
            <v>女装-外套-冲锋衣</v>
          </cell>
          <cell r="F23" t="str">
            <v>一品多商</v>
          </cell>
          <cell r="G23" t="str">
            <v>品牌直发</v>
          </cell>
          <cell r="H23">
            <v>1543.47</v>
          </cell>
          <cell r="I23">
            <v>3</v>
          </cell>
          <cell r="J23">
            <v>496</v>
          </cell>
          <cell r="K23">
            <v>386</v>
          </cell>
          <cell r="L23">
            <v>12</v>
          </cell>
          <cell r="M23">
            <v>3</v>
          </cell>
          <cell r="N23">
            <v>541</v>
          </cell>
          <cell r="O23">
            <v>1</v>
          </cell>
          <cell r="P23">
            <v>541</v>
          </cell>
          <cell r="Q23">
            <v>1</v>
          </cell>
          <cell r="R23" t="str">
            <v>479-479</v>
          </cell>
          <cell r="S23">
            <v>431</v>
          </cell>
          <cell r="T23">
            <v>404.38</v>
          </cell>
          <cell r="U23" t="str">
            <v>-</v>
          </cell>
          <cell r="V23">
            <v>514.49</v>
          </cell>
          <cell r="W23">
            <v>2</v>
          </cell>
          <cell r="X23" t="str">
            <v>-</v>
          </cell>
        </row>
        <row r="24">
          <cell r="C24">
            <v>114301029</v>
          </cell>
          <cell r="D24" t="str">
            <v>伯希和/PELLIOT</v>
          </cell>
          <cell r="E24" t="str">
            <v>服装-外套-冲锋衣</v>
          </cell>
          <cell r="F24" t="str">
            <v>一品多商</v>
          </cell>
          <cell r="G24" t="str">
            <v>品牌直发</v>
          </cell>
          <cell r="H24">
            <v>1554.74</v>
          </cell>
          <cell r="I24">
            <v>3</v>
          </cell>
          <cell r="J24">
            <v>475</v>
          </cell>
          <cell r="K24">
            <v>494</v>
          </cell>
          <cell r="L24">
            <v>7</v>
          </cell>
          <cell r="M24">
            <v>3</v>
          </cell>
          <cell r="N24">
            <v>0</v>
          </cell>
          <cell r="O24">
            <v>0</v>
          </cell>
          <cell r="P24">
            <v>541</v>
          </cell>
          <cell r="Q24">
            <v>1</v>
          </cell>
          <cell r="R24" t="str">
            <v>451-499</v>
          </cell>
          <cell r="S24">
            <v>412</v>
          </cell>
          <cell r="T24">
            <v>381.86</v>
          </cell>
          <cell r="U24" t="str">
            <v>-</v>
          </cell>
          <cell r="V24">
            <v>518.25</v>
          </cell>
          <cell r="W24">
            <v>3</v>
          </cell>
          <cell r="X24" t="str">
            <v>-</v>
          </cell>
        </row>
        <row r="25">
          <cell r="C25" t="str">
            <v>11340105-CF05</v>
          </cell>
          <cell r="D25" t="str">
            <v>伯希和/PELLIOT</v>
          </cell>
          <cell r="E25" t="str">
            <v>服装-外套-冲锋衣</v>
          </cell>
          <cell r="F25" t="str">
            <v>一品多商</v>
          </cell>
          <cell r="G25" t="str">
            <v>品牌直发</v>
          </cell>
          <cell r="H25">
            <v>1279</v>
          </cell>
          <cell r="I25">
            <v>3</v>
          </cell>
          <cell r="J25">
            <v>830</v>
          </cell>
          <cell r="K25">
            <v>283</v>
          </cell>
          <cell r="L25">
            <v>23</v>
          </cell>
          <cell r="M25">
            <v>3</v>
          </cell>
          <cell r="N25">
            <v>0</v>
          </cell>
          <cell r="O25">
            <v>0</v>
          </cell>
          <cell r="P25">
            <v>0</v>
          </cell>
          <cell r="Q25">
            <v>0</v>
          </cell>
          <cell r="R25" t="str">
            <v>441-464</v>
          </cell>
          <cell r="S25">
            <v>420</v>
          </cell>
          <cell r="T25">
            <v>373.18</v>
          </cell>
          <cell r="U25" t="str">
            <v>-</v>
          </cell>
          <cell r="V25">
            <v>426.33</v>
          </cell>
          <cell r="W25">
            <v>3</v>
          </cell>
          <cell r="X25" t="str">
            <v>-</v>
          </cell>
        </row>
        <row r="26">
          <cell r="C26">
            <v>125301055</v>
          </cell>
          <cell r="D26" t="str">
            <v>伯希和/PELLIOT</v>
          </cell>
          <cell r="E26" t="str">
            <v>女装-外套-冲锋衣</v>
          </cell>
          <cell r="F26" t="str">
            <v>一品多商</v>
          </cell>
          <cell r="G26" t="str">
            <v>品牌直发</v>
          </cell>
          <cell r="H26">
            <v>1096</v>
          </cell>
          <cell r="I26">
            <v>2</v>
          </cell>
          <cell r="J26">
            <v>440</v>
          </cell>
          <cell r="K26">
            <v>435</v>
          </cell>
          <cell r="L26">
            <v>11</v>
          </cell>
          <cell r="M26">
            <v>2</v>
          </cell>
          <cell r="N26">
            <v>569</v>
          </cell>
          <cell r="O26">
            <v>1</v>
          </cell>
          <cell r="P26">
            <v>1138</v>
          </cell>
          <cell r="Q26">
            <v>2</v>
          </cell>
          <cell r="R26" t="str">
            <v>590-599</v>
          </cell>
          <cell r="S26">
            <v>537</v>
          </cell>
          <cell r="T26">
            <v>500.73</v>
          </cell>
          <cell r="U26" t="str">
            <v>-</v>
          </cell>
          <cell r="V26">
            <v>548</v>
          </cell>
          <cell r="W26">
            <v>2</v>
          </cell>
          <cell r="X26" t="str">
            <v>-</v>
          </cell>
        </row>
        <row r="27">
          <cell r="C27">
            <v>11411909</v>
          </cell>
          <cell r="D27" t="str">
            <v>伯希和/PELLIOT</v>
          </cell>
          <cell r="E27" t="str">
            <v>鞋-运动鞋-登山鞋/徒步鞋</v>
          </cell>
          <cell r="F27" t="str">
            <v>一品多商</v>
          </cell>
          <cell r="G27" t="str">
            <v>品牌直发</v>
          </cell>
          <cell r="H27">
            <v>641</v>
          </cell>
          <cell r="I27">
            <v>2</v>
          </cell>
          <cell r="J27">
            <v>537</v>
          </cell>
          <cell r="K27">
            <v>357</v>
          </cell>
          <cell r="L27">
            <v>12</v>
          </cell>
          <cell r="M27">
            <v>2</v>
          </cell>
          <cell r="N27">
            <v>0</v>
          </cell>
          <cell r="O27">
            <v>0</v>
          </cell>
          <cell r="P27">
            <v>0</v>
          </cell>
          <cell r="Q27">
            <v>0</v>
          </cell>
          <cell r="R27" t="str">
            <v>369-369</v>
          </cell>
          <cell r="S27">
            <v>258</v>
          </cell>
          <cell r="T27">
            <v>311.19</v>
          </cell>
          <cell r="U27" t="str">
            <v>-</v>
          </cell>
          <cell r="V27">
            <v>320.5</v>
          </cell>
          <cell r="W27">
            <v>2</v>
          </cell>
          <cell r="X27" t="str">
            <v>-</v>
          </cell>
        </row>
        <row r="28">
          <cell r="C28" t="str">
            <v>12340164-新加色</v>
          </cell>
          <cell r="D28" t="str">
            <v>伯希和/PELLIOT</v>
          </cell>
          <cell r="E28" t="str">
            <v>服装-外套-冲锋衣</v>
          </cell>
          <cell r="F28" t="str">
            <v>一品多商</v>
          </cell>
          <cell r="G28" t="str">
            <v>品牌直发</v>
          </cell>
          <cell r="H28">
            <v>636</v>
          </cell>
          <cell r="I28">
            <v>1</v>
          </cell>
          <cell r="J28">
            <v>690</v>
          </cell>
          <cell r="K28">
            <v>195</v>
          </cell>
          <cell r="L28">
            <v>15</v>
          </cell>
          <cell r="M28">
            <v>1</v>
          </cell>
          <cell r="N28">
            <v>0</v>
          </cell>
          <cell r="O28">
            <v>0</v>
          </cell>
          <cell r="P28">
            <v>0</v>
          </cell>
          <cell r="Q28">
            <v>0</v>
          </cell>
          <cell r="R28" t="str">
            <v>656-699</v>
          </cell>
          <cell r="S28">
            <v>597</v>
          </cell>
          <cell r="T28">
            <v>559.8</v>
          </cell>
          <cell r="U28" t="str">
            <v>-</v>
          </cell>
          <cell r="V28">
            <v>636</v>
          </cell>
          <cell r="W28">
            <v>1</v>
          </cell>
          <cell r="X28" t="str">
            <v>-</v>
          </cell>
        </row>
        <row r="29">
          <cell r="C29">
            <v>12340822</v>
          </cell>
          <cell r="D29" t="str">
            <v>伯希和/PELLIOT</v>
          </cell>
          <cell r="E29" t="str">
            <v>女装-外套-羽绒服</v>
          </cell>
          <cell r="F29" t="str">
            <v>一品多商</v>
          </cell>
          <cell r="G29" t="str">
            <v>品牌直发</v>
          </cell>
          <cell r="H29">
            <v>591</v>
          </cell>
          <cell r="I29">
            <v>1</v>
          </cell>
          <cell r="J29">
            <v>839</v>
          </cell>
          <cell r="K29">
            <v>160</v>
          </cell>
          <cell r="L29">
            <v>32</v>
          </cell>
          <cell r="M29">
            <v>1</v>
          </cell>
          <cell r="N29">
            <v>0</v>
          </cell>
          <cell r="O29">
            <v>0</v>
          </cell>
          <cell r="P29">
            <v>0</v>
          </cell>
          <cell r="Q29">
            <v>0</v>
          </cell>
          <cell r="R29" t="str">
            <v>650-650</v>
          </cell>
          <cell r="S29">
            <v>565</v>
          </cell>
          <cell r="T29">
            <v>552.71</v>
          </cell>
          <cell r="U29" t="str">
            <v>-</v>
          </cell>
          <cell r="V29">
            <v>591</v>
          </cell>
          <cell r="W29">
            <v>1</v>
          </cell>
          <cell r="X29" t="str">
            <v>-</v>
          </cell>
        </row>
        <row r="30">
          <cell r="C30">
            <v>115214024</v>
          </cell>
          <cell r="D30" t="str">
            <v>伯希和/PELLIOT</v>
          </cell>
          <cell r="E30" t="str">
            <v>服装-户外运动服-速干裤</v>
          </cell>
          <cell r="F30" t="str">
            <v>一品多商</v>
          </cell>
          <cell r="G30" t="str">
            <v>品牌直发</v>
          </cell>
          <cell r="H30">
            <v>190</v>
          </cell>
          <cell r="I30">
            <v>1</v>
          </cell>
          <cell r="J30">
            <v>1563</v>
          </cell>
          <cell r="K30">
            <v>90</v>
          </cell>
          <cell r="L30">
            <v>60</v>
          </cell>
          <cell r="M30">
            <v>1</v>
          </cell>
          <cell r="N30">
            <v>186</v>
          </cell>
          <cell r="O30">
            <v>1</v>
          </cell>
          <cell r="P30">
            <v>0</v>
          </cell>
          <cell r="Q30">
            <v>0</v>
          </cell>
          <cell r="R30" t="str">
            <v>196-198</v>
          </cell>
          <cell r="S30">
            <v>174</v>
          </cell>
          <cell r="T30">
            <v>161.32</v>
          </cell>
          <cell r="U30" t="str">
            <v>-</v>
          </cell>
          <cell r="V30">
            <v>190</v>
          </cell>
          <cell r="W30">
            <v>1</v>
          </cell>
          <cell r="X30" t="str">
            <v>-</v>
          </cell>
        </row>
        <row r="31">
          <cell r="C31">
            <v>125212004</v>
          </cell>
          <cell r="D31" t="str">
            <v>伯希和/PELLIOT</v>
          </cell>
          <cell r="E31" t="str">
            <v>女装-外套-防晒服</v>
          </cell>
          <cell r="F31" t="str">
            <v>一品多商</v>
          </cell>
          <cell r="G31" t="str">
            <v>品牌直发</v>
          </cell>
          <cell r="H31">
            <v>237</v>
          </cell>
          <cell r="I31">
            <v>1</v>
          </cell>
          <cell r="J31">
            <v>551</v>
          </cell>
          <cell r="K31">
            <v>247</v>
          </cell>
          <cell r="L31">
            <v>13</v>
          </cell>
          <cell r="M31">
            <v>1</v>
          </cell>
          <cell r="N31">
            <v>255</v>
          </cell>
          <cell r="O31">
            <v>1</v>
          </cell>
          <cell r="P31">
            <v>0</v>
          </cell>
          <cell r="Q31">
            <v>0</v>
          </cell>
          <cell r="R31" t="str">
            <v>229-229</v>
          </cell>
          <cell r="S31">
            <v>229</v>
          </cell>
          <cell r="T31">
            <v>197.65</v>
          </cell>
          <cell r="U31" t="str">
            <v>-</v>
          </cell>
          <cell r="V31">
            <v>237</v>
          </cell>
          <cell r="W31">
            <v>1</v>
          </cell>
          <cell r="X31" t="str">
            <v>-</v>
          </cell>
        </row>
        <row r="32">
          <cell r="C32">
            <v>114301033</v>
          </cell>
          <cell r="D32" t="str">
            <v>伯希和/PELLIOT</v>
          </cell>
          <cell r="E32" t="str">
            <v>服装-外套-冲锋衣</v>
          </cell>
          <cell r="F32" t="str">
            <v>一品多商</v>
          </cell>
          <cell r="G32" t="str">
            <v>品牌直发</v>
          </cell>
          <cell r="H32">
            <v>538</v>
          </cell>
          <cell r="I32">
            <v>1</v>
          </cell>
          <cell r="J32">
            <v>462</v>
          </cell>
          <cell r="K32">
            <v>292</v>
          </cell>
          <cell r="L32">
            <v>11</v>
          </cell>
          <cell r="M32">
            <v>1</v>
          </cell>
          <cell r="N32">
            <v>0</v>
          </cell>
          <cell r="O32">
            <v>0</v>
          </cell>
          <cell r="P32">
            <v>0</v>
          </cell>
          <cell r="Q32">
            <v>0</v>
          </cell>
          <cell r="R32" t="str">
            <v>559-559</v>
          </cell>
          <cell r="S32">
            <v>394</v>
          </cell>
          <cell r="T32">
            <v>475.6</v>
          </cell>
          <cell r="U32" t="str">
            <v>-</v>
          </cell>
          <cell r="V32">
            <v>538</v>
          </cell>
          <cell r="W32">
            <v>1</v>
          </cell>
          <cell r="X32" t="str">
            <v>-</v>
          </cell>
        </row>
        <row r="33">
          <cell r="C33">
            <v>11421409</v>
          </cell>
          <cell r="D33" t="str">
            <v>伯希和/PELLIOT</v>
          </cell>
          <cell r="E33" t="str">
            <v>服装-户外运动服-速干裤</v>
          </cell>
          <cell r="F33" t="str">
            <v>一品多商</v>
          </cell>
          <cell r="G33" t="str">
            <v>品牌直发</v>
          </cell>
          <cell r="H33">
            <v>0</v>
          </cell>
          <cell r="I33">
            <v>0</v>
          </cell>
          <cell r="J33">
            <v>280</v>
          </cell>
          <cell r="K33">
            <v>0</v>
          </cell>
          <cell r="L33">
            <v>1</v>
          </cell>
          <cell r="M33">
            <v>0</v>
          </cell>
          <cell r="N33">
            <v>0</v>
          </cell>
          <cell r="O33">
            <v>0</v>
          </cell>
          <cell r="P33">
            <v>0</v>
          </cell>
          <cell r="Q33">
            <v>0</v>
          </cell>
          <cell r="R33" t="str">
            <v>-</v>
          </cell>
          <cell r="S33">
            <v>155</v>
          </cell>
          <cell r="T33" t="str">
            <v>-</v>
          </cell>
          <cell r="U33" t="str">
            <v>-</v>
          </cell>
          <cell r="V33">
            <v>0</v>
          </cell>
          <cell r="W33">
            <v>0</v>
          </cell>
          <cell r="X33" t="str">
            <v>-</v>
          </cell>
        </row>
        <row r="34">
          <cell r="C34" t="str">
            <v>112340164-271037</v>
          </cell>
          <cell r="D34" t="str">
            <v>伯希和/PELLIOT</v>
          </cell>
          <cell r="E34" t="str">
            <v>服装-外套-冲锋衣</v>
          </cell>
          <cell r="F34" t="str">
            <v>一品多商</v>
          </cell>
          <cell r="G34" t="str">
            <v>品牌直发</v>
          </cell>
          <cell r="H34">
            <v>0</v>
          </cell>
          <cell r="I34">
            <v>0</v>
          </cell>
          <cell r="J34">
            <v>578</v>
          </cell>
          <cell r="K34">
            <v>0</v>
          </cell>
          <cell r="L34">
            <v>9</v>
          </cell>
          <cell r="M34">
            <v>0</v>
          </cell>
          <cell r="N34">
            <v>0</v>
          </cell>
          <cell r="O34">
            <v>0</v>
          </cell>
          <cell r="P34">
            <v>0</v>
          </cell>
          <cell r="Q34">
            <v>0</v>
          </cell>
          <cell r="R34" t="str">
            <v>629-699</v>
          </cell>
          <cell r="S34">
            <v>629</v>
          </cell>
          <cell r="T34">
            <v>536.36</v>
          </cell>
          <cell r="U34" t="str">
            <v>-</v>
          </cell>
          <cell r="V34">
            <v>0</v>
          </cell>
          <cell r="W34">
            <v>0</v>
          </cell>
          <cell r="X34" t="str">
            <v>-</v>
          </cell>
        </row>
        <row r="35">
          <cell r="C35">
            <v>12421250</v>
          </cell>
          <cell r="D35" t="str">
            <v>伯希和/PELLIOT</v>
          </cell>
          <cell r="E35" t="str">
            <v>女装-外套-防晒服</v>
          </cell>
          <cell r="F35" t="str">
            <v>一品多商</v>
          </cell>
          <cell r="G35" t="str">
            <v>品牌直发</v>
          </cell>
          <cell r="H35">
            <v>0</v>
          </cell>
          <cell r="I35">
            <v>0</v>
          </cell>
          <cell r="J35">
            <v>554</v>
          </cell>
          <cell r="K35">
            <v>0</v>
          </cell>
          <cell r="L35">
            <v>7</v>
          </cell>
          <cell r="M35">
            <v>0</v>
          </cell>
          <cell r="N35">
            <v>0</v>
          </cell>
          <cell r="O35">
            <v>0</v>
          </cell>
          <cell r="P35">
            <v>0</v>
          </cell>
          <cell r="Q35">
            <v>0</v>
          </cell>
          <cell r="R35" t="str">
            <v>259-259</v>
          </cell>
          <cell r="S35">
            <v>229</v>
          </cell>
          <cell r="T35">
            <v>216.82</v>
          </cell>
          <cell r="U35" t="str">
            <v>-</v>
          </cell>
          <cell r="V35">
            <v>0</v>
          </cell>
          <cell r="W35">
            <v>0</v>
          </cell>
          <cell r="X35" t="str">
            <v>-</v>
          </cell>
        </row>
        <row r="36">
          <cell r="C36">
            <v>12421534</v>
          </cell>
          <cell r="D36" t="str">
            <v>伯希和/PELLIOT</v>
          </cell>
          <cell r="E36" t="str">
            <v>女装-上衣-Polo衫</v>
          </cell>
          <cell r="F36" t="str">
            <v>一品多商</v>
          </cell>
          <cell r="G36" t="str">
            <v>品牌直发</v>
          </cell>
          <cell r="H36">
            <v>0</v>
          </cell>
          <cell r="I36">
            <v>0</v>
          </cell>
          <cell r="J36">
            <v>858</v>
          </cell>
          <cell r="K36">
            <v>0</v>
          </cell>
          <cell r="L36">
            <v>13</v>
          </cell>
          <cell r="M36">
            <v>0</v>
          </cell>
          <cell r="N36">
            <v>0</v>
          </cell>
          <cell r="O36">
            <v>0</v>
          </cell>
          <cell r="P36">
            <v>0</v>
          </cell>
          <cell r="Q36">
            <v>0</v>
          </cell>
          <cell r="R36" t="str">
            <v>241-269</v>
          </cell>
          <cell r="S36">
            <v>229</v>
          </cell>
          <cell r="T36">
            <v>199.5</v>
          </cell>
          <cell r="U36" t="str">
            <v>-</v>
          </cell>
          <cell r="V36">
            <v>0</v>
          </cell>
          <cell r="W36">
            <v>0</v>
          </cell>
          <cell r="X36" t="str">
            <v>-</v>
          </cell>
        </row>
        <row r="37">
          <cell r="C37">
            <v>11421509</v>
          </cell>
          <cell r="D37" t="str">
            <v>伯希和/PELLIOT</v>
          </cell>
          <cell r="E37" t="str">
            <v>服装-上衣-T恤</v>
          </cell>
          <cell r="F37" t="str">
            <v>一品多商</v>
          </cell>
          <cell r="G37" t="str">
            <v>品牌直发</v>
          </cell>
          <cell r="H37">
            <v>0</v>
          </cell>
          <cell r="I37">
            <v>0</v>
          </cell>
          <cell r="J37">
            <v>1254</v>
          </cell>
          <cell r="K37">
            <v>0</v>
          </cell>
          <cell r="L37">
            <v>29</v>
          </cell>
          <cell r="M37">
            <v>0</v>
          </cell>
          <cell r="N37">
            <v>0</v>
          </cell>
          <cell r="O37">
            <v>0</v>
          </cell>
          <cell r="P37">
            <v>0</v>
          </cell>
          <cell r="Q37">
            <v>0</v>
          </cell>
          <cell r="R37" t="str">
            <v>125-139</v>
          </cell>
          <cell r="S37">
            <v>114</v>
          </cell>
          <cell r="T37">
            <v>101.29</v>
          </cell>
          <cell r="U37" t="str">
            <v>-</v>
          </cell>
          <cell r="V37">
            <v>0</v>
          </cell>
          <cell r="W37">
            <v>0</v>
          </cell>
          <cell r="X37" t="str">
            <v>-</v>
          </cell>
        </row>
        <row r="38">
          <cell r="C38">
            <v>12421254</v>
          </cell>
          <cell r="D38" t="str">
            <v>伯希和/PELLIOT</v>
          </cell>
          <cell r="E38" t="str">
            <v>女装-外套-防晒服</v>
          </cell>
          <cell r="F38" t="str">
            <v>一品多商</v>
          </cell>
          <cell r="G38" t="str">
            <v>品牌直发</v>
          </cell>
          <cell r="H38">
            <v>0</v>
          </cell>
          <cell r="I38">
            <v>0</v>
          </cell>
          <cell r="J38">
            <v>454</v>
          </cell>
          <cell r="K38">
            <v>0</v>
          </cell>
          <cell r="L38">
            <v>4</v>
          </cell>
          <cell r="M38">
            <v>0</v>
          </cell>
          <cell r="N38">
            <v>0</v>
          </cell>
          <cell r="O38">
            <v>0</v>
          </cell>
          <cell r="P38">
            <v>0</v>
          </cell>
          <cell r="Q38">
            <v>0</v>
          </cell>
          <cell r="R38" t="str">
            <v>241-249</v>
          </cell>
          <cell r="S38">
            <v>241</v>
          </cell>
          <cell r="T38">
            <v>201.2</v>
          </cell>
          <cell r="U38" t="str">
            <v>-</v>
          </cell>
          <cell r="V38">
            <v>0</v>
          </cell>
          <cell r="W38">
            <v>0</v>
          </cell>
          <cell r="X38" t="str">
            <v>-</v>
          </cell>
        </row>
        <row r="39">
          <cell r="C39">
            <v>12340806</v>
          </cell>
          <cell r="D39" t="str">
            <v>伯希和/PELLIOT</v>
          </cell>
          <cell r="E39" t="str">
            <v>女装-外套-羽绒服</v>
          </cell>
          <cell r="F39" t="str">
            <v>一品多商</v>
          </cell>
          <cell r="G39" t="str">
            <v>品牌直发</v>
          </cell>
          <cell r="H39">
            <v>0</v>
          </cell>
          <cell r="I39">
            <v>0</v>
          </cell>
          <cell r="J39">
            <v>867</v>
          </cell>
          <cell r="K39">
            <v>0</v>
          </cell>
          <cell r="L39">
            <v>26</v>
          </cell>
          <cell r="M39">
            <v>0</v>
          </cell>
          <cell r="N39">
            <v>0</v>
          </cell>
          <cell r="O39">
            <v>0</v>
          </cell>
          <cell r="P39">
            <v>0</v>
          </cell>
          <cell r="Q39">
            <v>0</v>
          </cell>
          <cell r="R39" t="str">
            <v>1574-1790</v>
          </cell>
          <cell r="S39">
            <v>1398</v>
          </cell>
          <cell r="T39">
            <v>1354.74</v>
          </cell>
          <cell r="U39" t="str">
            <v>-</v>
          </cell>
          <cell r="V39">
            <v>0</v>
          </cell>
          <cell r="W39">
            <v>0</v>
          </cell>
          <cell r="X39" t="str">
            <v>-</v>
          </cell>
        </row>
        <row r="40">
          <cell r="C40">
            <v>114301085</v>
          </cell>
          <cell r="D40" t="str">
            <v>伯希和/PELLIOT</v>
          </cell>
          <cell r="E40" t="str">
            <v>服装-外套-冲锋衣</v>
          </cell>
          <cell r="F40" t="str">
            <v>一品多商</v>
          </cell>
          <cell r="G40" t="str">
            <v>品牌直发</v>
          </cell>
          <cell r="H40">
            <v>0</v>
          </cell>
          <cell r="I40">
            <v>0</v>
          </cell>
          <cell r="J40">
            <v>434</v>
          </cell>
          <cell r="K40">
            <v>0</v>
          </cell>
          <cell r="L40">
            <v>6</v>
          </cell>
          <cell r="M40">
            <v>0</v>
          </cell>
          <cell r="N40">
            <v>0</v>
          </cell>
          <cell r="O40">
            <v>0</v>
          </cell>
          <cell r="P40">
            <v>0</v>
          </cell>
          <cell r="Q40">
            <v>0</v>
          </cell>
          <cell r="R40" t="str">
            <v>1681-1700</v>
          </cell>
          <cell r="S40">
            <v>1057</v>
          </cell>
          <cell r="T40">
            <v>1449.5</v>
          </cell>
          <cell r="U40" t="str">
            <v>-</v>
          </cell>
          <cell r="V40">
            <v>0</v>
          </cell>
          <cell r="W40">
            <v>0</v>
          </cell>
          <cell r="X40" t="str">
            <v>-</v>
          </cell>
        </row>
        <row r="41">
          <cell r="C41">
            <v>12330602</v>
          </cell>
          <cell r="D41" t="str">
            <v>伯希和/PELLIOT</v>
          </cell>
          <cell r="E41" t="str">
            <v>女装-外套-软壳衣</v>
          </cell>
          <cell r="F41" t="str">
            <v>一品多商</v>
          </cell>
          <cell r="G41" t="str">
            <v>品牌直发</v>
          </cell>
          <cell r="H41">
            <v>0</v>
          </cell>
          <cell r="I41">
            <v>0</v>
          </cell>
          <cell r="J41">
            <v>260</v>
          </cell>
          <cell r="K41">
            <v>0</v>
          </cell>
          <cell r="L41">
            <v>1</v>
          </cell>
          <cell r="M41">
            <v>0</v>
          </cell>
          <cell r="N41">
            <v>0</v>
          </cell>
          <cell r="O41">
            <v>0</v>
          </cell>
          <cell r="P41">
            <v>0</v>
          </cell>
          <cell r="Q41">
            <v>0</v>
          </cell>
          <cell r="R41" t="str">
            <v>389-399</v>
          </cell>
          <cell r="S41">
            <v>296</v>
          </cell>
          <cell r="T41">
            <v>325.46</v>
          </cell>
          <cell r="U41" t="str">
            <v>-</v>
          </cell>
          <cell r="V41">
            <v>0</v>
          </cell>
          <cell r="W41">
            <v>0</v>
          </cell>
          <cell r="X41" t="str">
            <v>-</v>
          </cell>
        </row>
        <row r="42">
          <cell r="C42">
            <v>11121411</v>
          </cell>
          <cell r="D42" t="str">
            <v>伯希和/PELLIOT</v>
          </cell>
          <cell r="E42" t="str">
            <v>服装-户外运动服-速干裤</v>
          </cell>
          <cell r="F42" t="str">
            <v>一品多商</v>
          </cell>
          <cell r="G42" t="str">
            <v>品牌直发</v>
          </cell>
          <cell r="H42">
            <v>0</v>
          </cell>
          <cell r="I42">
            <v>0</v>
          </cell>
          <cell r="J42">
            <v>452</v>
          </cell>
          <cell r="K42">
            <v>0</v>
          </cell>
          <cell r="L42">
            <v>5</v>
          </cell>
          <cell r="M42">
            <v>0</v>
          </cell>
          <cell r="N42">
            <v>0</v>
          </cell>
          <cell r="O42">
            <v>0</v>
          </cell>
          <cell r="P42">
            <v>0</v>
          </cell>
          <cell r="Q42">
            <v>0</v>
          </cell>
          <cell r="R42" t="str">
            <v>-</v>
          </cell>
          <cell r="S42">
            <v>178</v>
          </cell>
          <cell r="T42" t="str">
            <v>-</v>
          </cell>
          <cell r="U42" t="str">
            <v>-</v>
          </cell>
          <cell r="V42">
            <v>0</v>
          </cell>
          <cell r="W42">
            <v>0</v>
          </cell>
          <cell r="X42" t="str">
            <v>-</v>
          </cell>
        </row>
        <row r="43">
          <cell r="C43">
            <v>11321405</v>
          </cell>
          <cell r="D43" t="str">
            <v>伯希和/PELLIOT</v>
          </cell>
          <cell r="E43" t="str">
            <v>服装-户外运动服-速干裤</v>
          </cell>
          <cell r="F43" t="str">
            <v>一品多商</v>
          </cell>
          <cell r="G43" t="str">
            <v>品牌直发</v>
          </cell>
          <cell r="H43">
            <v>0</v>
          </cell>
          <cell r="I43">
            <v>0</v>
          </cell>
          <cell r="J43">
            <v>559</v>
          </cell>
          <cell r="K43">
            <v>0</v>
          </cell>
          <cell r="L43">
            <v>10</v>
          </cell>
          <cell r="M43">
            <v>0</v>
          </cell>
          <cell r="N43">
            <v>0</v>
          </cell>
          <cell r="O43">
            <v>0</v>
          </cell>
          <cell r="P43">
            <v>0</v>
          </cell>
          <cell r="Q43">
            <v>0</v>
          </cell>
          <cell r="R43" t="str">
            <v>273-299</v>
          </cell>
          <cell r="S43">
            <v>250</v>
          </cell>
          <cell r="T43">
            <v>228.15</v>
          </cell>
          <cell r="U43" t="str">
            <v>-</v>
          </cell>
          <cell r="V43">
            <v>0</v>
          </cell>
          <cell r="W43">
            <v>0</v>
          </cell>
          <cell r="X43" t="str">
            <v>-</v>
          </cell>
        </row>
        <row r="44">
          <cell r="C44">
            <v>12321414</v>
          </cell>
          <cell r="D44" t="str">
            <v>伯希和/PELLIOT</v>
          </cell>
          <cell r="E44" t="str">
            <v>女装-户外运动服-速干裤</v>
          </cell>
          <cell r="F44" t="str">
            <v>一品一商</v>
          </cell>
          <cell r="G44" t="str">
            <v>品牌直发</v>
          </cell>
          <cell r="H44">
            <v>0</v>
          </cell>
          <cell r="I44">
            <v>0</v>
          </cell>
          <cell r="J44">
            <v>112</v>
          </cell>
          <cell r="K44">
            <v>0</v>
          </cell>
          <cell r="L44">
            <v>2</v>
          </cell>
          <cell r="M44">
            <v>0</v>
          </cell>
          <cell r="N44">
            <v>0</v>
          </cell>
          <cell r="O44">
            <v>0</v>
          </cell>
          <cell r="P44">
            <v>0</v>
          </cell>
          <cell r="Q44">
            <v>0</v>
          </cell>
          <cell r="R44" t="str">
            <v>-</v>
          </cell>
          <cell r="S44" t="str">
            <v>-</v>
          </cell>
          <cell r="T44" t="str">
            <v>-</v>
          </cell>
          <cell r="U44" t="str">
            <v>-</v>
          </cell>
          <cell r="V44">
            <v>0</v>
          </cell>
          <cell r="W44">
            <v>0</v>
          </cell>
          <cell r="X44" t="str">
            <v>-</v>
          </cell>
        </row>
        <row r="45">
          <cell r="C45">
            <v>12230602</v>
          </cell>
          <cell r="D45" t="str">
            <v>伯希和/PELLIOT</v>
          </cell>
          <cell r="E45" t="str">
            <v>女装-外套-软壳衣</v>
          </cell>
          <cell r="F45" t="str">
            <v>一品多商</v>
          </cell>
          <cell r="G45" t="str">
            <v>品牌直发</v>
          </cell>
          <cell r="H45">
            <v>0</v>
          </cell>
          <cell r="I45">
            <v>0</v>
          </cell>
          <cell r="J45">
            <v>455</v>
          </cell>
          <cell r="K45">
            <v>0</v>
          </cell>
          <cell r="L45">
            <v>13</v>
          </cell>
          <cell r="M45">
            <v>0</v>
          </cell>
          <cell r="N45">
            <v>0</v>
          </cell>
          <cell r="O45">
            <v>0</v>
          </cell>
          <cell r="P45">
            <v>0</v>
          </cell>
          <cell r="Q45">
            <v>0</v>
          </cell>
          <cell r="R45" t="str">
            <v>379-379</v>
          </cell>
          <cell r="S45">
            <v>314</v>
          </cell>
          <cell r="T45">
            <v>316.78</v>
          </cell>
          <cell r="U45" t="str">
            <v>-</v>
          </cell>
          <cell r="V45">
            <v>0</v>
          </cell>
          <cell r="W45">
            <v>0</v>
          </cell>
          <cell r="X45" t="str">
            <v>-</v>
          </cell>
        </row>
        <row r="46">
          <cell r="C46">
            <v>11230601</v>
          </cell>
          <cell r="D46" t="str">
            <v>伯希和/PELLIOT</v>
          </cell>
          <cell r="E46" t="str">
            <v>服装-外套-软壳衣</v>
          </cell>
          <cell r="F46" t="str">
            <v>一品多商</v>
          </cell>
          <cell r="G46" t="str">
            <v>品牌直发</v>
          </cell>
          <cell r="H46">
            <v>0</v>
          </cell>
          <cell r="I46">
            <v>0</v>
          </cell>
          <cell r="J46">
            <v>628</v>
          </cell>
          <cell r="K46">
            <v>0</v>
          </cell>
          <cell r="L46">
            <v>17</v>
          </cell>
          <cell r="M46">
            <v>0</v>
          </cell>
          <cell r="N46">
            <v>0</v>
          </cell>
          <cell r="O46">
            <v>0</v>
          </cell>
          <cell r="P46">
            <v>0</v>
          </cell>
          <cell r="Q46">
            <v>0</v>
          </cell>
          <cell r="R46" t="str">
            <v>-</v>
          </cell>
          <cell r="S46">
            <v>318</v>
          </cell>
          <cell r="T46" t="str">
            <v>-</v>
          </cell>
          <cell r="U46" t="str">
            <v>-</v>
          </cell>
          <cell r="V46">
            <v>0</v>
          </cell>
          <cell r="W46">
            <v>0</v>
          </cell>
          <cell r="X46" t="str">
            <v>-</v>
          </cell>
        </row>
        <row r="47">
          <cell r="C47">
            <v>115110021</v>
          </cell>
          <cell r="D47" t="str">
            <v>伯希和/PELLIOT</v>
          </cell>
          <cell r="E47" t="str">
            <v>服装-户外运动服-抓绒衣</v>
          </cell>
          <cell r="F47" t="str">
            <v>一品多商</v>
          </cell>
          <cell r="G47" t="str">
            <v>品牌直发</v>
          </cell>
          <cell r="H47">
            <v>0</v>
          </cell>
          <cell r="I47">
            <v>0</v>
          </cell>
          <cell r="J47">
            <v>391</v>
          </cell>
          <cell r="K47">
            <v>0</v>
          </cell>
          <cell r="L47">
            <v>9</v>
          </cell>
          <cell r="M47">
            <v>0</v>
          </cell>
          <cell r="N47">
            <v>0</v>
          </cell>
          <cell r="O47">
            <v>0</v>
          </cell>
          <cell r="P47">
            <v>0</v>
          </cell>
          <cell r="Q47">
            <v>0</v>
          </cell>
          <cell r="R47" t="str">
            <v>239-239</v>
          </cell>
          <cell r="S47">
            <v>214</v>
          </cell>
          <cell r="T47">
            <v>197.64</v>
          </cell>
          <cell r="U47" t="str">
            <v>-</v>
          </cell>
          <cell r="V47">
            <v>0</v>
          </cell>
          <cell r="W47">
            <v>0</v>
          </cell>
          <cell r="X47" t="str">
            <v>-</v>
          </cell>
        </row>
        <row r="48">
          <cell r="C48">
            <v>112240128</v>
          </cell>
          <cell r="D48" t="str">
            <v>伯希和/PELLIOT</v>
          </cell>
          <cell r="E48" t="str">
            <v>服装-外套-冲锋衣</v>
          </cell>
          <cell r="F48" t="str">
            <v>一品多商</v>
          </cell>
          <cell r="G48" t="str">
            <v>品牌直发</v>
          </cell>
          <cell r="H48">
            <v>0</v>
          </cell>
          <cell r="I48">
            <v>0</v>
          </cell>
          <cell r="J48">
            <v>512</v>
          </cell>
          <cell r="K48">
            <v>0</v>
          </cell>
          <cell r="L48">
            <v>7</v>
          </cell>
          <cell r="M48">
            <v>0</v>
          </cell>
          <cell r="N48">
            <v>0</v>
          </cell>
          <cell r="O48">
            <v>0</v>
          </cell>
          <cell r="P48">
            <v>0</v>
          </cell>
          <cell r="Q48">
            <v>0</v>
          </cell>
          <cell r="R48" t="str">
            <v>900-959</v>
          </cell>
          <cell r="S48">
            <v>581</v>
          </cell>
          <cell r="T48">
            <v>771.59</v>
          </cell>
          <cell r="U48" t="str">
            <v>-</v>
          </cell>
          <cell r="V48">
            <v>0</v>
          </cell>
          <cell r="W48">
            <v>0</v>
          </cell>
          <cell r="X48" t="str">
            <v>-</v>
          </cell>
        </row>
        <row r="49">
          <cell r="C49">
            <v>11040105</v>
          </cell>
          <cell r="D49" t="str">
            <v>伯希和/PELLIOT</v>
          </cell>
          <cell r="E49" t="str">
            <v>服装-外套-冲锋衣</v>
          </cell>
          <cell r="F49" t="str">
            <v>一品多商</v>
          </cell>
          <cell r="G49" t="str">
            <v>品牌直发</v>
          </cell>
          <cell r="H49">
            <v>0</v>
          </cell>
          <cell r="I49">
            <v>0</v>
          </cell>
          <cell r="J49">
            <v>339</v>
          </cell>
          <cell r="K49">
            <v>0</v>
          </cell>
          <cell r="L49">
            <v>6</v>
          </cell>
          <cell r="M49">
            <v>0</v>
          </cell>
          <cell r="N49">
            <v>0</v>
          </cell>
          <cell r="O49">
            <v>0</v>
          </cell>
          <cell r="P49">
            <v>0</v>
          </cell>
          <cell r="Q49">
            <v>0</v>
          </cell>
          <cell r="R49" t="str">
            <v>599-599</v>
          </cell>
          <cell r="S49">
            <v>469</v>
          </cell>
          <cell r="T49">
            <v>510.32</v>
          </cell>
          <cell r="U49" t="str">
            <v>-</v>
          </cell>
          <cell r="V49">
            <v>0</v>
          </cell>
          <cell r="W49">
            <v>0</v>
          </cell>
          <cell r="X49" t="str">
            <v>-</v>
          </cell>
        </row>
        <row r="50">
          <cell r="C50">
            <v>12040106</v>
          </cell>
          <cell r="D50" t="str">
            <v>伯希和/PELLIOT</v>
          </cell>
          <cell r="E50" t="str">
            <v>女装-外套-冲锋衣</v>
          </cell>
          <cell r="F50" t="str">
            <v>一品多商</v>
          </cell>
          <cell r="G50" t="str">
            <v>品牌直发</v>
          </cell>
          <cell r="H50">
            <v>0</v>
          </cell>
          <cell r="I50">
            <v>0</v>
          </cell>
          <cell r="J50">
            <v>457</v>
          </cell>
          <cell r="K50">
            <v>0</v>
          </cell>
          <cell r="L50">
            <v>8</v>
          </cell>
          <cell r="M50">
            <v>0</v>
          </cell>
          <cell r="N50">
            <v>0</v>
          </cell>
          <cell r="O50">
            <v>0</v>
          </cell>
          <cell r="P50">
            <v>0</v>
          </cell>
          <cell r="Q50">
            <v>0</v>
          </cell>
          <cell r="R50" t="str">
            <v>599-599</v>
          </cell>
          <cell r="S50">
            <v>480</v>
          </cell>
          <cell r="T50">
            <v>508.54</v>
          </cell>
          <cell r="U50" t="str">
            <v>-</v>
          </cell>
          <cell r="V50">
            <v>0</v>
          </cell>
          <cell r="W50">
            <v>0</v>
          </cell>
          <cell r="X50" t="str">
            <v>-</v>
          </cell>
        </row>
        <row r="51">
          <cell r="C51">
            <v>125215020</v>
          </cell>
          <cell r="D51" t="str">
            <v>伯希和/PELLIOT</v>
          </cell>
          <cell r="E51" t="str">
            <v>女装-上衣-Polo衫</v>
          </cell>
          <cell r="F51" t="str">
            <v>一品多商</v>
          </cell>
          <cell r="G51" t="str">
            <v>品牌直发</v>
          </cell>
          <cell r="H51">
            <v>0</v>
          </cell>
          <cell r="I51">
            <v>0</v>
          </cell>
          <cell r="J51">
            <v>653</v>
          </cell>
          <cell r="K51">
            <v>0</v>
          </cell>
          <cell r="L51">
            <v>25</v>
          </cell>
          <cell r="M51">
            <v>0</v>
          </cell>
          <cell r="N51">
            <v>0</v>
          </cell>
          <cell r="O51">
            <v>0</v>
          </cell>
          <cell r="P51">
            <v>0</v>
          </cell>
          <cell r="Q51">
            <v>0</v>
          </cell>
          <cell r="R51" t="str">
            <v>-</v>
          </cell>
          <cell r="S51">
            <v>173</v>
          </cell>
          <cell r="T51" t="str">
            <v>-</v>
          </cell>
          <cell r="U51" t="str">
            <v>-</v>
          </cell>
          <cell r="V51">
            <v>0</v>
          </cell>
          <cell r="W51">
            <v>0</v>
          </cell>
          <cell r="X51" t="str">
            <v>-</v>
          </cell>
        </row>
        <row r="52">
          <cell r="C52">
            <v>1124301070</v>
          </cell>
          <cell r="D52" t="str">
            <v>伯希和/PELLIOT</v>
          </cell>
          <cell r="E52" t="str">
            <v>服装-外套-冲锋衣</v>
          </cell>
          <cell r="F52" t="str">
            <v>一品多商</v>
          </cell>
          <cell r="G52" t="str">
            <v>品牌直发</v>
          </cell>
          <cell r="H52">
            <v>0</v>
          </cell>
          <cell r="I52">
            <v>0</v>
          </cell>
          <cell r="J52">
            <v>875</v>
          </cell>
          <cell r="K52">
            <v>0</v>
          </cell>
          <cell r="L52">
            <v>28</v>
          </cell>
          <cell r="M52">
            <v>0</v>
          </cell>
          <cell r="N52">
            <v>832</v>
          </cell>
          <cell r="O52">
            <v>1</v>
          </cell>
          <cell r="P52">
            <v>0</v>
          </cell>
          <cell r="Q52">
            <v>0</v>
          </cell>
          <cell r="R52" t="str">
            <v>880-890</v>
          </cell>
          <cell r="S52">
            <v>805</v>
          </cell>
          <cell r="T52">
            <v>754.23</v>
          </cell>
          <cell r="U52" t="str">
            <v>-</v>
          </cell>
          <cell r="V52">
            <v>0</v>
          </cell>
          <cell r="W52">
            <v>0</v>
          </cell>
          <cell r="X52" t="str">
            <v>-</v>
          </cell>
        </row>
        <row r="53">
          <cell r="C53">
            <v>115151007</v>
          </cell>
          <cell r="D53" t="str">
            <v>伯希和/PELLIOT</v>
          </cell>
          <cell r="E53" t="str">
            <v>服装-外套-夹克</v>
          </cell>
          <cell r="F53" t="str">
            <v>一品多商</v>
          </cell>
          <cell r="G53" t="str">
            <v>品牌直发</v>
          </cell>
          <cell r="H53">
            <v>0</v>
          </cell>
          <cell r="I53">
            <v>0</v>
          </cell>
          <cell r="J53">
            <v>278</v>
          </cell>
          <cell r="K53">
            <v>0</v>
          </cell>
          <cell r="L53">
            <v>5</v>
          </cell>
          <cell r="M53">
            <v>0</v>
          </cell>
          <cell r="N53">
            <v>0</v>
          </cell>
          <cell r="O53">
            <v>0</v>
          </cell>
          <cell r="P53">
            <v>0</v>
          </cell>
          <cell r="Q53">
            <v>0</v>
          </cell>
          <cell r="R53" t="str">
            <v>449-449</v>
          </cell>
          <cell r="S53">
            <v>342</v>
          </cell>
          <cell r="T53">
            <v>381.02</v>
          </cell>
          <cell r="U53" t="str">
            <v>-</v>
          </cell>
          <cell r="V53">
            <v>0</v>
          </cell>
          <cell r="W53">
            <v>0</v>
          </cell>
          <cell r="X53" t="str">
            <v>-</v>
          </cell>
        </row>
        <row r="54">
          <cell r="C54">
            <v>115215001</v>
          </cell>
          <cell r="D54" t="str">
            <v>伯希和/PELLIOT</v>
          </cell>
          <cell r="E54" t="str">
            <v>服装-上衣-T恤</v>
          </cell>
          <cell r="F54" t="str">
            <v>一品多商</v>
          </cell>
          <cell r="G54" t="str">
            <v>品牌直发</v>
          </cell>
          <cell r="H54">
            <v>0</v>
          </cell>
          <cell r="I54">
            <v>0</v>
          </cell>
          <cell r="J54">
            <v>459</v>
          </cell>
          <cell r="K54">
            <v>0</v>
          </cell>
          <cell r="L54">
            <v>5</v>
          </cell>
          <cell r="M54">
            <v>0</v>
          </cell>
          <cell r="N54">
            <v>0</v>
          </cell>
          <cell r="O54">
            <v>0</v>
          </cell>
          <cell r="P54">
            <v>0</v>
          </cell>
          <cell r="Q54">
            <v>0</v>
          </cell>
          <cell r="R54" t="str">
            <v>239-239</v>
          </cell>
          <cell r="S54">
            <v>190</v>
          </cell>
          <cell r="T54">
            <v>200.24</v>
          </cell>
          <cell r="U54" t="str">
            <v>-</v>
          </cell>
          <cell r="V54">
            <v>0</v>
          </cell>
          <cell r="W54">
            <v>0</v>
          </cell>
          <cell r="X54" t="str">
            <v>-</v>
          </cell>
        </row>
        <row r="55">
          <cell r="C55">
            <v>115215025</v>
          </cell>
          <cell r="D55" t="str">
            <v>伯希和/PELLIOT</v>
          </cell>
          <cell r="E55" t="str">
            <v>服装-户外运动服-速干T恤</v>
          </cell>
          <cell r="F55" t="str">
            <v>一品多商</v>
          </cell>
          <cell r="G55" t="str">
            <v>品牌直发</v>
          </cell>
          <cell r="H55">
            <v>0</v>
          </cell>
          <cell r="I55">
            <v>0</v>
          </cell>
          <cell r="J55">
            <v>1105</v>
          </cell>
          <cell r="K55">
            <v>0</v>
          </cell>
          <cell r="L55">
            <v>43</v>
          </cell>
          <cell r="M55">
            <v>0</v>
          </cell>
          <cell r="N55">
            <v>0</v>
          </cell>
          <cell r="O55">
            <v>0</v>
          </cell>
          <cell r="P55">
            <v>0</v>
          </cell>
          <cell r="Q55">
            <v>0</v>
          </cell>
          <cell r="R55" t="str">
            <v>239-239</v>
          </cell>
          <cell r="S55">
            <v>209</v>
          </cell>
          <cell r="T55">
            <v>198.74</v>
          </cell>
          <cell r="U55" t="str">
            <v>-</v>
          </cell>
          <cell r="V55">
            <v>0</v>
          </cell>
          <cell r="W55">
            <v>0</v>
          </cell>
          <cell r="X55" t="str">
            <v>-</v>
          </cell>
        </row>
        <row r="56">
          <cell r="C56">
            <v>115107003</v>
          </cell>
          <cell r="D56" t="str">
            <v>伯希和/PELLIOT</v>
          </cell>
          <cell r="E56" t="str">
            <v>服装-长裤-软壳裤</v>
          </cell>
          <cell r="F56" t="str">
            <v>一品多商</v>
          </cell>
          <cell r="G56" t="str">
            <v>品牌直发</v>
          </cell>
          <cell r="H56">
            <v>0</v>
          </cell>
          <cell r="I56">
            <v>0</v>
          </cell>
          <cell r="J56">
            <v>754</v>
          </cell>
          <cell r="K56">
            <v>0</v>
          </cell>
          <cell r="L56">
            <v>16</v>
          </cell>
          <cell r="M56">
            <v>0</v>
          </cell>
          <cell r="N56">
            <v>0</v>
          </cell>
          <cell r="O56">
            <v>0</v>
          </cell>
          <cell r="P56">
            <v>0</v>
          </cell>
          <cell r="Q56">
            <v>0</v>
          </cell>
          <cell r="R56" t="str">
            <v>550-550</v>
          </cell>
          <cell r="S56">
            <v>429</v>
          </cell>
          <cell r="T56">
            <v>467.49</v>
          </cell>
          <cell r="U56" t="str">
            <v>-</v>
          </cell>
          <cell r="V56">
            <v>0</v>
          </cell>
          <cell r="W56">
            <v>0</v>
          </cell>
          <cell r="X56" t="str">
            <v>-</v>
          </cell>
        </row>
        <row r="57">
          <cell r="C57">
            <v>115101001</v>
          </cell>
          <cell r="D57" t="str">
            <v>伯希和/PELLIOT</v>
          </cell>
          <cell r="E57" t="str">
            <v>服装-外套-冲锋衣</v>
          </cell>
          <cell r="F57" t="str">
            <v>一品多商</v>
          </cell>
          <cell r="G57" t="str">
            <v>品牌直发</v>
          </cell>
          <cell r="H57">
            <v>0</v>
          </cell>
          <cell r="I57">
            <v>0</v>
          </cell>
          <cell r="J57">
            <v>290</v>
          </cell>
          <cell r="K57">
            <v>0</v>
          </cell>
          <cell r="L57">
            <v>2</v>
          </cell>
          <cell r="M57">
            <v>0</v>
          </cell>
          <cell r="N57">
            <v>0</v>
          </cell>
          <cell r="O57">
            <v>0</v>
          </cell>
          <cell r="P57">
            <v>0</v>
          </cell>
          <cell r="Q57">
            <v>0</v>
          </cell>
          <cell r="R57" t="str">
            <v>590-590</v>
          </cell>
          <cell r="S57">
            <v>420</v>
          </cell>
          <cell r="T57">
            <v>502.51</v>
          </cell>
          <cell r="U57" t="str">
            <v>-</v>
          </cell>
          <cell r="V57">
            <v>0</v>
          </cell>
          <cell r="W57">
            <v>0</v>
          </cell>
          <cell r="X57" t="str">
            <v>-</v>
          </cell>
        </row>
        <row r="58">
          <cell r="C58">
            <v>115102001</v>
          </cell>
          <cell r="D58" t="str">
            <v>伯希和/PELLIOT</v>
          </cell>
          <cell r="E58" t="str">
            <v>服装-长裤-冲锋裤</v>
          </cell>
          <cell r="F58" t="str">
            <v>一品多商</v>
          </cell>
          <cell r="G58" t="str">
            <v>品牌直发</v>
          </cell>
          <cell r="H58">
            <v>0</v>
          </cell>
          <cell r="I58">
            <v>0</v>
          </cell>
          <cell r="J58">
            <v>471</v>
          </cell>
          <cell r="K58">
            <v>0</v>
          </cell>
          <cell r="L58">
            <v>3</v>
          </cell>
          <cell r="M58">
            <v>0</v>
          </cell>
          <cell r="N58">
            <v>0</v>
          </cell>
          <cell r="O58">
            <v>0</v>
          </cell>
          <cell r="P58">
            <v>0</v>
          </cell>
          <cell r="Q58">
            <v>0</v>
          </cell>
          <cell r="R58" t="str">
            <v>790-790</v>
          </cell>
          <cell r="S58">
            <v>659</v>
          </cell>
          <cell r="T58">
            <v>678.11</v>
          </cell>
          <cell r="U58" t="str">
            <v>-</v>
          </cell>
          <cell r="V58">
            <v>0</v>
          </cell>
          <cell r="W58">
            <v>0</v>
          </cell>
          <cell r="X58" t="str">
            <v>-</v>
          </cell>
        </row>
        <row r="59">
          <cell r="C59">
            <v>115301054</v>
          </cell>
          <cell r="D59" t="str">
            <v>伯希和/PELLIOT</v>
          </cell>
          <cell r="E59" t="str">
            <v>服装-外套-冲锋衣</v>
          </cell>
          <cell r="F59" t="str">
            <v>一品多商</v>
          </cell>
          <cell r="G59" t="str">
            <v>品牌直发</v>
          </cell>
          <cell r="H59">
            <v>0</v>
          </cell>
          <cell r="I59">
            <v>0</v>
          </cell>
          <cell r="J59">
            <v>575</v>
          </cell>
          <cell r="K59">
            <v>0</v>
          </cell>
          <cell r="L59">
            <v>17</v>
          </cell>
          <cell r="M59">
            <v>0</v>
          </cell>
          <cell r="N59">
            <v>0</v>
          </cell>
          <cell r="O59">
            <v>0</v>
          </cell>
          <cell r="P59">
            <v>0</v>
          </cell>
          <cell r="Q59">
            <v>0</v>
          </cell>
          <cell r="R59" t="str">
            <v>542-589</v>
          </cell>
          <cell r="S59">
            <v>480</v>
          </cell>
          <cell r="T59">
            <v>460.85</v>
          </cell>
          <cell r="U59" t="str">
            <v>-</v>
          </cell>
          <cell r="V59">
            <v>0</v>
          </cell>
          <cell r="W59">
            <v>0</v>
          </cell>
          <cell r="X59" t="str">
            <v>-</v>
          </cell>
        </row>
        <row r="60">
          <cell r="C60">
            <v>115119031</v>
          </cell>
          <cell r="D60" t="str">
            <v>伯希和/PELLIOT</v>
          </cell>
          <cell r="E60" t="str">
            <v>鞋-运动鞋-登山鞋/徒步鞋</v>
          </cell>
          <cell r="F60" t="str">
            <v>一品多商</v>
          </cell>
          <cell r="G60" t="str">
            <v>品牌直发</v>
          </cell>
          <cell r="H60">
            <v>0</v>
          </cell>
          <cell r="I60">
            <v>0</v>
          </cell>
          <cell r="J60">
            <v>457</v>
          </cell>
          <cell r="K60">
            <v>0</v>
          </cell>
          <cell r="L60">
            <v>8</v>
          </cell>
          <cell r="M60">
            <v>0</v>
          </cell>
          <cell r="N60">
            <v>0</v>
          </cell>
          <cell r="O60">
            <v>0</v>
          </cell>
          <cell r="P60">
            <v>0</v>
          </cell>
          <cell r="Q60">
            <v>0</v>
          </cell>
          <cell r="R60" t="str">
            <v>689-742</v>
          </cell>
          <cell r="S60">
            <v>689</v>
          </cell>
          <cell r="T60">
            <v>588.95</v>
          </cell>
          <cell r="U60" t="str">
            <v>-</v>
          </cell>
          <cell r="V60">
            <v>0</v>
          </cell>
          <cell r="W60">
            <v>0</v>
          </cell>
          <cell r="X60" t="str">
            <v>-</v>
          </cell>
        </row>
        <row r="61">
          <cell r="C61" t="str">
            <v>124101048-新加色</v>
          </cell>
          <cell r="D61" t="str">
            <v>伯希和/PELLIOT</v>
          </cell>
          <cell r="E61" t="str">
            <v>服装-外套-冲锋衣</v>
          </cell>
          <cell r="F61" t="str">
            <v>一品多商</v>
          </cell>
          <cell r="G61" t="str">
            <v>品牌直发</v>
          </cell>
          <cell r="H61">
            <v>0</v>
          </cell>
          <cell r="I61">
            <v>0</v>
          </cell>
          <cell r="J61">
            <v>1055</v>
          </cell>
          <cell r="K61">
            <v>0</v>
          </cell>
          <cell r="L61">
            <v>44</v>
          </cell>
          <cell r="M61">
            <v>0</v>
          </cell>
          <cell r="N61">
            <v>0</v>
          </cell>
          <cell r="O61">
            <v>0</v>
          </cell>
          <cell r="P61">
            <v>0</v>
          </cell>
          <cell r="Q61">
            <v>0</v>
          </cell>
          <cell r="R61" t="str">
            <v>640-690</v>
          </cell>
          <cell r="S61">
            <v>546</v>
          </cell>
          <cell r="T61">
            <v>545.91</v>
          </cell>
          <cell r="U61" t="str">
            <v>-</v>
          </cell>
          <cell r="V61">
            <v>0</v>
          </cell>
          <cell r="W61">
            <v>0</v>
          </cell>
          <cell r="X61" t="str">
            <v>-</v>
          </cell>
        </row>
        <row r="62">
          <cell r="C62">
            <v>114310191</v>
          </cell>
          <cell r="D62" t="str">
            <v>伯希和/PELLIOT</v>
          </cell>
          <cell r="E62" t="str">
            <v>服装-户外运动服-抓绒衣</v>
          </cell>
          <cell r="F62" t="str">
            <v>一品多商</v>
          </cell>
          <cell r="G62" t="str">
            <v>品牌直发</v>
          </cell>
          <cell r="H62">
            <v>0</v>
          </cell>
          <cell r="I62">
            <v>0</v>
          </cell>
          <cell r="J62">
            <v>273</v>
          </cell>
          <cell r="K62">
            <v>0</v>
          </cell>
          <cell r="L62">
            <v>4</v>
          </cell>
          <cell r="M62">
            <v>0</v>
          </cell>
          <cell r="N62">
            <v>0</v>
          </cell>
          <cell r="O62">
            <v>0</v>
          </cell>
          <cell r="P62">
            <v>0</v>
          </cell>
          <cell r="Q62">
            <v>0</v>
          </cell>
          <cell r="R62" t="str">
            <v>379-390</v>
          </cell>
          <cell r="S62">
            <v>299</v>
          </cell>
          <cell r="T62">
            <v>319.16</v>
          </cell>
          <cell r="U62" t="str">
            <v>-</v>
          </cell>
          <cell r="V62">
            <v>0</v>
          </cell>
          <cell r="W62">
            <v>0</v>
          </cell>
          <cell r="X62" t="str">
            <v>-</v>
          </cell>
        </row>
        <row r="63">
          <cell r="C63">
            <v>114401041</v>
          </cell>
          <cell r="D63" t="str">
            <v>伯希和/PELLIOT</v>
          </cell>
          <cell r="E63" t="str">
            <v>服装-外套-冲锋衣</v>
          </cell>
          <cell r="F63" t="str">
            <v>一品多商</v>
          </cell>
          <cell r="G63" t="str">
            <v>品牌直发</v>
          </cell>
          <cell r="H63">
            <v>0</v>
          </cell>
          <cell r="I63">
            <v>0</v>
          </cell>
          <cell r="J63">
            <v>519</v>
          </cell>
          <cell r="K63">
            <v>0</v>
          </cell>
          <cell r="L63">
            <v>12</v>
          </cell>
          <cell r="M63">
            <v>0</v>
          </cell>
          <cell r="N63">
            <v>0</v>
          </cell>
          <cell r="O63">
            <v>0</v>
          </cell>
          <cell r="P63">
            <v>0</v>
          </cell>
          <cell r="Q63">
            <v>0</v>
          </cell>
          <cell r="R63" t="str">
            <v>878-990</v>
          </cell>
          <cell r="S63">
            <v>789</v>
          </cell>
          <cell r="T63">
            <v>752.49</v>
          </cell>
          <cell r="U63" t="str">
            <v>-</v>
          </cell>
          <cell r="V63">
            <v>0</v>
          </cell>
          <cell r="W63">
            <v>0</v>
          </cell>
          <cell r="X63" t="str">
            <v>-</v>
          </cell>
        </row>
        <row r="64">
          <cell r="C64">
            <v>124419008</v>
          </cell>
          <cell r="D64" t="str">
            <v>伯希和/PELLIOT</v>
          </cell>
          <cell r="E64" t="str">
            <v>鞋-运动鞋-登山鞋/徒步鞋</v>
          </cell>
          <cell r="F64" t="str">
            <v>一品一商</v>
          </cell>
          <cell r="G64" t="str">
            <v>品牌直发</v>
          </cell>
          <cell r="H64">
            <v>0</v>
          </cell>
          <cell r="I64">
            <v>0</v>
          </cell>
          <cell r="J64">
            <v>90</v>
          </cell>
          <cell r="K64">
            <v>0</v>
          </cell>
          <cell r="L64">
            <v>14</v>
          </cell>
          <cell r="M64">
            <v>0</v>
          </cell>
          <cell r="N64">
            <v>0</v>
          </cell>
          <cell r="O64">
            <v>0</v>
          </cell>
          <cell r="P64">
            <v>0</v>
          </cell>
          <cell r="Q64">
            <v>0</v>
          </cell>
          <cell r="R64" t="str">
            <v>-</v>
          </cell>
          <cell r="S64" t="str">
            <v>-</v>
          </cell>
          <cell r="T64" t="str">
            <v>-</v>
          </cell>
          <cell r="U64" t="str">
            <v>-</v>
          </cell>
          <cell r="V64">
            <v>0</v>
          </cell>
          <cell r="W64">
            <v>0</v>
          </cell>
          <cell r="X64" t="str">
            <v>-</v>
          </cell>
        </row>
        <row r="65">
          <cell r="C65" t="str">
            <v>PE124314376</v>
          </cell>
          <cell r="D65" t="str">
            <v>伯希和/PELLIOT</v>
          </cell>
          <cell r="E65" t="str">
            <v>服装-户外运动服-速干裤</v>
          </cell>
          <cell r="F65" t="str">
            <v>一品多商</v>
          </cell>
          <cell r="G65" t="str">
            <v>品牌直发</v>
          </cell>
          <cell r="H65">
            <v>0</v>
          </cell>
          <cell r="I65">
            <v>0</v>
          </cell>
          <cell r="J65">
            <v>377</v>
          </cell>
          <cell r="K65">
            <v>0</v>
          </cell>
          <cell r="L65">
            <v>4</v>
          </cell>
          <cell r="M65">
            <v>0</v>
          </cell>
          <cell r="N65">
            <v>0</v>
          </cell>
          <cell r="O65">
            <v>0</v>
          </cell>
          <cell r="P65">
            <v>0</v>
          </cell>
          <cell r="Q65">
            <v>0</v>
          </cell>
          <cell r="R65" t="str">
            <v>341-341</v>
          </cell>
          <cell r="S65">
            <v>341</v>
          </cell>
          <cell r="T65">
            <v>287.18</v>
          </cell>
          <cell r="U65" t="str">
            <v>-</v>
          </cell>
          <cell r="V65">
            <v>0</v>
          </cell>
          <cell r="W65">
            <v>0</v>
          </cell>
          <cell r="X65" t="str">
            <v>-</v>
          </cell>
        </row>
        <row r="66">
          <cell r="C66">
            <v>124301070</v>
          </cell>
          <cell r="D66" t="str">
            <v>伯希和/PELLIOT</v>
          </cell>
          <cell r="E66" t="str">
            <v>服装-外套-冲锋衣</v>
          </cell>
          <cell r="F66" t="str">
            <v>一品多商</v>
          </cell>
          <cell r="G66" t="str">
            <v>品牌直发</v>
          </cell>
          <cell r="H66">
            <v>0</v>
          </cell>
          <cell r="I66">
            <v>0</v>
          </cell>
          <cell r="J66">
            <v>956</v>
          </cell>
          <cell r="K66">
            <v>0</v>
          </cell>
          <cell r="L66">
            <v>35</v>
          </cell>
          <cell r="M66">
            <v>0</v>
          </cell>
          <cell r="N66">
            <v>0</v>
          </cell>
          <cell r="O66">
            <v>0</v>
          </cell>
          <cell r="P66">
            <v>0</v>
          </cell>
          <cell r="Q66">
            <v>0</v>
          </cell>
          <cell r="R66" t="str">
            <v>833-890</v>
          </cell>
          <cell r="S66">
            <v>660</v>
          </cell>
          <cell r="T66">
            <v>713.43</v>
          </cell>
          <cell r="U66" t="str">
            <v>-</v>
          </cell>
          <cell r="V66">
            <v>0</v>
          </cell>
          <cell r="W66">
            <v>0</v>
          </cell>
          <cell r="X66" t="str">
            <v>-</v>
          </cell>
        </row>
        <row r="67">
          <cell r="C67">
            <v>114306147</v>
          </cell>
          <cell r="D67" t="str">
            <v>伯希和/PELLIOT</v>
          </cell>
          <cell r="E67" t="str">
            <v>服装-外套-软壳衣</v>
          </cell>
          <cell r="F67" t="str">
            <v>一品多商</v>
          </cell>
          <cell r="G67" t="str">
            <v>品牌直发</v>
          </cell>
          <cell r="H67">
            <v>0</v>
          </cell>
          <cell r="I67">
            <v>0</v>
          </cell>
          <cell r="J67">
            <v>653</v>
          </cell>
          <cell r="K67">
            <v>0</v>
          </cell>
          <cell r="L67">
            <v>20</v>
          </cell>
          <cell r="M67">
            <v>0</v>
          </cell>
          <cell r="N67">
            <v>0</v>
          </cell>
          <cell r="O67">
            <v>0</v>
          </cell>
          <cell r="P67">
            <v>0</v>
          </cell>
          <cell r="Q67">
            <v>0</v>
          </cell>
          <cell r="R67" t="str">
            <v>409-490</v>
          </cell>
          <cell r="S67">
            <v>299</v>
          </cell>
          <cell r="T67">
            <v>344.8</v>
          </cell>
          <cell r="U67" t="str">
            <v>-</v>
          </cell>
          <cell r="V67">
            <v>0</v>
          </cell>
          <cell r="W67">
            <v>0</v>
          </cell>
          <cell r="X67" t="str">
            <v>-</v>
          </cell>
        </row>
        <row r="68">
          <cell r="C68">
            <v>114301001</v>
          </cell>
          <cell r="D68" t="str">
            <v>伯希和/PELLIOT</v>
          </cell>
          <cell r="E68" t="str">
            <v>服装-外套-冲锋衣</v>
          </cell>
          <cell r="F68" t="str">
            <v>一品多商</v>
          </cell>
          <cell r="G68" t="str">
            <v>品牌直发</v>
          </cell>
          <cell r="H68">
            <v>0</v>
          </cell>
          <cell r="I68">
            <v>0</v>
          </cell>
          <cell r="J68">
            <v>474</v>
          </cell>
          <cell r="K68">
            <v>0</v>
          </cell>
          <cell r="L68">
            <v>7</v>
          </cell>
          <cell r="M68">
            <v>0</v>
          </cell>
          <cell r="N68">
            <v>0</v>
          </cell>
          <cell r="O68">
            <v>0</v>
          </cell>
          <cell r="P68">
            <v>0</v>
          </cell>
          <cell r="Q68">
            <v>0</v>
          </cell>
          <cell r="R68" t="str">
            <v>448-448</v>
          </cell>
          <cell r="S68">
            <v>394</v>
          </cell>
          <cell r="T68">
            <v>379.25</v>
          </cell>
          <cell r="U68" t="str">
            <v>-</v>
          </cell>
          <cell r="V68">
            <v>0</v>
          </cell>
          <cell r="W68">
            <v>0</v>
          </cell>
          <cell r="X68" t="str">
            <v>-</v>
          </cell>
        </row>
        <row r="69">
          <cell r="C69">
            <v>11421419</v>
          </cell>
          <cell r="D69" t="str">
            <v>伯希和/PELLIOT</v>
          </cell>
          <cell r="E69" t="str">
            <v>服装-健身服-运动短裤</v>
          </cell>
          <cell r="F69" t="str">
            <v>一品一商</v>
          </cell>
          <cell r="G69" t="str">
            <v>普通现货</v>
          </cell>
          <cell r="H69">
            <v>0</v>
          </cell>
          <cell r="I69">
            <v>0</v>
          </cell>
          <cell r="J69">
            <v>159</v>
          </cell>
          <cell r="K69">
            <v>0</v>
          </cell>
          <cell r="L69">
            <v>1</v>
          </cell>
          <cell r="M69">
            <v>0</v>
          </cell>
          <cell r="N69">
            <v>0</v>
          </cell>
          <cell r="O69">
            <v>0</v>
          </cell>
          <cell r="P69">
            <v>0</v>
          </cell>
          <cell r="Q69">
            <v>0</v>
          </cell>
          <cell r="R69" t="str">
            <v>-</v>
          </cell>
          <cell r="S69" t="str">
            <v>-</v>
          </cell>
          <cell r="T69" t="str">
            <v>-</v>
          </cell>
          <cell r="U69" t="str">
            <v>-</v>
          </cell>
          <cell r="V69">
            <v>0</v>
          </cell>
          <cell r="W69">
            <v>0</v>
          </cell>
          <cell r="X69" t="str">
            <v>-</v>
          </cell>
        </row>
        <row r="70">
          <cell r="C70">
            <v>12422002</v>
          </cell>
          <cell r="D70" t="str">
            <v>伯希和/PELLIOT</v>
          </cell>
          <cell r="E70" t="str">
            <v>鞋-运动鞋-户外功能鞋</v>
          </cell>
          <cell r="F70" t="str">
            <v>一品多商</v>
          </cell>
          <cell r="G70" t="str">
            <v>品牌直发</v>
          </cell>
          <cell r="H70">
            <v>0</v>
          </cell>
          <cell r="I70">
            <v>0</v>
          </cell>
          <cell r="J70">
            <v>474</v>
          </cell>
          <cell r="K70">
            <v>0</v>
          </cell>
          <cell r="L70">
            <v>5</v>
          </cell>
          <cell r="M70">
            <v>0</v>
          </cell>
          <cell r="N70">
            <v>0</v>
          </cell>
          <cell r="O70">
            <v>0</v>
          </cell>
          <cell r="P70">
            <v>0</v>
          </cell>
          <cell r="Q70">
            <v>0</v>
          </cell>
          <cell r="R70" t="str">
            <v>268-268</v>
          </cell>
          <cell r="S70">
            <v>204</v>
          </cell>
          <cell r="T70">
            <v>223.42</v>
          </cell>
          <cell r="U70" t="str">
            <v>-</v>
          </cell>
          <cell r="V70">
            <v>0</v>
          </cell>
          <cell r="W70">
            <v>0</v>
          </cell>
          <cell r="X70" t="str">
            <v>-</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X70"/>
  <sheetViews>
    <sheetView tabSelected="1" workbookViewId="0">
      <selection activeCell="P1" sqref="P$1:P$1048576"/>
    </sheetView>
  </sheetViews>
  <sheetFormatPr defaultColWidth="9" defaultRowHeight="13.5"/>
  <cols>
    <col min="1" max="1" width="9.375"/>
    <col min="3" max="3" width="11.5" style="2"/>
    <col min="9" max="9" width="9.375"/>
    <col min="15" max="15" width="10.375"/>
    <col min="33" max="33" width="9.375"/>
  </cols>
  <sheetData>
    <row r="1" ht="75" spans="1:50">
      <c r="A1" s="3" t="s">
        <v>0</v>
      </c>
      <c r="B1" s="3" t="s">
        <v>1</v>
      </c>
      <c r="C1" s="4" t="s">
        <v>2</v>
      </c>
      <c r="D1" s="3" t="s">
        <v>3</v>
      </c>
      <c r="E1" s="3" t="s">
        <v>4</v>
      </c>
      <c r="F1" s="3" t="s">
        <v>5</v>
      </c>
      <c r="G1" s="3" t="s">
        <v>6</v>
      </c>
      <c r="H1" s="3" t="s">
        <v>7</v>
      </c>
      <c r="I1" s="3">
        <v>6</v>
      </c>
      <c r="J1" s="3">
        <v>7</v>
      </c>
      <c r="K1" s="3">
        <v>8</v>
      </c>
      <c r="L1" s="3">
        <v>9</v>
      </c>
      <c r="M1" s="3">
        <v>10</v>
      </c>
      <c r="N1" s="3">
        <v>11</v>
      </c>
      <c r="O1" s="3" t="s">
        <v>8</v>
      </c>
      <c r="P1" s="3" t="s">
        <v>8</v>
      </c>
      <c r="Q1" s="3" t="s">
        <v>9</v>
      </c>
      <c r="R1" s="3" t="s">
        <v>10</v>
      </c>
      <c r="S1" s="3" t="s">
        <v>11</v>
      </c>
      <c r="T1" s="3" t="s">
        <v>12</v>
      </c>
      <c r="U1" s="3" t="s">
        <v>13</v>
      </c>
      <c r="V1" s="3" t="s">
        <v>14</v>
      </c>
      <c r="W1" s="3" t="s">
        <v>15</v>
      </c>
      <c r="X1" s="3" t="s">
        <v>16</v>
      </c>
      <c r="Y1" s="3" t="s">
        <v>17</v>
      </c>
      <c r="Z1" s="3" t="s">
        <v>18</v>
      </c>
      <c r="AA1" s="3" t="s">
        <v>19</v>
      </c>
      <c r="AB1" s="3" t="s">
        <v>20</v>
      </c>
      <c r="AC1" s="3" t="s">
        <v>21</v>
      </c>
      <c r="AD1" s="3" t="s">
        <v>22</v>
      </c>
      <c r="AE1" s="3" t="s">
        <v>23</v>
      </c>
      <c r="AF1" s="3" t="s">
        <v>24</v>
      </c>
      <c r="AG1" s="3" t="s">
        <v>25</v>
      </c>
      <c r="AH1" s="3" t="s">
        <v>26</v>
      </c>
      <c r="AI1" s="3" t="s">
        <v>27</v>
      </c>
      <c r="AJ1" s="3" t="s">
        <v>28</v>
      </c>
      <c r="AK1" s="3" t="s">
        <v>29</v>
      </c>
      <c r="AL1" s="3" t="s">
        <v>30</v>
      </c>
      <c r="AM1" s="3" t="s">
        <v>31</v>
      </c>
      <c r="AN1" s="3" t="s">
        <v>32</v>
      </c>
      <c r="AO1" s="3" t="s">
        <v>33</v>
      </c>
      <c r="AP1" s="3" t="s">
        <v>34</v>
      </c>
      <c r="AQ1" s="3" t="s">
        <v>35</v>
      </c>
      <c r="AR1" s="3" t="s">
        <v>36</v>
      </c>
      <c r="AS1" s="3" t="s">
        <v>37</v>
      </c>
      <c r="AT1" s="3" t="s">
        <v>38</v>
      </c>
      <c r="AU1" s="3" t="s">
        <v>39</v>
      </c>
      <c r="AV1" s="3" t="s">
        <v>40</v>
      </c>
      <c r="AW1" s="3" t="s">
        <v>41</v>
      </c>
      <c r="AX1" s="3" t="s">
        <v>42</v>
      </c>
    </row>
    <row r="2" hidden="1" spans="1:50">
      <c r="A2" s="5">
        <v>9477032</v>
      </c>
      <c r="B2" t="s">
        <v>43</v>
      </c>
      <c r="C2" s="6">
        <v>11421507</v>
      </c>
      <c r="D2" t="s">
        <v>44</v>
      </c>
      <c r="E2" t="s">
        <v>45</v>
      </c>
      <c r="F2" t="s">
        <v>46</v>
      </c>
      <c r="G2" t="s">
        <v>47</v>
      </c>
      <c r="H2">
        <v>8557.47</v>
      </c>
      <c r="I2" s="5">
        <f>VLOOKUP(C2,[6]sheet1!$C:$X,6,0)</f>
        <v>4329</v>
      </c>
      <c r="J2" s="5">
        <f>VLOOKUP(C2,[1]sheet1!$C:$I,6,0)</f>
        <v>8037</v>
      </c>
      <c r="K2" s="5">
        <f>VLOOKUP(C2,[2]sheet1!$C:$H,6,0)</f>
        <v>4640</v>
      </c>
      <c r="L2" s="5">
        <f>VLOOKUP(C2,[3]sheet1!$C:$H,6,0)</f>
        <v>3862</v>
      </c>
      <c r="M2" s="5">
        <f>VLOOKUP(C2,[4]sheet1!$C:$I,6,0)</f>
        <v>6959</v>
      </c>
      <c r="N2" s="5">
        <f>VLOOKUP(C2,[5]sheet1!$C:$J,6,0)</f>
        <v>6257</v>
      </c>
      <c r="O2" s="5">
        <f>H2+I2+J2+K2+L2+M2+N2</f>
        <v>42641.47</v>
      </c>
      <c r="P2" s="5">
        <v>42641.47</v>
      </c>
      <c r="Q2" s="5">
        <v>69</v>
      </c>
      <c r="R2">
        <v>3309</v>
      </c>
      <c r="S2">
        <v>327</v>
      </c>
      <c r="T2" s="5">
        <v>415</v>
      </c>
      <c r="U2" s="5">
        <v>69</v>
      </c>
      <c r="V2">
        <v>821</v>
      </c>
      <c r="W2" s="5">
        <v>7</v>
      </c>
      <c r="X2">
        <v>1259.51</v>
      </c>
      <c r="Y2" s="5">
        <v>9</v>
      </c>
      <c r="Z2" t="s">
        <v>48</v>
      </c>
      <c r="AA2" s="5">
        <v>154</v>
      </c>
      <c r="AB2">
        <v>133.07</v>
      </c>
      <c r="AC2" t="s">
        <v>49</v>
      </c>
      <c r="AD2">
        <v>124.02</v>
      </c>
      <c r="AE2" s="5">
        <v>64</v>
      </c>
      <c r="AF2" t="s">
        <v>49</v>
      </c>
      <c r="AG2">
        <v>9181.83</v>
      </c>
      <c r="AH2" t="s">
        <v>49</v>
      </c>
      <c r="AI2">
        <v>136.04</v>
      </c>
      <c r="AJ2" t="s">
        <v>49</v>
      </c>
      <c r="AK2">
        <v>9386.76</v>
      </c>
      <c r="AL2" t="s">
        <v>49</v>
      </c>
      <c r="AM2">
        <v>3902</v>
      </c>
      <c r="AN2" s="7">
        <v>0.75</v>
      </c>
      <c r="AO2" s="7">
        <v>0.5</v>
      </c>
      <c r="AP2" s="7">
        <v>0.8605</v>
      </c>
      <c r="AQ2" s="7">
        <v>0.3993</v>
      </c>
      <c r="AR2" s="7">
        <v>0.8723</v>
      </c>
      <c r="AS2" s="7">
        <v>0.4651</v>
      </c>
      <c r="AT2" s="5">
        <v>1</v>
      </c>
      <c r="AU2" s="5">
        <v>0</v>
      </c>
      <c r="AV2" s="7">
        <v>1</v>
      </c>
      <c r="AW2" s="5">
        <v>0</v>
      </c>
      <c r="AX2" s="5">
        <v>0</v>
      </c>
    </row>
    <row r="3" hidden="1" spans="1:50">
      <c r="A3" s="5">
        <v>8298814</v>
      </c>
      <c r="B3" t="s">
        <v>50</v>
      </c>
      <c r="C3" s="5">
        <v>12421220</v>
      </c>
      <c r="D3" t="s">
        <v>44</v>
      </c>
      <c r="E3" t="s">
        <v>51</v>
      </c>
      <c r="F3" t="s">
        <v>46</v>
      </c>
      <c r="G3" t="s">
        <v>47</v>
      </c>
      <c r="H3">
        <v>14794</v>
      </c>
      <c r="I3" s="5">
        <f>VLOOKUP(C3,[6]sheet1!$C:$X,6,0)</f>
        <v>20578</v>
      </c>
      <c r="J3" s="5">
        <f>VLOOKUP(C3,[1]sheet1!$C:$I,6,0)</f>
        <v>24810.93</v>
      </c>
      <c r="K3" s="5">
        <f>VLOOKUP(C3,[2]sheet1!$C:$H,6,0)</f>
        <v>22371</v>
      </c>
      <c r="L3" s="5">
        <f>VLOOKUP(C3,[3]sheet1!$C:$H,6,0)</f>
        <v>20698.46</v>
      </c>
      <c r="M3" s="5">
        <f>VLOOKUP(C3,[4]sheet1!$C:$I,6,0)</f>
        <v>15783.72</v>
      </c>
      <c r="N3" s="5">
        <f>VLOOKUP(C3,[5]sheet1!$C:$J,6,0)</f>
        <v>12303.86</v>
      </c>
      <c r="O3" s="5">
        <f t="shared" ref="O3:O35" si="0">H3+I3+J3+K3+L3+M3+N3</f>
        <v>131339.97</v>
      </c>
      <c r="P3" s="5">
        <v>131339.97</v>
      </c>
      <c r="Q3" s="5">
        <v>67</v>
      </c>
      <c r="R3">
        <v>2229</v>
      </c>
      <c r="S3">
        <v>458</v>
      </c>
      <c r="T3" s="5">
        <v>248</v>
      </c>
      <c r="U3" s="5">
        <v>67</v>
      </c>
      <c r="V3">
        <v>8957</v>
      </c>
      <c r="W3" s="5">
        <v>44</v>
      </c>
      <c r="X3">
        <v>4088</v>
      </c>
      <c r="Y3" s="5">
        <v>17</v>
      </c>
      <c r="Z3" t="s">
        <v>52</v>
      </c>
      <c r="AA3" s="5">
        <v>259</v>
      </c>
      <c r="AB3">
        <v>230.32</v>
      </c>
      <c r="AC3" t="s">
        <v>49</v>
      </c>
      <c r="AD3">
        <v>220.81</v>
      </c>
      <c r="AE3" s="5">
        <v>57</v>
      </c>
      <c r="AF3" t="s">
        <v>49</v>
      </c>
      <c r="AG3">
        <v>15431.44</v>
      </c>
      <c r="AH3" t="s">
        <v>49</v>
      </c>
      <c r="AI3">
        <v>217.3</v>
      </c>
      <c r="AJ3" t="s">
        <v>49</v>
      </c>
      <c r="AK3">
        <v>14559.1</v>
      </c>
      <c r="AL3" t="s">
        <v>49</v>
      </c>
      <c r="AM3">
        <v>2709</v>
      </c>
      <c r="AN3" s="7">
        <v>0.6491</v>
      </c>
      <c r="AO3" s="7">
        <v>0.4211</v>
      </c>
      <c r="AP3" s="7">
        <v>0.8777</v>
      </c>
      <c r="AQ3" s="7">
        <v>0.4902</v>
      </c>
      <c r="AR3" s="7">
        <v>0.9556</v>
      </c>
      <c r="AS3" s="7">
        <v>0.5645</v>
      </c>
      <c r="AT3" s="5">
        <v>2</v>
      </c>
      <c r="AU3" s="5">
        <v>0</v>
      </c>
      <c r="AV3" s="7">
        <v>1</v>
      </c>
      <c r="AW3" s="5">
        <v>0</v>
      </c>
      <c r="AX3" s="5">
        <v>0</v>
      </c>
    </row>
    <row r="4" hidden="1" spans="1:50">
      <c r="A4" s="5">
        <v>11032744</v>
      </c>
      <c r="B4" t="s">
        <v>53</v>
      </c>
      <c r="C4" t="s">
        <v>54</v>
      </c>
      <c r="D4" t="s">
        <v>44</v>
      </c>
      <c r="E4" t="s">
        <v>55</v>
      </c>
      <c r="F4" t="s">
        <v>46</v>
      </c>
      <c r="G4" t="s">
        <v>47</v>
      </c>
      <c r="H4">
        <v>24142</v>
      </c>
      <c r="I4" s="5">
        <f>VLOOKUP(C4,[6]sheet1!$C:$X,6,0)</f>
        <v>19889</v>
      </c>
      <c r="J4" s="5">
        <f>VLOOKUP(C4,[1]sheet1!$C:$I,6,0)</f>
        <v>23017</v>
      </c>
      <c r="K4" s="5">
        <f>VLOOKUP(C4,[2]sheet1!$C:$H,6,0)</f>
        <v>13499</v>
      </c>
      <c r="L4" s="5">
        <f>VLOOKUP(C4,[3]sheet1!$C:$H,6,0)</f>
        <v>25984</v>
      </c>
      <c r="M4" s="5">
        <f>VLOOKUP(C4,[4]sheet1!$C:$I,6,0)</f>
        <v>25861</v>
      </c>
      <c r="N4" s="5">
        <f>VLOOKUP(C4,[5]sheet1!$C:$J,6,0)</f>
        <v>26185</v>
      </c>
      <c r="O4" s="5">
        <f t="shared" si="0"/>
        <v>158577</v>
      </c>
      <c r="P4" s="5">
        <v>158577</v>
      </c>
      <c r="Q4" s="5">
        <v>43</v>
      </c>
      <c r="R4">
        <v>2030</v>
      </c>
      <c r="S4">
        <v>421</v>
      </c>
      <c r="T4" s="5">
        <v>235</v>
      </c>
      <c r="U4" s="5">
        <v>43</v>
      </c>
      <c r="V4">
        <v>8779</v>
      </c>
      <c r="W4" s="5">
        <v>15</v>
      </c>
      <c r="X4">
        <v>7166</v>
      </c>
      <c r="Y4" s="5">
        <v>13</v>
      </c>
      <c r="Z4" t="s">
        <v>56</v>
      </c>
      <c r="AA4" s="5">
        <v>499</v>
      </c>
      <c r="AB4">
        <v>529.42</v>
      </c>
      <c r="AC4" t="s">
        <v>49</v>
      </c>
      <c r="AD4">
        <v>561.44</v>
      </c>
      <c r="AE4" s="5">
        <v>40</v>
      </c>
      <c r="AF4" t="s">
        <v>49</v>
      </c>
      <c r="AG4">
        <v>22765.06</v>
      </c>
      <c r="AH4" t="s">
        <v>49</v>
      </c>
      <c r="AI4">
        <v>433.5</v>
      </c>
      <c r="AJ4" t="s">
        <v>49</v>
      </c>
      <c r="AK4">
        <v>18640.5</v>
      </c>
      <c r="AL4" t="s">
        <v>49</v>
      </c>
      <c r="AM4">
        <v>2583</v>
      </c>
      <c r="AN4" s="7">
        <v>0.775</v>
      </c>
      <c r="AO4" s="7">
        <v>0.4</v>
      </c>
      <c r="AP4" s="7">
        <v>0.8933</v>
      </c>
      <c r="AQ4" s="7">
        <v>0.6202</v>
      </c>
      <c r="AR4" s="7">
        <v>0.9149</v>
      </c>
      <c r="AS4" s="7">
        <v>0.6468</v>
      </c>
      <c r="AT4" s="5">
        <v>0</v>
      </c>
      <c r="AU4" s="5">
        <v>1</v>
      </c>
      <c r="AV4" s="7">
        <v>0</v>
      </c>
      <c r="AW4" s="5">
        <v>0</v>
      </c>
      <c r="AX4" s="5">
        <v>0</v>
      </c>
    </row>
    <row r="5" hidden="1" spans="1:50">
      <c r="A5" s="5">
        <v>5812551</v>
      </c>
      <c r="B5" t="s">
        <v>57</v>
      </c>
      <c r="C5" s="5">
        <v>12340164</v>
      </c>
      <c r="D5" t="s">
        <v>44</v>
      </c>
      <c r="E5" t="s">
        <v>55</v>
      </c>
      <c r="F5" t="s">
        <v>46</v>
      </c>
      <c r="G5" t="s">
        <v>47</v>
      </c>
      <c r="H5">
        <v>8474</v>
      </c>
      <c r="I5" s="5">
        <f>VLOOKUP(C5,[6]sheet1!$C:$X,6,0)</f>
        <v>4206.71</v>
      </c>
      <c r="J5" s="5">
        <f>VLOOKUP(C5,[1]sheet1!$C:$I,6,0)</f>
        <v>15668.61</v>
      </c>
      <c r="K5" s="5">
        <f>VLOOKUP(C5,[2]sheet1!$C:$H,6,0)</f>
        <v>11223.71</v>
      </c>
      <c r="L5" s="5">
        <f>VLOOKUP(C5,[3]sheet1!$C:$H,6,0)</f>
        <v>10531</v>
      </c>
      <c r="M5" s="5">
        <f>VLOOKUP(C5,[4]sheet1!$C:$I,6,0)</f>
        <v>8342</v>
      </c>
      <c r="N5" s="5">
        <f>VLOOKUP(C5,[5]sheet1!$C:$J,6,0)</f>
        <v>16839</v>
      </c>
      <c r="O5" s="5">
        <f t="shared" si="0"/>
        <v>75285.03</v>
      </c>
      <c r="P5" s="5">
        <v>75285.03</v>
      </c>
      <c r="Q5" s="5">
        <v>16</v>
      </c>
      <c r="R5">
        <v>1366</v>
      </c>
      <c r="S5">
        <v>396</v>
      </c>
      <c r="T5" s="5">
        <v>86</v>
      </c>
      <c r="U5" s="5">
        <v>16</v>
      </c>
      <c r="V5">
        <v>5190</v>
      </c>
      <c r="W5" s="5">
        <v>10</v>
      </c>
      <c r="X5">
        <v>2252</v>
      </c>
      <c r="Y5" s="5">
        <v>6</v>
      </c>
      <c r="Z5" t="s">
        <v>58</v>
      </c>
      <c r="AA5" s="5">
        <v>494</v>
      </c>
      <c r="AB5">
        <v>518.13</v>
      </c>
      <c r="AC5" t="s">
        <v>49</v>
      </c>
      <c r="AD5">
        <v>529.62</v>
      </c>
      <c r="AE5" s="5">
        <v>16</v>
      </c>
      <c r="AF5" t="s">
        <v>49</v>
      </c>
      <c r="AG5">
        <v>8290.08</v>
      </c>
      <c r="AH5" t="s">
        <v>49</v>
      </c>
      <c r="AI5">
        <v>419.18</v>
      </c>
      <c r="AJ5" t="s">
        <v>49</v>
      </c>
      <c r="AK5">
        <v>6706.88</v>
      </c>
      <c r="AL5" t="s">
        <v>49</v>
      </c>
      <c r="AM5">
        <v>1721</v>
      </c>
      <c r="AN5" s="7">
        <v>0.6875</v>
      </c>
      <c r="AO5" s="7">
        <v>0.3125</v>
      </c>
      <c r="AP5" s="7">
        <v>0.8817</v>
      </c>
      <c r="AQ5" s="7">
        <v>0.4673</v>
      </c>
      <c r="AR5" s="7">
        <v>0.9419</v>
      </c>
      <c r="AS5" s="7">
        <v>0.5349</v>
      </c>
      <c r="AT5" s="5">
        <v>0</v>
      </c>
      <c r="AU5" s="5">
        <v>0</v>
      </c>
      <c r="AV5" s="7">
        <v>0</v>
      </c>
      <c r="AW5" s="5">
        <v>0</v>
      </c>
      <c r="AX5" s="5">
        <v>0</v>
      </c>
    </row>
    <row r="6" hidden="1" spans="1:50">
      <c r="A6" s="5">
        <v>14644799</v>
      </c>
      <c r="B6" t="s">
        <v>59</v>
      </c>
      <c r="C6" t="s">
        <v>60</v>
      </c>
      <c r="D6" t="s">
        <v>44</v>
      </c>
      <c r="E6" t="s">
        <v>55</v>
      </c>
      <c r="F6" t="s">
        <v>46</v>
      </c>
      <c r="G6" t="s">
        <v>47</v>
      </c>
      <c r="H6">
        <v>4577</v>
      </c>
      <c r="I6" s="5">
        <f>VLOOKUP(C6,[6]sheet1!$C:$X,6,0)</f>
        <v>5619</v>
      </c>
      <c r="J6" s="5">
        <f>VLOOKUP(C6,[1]sheet1!$C:$I,6,0)</f>
        <v>8757</v>
      </c>
      <c r="K6" s="5">
        <f>VLOOKUP(C6,[2]sheet1!$C:$H,6,0)</f>
        <v>4451</v>
      </c>
      <c r="L6" s="5">
        <f>VLOOKUP(C6,[3]sheet1!$C:$H,6,0)</f>
        <v>478</v>
      </c>
      <c r="M6" s="5">
        <f>VLOOKUP(C6,[4]sheet1!$C:$I,6,0)</f>
        <v>3017</v>
      </c>
      <c r="N6" s="5">
        <f>VLOOKUP(C6,[5]sheet1!$C:$J,6,0)</f>
        <v>3366</v>
      </c>
      <c r="O6" s="5">
        <f t="shared" si="0"/>
        <v>30265</v>
      </c>
      <c r="P6" s="5">
        <v>30265</v>
      </c>
      <c r="Q6" s="5">
        <v>11</v>
      </c>
      <c r="R6">
        <v>1255</v>
      </c>
      <c r="S6">
        <v>341</v>
      </c>
      <c r="T6" s="5">
        <v>65</v>
      </c>
      <c r="U6" s="5">
        <v>11</v>
      </c>
      <c r="V6">
        <v>1782</v>
      </c>
      <c r="W6" s="5">
        <v>4</v>
      </c>
      <c r="X6">
        <v>1724</v>
      </c>
      <c r="Y6" s="5">
        <v>4</v>
      </c>
      <c r="Z6" t="s">
        <v>61</v>
      </c>
      <c r="AA6" s="5">
        <v>401</v>
      </c>
      <c r="AB6">
        <v>372.31</v>
      </c>
      <c r="AC6" t="s">
        <v>49</v>
      </c>
      <c r="AD6">
        <v>416.09</v>
      </c>
      <c r="AE6" s="5">
        <v>10</v>
      </c>
      <c r="AF6" t="s">
        <v>49</v>
      </c>
      <c r="AG6">
        <v>4095.41</v>
      </c>
      <c r="AH6" t="s">
        <v>49</v>
      </c>
      <c r="AI6">
        <v>362.52</v>
      </c>
      <c r="AJ6" t="s">
        <v>49</v>
      </c>
      <c r="AK6">
        <v>3987.72</v>
      </c>
      <c r="AL6" t="s">
        <v>49</v>
      </c>
      <c r="AM6">
        <v>1556</v>
      </c>
      <c r="AN6" s="7">
        <v>0.7</v>
      </c>
      <c r="AO6" s="7">
        <v>0.6</v>
      </c>
      <c r="AP6" s="7">
        <v>0.8727</v>
      </c>
      <c r="AQ6" s="7">
        <v>0.5838</v>
      </c>
      <c r="AR6" s="7">
        <v>0.9692</v>
      </c>
      <c r="AS6" s="7">
        <v>0.6615</v>
      </c>
      <c r="AT6" s="5">
        <v>0</v>
      </c>
      <c r="AU6" s="5">
        <v>0</v>
      </c>
      <c r="AV6" s="7">
        <v>0</v>
      </c>
      <c r="AW6" s="5">
        <v>0</v>
      </c>
      <c r="AX6" s="5">
        <v>0</v>
      </c>
    </row>
    <row r="7" hidden="1" spans="1:50">
      <c r="A7" s="5">
        <v>20699631</v>
      </c>
      <c r="B7" t="s">
        <v>62</v>
      </c>
      <c r="C7" t="s">
        <v>63</v>
      </c>
      <c r="D7" t="s">
        <v>44</v>
      </c>
      <c r="E7" t="s">
        <v>51</v>
      </c>
      <c r="F7" t="s">
        <v>46</v>
      </c>
      <c r="G7" t="s">
        <v>47</v>
      </c>
      <c r="H7">
        <v>2473</v>
      </c>
      <c r="I7" s="5">
        <f>VLOOKUP(C7,[6]sheet1!$C:$X,6,0)</f>
        <v>4057</v>
      </c>
      <c r="J7" s="5">
        <f>VLOOKUP(C7,[1]sheet1!$C:$I,6,0)</f>
        <v>3356</v>
      </c>
      <c r="K7" s="5">
        <f>VLOOKUP(C7,[2]sheet1!$C:$H,6,0)</f>
        <v>474</v>
      </c>
      <c r="L7" s="5">
        <f>VLOOKUP(C7,[3]sheet1!$C:$H,6,0)</f>
        <v>1977</v>
      </c>
      <c r="M7" s="5">
        <f>VLOOKUP(C7,[4]sheet1!$C:$I,6,0)</f>
        <v>1931</v>
      </c>
      <c r="N7" s="5">
        <f>VLOOKUP(C7,[5]sheet1!$C:$J,6,0)</f>
        <v>2457</v>
      </c>
      <c r="O7" s="5">
        <f t="shared" si="0"/>
        <v>16725</v>
      </c>
      <c r="P7" s="5">
        <v>16725</v>
      </c>
      <c r="Q7" s="5">
        <v>10</v>
      </c>
      <c r="R7">
        <v>1121</v>
      </c>
      <c r="S7">
        <v>362</v>
      </c>
      <c r="T7" s="5">
        <v>54</v>
      </c>
      <c r="U7" s="5">
        <v>10</v>
      </c>
      <c r="V7">
        <v>792</v>
      </c>
      <c r="W7" s="5">
        <v>3</v>
      </c>
      <c r="X7">
        <v>789</v>
      </c>
      <c r="Y7" s="5">
        <v>3</v>
      </c>
      <c r="Z7" t="s">
        <v>64</v>
      </c>
      <c r="AA7" s="5">
        <v>257</v>
      </c>
      <c r="AB7">
        <v>230.32</v>
      </c>
      <c r="AC7" t="s">
        <v>49</v>
      </c>
      <c r="AD7">
        <v>247.3</v>
      </c>
      <c r="AE7" s="5">
        <v>9</v>
      </c>
      <c r="AF7" t="s">
        <v>49</v>
      </c>
      <c r="AG7">
        <v>2303.2</v>
      </c>
      <c r="AH7" t="s">
        <v>49</v>
      </c>
      <c r="AI7">
        <v>215.57</v>
      </c>
      <c r="AJ7" t="s">
        <v>49</v>
      </c>
      <c r="AK7">
        <v>2155.7</v>
      </c>
      <c r="AL7" t="s">
        <v>49</v>
      </c>
      <c r="AM7">
        <v>1268</v>
      </c>
      <c r="AN7" s="7">
        <v>0.8889</v>
      </c>
      <c r="AO7" s="7">
        <v>0.5556</v>
      </c>
      <c r="AP7" s="7">
        <v>0.9159</v>
      </c>
      <c r="AQ7" s="7">
        <v>0.5603</v>
      </c>
      <c r="AR7" s="7">
        <v>0.9444</v>
      </c>
      <c r="AS7" s="7">
        <v>0.5741</v>
      </c>
      <c r="AT7" s="5">
        <v>0</v>
      </c>
      <c r="AU7" s="5">
        <v>0</v>
      </c>
      <c r="AV7" s="7">
        <v>0</v>
      </c>
      <c r="AW7" s="5">
        <v>0</v>
      </c>
      <c r="AX7" s="5">
        <v>0</v>
      </c>
    </row>
    <row r="8" hidden="1" spans="1:50">
      <c r="A8" s="5">
        <v>6588514</v>
      </c>
      <c r="B8" t="s">
        <v>65</v>
      </c>
      <c r="C8" s="5">
        <v>11410201</v>
      </c>
      <c r="D8" t="s">
        <v>44</v>
      </c>
      <c r="E8" t="s">
        <v>66</v>
      </c>
      <c r="F8" t="s">
        <v>46</v>
      </c>
      <c r="G8" t="s">
        <v>47</v>
      </c>
      <c r="H8">
        <v>2677</v>
      </c>
      <c r="I8" s="5">
        <f>VLOOKUP(C8,[6]sheet1!$C:$X,6,0)</f>
        <v>6466</v>
      </c>
      <c r="J8" s="5">
        <f>VLOOKUP(C8,[1]sheet1!$C:$I,6,0)</f>
        <v>3530</v>
      </c>
      <c r="K8" s="5">
        <f>VLOOKUP(C8,[2]sheet1!$C:$H,6,0)</f>
        <v>3361</v>
      </c>
      <c r="L8" s="5">
        <f>VLOOKUP(C8,[3]sheet1!$C:$H,6,0)</f>
        <v>6314.9</v>
      </c>
      <c r="M8" s="5">
        <f>VLOOKUP(C8,[4]sheet1!$C:$I,6,0)</f>
        <v>5164</v>
      </c>
      <c r="N8" s="5">
        <f>VLOOKUP(C8,[5]sheet1!$C:$J,6,0)</f>
        <v>5566</v>
      </c>
      <c r="O8" s="5">
        <f t="shared" si="0"/>
        <v>33078.9</v>
      </c>
      <c r="P8" s="5">
        <v>33078.9</v>
      </c>
      <c r="Q8" s="5">
        <v>8</v>
      </c>
      <c r="R8">
        <v>1406</v>
      </c>
      <c r="S8">
        <v>255</v>
      </c>
      <c r="T8" s="5">
        <v>103</v>
      </c>
      <c r="U8" s="5">
        <v>8</v>
      </c>
      <c r="V8">
        <v>2027</v>
      </c>
      <c r="W8" s="5">
        <v>5</v>
      </c>
      <c r="X8">
        <v>408</v>
      </c>
      <c r="Y8" s="5">
        <v>2</v>
      </c>
      <c r="Z8" t="s">
        <v>67</v>
      </c>
      <c r="AA8" s="5">
        <v>389</v>
      </c>
      <c r="AB8">
        <v>371.71</v>
      </c>
      <c r="AC8" t="s">
        <v>49</v>
      </c>
      <c r="AD8">
        <v>334.62</v>
      </c>
      <c r="AE8" s="5">
        <v>7</v>
      </c>
      <c r="AF8" t="s">
        <v>49</v>
      </c>
      <c r="AG8">
        <v>2973.68</v>
      </c>
      <c r="AH8" t="s">
        <v>49</v>
      </c>
      <c r="AI8">
        <v>345.6</v>
      </c>
      <c r="AJ8" t="s">
        <v>49</v>
      </c>
      <c r="AK8">
        <v>2764.8</v>
      </c>
      <c r="AL8" t="s">
        <v>49</v>
      </c>
      <c r="AM8">
        <v>1673</v>
      </c>
      <c r="AN8" s="7">
        <v>0.7143</v>
      </c>
      <c r="AO8" s="7">
        <v>0.4286</v>
      </c>
      <c r="AP8" s="7">
        <v>0.8344</v>
      </c>
      <c r="AQ8" s="7">
        <v>0.5565</v>
      </c>
      <c r="AR8" s="7">
        <v>0.8738</v>
      </c>
      <c r="AS8" s="7">
        <v>0.6214</v>
      </c>
      <c r="AT8" s="5">
        <v>0</v>
      </c>
      <c r="AU8" s="5">
        <v>0</v>
      </c>
      <c r="AV8" s="7">
        <v>0</v>
      </c>
      <c r="AW8" s="5">
        <v>0</v>
      </c>
      <c r="AX8" s="5">
        <v>0</v>
      </c>
    </row>
    <row r="9" hidden="1" spans="1:50">
      <c r="A9" s="5">
        <v>5201433</v>
      </c>
      <c r="B9" t="s">
        <v>68</v>
      </c>
      <c r="C9" s="5">
        <v>11340105</v>
      </c>
      <c r="D9" t="s">
        <v>44</v>
      </c>
      <c r="E9" t="s">
        <v>55</v>
      </c>
      <c r="F9" t="s">
        <v>46</v>
      </c>
      <c r="G9" t="s">
        <v>47</v>
      </c>
      <c r="H9">
        <v>3445.66</v>
      </c>
      <c r="I9" s="5">
        <f>VLOOKUP(C9,[6]sheet1!$C:$X,6,0)</f>
        <v>7155</v>
      </c>
      <c r="J9" s="5">
        <f>VLOOKUP(C9,[1]sheet1!$C:$I,6,0)</f>
        <v>2572</v>
      </c>
      <c r="K9" s="5">
        <f>VLOOKUP(C9,[2]sheet1!$C:$H,6,0)</f>
        <v>4603</v>
      </c>
      <c r="L9" s="5">
        <f>VLOOKUP(C9,[3]sheet1!$C:$H,6,0)</f>
        <v>0</v>
      </c>
      <c r="M9" s="5">
        <f>VLOOKUP(C9,[4]sheet1!$C:$I,6,0)</f>
        <v>1374</v>
      </c>
      <c r="N9" s="5">
        <f>VLOOKUP(C9,[5]sheet1!$C:$J,6,0)</f>
        <v>3155</v>
      </c>
      <c r="O9" s="5">
        <f t="shared" si="0"/>
        <v>22304.66</v>
      </c>
      <c r="P9" s="5">
        <v>22304.66</v>
      </c>
      <c r="Q9" s="5">
        <v>8</v>
      </c>
      <c r="R9">
        <v>1380</v>
      </c>
      <c r="S9">
        <v>278</v>
      </c>
      <c r="T9" s="5">
        <v>83</v>
      </c>
      <c r="U9" s="5">
        <v>8</v>
      </c>
      <c r="V9">
        <v>937</v>
      </c>
      <c r="W9" s="5">
        <v>2</v>
      </c>
      <c r="X9">
        <v>1793</v>
      </c>
      <c r="Y9" s="5">
        <v>4</v>
      </c>
      <c r="Z9" t="s">
        <v>69</v>
      </c>
      <c r="AA9" s="5">
        <v>389</v>
      </c>
      <c r="AB9">
        <v>369.71</v>
      </c>
      <c r="AC9" t="s">
        <v>49</v>
      </c>
      <c r="AD9">
        <v>430.71</v>
      </c>
      <c r="AE9" s="5">
        <v>8</v>
      </c>
      <c r="AF9" t="s">
        <v>49</v>
      </c>
      <c r="AG9">
        <v>2957.68</v>
      </c>
      <c r="AH9" t="s">
        <v>49</v>
      </c>
      <c r="AI9">
        <v>335.82</v>
      </c>
      <c r="AJ9" t="s">
        <v>49</v>
      </c>
      <c r="AK9">
        <v>2686.56</v>
      </c>
      <c r="AL9" t="s">
        <v>49</v>
      </c>
      <c r="AM9">
        <v>1728</v>
      </c>
      <c r="AN9" s="7">
        <v>0.75</v>
      </c>
      <c r="AO9" s="7">
        <v>0.25</v>
      </c>
      <c r="AP9" s="7">
        <v>0.877</v>
      </c>
      <c r="AQ9" s="7">
        <v>0.634</v>
      </c>
      <c r="AR9" s="7">
        <v>0.9759</v>
      </c>
      <c r="AS9" s="7">
        <v>0.6867</v>
      </c>
      <c r="AT9" s="5">
        <v>0</v>
      </c>
      <c r="AU9" s="5">
        <v>0</v>
      </c>
      <c r="AV9" s="7">
        <v>0</v>
      </c>
      <c r="AW9" s="5">
        <v>0</v>
      </c>
      <c r="AX9" s="5">
        <v>0</v>
      </c>
    </row>
    <row r="10" hidden="1" spans="1:50">
      <c r="A10" s="5">
        <v>19612287</v>
      </c>
      <c r="B10" t="s">
        <v>70</v>
      </c>
      <c r="C10" s="5">
        <v>115119035</v>
      </c>
      <c r="D10" t="s">
        <v>44</v>
      </c>
      <c r="E10" t="s">
        <v>71</v>
      </c>
      <c r="F10" t="s">
        <v>46</v>
      </c>
      <c r="G10" t="s">
        <v>47</v>
      </c>
      <c r="H10">
        <v>3004</v>
      </c>
      <c r="I10" s="5">
        <f>VLOOKUP(C10,[6]sheet1!$C:$X,6,0)</f>
        <v>1854.45</v>
      </c>
      <c r="J10" s="5">
        <f>VLOOKUP(C10,[1]sheet1!$C:$I,6,0)</f>
        <v>2931</v>
      </c>
      <c r="K10" s="5">
        <f>VLOOKUP(C10,[2]sheet1!$C:$H,6,0)</f>
        <v>2197.1</v>
      </c>
      <c r="L10" s="5">
        <f>VLOOKUP(C10,[3]sheet1!$C:$H,6,0)</f>
        <v>4488</v>
      </c>
      <c r="M10" s="5">
        <f>VLOOKUP(C10,[4]sheet1!$C:$I,6,0)</f>
        <v>3025</v>
      </c>
      <c r="N10" s="5">
        <f>VLOOKUP(C10,[5]sheet1!$C:$J,6,0)</f>
        <v>2603</v>
      </c>
      <c r="O10" s="5">
        <f t="shared" si="0"/>
        <v>20102.55</v>
      </c>
      <c r="P10" s="5">
        <v>20102.55</v>
      </c>
      <c r="Q10" s="5">
        <v>8</v>
      </c>
      <c r="R10">
        <v>1226</v>
      </c>
      <c r="S10">
        <v>312</v>
      </c>
      <c r="T10" s="5">
        <v>60</v>
      </c>
      <c r="U10" s="5">
        <v>8</v>
      </c>
      <c r="V10">
        <v>1225</v>
      </c>
      <c r="W10" s="5">
        <v>4</v>
      </c>
      <c r="X10">
        <v>408</v>
      </c>
      <c r="Y10" s="5">
        <v>2</v>
      </c>
      <c r="Z10" t="s">
        <v>72</v>
      </c>
      <c r="AA10" s="5">
        <v>399</v>
      </c>
      <c r="AB10">
        <v>424.03</v>
      </c>
      <c r="AC10" t="s">
        <v>49</v>
      </c>
      <c r="AD10">
        <v>375.5</v>
      </c>
      <c r="AE10" s="5">
        <v>8</v>
      </c>
      <c r="AF10" t="s">
        <v>49</v>
      </c>
      <c r="AG10">
        <v>3392.24</v>
      </c>
      <c r="AH10" t="s">
        <v>49</v>
      </c>
      <c r="AI10">
        <v>337.23</v>
      </c>
      <c r="AJ10" t="s">
        <v>49</v>
      </c>
      <c r="AK10">
        <v>2697.84</v>
      </c>
      <c r="AL10" t="s">
        <v>49</v>
      </c>
      <c r="AM10">
        <v>1470</v>
      </c>
      <c r="AN10" s="7">
        <v>0.75</v>
      </c>
      <c r="AO10" s="7">
        <v>0.625</v>
      </c>
      <c r="AP10" s="7">
        <v>0.8254</v>
      </c>
      <c r="AQ10" s="7">
        <v>0.3267</v>
      </c>
      <c r="AR10" s="7">
        <v>0.8333</v>
      </c>
      <c r="AS10" s="7">
        <v>0.45</v>
      </c>
      <c r="AT10" s="5">
        <v>0</v>
      </c>
      <c r="AU10" s="5">
        <v>0</v>
      </c>
      <c r="AV10" s="7">
        <v>0</v>
      </c>
      <c r="AW10" s="5">
        <v>0</v>
      </c>
      <c r="AX10" s="5">
        <v>0</v>
      </c>
    </row>
    <row r="11" hidden="1" spans="1:50">
      <c r="A11" s="5">
        <v>19113828</v>
      </c>
      <c r="B11" t="s">
        <v>73</v>
      </c>
      <c r="C11" s="5">
        <v>115119025</v>
      </c>
      <c r="D11" t="s">
        <v>44</v>
      </c>
      <c r="E11" t="s">
        <v>74</v>
      </c>
      <c r="F11" t="s">
        <v>46</v>
      </c>
      <c r="G11" t="s">
        <v>47</v>
      </c>
      <c r="H11">
        <v>2303.27</v>
      </c>
      <c r="I11" s="5">
        <f>VLOOKUP(C11,[6]sheet1!$C:$X,6,0)</f>
        <v>3097.2</v>
      </c>
      <c r="J11" s="5">
        <f>VLOOKUP(C11,[1]sheet1!$C:$I,6,0)</f>
        <v>2071</v>
      </c>
      <c r="K11" s="5">
        <f>VLOOKUP(C11,[2]sheet1!$C:$H,6,0)</f>
        <v>2045</v>
      </c>
      <c r="L11" s="5">
        <f>VLOOKUP(C11,[3]sheet1!$C:$H,6,0)</f>
        <v>2255</v>
      </c>
      <c r="M11" s="5">
        <f>VLOOKUP(C11,[4]sheet1!$C:$I,6,0)</f>
        <v>1691</v>
      </c>
      <c r="N11" s="5">
        <f>VLOOKUP(C11,[5]sheet1!$C:$J,6,0)</f>
        <v>2881</v>
      </c>
      <c r="O11" s="5">
        <f t="shared" si="0"/>
        <v>16343.47</v>
      </c>
      <c r="P11" s="5">
        <v>16343.47</v>
      </c>
      <c r="Q11" s="5">
        <v>8</v>
      </c>
      <c r="R11">
        <v>1232</v>
      </c>
      <c r="S11">
        <v>310</v>
      </c>
      <c r="T11" s="5">
        <v>42</v>
      </c>
      <c r="U11" s="5">
        <v>8</v>
      </c>
      <c r="V11">
        <v>626</v>
      </c>
      <c r="W11" s="5">
        <v>2</v>
      </c>
      <c r="X11">
        <v>626</v>
      </c>
      <c r="Y11" s="5">
        <v>2</v>
      </c>
      <c r="Z11" t="s">
        <v>75</v>
      </c>
      <c r="AA11" s="5">
        <v>322</v>
      </c>
      <c r="AB11">
        <v>297.37</v>
      </c>
      <c r="AC11" t="s">
        <v>49</v>
      </c>
      <c r="AD11">
        <v>287.91</v>
      </c>
      <c r="AE11" s="5">
        <v>8</v>
      </c>
      <c r="AF11" t="s">
        <v>49</v>
      </c>
      <c r="AG11">
        <v>2378.96</v>
      </c>
      <c r="AH11" t="s">
        <v>49</v>
      </c>
      <c r="AI11">
        <v>272.82</v>
      </c>
      <c r="AJ11" t="s">
        <v>49</v>
      </c>
      <c r="AK11">
        <v>2182.56</v>
      </c>
      <c r="AL11" t="s">
        <v>49</v>
      </c>
      <c r="AM11">
        <v>1423</v>
      </c>
      <c r="AN11" s="7">
        <v>0.5</v>
      </c>
      <c r="AO11" s="7">
        <v>0.125</v>
      </c>
      <c r="AP11" s="7">
        <v>0.8466</v>
      </c>
      <c r="AQ11" s="7">
        <v>0.3907</v>
      </c>
      <c r="AR11" s="7">
        <v>0.8095</v>
      </c>
      <c r="AS11" s="7">
        <v>0.3571</v>
      </c>
      <c r="AT11" s="5">
        <v>1</v>
      </c>
      <c r="AU11" s="5">
        <v>0</v>
      </c>
      <c r="AV11" s="7">
        <v>1</v>
      </c>
      <c r="AW11" s="5">
        <v>0</v>
      </c>
      <c r="AX11" s="5">
        <v>0</v>
      </c>
    </row>
    <row r="12" hidden="1" spans="1:50">
      <c r="A12" s="5">
        <v>19281657</v>
      </c>
      <c r="B12" t="s">
        <v>76</v>
      </c>
      <c r="C12" s="5">
        <v>105212020</v>
      </c>
      <c r="D12" t="s">
        <v>44</v>
      </c>
      <c r="E12" t="s">
        <v>51</v>
      </c>
      <c r="F12" t="s">
        <v>46</v>
      </c>
      <c r="G12" t="s">
        <v>47</v>
      </c>
      <c r="H12">
        <v>1790</v>
      </c>
      <c r="I12" s="5">
        <f>VLOOKUP(C12,[6]sheet1!$C:$X,6,0)</f>
        <v>1278</v>
      </c>
      <c r="J12" s="5">
        <f>VLOOKUP(C12,[1]sheet1!$C:$I,6,0)</f>
        <v>1070</v>
      </c>
      <c r="K12" s="5">
        <f>VLOOKUP(C12,[2]sheet1!$C:$H,6,0)</f>
        <v>1043</v>
      </c>
      <c r="L12" s="5">
        <f>VLOOKUP(C12,[3]sheet1!$C:$H,6,0)</f>
        <v>506</v>
      </c>
      <c r="M12" s="5">
        <f>VLOOKUP(C12,[4]sheet1!$C:$I,6,0)</f>
        <v>0</v>
      </c>
      <c r="N12" s="5">
        <f>VLOOKUP(C12,[5]sheet1!$C:$J,6,0)</f>
        <v>736</v>
      </c>
      <c r="O12" s="5">
        <f t="shared" si="0"/>
        <v>6423</v>
      </c>
      <c r="P12" s="5">
        <v>6423</v>
      </c>
      <c r="Q12" s="5">
        <v>7</v>
      </c>
      <c r="R12">
        <v>1386</v>
      </c>
      <c r="S12">
        <v>258</v>
      </c>
      <c r="T12" s="5">
        <v>61</v>
      </c>
      <c r="U12" s="5">
        <v>7</v>
      </c>
      <c r="V12">
        <v>0</v>
      </c>
      <c r="W12" s="5">
        <v>0</v>
      </c>
      <c r="X12">
        <v>296</v>
      </c>
      <c r="Y12" s="5">
        <v>2</v>
      </c>
      <c r="Z12" t="s">
        <v>77</v>
      </c>
      <c r="AA12" s="5">
        <v>222</v>
      </c>
      <c r="AB12">
        <v>196.47</v>
      </c>
      <c r="AC12" t="s">
        <v>49</v>
      </c>
      <c r="AD12">
        <v>255.71</v>
      </c>
      <c r="AE12" s="5">
        <v>7</v>
      </c>
      <c r="AF12" t="s">
        <v>49</v>
      </c>
      <c r="AG12">
        <v>1375.29</v>
      </c>
      <c r="AH12" t="s">
        <v>49</v>
      </c>
      <c r="AI12">
        <v>185.19</v>
      </c>
      <c r="AJ12" t="s">
        <v>49</v>
      </c>
      <c r="AK12">
        <v>1296.33</v>
      </c>
      <c r="AL12" t="s">
        <v>49</v>
      </c>
      <c r="AM12">
        <v>1640</v>
      </c>
      <c r="AN12" s="7">
        <v>0.7143</v>
      </c>
      <c r="AO12" s="7">
        <v>0.4286</v>
      </c>
      <c r="AP12" s="7">
        <v>0.8901</v>
      </c>
      <c r="AQ12" s="7">
        <v>0.4235</v>
      </c>
      <c r="AR12" s="7">
        <v>0.8525</v>
      </c>
      <c r="AS12" s="7">
        <v>0.4426</v>
      </c>
      <c r="AT12" s="5">
        <v>1</v>
      </c>
      <c r="AU12" s="5">
        <v>0</v>
      </c>
      <c r="AV12" s="7">
        <v>1</v>
      </c>
      <c r="AW12" s="5">
        <v>0</v>
      </c>
      <c r="AX12" s="5">
        <v>0</v>
      </c>
    </row>
    <row r="13" hidden="1" spans="1:50">
      <c r="A13" s="5">
        <v>9755754</v>
      </c>
      <c r="B13" t="s">
        <v>78</v>
      </c>
      <c r="C13" s="5">
        <v>12421252</v>
      </c>
      <c r="D13" t="s">
        <v>44</v>
      </c>
      <c r="E13" t="s">
        <v>79</v>
      </c>
      <c r="F13" t="s">
        <v>46</v>
      </c>
      <c r="G13" t="s">
        <v>47</v>
      </c>
      <c r="H13">
        <v>605</v>
      </c>
      <c r="I13" s="5">
        <f>VLOOKUP(C13,[6]sheet1!$C:$X,6,0)</f>
        <v>842</v>
      </c>
      <c r="J13" s="5">
        <f>VLOOKUP(C13,[1]sheet1!$C:$I,6,0)</f>
        <v>1027</v>
      </c>
      <c r="K13" s="5">
        <f>VLOOKUP(C13,[2]sheet1!$C:$H,6,0)</f>
        <v>955</v>
      </c>
      <c r="L13" s="5">
        <f>VLOOKUP(C13,[3]sheet1!$C:$H,6,0)</f>
        <v>623</v>
      </c>
      <c r="M13" s="5">
        <f>VLOOKUP(C13,[4]sheet1!$C:$I,6,0)</f>
        <v>945</v>
      </c>
      <c r="N13" s="5">
        <f>VLOOKUP(C13,[5]sheet1!$C:$J,6,0)</f>
        <v>285</v>
      </c>
      <c r="O13" s="5">
        <f t="shared" si="0"/>
        <v>5282</v>
      </c>
      <c r="P13" s="5">
        <v>5282</v>
      </c>
      <c r="Q13" s="5">
        <v>6</v>
      </c>
      <c r="R13">
        <v>546</v>
      </c>
      <c r="S13">
        <v>554</v>
      </c>
      <c r="T13" s="5">
        <v>2</v>
      </c>
      <c r="U13" s="5">
        <v>6</v>
      </c>
      <c r="V13">
        <v>238</v>
      </c>
      <c r="W13" s="5">
        <v>2</v>
      </c>
      <c r="X13">
        <v>11</v>
      </c>
      <c r="Y13" s="5">
        <v>1</v>
      </c>
      <c r="Z13" t="s">
        <v>80</v>
      </c>
      <c r="AA13" s="5">
        <v>93</v>
      </c>
      <c r="AB13">
        <v>95.3</v>
      </c>
      <c r="AC13" t="s">
        <v>49</v>
      </c>
      <c r="AD13">
        <v>100.83</v>
      </c>
      <c r="AE13" s="5">
        <v>5</v>
      </c>
      <c r="AF13" t="s">
        <v>49</v>
      </c>
      <c r="AG13">
        <v>571.8</v>
      </c>
      <c r="AH13" t="s">
        <v>49</v>
      </c>
      <c r="AI13">
        <v>72.73</v>
      </c>
      <c r="AJ13" t="s">
        <v>49</v>
      </c>
      <c r="AK13">
        <v>436.38</v>
      </c>
      <c r="AL13" t="s">
        <v>49</v>
      </c>
      <c r="AM13">
        <v>641</v>
      </c>
      <c r="AN13" s="7">
        <v>0.4</v>
      </c>
      <c r="AO13" s="7">
        <v>0.2</v>
      </c>
      <c r="AP13" s="7">
        <v>0.8</v>
      </c>
      <c r="AQ13" s="7">
        <v>0.4364</v>
      </c>
      <c r="AR13" s="7">
        <v>1</v>
      </c>
      <c r="AS13" s="7">
        <v>0.5</v>
      </c>
      <c r="AT13" s="5">
        <v>0</v>
      </c>
      <c r="AU13" s="5">
        <v>0</v>
      </c>
      <c r="AV13" s="7">
        <v>0</v>
      </c>
      <c r="AW13" s="5">
        <v>0</v>
      </c>
      <c r="AX13" s="5">
        <v>0</v>
      </c>
    </row>
    <row r="14" spans="1:50">
      <c r="A14" s="5">
        <v>4460998</v>
      </c>
      <c r="B14" t="s">
        <v>81</v>
      </c>
      <c r="C14" s="8">
        <v>115214025</v>
      </c>
      <c r="D14" t="s">
        <v>44</v>
      </c>
      <c r="E14" t="s">
        <v>82</v>
      </c>
      <c r="F14" t="s">
        <v>46</v>
      </c>
      <c r="G14" t="s">
        <v>47</v>
      </c>
      <c r="H14">
        <v>1377</v>
      </c>
      <c r="I14" s="5">
        <f>VLOOKUP(C14,[6]sheet1!$C:$X,6,0)</f>
        <v>961</v>
      </c>
      <c r="J14" s="5">
        <f>VLOOKUP(C14,[1]sheet1!$C:$I,6,0)</f>
        <v>720</v>
      </c>
      <c r="K14" s="5">
        <f>VLOOKUP(C14,[2]sheet1!$C:$H,6,0)</f>
        <v>0</v>
      </c>
      <c r="L14" s="5">
        <f>VLOOKUP(C14,[3]sheet1!$C:$H,6,0)</f>
        <v>234</v>
      </c>
      <c r="M14" s="5">
        <f>VLOOKUP(C14,[4]sheet1!$C:$I,6,0)</f>
        <v>484</v>
      </c>
      <c r="N14" s="5">
        <f>VLOOKUP(C14,[5]sheet1!$C:$J,6,0)</f>
        <v>484</v>
      </c>
      <c r="O14" s="5">
        <f t="shared" si="0"/>
        <v>4260</v>
      </c>
      <c r="P14" s="5">
        <v>4260</v>
      </c>
      <c r="Q14" s="5">
        <v>6</v>
      </c>
      <c r="R14">
        <v>646</v>
      </c>
      <c r="S14">
        <v>514</v>
      </c>
      <c r="T14" s="5">
        <v>11</v>
      </c>
      <c r="U14" s="5">
        <v>6</v>
      </c>
      <c r="V14">
        <v>0</v>
      </c>
      <c r="W14" s="5">
        <v>0</v>
      </c>
      <c r="X14">
        <v>470</v>
      </c>
      <c r="Y14" s="5">
        <v>2</v>
      </c>
      <c r="Z14" t="s">
        <v>83</v>
      </c>
      <c r="AA14" s="5">
        <v>259</v>
      </c>
      <c r="AB14">
        <v>240.31</v>
      </c>
      <c r="AC14" t="s">
        <v>49</v>
      </c>
      <c r="AD14">
        <v>229.5</v>
      </c>
      <c r="AE14" s="5">
        <v>6</v>
      </c>
      <c r="AF14" t="s">
        <v>49</v>
      </c>
      <c r="AG14">
        <v>1441.86</v>
      </c>
      <c r="AH14" t="s">
        <v>49</v>
      </c>
      <c r="AI14">
        <v>216</v>
      </c>
      <c r="AJ14" t="s">
        <v>49</v>
      </c>
      <c r="AK14">
        <v>1296</v>
      </c>
      <c r="AL14" t="s">
        <v>49</v>
      </c>
      <c r="AM14">
        <v>812</v>
      </c>
      <c r="AN14" s="7">
        <v>0.3333</v>
      </c>
      <c r="AO14" s="7">
        <v>0.3333</v>
      </c>
      <c r="AP14" s="7">
        <v>0.6753</v>
      </c>
      <c r="AQ14" s="7">
        <v>0.2825</v>
      </c>
      <c r="AR14" s="7">
        <v>1</v>
      </c>
      <c r="AS14" s="7">
        <v>0</v>
      </c>
      <c r="AT14" s="5">
        <v>0</v>
      </c>
      <c r="AU14" s="5">
        <v>0</v>
      </c>
      <c r="AV14" s="7">
        <v>0</v>
      </c>
      <c r="AW14" s="5">
        <v>0</v>
      </c>
      <c r="AX14" s="5">
        <v>0</v>
      </c>
    </row>
    <row r="15" spans="1:50">
      <c r="A15" s="5">
        <v>3945985</v>
      </c>
      <c r="B15" t="s">
        <v>84</v>
      </c>
      <c r="C15" s="8">
        <v>115214024</v>
      </c>
      <c r="D15" t="s">
        <v>44</v>
      </c>
      <c r="E15" t="s">
        <v>82</v>
      </c>
      <c r="F15" t="s">
        <v>46</v>
      </c>
      <c r="G15" t="s">
        <v>47</v>
      </c>
      <c r="H15">
        <v>1019</v>
      </c>
      <c r="I15" s="5">
        <f>VLOOKUP(C15,[6]sheet1!$C:$X,6,0)</f>
        <v>190</v>
      </c>
      <c r="J15" s="5">
        <f>VLOOKUP(C15,[1]sheet1!$C:$I,6,0)</f>
        <v>2264</v>
      </c>
      <c r="K15" s="5">
        <f>VLOOKUP(C15,[2]sheet1!$C:$H,6,0)</f>
        <v>931</v>
      </c>
      <c r="L15" s="5">
        <f>VLOOKUP(C15,[3]sheet1!$C:$H,6,0)</f>
        <v>3291.64</v>
      </c>
      <c r="M15" s="5">
        <f>VLOOKUP(C15,[4]sheet1!$C:$I,6,0)</f>
        <v>2071</v>
      </c>
      <c r="N15" s="5">
        <f>VLOOKUP(C15,[5]sheet1!$C:$J,6,0)</f>
        <v>1964</v>
      </c>
      <c r="O15" s="5">
        <f t="shared" si="0"/>
        <v>11730.64</v>
      </c>
      <c r="P15" s="5">
        <v>11730.64</v>
      </c>
      <c r="Q15" s="5">
        <v>6</v>
      </c>
      <c r="R15">
        <v>1213</v>
      </c>
      <c r="S15">
        <v>273</v>
      </c>
      <c r="T15" s="5">
        <v>42</v>
      </c>
      <c r="U15" s="5">
        <v>6</v>
      </c>
      <c r="V15">
        <v>158</v>
      </c>
      <c r="W15" s="5">
        <v>1</v>
      </c>
      <c r="X15">
        <v>0</v>
      </c>
      <c r="Y15" s="5">
        <v>0</v>
      </c>
      <c r="Z15" t="s">
        <v>85</v>
      </c>
      <c r="AA15" s="5">
        <v>174</v>
      </c>
      <c r="AB15">
        <v>161.32</v>
      </c>
      <c r="AC15" t="s">
        <v>49</v>
      </c>
      <c r="AD15">
        <v>169.83</v>
      </c>
      <c r="AE15" s="5">
        <v>6</v>
      </c>
      <c r="AF15" t="s">
        <v>49</v>
      </c>
      <c r="AG15">
        <v>967.92</v>
      </c>
      <c r="AH15" t="s">
        <v>49</v>
      </c>
      <c r="AI15">
        <v>142.22</v>
      </c>
      <c r="AJ15" t="s">
        <v>49</v>
      </c>
      <c r="AK15">
        <v>853.32</v>
      </c>
      <c r="AL15" t="s">
        <v>49</v>
      </c>
      <c r="AM15">
        <v>1408</v>
      </c>
      <c r="AN15" s="7">
        <v>0.8333</v>
      </c>
      <c r="AO15" s="7">
        <v>0.5</v>
      </c>
      <c r="AP15" s="7">
        <v>0.7728</v>
      </c>
      <c r="AQ15" s="7">
        <v>0.3257</v>
      </c>
      <c r="AR15" s="7">
        <v>0.7857</v>
      </c>
      <c r="AS15" s="7">
        <v>0.3571</v>
      </c>
      <c r="AT15" s="5">
        <v>0</v>
      </c>
      <c r="AU15" s="5">
        <v>0</v>
      </c>
      <c r="AV15" s="7">
        <v>0</v>
      </c>
      <c r="AW15" s="5">
        <v>0</v>
      </c>
      <c r="AX15" s="5">
        <v>0</v>
      </c>
    </row>
    <row r="16" hidden="1" spans="1:50">
      <c r="A16" s="5">
        <v>19092701</v>
      </c>
      <c r="B16" t="s">
        <v>86</v>
      </c>
      <c r="C16" t="s">
        <v>87</v>
      </c>
      <c r="D16" t="s">
        <v>44</v>
      </c>
      <c r="E16" t="s">
        <v>55</v>
      </c>
      <c r="F16" t="s">
        <v>46</v>
      </c>
      <c r="G16" t="s">
        <v>47</v>
      </c>
      <c r="H16">
        <v>3768</v>
      </c>
      <c r="I16" s="5">
        <f>VLOOKUP(C16,[6]sheet1!$C:$X,6,0)</f>
        <v>0</v>
      </c>
      <c r="J16" s="5">
        <f>VLOOKUP(C16,[1]sheet1!$C:$I,6,0)</f>
        <v>0</v>
      </c>
      <c r="K16" s="5">
        <f>VLOOKUP(C16,[2]sheet1!$C:$H,6,0)</f>
        <v>0</v>
      </c>
      <c r="L16" s="5">
        <f>VLOOKUP(C16,[3]sheet1!$C:$H,6,0)</f>
        <v>627</v>
      </c>
      <c r="M16" s="5">
        <f>VLOOKUP(C16,[4]sheet1!$C:$I,6,0)</f>
        <v>1274</v>
      </c>
      <c r="N16" s="5">
        <f>VLOOKUP(C16,[5]sheet1!$C:$J,6,0)</f>
        <v>0</v>
      </c>
      <c r="O16" s="5">
        <f t="shared" si="0"/>
        <v>5669</v>
      </c>
      <c r="P16" s="5">
        <v>5669</v>
      </c>
      <c r="Q16" s="5">
        <v>6</v>
      </c>
      <c r="R16">
        <v>2074</v>
      </c>
      <c r="S16">
        <v>160</v>
      </c>
      <c r="T16" s="5">
        <v>218</v>
      </c>
      <c r="U16" s="5">
        <v>6</v>
      </c>
      <c r="V16">
        <v>0</v>
      </c>
      <c r="W16" s="5">
        <v>0</v>
      </c>
      <c r="X16">
        <v>1310</v>
      </c>
      <c r="Y16" s="5">
        <v>2</v>
      </c>
      <c r="Z16" t="s">
        <v>88</v>
      </c>
      <c r="AA16" s="5">
        <v>546</v>
      </c>
      <c r="AB16">
        <v>545.91</v>
      </c>
      <c r="AC16" t="s">
        <v>49</v>
      </c>
      <c r="AD16">
        <v>628</v>
      </c>
      <c r="AE16" s="5">
        <v>6</v>
      </c>
      <c r="AF16" t="s">
        <v>49</v>
      </c>
      <c r="AG16">
        <v>3275.46</v>
      </c>
      <c r="AH16" t="s">
        <v>49</v>
      </c>
      <c r="AI16">
        <v>469.78</v>
      </c>
      <c r="AJ16" t="s">
        <v>49</v>
      </c>
      <c r="AK16">
        <v>2818.68</v>
      </c>
      <c r="AL16" t="s">
        <v>49</v>
      </c>
      <c r="AM16">
        <v>2259</v>
      </c>
      <c r="AN16" s="7">
        <v>1</v>
      </c>
      <c r="AO16" s="7">
        <v>0.8333</v>
      </c>
      <c r="AP16" s="7">
        <v>0.9346</v>
      </c>
      <c r="AQ16" s="7">
        <v>0.5768</v>
      </c>
      <c r="AR16" s="7">
        <v>0.9495</v>
      </c>
      <c r="AS16" s="7">
        <v>0.6284</v>
      </c>
      <c r="AT16" s="5">
        <v>0</v>
      </c>
      <c r="AU16" s="5">
        <v>0</v>
      </c>
      <c r="AV16" s="7">
        <v>0</v>
      </c>
      <c r="AW16" s="5">
        <v>0</v>
      </c>
      <c r="AX16" s="5">
        <v>0</v>
      </c>
    </row>
    <row r="17" hidden="1" spans="1:50">
      <c r="A17" s="5">
        <v>8590436</v>
      </c>
      <c r="B17" t="s">
        <v>89</v>
      </c>
      <c r="C17" s="5">
        <v>11421425</v>
      </c>
      <c r="D17" t="s">
        <v>44</v>
      </c>
      <c r="E17" t="s">
        <v>90</v>
      </c>
      <c r="F17" t="s">
        <v>46</v>
      </c>
      <c r="G17" t="s">
        <v>47</v>
      </c>
      <c r="H17">
        <v>735</v>
      </c>
      <c r="I17" s="5">
        <f>VLOOKUP(C17,[6]sheet1!$C:$X,6,0)</f>
        <v>873</v>
      </c>
      <c r="J17" s="5">
        <f>VLOOKUP(C17,[1]sheet1!$C:$I,6,0)</f>
        <v>445</v>
      </c>
      <c r="K17" s="5">
        <f>VLOOKUP(C17,[2]sheet1!$C:$H,6,0)</f>
        <v>580</v>
      </c>
      <c r="L17" s="5">
        <f>VLOOKUP(C17,[3]sheet1!$C:$H,6,0)</f>
        <v>746</v>
      </c>
      <c r="M17" s="5">
        <f>VLOOKUP(C17,[4]sheet1!$C:$I,6,0)</f>
        <v>580</v>
      </c>
      <c r="N17" s="5">
        <f>VLOOKUP(C17,[5]sheet1!$C:$J,6,0)</f>
        <v>415</v>
      </c>
      <c r="O17" s="5">
        <f t="shared" si="0"/>
        <v>4374</v>
      </c>
      <c r="P17" s="5">
        <v>4374</v>
      </c>
      <c r="Q17" s="5">
        <v>5</v>
      </c>
      <c r="R17">
        <v>427</v>
      </c>
      <c r="S17">
        <v>633</v>
      </c>
      <c r="T17" s="5">
        <v>7</v>
      </c>
      <c r="U17" s="5">
        <v>5</v>
      </c>
      <c r="V17">
        <v>160</v>
      </c>
      <c r="W17" s="5">
        <v>1</v>
      </c>
      <c r="X17">
        <v>160</v>
      </c>
      <c r="Y17" s="5">
        <v>1</v>
      </c>
      <c r="Z17" t="s">
        <v>91</v>
      </c>
      <c r="AA17" s="5">
        <v>108</v>
      </c>
      <c r="AB17">
        <v>110.07</v>
      </c>
      <c r="AC17" t="s">
        <v>49</v>
      </c>
      <c r="AD17">
        <v>147</v>
      </c>
      <c r="AE17" s="5">
        <v>4</v>
      </c>
      <c r="AF17" t="s">
        <v>49</v>
      </c>
      <c r="AG17">
        <v>550.35</v>
      </c>
      <c r="AH17" t="s">
        <v>49</v>
      </c>
      <c r="AI17">
        <v>86.63</v>
      </c>
      <c r="AJ17" t="s">
        <v>49</v>
      </c>
      <c r="AK17">
        <v>433.15</v>
      </c>
      <c r="AL17" t="s">
        <v>49</v>
      </c>
      <c r="AM17">
        <v>533</v>
      </c>
      <c r="AN17" s="7">
        <v>0.5</v>
      </c>
      <c r="AO17" s="7">
        <v>0</v>
      </c>
      <c r="AP17" s="7">
        <v>0.637</v>
      </c>
      <c r="AQ17" s="7">
        <v>0.1259</v>
      </c>
      <c r="AR17" s="7">
        <v>0.8571</v>
      </c>
      <c r="AS17" s="7">
        <v>0</v>
      </c>
      <c r="AT17" s="5">
        <v>0</v>
      </c>
      <c r="AU17" s="5">
        <v>0</v>
      </c>
      <c r="AV17" s="7">
        <v>0</v>
      </c>
      <c r="AW17" s="5">
        <v>0</v>
      </c>
      <c r="AX17" s="5">
        <v>0</v>
      </c>
    </row>
    <row r="18" hidden="1" spans="1:50">
      <c r="A18" s="5">
        <v>4089091</v>
      </c>
      <c r="B18" t="s">
        <v>92</v>
      </c>
      <c r="C18" s="5">
        <v>12321218</v>
      </c>
      <c r="D18" t="s">
        <v>44</v>
      </c>
      <c r="E18" t="s">
        <v>79</v>
      </c>
      <c r="F18" t="s">
        <v>46</v>
      </c>
      <c r="G18" t="s">
        <v>47</v>
      </c>
      <c r="H18">
        <v>426</v>
      </c>
      <c r="I18" s="5">
        <f>VLOOKUP(C18,[6]sheet1!$C:$X,6,0)</f>
        <v>1287</v>
      </c>
      <c r="J18" s="5">
        <f>VLOOKUP(C18,[1]sheet1!$C:$I,6,0)</f>
        <v>819</v>
      </c>
      <c r="K18" s="5">
        <f>VLOOKUP(C18,[2]sheet1!$C:$H,6,0)</f>
        <v>424</v>
      </c>
      <c r="L18" s="5">
        <f>VLOOKUP(C18,[3]sheet1!$C:$H,6,0)</f>
        <v>343</v>
      </c>
      <c r="M18" s="5">
        <f>VLOOKUP(C18,[4]sheet1!$C:$I,6,0)</f>
        <v>166</v>
      </c>
      <c r="N18" s="5">
        <f>VLOOKUP(C18,[5]sheet1!$C:$J,6,0)</f>
        <v>490.95</v>
      </c>
      <c r="O18" s="5">
        <f t="shared" si="0"/>
        <v>3955.95</v>
      </c>
      <c r="P18" s="5">
        <v>3955.95</v>
      </c>
      <c r="Q18" s="5">
        <v>5</v>
      </c>
      <c r="R18">
        <v>1379</v>
      </c>
      <c r="S18">
        <v>221</v>
      </c>
      <c r="T18" s="5">
        <v>63</v>
      </c>
      <c r="U18" s="5">
        <v>5</v>
      </c>
      <c r="V18">
        <v>91</v>
      </c>
      <c r="W18" s="5">
        <v>1</v>
      </c>
      <c r="X18">
        <v>0</v>
      </c>
      <c r="Y18" s="5">
        <v>0</v>
      </c>
      <c r="Z18" t="s">
        <v>49</v>
      </c>
      <c r="AA18" s="5">
        <v>95</v>
      </c>
      <c r="AB18" t="s">
        <v>49</v>
      </c>
      <c r="AC18" t="s">
        <v>49</v>
      </c>
      <c r="AD18">
        <v>85.2</v>
      </c>
      <c r="AE18" s="5">
        <v>5</v>
      </c>
      <c r="AF18" t="s">
        <v>49</v>
      </c>
      <c r="AG18" t="s">
        <v>49</v>
      </c>
      <c r="AH18" t="s">
        <v>49</v>
      </c>
      <c r="AI18">
        <v>74.47</v>
      </c>
      <c r="AJ18" t="s">
        <v>49</v>
      </c>
      <c r="AK18">
        <v>372.35</v>
      </c>
      <c r="AL18" t="s">
        <v>49</v>
      </c>
      <c r="AM18">
        <v>1624</v>
      </c>
      <c r="AN18" s="7">
        <v>0.8</v>
      </c>
      <c r="AO18" s="7">
        <v>0.6</v>
      </c>
      <c r="AP18" s="7">
        <v>0.8677</v>
      </c>
      <c r="AQ18" s="7">
        <v>0.569</v>
      </c>
      <c r="AR18" s="7">
        <v>0.9365</v>
      </c>
      <c r="AS18" s="7">
        <v>0.6349</v>
      </c>
      <c r="AT18" s="5">
        <v>0</v>
      </c>
      <c r="AU18" s="5">
        <v>0</v>
      </c>
      <c r="AV18" s="7">
        <v>0</v>
      </c>
      <c r="AW18" s="5">
        <v>0</v>
      </c>
      <c r="AX18" s="5">
        <v>0</v>
      </c>
    </row>
    <row r="19" hidden="1" spans="1:50">
      <c r="A19" s="5">
        <v>5201435</v>
      </c>
      <c r="B19" t="s">
        <v>93</v>
      </c>
      <c r="C19" s="5">
        <v>12340106</v>
      </c>
      <c r="D19" t="s">
        <v>44</v>
      </c>
      <c r="E19" t="s">
        <v>94</v>
      </c>
      <c r="F19" t="s">
        <v>46</v>
      </c>
      <c r="G19" t="s">
        <v>47</v>
      </c>
      <c r="H19">
        <v>1648</v>
      </c>
      <c r="I19" s="5">
        <f>VLOOKUP(C19,[6]sheet1!$C:$X,6,0)</f>
        <v>5670</v>
      </c>
      <c r="J19" s="5">
        <f>VLOOKUP(C19,[1]sheet1!$C:$I,6,0)</f>
        <v>8665</v>
      </c>
      <c r="K19" s="5">
        <f>VLOOKUP(C19,[2]sheet1!$C:$H,6,0)</f>
        <v>8874</v>
      </c>
      <c r="L19" s="5">
        <f>VLOOKUP(C19,[3]sheet1!$C:$H,6,0)</f>
        <v>7798</v>
      </c>
      <c r="M19" s="5">
        <f>VLOOKUP(C19,[4]sheet1!$C:$I,6,0)</f>
        <v>4102</v>
      </c>
      <c r="N19" s="5">
        <f>VLOOKUP(C19,[5]sheet1!$C:$J,6,0)</f>
        <v>4896</v>
      </c>
      <c r="O19" s="5">
        <f t="shared" si="0"/>
        <v>41653</v>
      </c>
      <c r="P19" s="5">
        <v>41653</v>
      </c>
      <c r="Q19" s="5">
        <v>4</v>
      </c>
      <c r="R19">
        <v>1593</v>
      </c>
      <c r="S19">
        <v>169</v>
      </c>
      <c r="T19" s="5">
        <v>137</v>
      </c>
      <c r="U19" s="5">
        <v>4</v>
      </c>
      <c r="V19">
        <v>2602</v>
      </c>
      <c r="W19" s="5">
        <v>6</v>
      </c>
      <c r="X19">
        <v>1264</v>
      </c>
      <c r="Y19" s="5">
        <v>3</v>
      </c>
      <c r="Z19" t="s">
        <v>95</v>
      </c>
      <c r="AA19" s="5">
        <v>365</v>
      </c>
      <c r="AB19">
        <v>339.28</v>
      </c>
      <c r="AC19" t="s">
        <v>49</v>
      </c>
      <c r="AD19">
        <v>412</v>
      </c>
      <c r="AE19" s="5">
        <v>4</v>
      </c>
      <c r="AF19" t="s">
        <v>49</v>
      </c>
      <c r="AG19">
        <v>1357.12</v>
      </c>
      <c r="AH19" t="s">
        <v>49</v>
      </c>
      <c r="AI19">
        <v>305.43</v>
      </c>
      <c r="AJ19" t="s">
        <v>49</v>
      </c>
      <c r="AK19">
        <v>1221.72</v>
      </c>
      <c r="AL19" t="s">
        <v>49</v>
      </c>
      <c r="AM19">
        <v>1908</v>
      </c>
      <c r="AN19" s="7">
        <v>0.75</v>
      </c>
      <c r="AO19" s="7">
        <v>0.75</v>
      </c>
      <c r="AP19" s="7">
        <v>0.9147</v>
      </c>
      <c r="AQ19" s="7">
        <v>0.6155</v>
      </c>
      <c r="AR19" s="7">
        <v>0.9343</v>
      </c>
      <c r="AS19" s="7">
        <v>0.7007</v>
      </c>
      <c r="AT19" s="5">
        <v>0</v>
      </c>
      <c r="AU19" s="5">
        <v>0</v>
      </c>
      <c r="AV19" s="7">
        <v>0</v>
      </c>
      <c r="AW19" s="5">
        <v>0</v>
      </c>
      <c r="AX19" s="5">
        <v>0</v>
      </c>
    </row>
    <row r="20" hidden="1" spans="1:50">
      <c r="A20" s="5">
        <v>20415380</v>
      </c>
      <c r="B20" t="s">
        <v>96</v>
      </c>
      <c r="C20" s="5">
        <v>115212003</v>
      </c>
      <c r="D20" t="s">
        <v>44</v>
      </c>
      <c r="E20" t="s">
        <v>51</v>
      </c>
      <c r="F20" t="s">
        <v>46</v>
      </c>
      <c r="G20" t="s">
        <v>47</v>
      </c>
      <c r="H20">
        <v>606</v>
      </c>
      <c r="I20" s="5">
        <f>VLOOKUP(C20,[6]sheet1!$C:$X,6,0)</f>
        <v>1002</v>
      </c>
      <c r="J20" s="5">
        <f>VLOOKUP(C20,[1]sheet1!$C:$I,6,0)</f>
        <v>404</v>
      </c>
      <c r="K20" s="5">
        <f>VLOOKUP(C20,[2]sheet1!$C:$H,6,0)</f>
        <v>208</v>
      </c>
      <c r="L20" s="5">
        <f>VLOOKUP(C20,[3]sheet1!$C:$H,6,0)</f>
        <v>606</v>
      </c>
      <c r="M20" s="5">
        <f>VLOOKUP(C20,[4]sheet1!$C:$I,6,0)</f>
        <v>606</v>
      </c>
      <c r="N20" s="5">
        <f>VLOOKUP(C20,[5]sheet1!$C:$J,6,0)</f>
        <v>404</v>
      </c>
      <c r="O20" s="5">
        <f t="shared" si="0"/>
        <v>3836</v>
      </c>
      <c r="P20" s="5">
        <v>3836</v>
      </c>
      <c r="Q20" s="5">
        <v>3</v>
      </c>
      <c r="R20">
        <v>885</v>
      </c>
      <c r="S20">
        <v>218</v>
      </c>
      <c r="T20" s="5">
        <v>21</v>
      </c>
      <c r="U20" s="5">
        <v>3</v>
      </c>
      <c r="V20">
        <v>0</v>
      </c>
      <c r="W20" s="5">
        <v>0</v>
      </c>
      <c r="X20">
        <v>0</v>
      </c>
      <c r="Y20" s="5">
        <v>0</v>
      </c>
      <c r="Z20" t="s">
        <v>97</v>
      </c>
      <c r="AA20" s="5">
        <v>246</v>
      </c>
      <c r="AB20">
        <v>206.02</v>
      </c>
      <c r="AC20" t="s">
        <v>49</v>
      </c>
      <c r="AD20">
        <v>202</v>
      </c>
      <c r="AE20" s="5">
        <v>2</v>
      </c>
      <c r="AF20" t="s">
        <v>49</v>
      </c>
      <c r="AG20">
        <v>618.06</v>
      </c>
      <c r="AH20" t="s">
        <v>49</v>
      </c>
      <c r="AI20" t="s">
        <v>49</v>
      </c>
      <c r="AJ20" t="s">
        <v>49</v>
      </c>
      <c r="AK20" t="s">
        <v>49</v>
      </c>
      <c r="AL20" t="s">
        <v>49</v>
      </c>
      <c r="AM20">
        <v>1060</v>
      </c>
      <c r="AN20" s="7">
        <v>0.5</v>
      </c>
      <c r="AO20" s="7">
        <v>0</v>
      </c>
      <c r="AP20" s="7">
        <v>0.8048</v>
      </c>
      <c r="AQ20" s="7">
        <v>0.4542</v>
      </c>
      <c r="AR20" s="7">
        <v>0.9048</v>
      </c>
      <c r="AS20" s="7">
        <v>0.5238</v>
      </c>
      <c r="AT20" s="5">
        <v>0</v>
      </c>
      <c r="AU20" s="5">
        <v>0</v>
      </c>
      <c r="AV20" s="7">
        <v>0</v>
      </c>
      <c r="AW20" s="5">
        <v>0</v>
      </c>
      <c r="AX20" s="5">
        <v>0</v>
      </c>
    </row>
    <row r="21" hidden="1" spans="1:50">
      <c r="A21" s="5">
        <v>9553216</v>
      </c>
      <c r="B21" t="s">
        <v>98</v>
      </c>
      <c r="C21" t="s">
        <v>99</v>
      </c>
      <c r="D21" t="s">
        <v>44</v>
      </c>
      <c r="E21" t="s">
        <v>55</v>
      </c>
      <c r="F21" t="s">
        <v>46</v>
      </c>
      <c r="G21" t="s">
        <v>47</v>
      </c>
      <c r="H21">
        <v>1264</v>
      </c>
      <c r="I21" s="5">
        <f>VLOOKUP(C21,[6]sheet1!$C:$X,6,0)</f>
        <v>0</v>
      </c>
      <c r="J21" s="5">
        <f>VLOOKUP(C21,[1]sheet1!$C:$I,6,0)</f>
        <v>0</v>
      </c>
      <c r="K21" s="5">
        <f>VLOOKUP(C21,[2]sheet1!$C:$H,6,0)</f>
        <v>0</v>
      </c>
      <c r="L21" s="5">
        <f>VLOOKUP(C21,[3]sheet1!$C:$H,6,0)</f>
        <v>643</v>
      </c>
      <c r="M21" s="5">
        <f>VLOOKUP(C21,[4]sheet1!$C:$I,6,0)</f>
        <v>1285</v>
      </c>
      <c r="N21" s="5">
        <f>VLOOKUP(C21,[5]sheet1!$C:$J,6,0)</f>
        <v>646</v>
      </c>
      <c r="O21" s="5">
        <f t="shared" si="0"/>
        <v>3838</v>
      </c>
      <c r="P21" s="5">
        <v>3838</v>
      </c>
      <c r="Q21" s="5">
        <v>2</v>
      </c>
      <c r="R21">
        <v>512</v>
      </c>
      <c r="S21">
        <v>265</v>
      </c>
      <c r="T21" s="5">
        <v>14</v>
      </c>
      <c r="U21" s="5">
        <v>2</v>
      </c>
      <c r="V21">
        <v>0</v>
      </c>
      <c r="W21" s="5">
        <v>0</v>
      </c>
      <c r="X21">
        <v>654</v>
      </c>
      <c r="Y21" s="5">
        <v>1</v>
      </c>
      <c r="Z21" t="s">
        <v>100</v>
      </c>
      <c r="AA21" s="5">
        <v>629</v>
      </c>
      <c r="AB21">
        <v>536.36</v>
      </c>
      <c r="AC21" t="s">
        <v>49</v>
      </c>
      <c r="AD21">
        <v>632</v>
      </c>
      <c r="AE21" s="5">
        <v>1</v>
      </c>
      <c r="AF21" t="s">
        <v>49</v>
      </c>
      <c r="AG21">
        <v>1072.72</v>
      </c>
      <c r="AH21" t="s">
        <v>49</v>
      </c>
      <c r="AI21" t="s">
        <v>49</v>
      </c>
      <c r="AJ21" t="s">
        <v>49</v>
      </c>
      <c r="AK21" t="s">
        <v>49</v>
      </c>
      <c r="AL21" t="s">
        <v>49</v>
      </c>
      <c r="AM21">
        <v>608</v>
      </c>
      <c r="AN21" s="7">
        <v>1</v>
      </c>
      <c r="AO21" s="7">
        <v>1</v>
      </c>
      <c r="AP21" s="7">
        <v>0.8866</v>
      </c>
      <c r="AQ21" s="7">
        <v>0.3608</v>
      </c>
      <c r="AR21" s="7">
        <v>0.8571</v>
      </c>
      <c r="AS21" s="7">
        <v>0.7143</v>
      </c>
      <c r="AT21" s="5">
        <v>0</v>
      </c>
      <c r="AU21" s="5">
        <v>0</v>
      </c>
      <c r="AV21" s="7">
        <v>0</v>
      </c>
      <c r="AW21" s="5">
        <v>0</v>
      </c>
      <c r="AX21" s="5">
        <v>0</v>
      </c>
    </row>
    <row r="22" hidden="1" spans="1:50">
      <c r="A22" s="5">
        <v>9073622</v>
      </c>
      <c r="B22" t="s">
        <v>101</v>
      </c>
      <c r="C22" s="6">
        <v>11421533</v>
      </c>
      <c r="D22" t="s">
        <v>44</v>
      </c>
      <c r="E22" t="s">
        <v>45</v>
      </c>
      <c r="F22" t="s">
        <v>46</v>
      </c>
      <c r="G22" t="s">
        <v>47</v>
      </c>
      <c r="H22">
        <v>344</v>
      </c>
      <c r="I22" s="5">
        <f>VLOOKUP(C22,[6]sheet1!$C:$X,6,0)</f>
        <v>1589</v>
      </c>
      <c r="J22" s="5">
        <f>VLOOKUP(C22,[1]sheet1!$C:$I,6,0)</f>
        <v>1672</v>
      </c>
      <c r="K22" s="5">
        <f>VLOOKUP(C22,[2]sheet1!$C:$H,6,0)</f>
        <v>1004</v>
      </c>
      <c r="L22" s="5">
        <f>VLOOKUP(C22,[3]sheet1!$C:$H,6,0)</f>
        <v>1764</v>
      </c>
      <c r="M22" s="5">
        <f>VLOOKUP(C22,[4]sheet1!$C:$I,6,0)</f>
        <v>1934</v>
      </c>
      <c r="N22" s="5">
        <f>VLOOKUP(C22,[5]sheet1!$C:$J,6,0)</f>
        <v>1215</v>
      </c>
      <c r="O22" s="5">
        <f t="shared" si="0"/>
        <v>9522</v>
      </c>
      <c r="P22" s="5">
        <v>9522</v>
      </c>
      <c r="Q22" s="5">
        <v>2</v>
      </c>
      <c r="R22">
        <v>2362</v>
      </c>
      <c r="S22">
        <v>82</v>
      </c>
      <c r="T22" s="5">
        <v>182</v>
      </c>
      <c r="U22" s="5">
        <v>2</v>
      </c>
      <c r="V22">
        <v>642</v>
      </c>
      <c r="W22" s="5">
        <v>3</v>
      </c>
      <c r="X22">
        <v>163</v>
      </c>
      <c r="Y22" s="5">
        <v>1</v>
      </c>
      <c r="Z22" t="s">
        <v>102</v>
      </c>
      <c r="AA22" s="5">
        <v>201</v>
      </c>
      <c r="AB22">
        <v>192.97</v>
      </c>
      <c r="AC22" t="s">
        <v>49</v>
      </c>
      <c r="AD22">
        <v>172</v>
      </c>
      <c r="AE22" s="5">
        <v>2</v>
      </c>
      <c r="AF22" t="s">
        <v>49</v>
      </c>
      <c r="AG22">
        <v>385.94</v>
      </c>
      <c r="AH22" t="s">
        <v>49</v>
      </c>
      <c r="AI22">
        <v>166.06</v>
      </c>
      <c r="AJ22" t="s">
        <v>49</v>
      </c>
      <c r="AK22">
        <v>332.12</v>
      </c>
      <c r="AL22" t="s">
        <v>49</v>
      </c>
      <c r="AM22">
        <v>2681</v>
      </c>
      <c r="AN22" s="7">
        <v>1</v>
      </c>
      <c r="AO22" s="7">
        <v>0.5</v>
      </c>
      <c r="AP22" s="7">
        <v>0.8603</v>
      </c>
      <c r="AQ22" s="7">
        <v>0.4306</v>
      </c>
      <c r="AR22" s="7">
        <v>0.8571</v>
      </c>
      <c r="AS22" s="7">
        <v>0.4505</v>
      </c>
      <c r="AT22" s="5">
        <v>0</v>
      </c>
      <c r="AU22" s="5">
        <v>0</v>
      </c>
      <c r="AV22" s="7">
        <v>0</v>
      </c>
      <c r="AW22" s="5">
        <v>0</v>
      </c>
      <c r="AX22" s="5">
        <v>0</v>
      </c>
    </row>
    <row r="23" hidden="1" spans="1:50">
      <c r="A23" s="5">
        <v>8925860</v>
      </c>
      <c r="B23" t="s">
        <v>103</v>
      </c>
      <c r="C23" s="6">
        <v>11421509</v>
      </c>
      <c r="D23" t="s">
        <v>44</v>
      </c>
      <c r="E23" t="s">
        <v>104</v>
      </c>
      <c r="F23" t="s">
        <v>46</v>
      </c>
      <c r="G23" t="s">
        <v>47</v>
      </c>
      <c r="H23">
        <v>258</v>
      </c>
      <c r="I23" s="5">
        <f>VLOOKUP(C23,[6]sheet1!$C:$X,6,0)</f>
        <v>0</v>
      </c>
      <c r="J23" s="5">
        <f>VLOOKUP(C23,[1]sheet1!$C:$I,6,0)</f>
        <v>0</v>
      </c>
      <c r="K23" s="5">
        <f>VLOOKUP(C23,[2]sheet1!$C:$H,6,0)</f>
        <v>0</v>
      </c>
      <c r="L23" s="5">
        <f>VLOOKUP(C23,[3]sheet1!$C:$H,6,0)</f>
        <v>0</v>
      </c>
      <c r="M23" s="5">
        <f>VLOOKUP(C23,[4]sheet1!$C:$I,6,0)</f>
        <v>373</v>
      </c>
      <c r="N23" s="5">
        <f>VLOOKUP(C23,[5]sheet1!$C:$J,6,0)</f>
        <v>108</v>
      </c>
      <c r="O23" s="5">
        <f t="shared" si="0"/>
        <v>739</v>
      </c>
      <c r="P23" s="5">
        <v>739</v>
      </c>
      <c r="Q23" s="5">
        <v>2</v>
      </c>
      <c r="R23">
        <v>1187</v>
      </c>
      <c r="S23">
        <v>160</v>
      </c>
      <c r="T23" s="5">
        <v>34</v>
      </c>
      <c r="U23" s="5">
        <v>2</v>
      </c>
      <c r="V23">
        <v>141</v>
      </c>
      <c r="W23" s="5">
        <v>1</v>
      </c>
      <c r="X23">
        <v>0</v>
      </c>
      <c r="Y23" s="5">
        <v>0</v>
      </c>
      <c r="Z23" t="s">
        <v>105</v>
      </c>
      <c r="AA23" s="5">
        <v>114</v>
      </c>
      <c r="AB23">
        <v>101.29</v>
      </c>
      <c r="AC23" t="s">
        <v>49</v>
      </c>
      <c r="AD23">
        <v>129</v>
      </c>
      <c r="AE23" s="5">
        <v>2</v>
      </c>
      <c r="AF23" t="s">
        <v>49</v>
      </c>
      <c r="AG23">
        <v>202.58</v>
      </c>
      <c r="AH23" t="s">
        <v>49</v>
      </c>
      <c r="AI23">
        <v>91.74</v>
      </c>
      <c r="AJ23" t="s">
        <v>49</v>
      </c>
      <c r="AK23">
        <v>183.48</v>
      </c>
      <c r="AL23" t="s">
        <v>49</v>
      </c>
      <c r="AM23">
        <v>1355</v>
      </c>
      <c r="AN23" s="7">
        <v>0.5</v>
      </c>
      <c r="AO23" s="7">
        <v>0.5</v>
      </c>
      <c r="AP23" s="7">
        <v>0.7867</v>
      </c>
      <c r="AQ23" s="7">
        <v>0.2555</v>
      </c>
      <c r="AR23" s="7">
        <v>0.6471</v>
      </c>
      <c r="AS23" s="7">
        <v>0.2941</v>
      </c>
      <c r="AT23" s="5">
        <v>0</v>
      </c>
      <c r="AU23" s="5">
        <v>0</v>
      </c>
      <c r="AV23" s="7">
        <v>0</v>
      </c>
      <c r="AW23" s="5">
        <v>0</v>
      </c>
      <c r="AX23" s="5">
        <v>0</v>
      </c>
    </row>
    <row r="24" hidden="1" spans="1:50">
      <c r="A24" s="5">
        <v>6273814</v>
      </c>
      <c r="B24" t="s">
        <v>106</v>
      </c>
      <c r="C24" s="5">
        <v>12340822</v>
      </c>
      <c r="D24" t="s">
        <v>44</v>
      </c>
      <c r="E24" t="s">
        <v>107</v>
      </c>
      <c r="F24" t="s">
        <v>46</v>
      </c>
      <c r="G24" t="s">
        <v>47</v>
      </c>
      <c r="H24">
        <v>1177</v>
      </c>
      <c r="I24" s="5">
        <f>VLOOKUP(C24,[6]sheet1!$C:$X,6,0)</f>
        <v>591</v>
      </c>
      <c r="J24" s="5">
        <f>VLOOKUP(C24,[1]sheet1!$C:$I,6,0)</f>
        <v>0</v>
      </c>
      <c r="K24" s="5">
        <f>VLOOKUP(C24,[2]sheet1!$C:$H,6,0)</f>
        <v>0</v>
      </c>
      <c r="L24" s="5">
        <f>VLOOKUP(C24,[3]sheet1!$C:$H,6,0)</f>
        <v>0</v>
      </c>
      <c r="M24" s="5">
        <f>VLOOKUP(C24,[4]sheet1!$C:$I,6,0)</f>
        <v>0</v>
      </c>
      <c r="N24" s="5">
        <f>VLOOKUP(C24,[5]sheet1!$C:$J,6,0)</f>
        <v>0</v>
      </c>
      <c r="O24" s="5">
        <f t="shared" si="0"/>
        <v>1768</v>
      </c>
      <c r="P24" s="5">
        <v>1768</v>
      </c>
      <c r="Q24" s="5">
        <v>2</v>
      </c>
      <c r="R24">
        <v>961</v>
      </c>
      <c r="S24">
        <v>142</v>
      </c>
      <c r="T24" s="5">
        <v>34</v>
      </c>
      <c r="U24" s="5">
        <v>2</v>
      </c>
      <c r="V24">
        <v>0</v>
      </c>
      <c r="W24" s="5">
        <v>0</v>
      </c>
      <c r="X24">
        <v>0</v>
      </c>
      <c r="Y24" s="5">
        <v>0</v>
      </c>
      <c r="Z24" t="s">
        <v>108</v>
      </c>
      <c r="AA24" s="5">
        <v>565</v>
      </c>
      <c r="AB24">
        <v>552.71</v>
      </c>
      <c r="AC24" t="s">
        <v>49</v>
      </c>
      <c r="AD24">
        <v>588.5</v>
      </c>
      <c r="AE24" s="5">
        <v>1</v>
      </c>
      <c r="AF24" t="s">
        <v>49</v>
      </c>
      <c r="AG24">
        <v>1105.42</v>
      </c>
      <c r="AH24" t="s">
        <v>49</v>
      </c>
      <c r="AI24">
        <v>478.93</v>
      </c>
      <c r="AJ24" t="s">
        <v>49</v>
      </c>
      <c r="AK24">
        <v>957.86</v>
      </c>
      <c r="AL24" t="s">
        <v>49</v>
      </c>
      <c r="AM24">
        <v>1077</v>
      </c>
      <c r="AN24" s="7">
        <v>0</v>
      </c>
      <c r="AO24" s="7">
        <v>0</v>
      </c>
      <c r="AP24" s="7">
        <v>0.9488</v>
      </c>
      <c r="AQ24" s="7">
        <v>0.6266</v>
      </c>
      <c r="AR24" s="7">
        <v>0.8824</v>
      </c>
      <c r="AS24" s="7">
        <v>0.6471</v>
      </c>
      <c r="AT24" s="5">
        <v>0</v>
      </c>
      <c r="AU24" s="5">
        <v>0</v>
      </c>
      <c r="AV24" s="7">
        <v>0</v>
      </c>
      <c r="AW24" s="5">
        <v>0</v>
      </c>
      <c r="AX24" s="5">
        <v>0</v>
      </c>
    </row>
    <row r="25" hidden="1" spans="1:50">
      <c r="A25" s="5">
        <v>5938599</v>
      </c>
      <c r="B25" t="s">
        <v>109</v>
      </c>
      <c r="C25" s="5">
        <v>114301085</v>
      </c>
      <c r="D25" t="s">
        <v>44</v>
      </c>
      <c r="E25" t="s">
        <v>55</v>
      </c>
      <c r="F25" t="s">
        <v>46</v>
      </c>
      <c r="G25" t="s">
        <v>47</v>
      </c>
      <c r="H25">
        <v>3542</v>
      </c>
      <c r="I25" s="5">
        <f>VLOOKUP(C25,[6]sheet1!$C:$X,6,0)</f>
        <v>0</v>
      </c>
      <c r="J25" s="5">
        <f>VLOOKUP(C25,[1]sheet1!$C:$I,6,0)</f>
        <v>0</v>
      </c>
      <c r="K25" s="5">
        <f>VLOOKUP(C25,[2]sheet1!$C:$H,6,0)</f>
        <v>0</v>
      </c>
      <c r="L25" s="5">
        <f>VLOOKUP(C25,[3]sheet1!$C:$H,6,0)</f>
        <v>0</v>
      </c>
      <c r="M25" s="5">
        <f>VLOOKUP(C25,[4]sheet1!$C:$I,6,0)</f>
        <v>1575</v>
      </c>
      <c r="N25" s="5">
        <f>VLOOKUP(C25,[5]sheet1!$C:$J,6,0)</f>
        <v>0</v>
      </c>
      <c r="O25" s="5">
        <f t="shared" si="0"/>
        <v>5117</v>
      </c>
      <c r="P25" s="5">
        <v>5117</v>
      </c>
      <c r="Q25" s="5">
        <v>2</v>
      </c>
      <c r="R25">
        <v>467</v>
      </c>
      <c r="S25">
        <v>290</v>
      </c>
      <c r="T25" s="5">
        <v>9</v>
      </c>
      <c r="U25" s="5">
        <v>2</v>
      </c>
      <c r="V25">
        <v>0</v>
      </c>
      <c r="W25" s="5">
        <v>0</v>
      </c>
      <c r="X25">
        <v>0</v>
      </c>
      <c r="Y25" s="5">
        <v>0</v>
      </c>
      <c r="Z25" t="s">
        <v>110</v>
      </c>
      <c r="AA25" s="5">
        <v>1057</v>
      </c>
      <c r="AB25">
        <v>1449.5</v>
      </c>
      <c r="AC25" t="s">
        <v>49</v>
      </c>
      <c r="AD25">
        <v>1771</v>
      </c>
      <c r="AE25" s="5">
        <v>1</v>
      </c>
      <c r="AF25" t="s">
        <v>49</v>
      </c>
      <c r="AG25">
        <v>2899</v>
      </c>
      <c r="AH25" t="s">
        <v>49</v>
      </c>
      <c r="AI25">
        <v>907.87</v>
      </c>
      <c r="AJ25" t="s">
        <v>49</v>
      </c>
      <c r="AK25">
        <v>1815.74</v>
      </c>
      <c r="AL25" t="s">
        <v>49</v>
      </c>
      <c r="AM25">
        <v>582</v>
      </c>
      <c r="AN25" s="7">
        <v>1</v>
      </c>
      <c r="AO25" s="7">
        <v>0</v>
      </c>
      <c r="AP25" s="7">
        <v>0.8261</v>
      </c>
      <c r="AQ25" s="7">
        <v>0.4783</v>
      </c>
      <c r="AR25" s="7">
        <v>0.6667</v>
      </c>
      <c r="AS25" s="7">
        <v>0.6667</v>
      </c>
      <c r="AT25" s="5">
        <v>0</v>
      </c>
      <c r="AU25" s="5">
        <v>0</v>
      </c>
      <c r="AV25" s="7">
        <v>0</v>
      </c>
      <c r="AW25" s="5">
        <v>0</v>
      </c>
      <c r="AX25" s="5">
        <v>0</v>
      </c>
    </row>
    <row r="26" hidden="1" spans="1:50">
      <c r="A26" s="5">
        <v>19209381</v>
      </c>
      <c r="B26" t="s">
        <v>111</v>
      </c>
      <c r="C26" s="5">
        <v>115301054</v>
      </c>
      <c r="D26" t="s">
        <v>44</v>
      </c>
      <c r="E26" t="s">
        <v>55</v>
      </c>
      <c r="F26" t="s">
        <v>46</v>
      </c>
      <c r="G26" t="s">
        <v>47</v>
      </c>
      <c r="H26">
        <v>1094</v>
      </c>
      <c r="I26" s="5">
        <f>VLOOKUP(C26,[6]sheet1!$C:$X,6,0)</f>
        <v>0</v>
      </c>
      <c r="J26" s="5">
        <f>VLOOKUP(C26,[1]sheet1!$C:$I,6,0)</f>
        <v>0</v>
      </c>
      <c r="K26" s="5">
        <f>VLOOKUP(C26,[2]sheet1!$C:$H,6,0)</f>
        <v>0</v>
      </c>
      <c r="L26" s="5">
        <f>VLOOKUP(C26,[3]sheet1!$C:$H,6,0)</f>
        <v>0</v>
      </c>
      <c r="M26" s="5">
        <f>VLOOKUP(C26,[4]sheet1!$C:$I,6,0)</f>
        <v>547</v>
      </c>
      <c r="N26" s="5">
        <f>VLOOKUP(C26,[5]sheet1!$C:$J,6,0)</f>
        <v>0</v>
      </c>
      <c r="O26" s="5">
        <f t="shared" si="0"/>
        <v>1641</v>
      </c>
      <c r="P26" s="5">
        <v>1641</v>
      </c>
      <c r="Q26" s="5">
        <v>2</v>
      </c>
      <c r="R26">
        <v>559</v>
      </c>
      <c r="S26">
        <v>241</v>
      </c>
      <c r="T26" s="5">
        <v>12</v>
      </c>
      <c r="U26" s="5">
        <v>2</v>
      </c>
      <c r="V26">
        <v>0</v>
      </c>
      <c r="W26" s="5">
        <v>0</v>
      </c>
      <c r="X26">
        <v>0</v>
      </c>
      <c r="Y26" s="5">
        <v>0</v>
      </c>
      <c r="Z26" t="s">
        <v>112</v>
      </c>
      <c r="AA26" s="5">
        <v>480</v>
      </c>
      <c r="AB26">
        <v>460.85</v>
      </c>
      <c r="AC26" t="s">
        <v>49</v>
      </c>
      <c r="AD26">
        <v>547</v>
      </c>
      <c r="AE26" s="5">
        <v>1</v>
      </c>
      <c r="AF26" t="s">
        <v>49</v>
      </c>
      <c r="AG26">
        <v>921.7</v>
      </c>
      <c r="AH26" t="s">
        <v>49</v>
      </c>
      <c r="AI26">
        <v>421.43</v>
      </c>
      <c r="AJ26" t="s">
        <v>49</v>
      </c>
      <c r="AK26">
        <v>842.86</v>
      </c>
      <c r="AL26" t="s">
        <v>49</v>
      </c>
      <c r="AM26">
        <v>654</v>
      </c>
      <c r="AN26" s="7">
        <v>1</v>
      </c>
      <c r="AO26" s="7">
        <v>0</v>
      </c>
      <c r="AP26" s="7">
        <v>0.8571</v>
      </c>
      <c r="AQ26" s="7">
        <v>0.4459</v>
      </c>
      <c r="AR26" s="7">
        <v>1</v>
      </c>
      <c r="AS26" s="7">
        <v>0.5</v>
      </c>
      <c r="AT26" s="5">
        <v>0</v>
      </c>
      <c r="AU26" s="5">
        <v>0</v>
      </c>
      <c r="AV26" s="7">
        <v>0</v>
      </c>
      <c r="AW26" s="5">
        <v>0</v>
      </c>
      <c r="AX26" s="5">
        <v>0</v>
      </c>
    </row>
    <row r="27" hidden="1" spans="1:50">
      <c r="A27" s="5">
        <v>15766423</v>
      </c>
      <c r="B27" t="s">
        <v>113</v>
      </c>
      <c r="C27" s="5">
        <v>114401041</v>
      </c>
      <c r="D27" t="s">
        <v>44</v>
      </c>
      <c r="E27" t="s">
        <v>55</v>
      </c>
      <c r="F27" t="s">
        <v>46</v>
      </c>
      <c r="G27" t="s">
        <v>47</v>
      </c>
      <c r="H27">
        <v>1851</v>
      </c>
      <c r="I27" s="5">
        <f>VLOOKUP(C27,[6]sheet1!$C:$X,6,0)</f>
        <v>0</v>
      </c>
      <c r="J27" s="5">
        <f>VLOOKUP(C27,[1]sheet1!$C:$I,6,0)</f>
        <v>936</v>
      </c>
      <c r="K27" s="5">
        <f>VLOOKUP(C27,[2]sheet1!$C:$H,6,0)</f>
        <v>0</v>
      </c>
      <c r="L27" s="5">
        <f>VLOOKUP(C27,[3]sheet1!$C:$H,6,0)</f>
        <v>0</v>
      </c>
      <c r="M27" s="5">
        <f>VLOOKUP(C27,[4]sheet1!$C:$I,6,0)</f>
        <v>913</v>
      </c>
      <c r="N27" s="5">
        <f>VLOOKUP(C27,[5]sheet1!$C:$J,6,0)</f>
        <v>0</v>
      </c>
      <c r="O27" s="5">
        <f t="shared" si="0"/>
        <v>3700</v>
      </c>
      <c r="P27" s="5">
        <v>3700</v>
      </c>
      <c r="Q27" s="5">
        <v>2</v>
      </c>
      <c r="R27">
        <v>589</v>
      </c>
      <c r="S27">
        <v>325</v>
      </c>
      <c r="T27" s="5">
        <v>10</v>
      </c>
      <c r="U27" s="5">
        <v>2</v>
      </c>
      <c r="V27">
        <v>0</v>
      </c>
      <c r="W27" s="5">
        <v>0</v>
      </c>
      <c r="X27">
        <v>0</v>
      </c>
      <c r="Y27" s="5">
        <v>0</v>
      </c>
      <c r="Z27" t="s">
        <v>114</v>
      </c>
      <c r="AA27" s="5">
        <v>789</v>
      </c>
      <c r="AB27">
        <v>752.49</v>
      </c>
      <c r="AC27" t="s">
        <v>49</v>
      </c>
      <c r="AD27">
        <v>925.5</v>
      </c>
      <c r="AE27" s="5">
        <v>2</v>
      </c>
      <c r="AF27" t="s">
        <v>49</v>
      </c>
      <c r="AG27">
        <v>1504.98</v>
      </c>
      <c r="AH27" t="s">
        <v>49</v>
      </c>
      <c r="AI27">
        <v>675.24</v>
      </c>
      <c r="AJ27" t="s">
        <v>49</v>
      </c>
      <c r="AK27">
        <v>1350.48</v>
      </c>
      <c r="AL27" t="s">
        <v>49</v>
      </c>
      <c r="AM27">
        <v>701</v>
      </c>
      <c r="AN27" s="7">
        <v>0.5</v>
      </c>
      <c r="AO27" s="7">
        <v>0.5</v>
      </c>
      <c r="AP27" s="7">
        <v>0.8359</v>
      </c>
      <c r="AQ27" s="7">
        <v>0.4062</v>
      </c>
      <c r="AR27" s="7">
        <v>0.8</v>
      </c>
      <c r="AS27" s="7">
        <v>0.5</v>
      </c>
      <c r="AT27" s="5">
        <v>0</v>
      </c>
      <c r="AU27" s="5">
        <v>0</v>
      </c>
      <c r="AV27" s="7">
        <v>0</v>
      </c>
      <c r="AW27" s="5">
        <v>0</v>
      </c>
      <c r="AX27" s="5">
        <v>0</v>
      </c>
    </row>
    <row r="28" hidden="1" spans="1:50">
      <c r="A28" s="5">
        <v>11848257</v>
      </c>
      <c r="B28" t="s">
        <v>115</v>
      </c>
      <c r="C28" s="5">
        <v>114301029</v>
      </c>
      <c r="D28" t="s">
        <v>44</v>
      </c>
      <c r="E28" t="s">
        <v>55</v>
      </c>
      <c r="F28" t="s">
        <v>46</v>
      </c>
      <c r="G28" t="s">
        <v>47</v>
      </c>
      <c r="H28">
        <v>876.74</v>
      </c>
      <c r="I28" s="5">
        <f>VLOOKUP(C28,[6]sheet1!$C:$X,6,0)</f>
        <v>1554.74</v>
      </c>
      <c r="J28" s="5">
        <f>VLOOKUP(C28,[1]sheet1!$C:$I,6,0)</f>
        <v>0</v>
      </c>
      <c r="K28" s="5">
        <f>VLOOKUP(C28,[2]sheet1!$C:$H,6,0)</f>
        <v>0</v>
      </c>
      <c r="L28" s="5">
        <f>VLOOKUP(C28,[3]sheet1!$C:$H,6,0)</f>
        <v>1027</v>
      </c>
      <c r="M28" s="5">
        <f>VLOOKUP(C28,[4]sheet1!$C:$I,6,0)</f>
        <v>2523</v>
      </c>
      <c r="N28" s="5">
        <f>VLOOKUP(C28,[5]sheet1!$C:$J,6,0)</f>
        <v>0</v>
      </c>
      <c r="O28" s="5">
        <f t="shared" si="0"/>
        <v>5981.48</v>
      </c>
      <c r="P28" s="5">
        <v>5981.48</v>
      </c>
      <c r="Q28" s="5">
        <v>2</v>
      </c>
      <c r="R28">
        <v>575</v>
      </c>
      <c r="S28">
        <v>333</v>
      </c>
      <c r="T28" s="5">
        <v>22</v>
      </c>
      <c r="U28" s="5">
        <v>2</v>
      </c>
      <c r="V28">
        <v>0</v>
      </c>
      <c r="W28" s="5">
        <v>0</v>
      </c>
      <c r="X28">
        <v>0</v>
      </c>
      <c r="Y28" s="5">
        <v>0</v>
      </c>
      <c r="Z28" t="s">
        <v>116</v>
      </c>
      <c r="AA28" s="5">
        <v>412</v>
      </c>
      <c r="AB28">
        <v>381.86</v>
      </c>
      <c r="AC28" t="s">
        <v>49</v>
      </c>
      <c r="AD28">
        <v>438.37</v>
      </c>
      <c r="AE28" s="5">
        <v>2</v>
      </c>
      <c r="AF28" t="s">
        <v>49</v>
      </c>
      <c r="AG28">
        <v>763.72</v>
      </c>
      <c r="AH28" t="s">
        <v>49</v>
      </c>
      <c r="AI28">
        <v>348.01</v>
      </c>
      <c r="AJ28" t="s">
        <v>49</v>
      </c>
      <c r="AK28">
        <v>696.02</v>
      </c>
      <c r="AL28" t="s">
        <v>49</v>
      </c>
      <c r="AM28">
        <v>662</v>
      </c>
      <c r="AN28" s="7">
        <v>1</v>
      </c>
      <c r="AO28" s="7">
        <v>1</v>
      </c>
      <c r="AP28" s="7">
        <v>0.8689</v>
      </c>
      <c r="AQ28" s="7">
        <v>0.5369</v>
      </c>
      <c r="AR28" s="7">
        <v>0.9091</v>
      </c>
      <c r="AS28" s="7">
        <v>0.4545</v>
      </c>
      <c r="AT28" s="5">
        <v>0</v>
      </c>
      <c r="AU28" s="5">
        <v>0</v>
      </c>
      <c r="AV28" s="7">
        <v>0</v>
      </c>
      <c r="AW28" s="5">
        <v>0</v>
      </c>
      <c r="AX28" s="5">
        <v>0</v>
      </c>
    </row>
    <row r="29" hidden="1" spans="1:50">
      <c r="A29" s="5">
        <v>9402310</v>
      </c>
      <c r="B29" t="s">
        <v>117</v>
      </c>
      <c r="C29" s="5">
        <v>12421228</v>
      </c>
      <c r="D29" t="s">
        <v>44</v>
      </c>
      <c r="E29" t="s">
        <v>79</v>
      </c>
      <c r="F29" t="s">
        <v>46</v>
      </c>
      <c r="G29" t="s">
        <v>47</v>
      </c>
      <c r="H29">
        <v>152</v>
      </c>
      <c r="I29" s="5">
        <f>VLOOKUP(C29,[6]sheet1!$C:$X,6,0)</f>
        <v>774</v>
      </c>
      <c r="J29" s="5">
        <f>VLOOKUP(C29,[1]sheet1!$C:$I,6,0)</f>
        <v>1008</v>
      </c>
      <c r="K29" s="5">
        <f>VLOOKUP(C29,[2]sheet1!$C:$H,6,0)</f>
        <v>680</v>
      </c>
      <c r="L29" s="5">
        <f>VLOOKUP(C29,[3]sheet1!$C:$H,6,0)</f>
        <v>581</v>
      </c>
      <c r="M29" s="5">
        <f>VLOOKUP(C29,[4]sheet1!$C:$I,6,0)</f>
        <v>418</v>
      </c>
      <c r="N29" s="5">
        <f>VLOOKUP(C29,[5]sheet1!$C:$J,6,0)</f>
        <v>259</v>
      </c>
      <c r="O29" s="5">
        <f t="shared" si="0"/>
        <v>3872</v>
      </c>
      <c r="P29" s="5">
        <v>3872</v>
      </c>
      <c r="Q29" s="5">
        <v>1</v>
      </c>
      <c r="R29">
        <v>384</v>
      </c>
      <c r="S29">
        <v>353</v>
      </c>
      <c r="T29" s="5">
        <v>7</v>
      </c>
      <c r="U29" s="5">
        <v>1</v>
      </c>
      <c r="V29">
        <v>175</v>
      </c>
      <c r="W29" s="5">
        <v>2</v>
      </c>
      <c r="X29">
        <v>0</v>
      </c>
      <c r="Y29" s="5">
        <v>0</v>
      </c>
      <c r="Z29" t="s">
        <v>118</v>
      </c>
      <c r="AA29" s="5">
        <v>107</v>
      </c>
      <c r="AB29">
        <v>84.89</v>
      </c>
      <c r="AC29" t="s">
        <v>49</v>
      </c>
      <c r="AD29">
        <v>152</v>
      </c>
      <c r="AE29" s="5">
        <v>1</v>
      </c>
      <c r="AF29" t="s">
        <v>49</v>
      </c>
      <c r="AG29">
        <v>84.89</v>
      </c>
      <c r="AH29" t="s">
        <v>49</v>
      </c>
      <c r="AI29" t="s">
        <v>49</v>
      </c>
      <c r="AJ29" t="s">
        <v>49</v>
      </c>
      <c r="AK29" t="s">
        <v>49</v>
      </c>
      <c r="AL29" t="s">
        <v>49</v>
      </c>
      <c r="AM29">
        <v>455</v>
      </c>
      <c r="AN29" s="7">
        <v>1</v>
      </c>
      <c r="AO29" s="7">
        <v>0</v>
      </c>
      <c r="AP29" s="7">
        <v>0.6881</v>
      </c>
      <c r="AQ29" s="7">
        <v>0.4771</v>
      </c>
      <c r="AR29" s="7">
        <v>0.5714</v>
      </c>
      <c r="AS29" s="7">
        <v>0.7143</v>
      </c>
      <c r="AT29" s="5">
        <v>0</v>
      </c>
      <c r="AU29" s="5">
        <v>0</v>
      </c>
      <c r="AV29" s="7">
        <v>0</v>
      </c>
      <c r="AW29" s="5">
        <v>0</v>
      </c>
      <c r="AX29" s="5">
        <v>0</v>
      </c>
    </row>
    <row r="30" hidden="1" spans="1:50">
      <c r="A30" s="5">
        <v>19692647</v>
      </c>
      <c r="B30" t="s">
        <v>119</v>
      </c>
      <c r="C30" s="6">
        <v>115215025</v>
      </c>
      <c r="D30" t="s">
        <v>44</v>
      </c>
      <c r="E30" t="s">
        <v>120</v>
      </c>
      <c r="F30" t="s">
        <v>46</v>
      </c>
      <c r="G30" t="s">
        <v>47</v>
      </c>
      <c r="H30">
        <v>250</v>
      </c>
      <c r="I30" s="5">
        <f>VLOOKUP(C30,[6]sheet1!$C:$X,6,0)</f>
        <v>0</v>
      </c>
      <c r="J30" s="5">
        <f>VLOOKUP(C30,[1]sheet1!$C:$I,6,0)</f>
        <v>257</v>
      </c>
      <c r="K30" s="5">
        <f>VLOOKUP(C30,[2]sheet1!$C:$H,6,0)</f>
        <v>0</v>
      </c>
      <c r="L30" s="5">
        <f>VLOOKUP(C30,[3]sheet1!$C:$H,6,0)</f>
        <v>514</v>
      </c>
      <c r="M30" s="5">
        <f>VLOOKUP(C30,[4]sheet1!$C:$I,6,0)</f>
        <v>250</v>
      </c>
      <c r="N30" s="5">
        <f>VLOOKUP(C30,[5]sheet1!$C:$J,6,0)</f>
        <v>0</v>
      </c>
      <c r="O30" s="5">
        <f t="shared" si="0"/>
        <v>1271</v>
      </c>
      <c r="P30" s="5">
        <v>1271</v>
      </c>
      <c r="Q30" s="5">
        <v>1</v>
      </c>
      <c r="R30">
        <v>1058</v>
      </c>
      <c r="S30">
        <v>127</v>
      </c>
      <c r="T30" s="5">
        <v>41</v>
      </c>
      <c r="U30" s="5">
        <v>1</v>
      </c>
      <c r="V30">
        <v>0</v>
      </c>
      <c r="W30" s="5">
        <v>0</v>
      </c>
      <c r="X30">
        <v>268</v>
      </c>
      <c r="Y30" s="5">
        <v>1</v>
      </c>
      <c r="Z30" t="s">
        <v>121</v>
      </c>
      <c r="AA30" s="5">
        <v>209</v>
      </c>
      <c r="AB30">
        <v>198.74</v>
      </c>
      <c r="AC30" t="s">
        <v>49</v>
      </c>
      <c r="AD30">
        <v>250</v>
      </c>
      <c r="AE30" s="5">
        <v>1</v>
      </c>
      <c r="AF30" t="s">
        <v>49</v>
      </c>
      <c r="AG30">
        <v>198.74</v>
      </c>
      <c r="AH30" t="s">
        <v>49</v>
      </c>
      <c r="AI30">
        <v>172.7</v>
      </c>
      <c r="AJ30" t="s">
        <v>49</v>
      </c>
      <c r="AK30">
        <v>172.7</v>
      </c>
      <c r="AL30" t="s">
        <v>49</v>
      </c>
      <c r="AM30">
        <v>1238</v>
      </c>
      <c r="AN30" s="7">
        <v>0</v>
      </c>
      <c r="AO30" s="7">
        <v>1</v>
      </c>
      <c r="AP30" s="7">
        <v>0.786</v>
      </c>
      <c r="AQ30" s="7">
        <v>0.3664</v>
      </c>
      <c r="AR30" s="7">
        <v>0.7073</v>
      </c>
      <c r="AS30" s="7">
        <v>0.4634</v>
      </c>
      <c r="AT30" s="5">
        <v>0</v>
      </c>
      <c r="AU30" s="5">
        <v>0</v>
      </c>
      <c r="AV30" s="7">
        <v>0</v>
      </c>
      <c r="AW30" s="5">
        <v>0</v>
      </c>
      <c r="AX30" s="5">
        <v>0</v>
      </c>
    </row>
    <row r="31" hidden="1" spans="1:50">
      <c r="A31" s="5">
        <v>19624143</v>
      </c>
      <c r="B31" t="s">
        <v>122</v>
      </c>
      <c r="C31" s="5">
        <v>115107003</v>
      </c>
      <c r="D31" t="s">
        <v>44</v>
      </c>
      <c r="E31" t="s">
        <v>123</v>
      </c>
      <c r="F31" t="s">
        <v>46</v>
      </c>
      <c r="G31" t="s">
        <v>47</v>
      </c>
      <c r="H31">
        <v>501</v>
      </c>
      <c r="I31" s="5">
        <f>VLOOKUP(C31,[6]sheet1!$C:$X,6,0)</f>
        <v>0</v>
      </c>
      <c r="J31" s="5">
        <f>VLOOKUP(C31,[1]sheet1!$C:$I,6,0)</f>
        <v>1002</v>
      </c>
      <c r="K31" s="5">
        <f>VLOOKUP(C31,[2]sheet1!$C:$H,6,0)</f>
        <v>2004</v>
      </c>
      <c r="L31" s="5">
        <f>VLOOKUP(C31,[3]sheet1!$C:$H,6,0)</f>
        <v>974</v>
      </c>
      <c r="M31" s="5">
        <f>VLOOKUP(C31,[4]sheet1!$C:$I,6,0)</f>
        <v>1498</v>
      </c>
      <c r="N31" s="5">
        <f>VLOOKUP(C31,[5]sheet1!$C:$J,6,0)</f>
        <v>1483</v>
      </c>
      <c r="O31" s="5">
        <f t="shared" si="0"/>
        <v>7462</v>
      </c>
      <c r="P31" s="5">
        <v>7462</v>
      </c>
      <c r="Q31" s="5">
        <v>1</v>
      </c>
      <c r="R31">
        <v>633</v>
      </c>
      <c r="S31">
        <v>215</v>
      </c>
      <c r="T31" s="5">
        <v>16</v>
      </c>
      <c r="U31" s="5">
        <v>1</v>
      </c>
      <c r="V31">
        <v>1529</v>
      </c>
      <c r="W31" s="5">
        <v>3</v>
      </c>
      <c r="X31">
        <v>0</v>
      </c>
      <c r="Y31" s="5">
        <v>0</v>
      </c>
      <c r="Z31" t="s">
        <v>124</v>
      </c>
      <c r="AA31" s="5">
        <v>429</v>
      </c>
      <c r="AB31">
        <v>467.49</v>
      </c>
      <c r="AC31" t="s">
        <v>49</v>
      </c>
      <c r="AD31">
        <v>501</v>
      </c>
      <c r="AE31" s="5">
        <v>1</v>
      </c>
      <c r="AF31" t="s">
        <v>49</v>
      </c>
      <c r="AG31">
        <v>467.49</v>
      </c>
      <c r="AH31" t="s">
        <v>49</v>
      </c>
      <c r="AI31">
        <v>362.46</v>
      </c>
      <c r="AJ31" t="s">
        <v>49</v>
      </c>
      <c r="AK31">
        <v>362.46</v>
      </c>
      <c r="AL31" t="s">
        <v>49</v>
      </c>
      <c r="AM31">
        <v>748</v>
      </c>
      <c r="AN31" s="7">
        <v>1</v>
      </c>
      <c r="AO31" s="7">
        <v>0</v>
      </c>
      <c r="AP31" s="7">
        <v>0.7939</v>
      </c>
      <c r="AQ31" s="7">
        <v>0.277</v>
      </c>
      <c r="AR31" s="7">
        <v>0.625</v>
      </c>
      <c r="AS31" s="7">
        <v>0.1875</v>
      </c>
      <c r="AT31" s="5">
        <v>0</v>
      </c>
      <c r="AU31" s="5">
        <v>0</v>
      </c>
      <c r="AV31" s="7">
        <v>0</v>
      </c>
      <c r="AW31" s="5">
        <v>0</v>
      </c>
      <c r="AX31" s="5">
        <v>0</v>
      </c>
    </row>
    <row r="32" hidden="1" spans="1:50">
      <c r="A32" s="5">
        <v>19281735</v>
      </c>
      <c r="B32" t="s">
        <v>125</v>
      </c>
      <c r="C32" s="5">
        <v>125301055</v>
      </c>
      <c r="D32" t="s">
        <v>44</v>
      </c>
      <c r="E32" t="s">
        <v>94</v>
      </c>
      <c r="F32" t="s">
        <v>46</v>
      </c>
      <c r="G32" t="s">
        <v>47</v>
      </c>
      <c r="H32">
        <v>551</v>
      </c>
      <c r="I32" s="5">
        <f>VLOOKUP(C32,[6]sheet1!$C:$X,6,0)</f>
        <v>1096</v>
      </c>
      <c r="J32" s="5">
        <f>VLOOKUP(C32,[1]sheet1!$C:$I,6,0)</f>
        <v>548</v>
      </c>
      <c r="K32" s="5">
        <f>VLOOKUP(C32,[2]sheet1!$C:$H,6,0)</f>
        <v>0</v>
      </c>
      <c r="L32" s="5">
        <f>VLOOKUP(C32,[3]sheet1!$C:$H,6,0)</f>
        <v>0</v>
      </c>
      <c r="M32" s="5">
        <f>VLOOKUP(C32,[4]sheet1!$C:$I,6,0)</f>
        <v>0</v>
      </c>
      <c r="N32" s="5">
        <f>VLOOKUP(C32,[5]sheet1!$C:$J,6,0)</f>
        <v>0</v>
      </c>
      <c r="O32" s="5">
        <f t="shared" si="0"/>
        <v>2195</v>
      </c>
      <c r="P32" s="5">
        <v>2195</v>
      </c>
      <c r="Q32" s="5">
        <v>1</v>
      </c>
      <c r="R32">
        <v>403</v>
      </c>
      <c r="S32">
        <v>335</v>
      </c>
      <c r="T32" s="5">
        <v>5</v>
      </c>
      <c r="U32" s="5">
        <v>1</v>
      </c>
      <c r="V32">
        <v>0</v>
      </c>
      <c r="W32" s="5">
        <v>0</v>
      </c>
      <c r="X32">
        <v>0</v>
      </c>
      <c r="Y32" s="5">
        <v>0</v>
      </c>
      <c r="Z32" t="s">
        <v>126</v>
      </c>
      <c r="AA32" s="5">
        <v>537</v>
      </c>
      <c r="AB32">
        <v>500.73</v>
      </c>
      <c r="AC32" t="s">
        <v>49</v>
      </c>
      <c r="AD32">
        <v>551</v>
      </c>
      <c r="AE32" s="5">
        <v>1</v>
      </c>
      <c r="AF32" t="s">
        <v>49</v>
      </c>
      <c r="AG32">
        <v>500.73</v>
      </c>
      <c r="AH32" t="s">
        <v>49</v>
      </c>
      <c r="AI32">
        <v>454.73</v>
      </c>
      <c r="AJ32" t="s">
        <v>49</v>
      </c>
      <c r="AK32">
        <v>454.73</v>
      </c>
      <c r="AL32" t="s">
        <v>49</v>
      </c>
      <c r="AM32">
        <v>457</v>
      </c>
      <c r="AN32" s="7">
        <v>1</v>
      </c>
      <c r="AO32" s="7">
        <v>1</v>
      </c>
      <c r="AP32" s="7">
        <v>0.9083</v>
      </c>
      <c r="AQ32" s="7">
        <v>0.625</v>
      </c>
      <c r="AR32" s="7">
        <v>1</v>
      </c>
      <c r="AS32" s="7">
        <v>0.6</v>
      </c>
      <c r="AT32" s="5">
        <v>0</v>
      </c>
      <c r="AU32" s="5">
        <v>0</v>
      </c>
      <c r="AV32" s="7">
        <v>0</v>
      </c>
      <c r="AW32" s="5">
        <v>0</v>
      </c>
      <c r="AX32" s="5">
        <v>0</v>
      </c>
    </row>
    <row r="33" hidden="1" spans="1:50">
      <c r="A33" s="5">
        <v>14617186</v>
      </c>
      <c r="B33" t="s">
        <v>127</v>
      </c>
      <c r="C33" s="5">
        <v>124301070</v>
      </c>
      <c r="D33" t="s">
        <v>44</v>
      </c>
      <c r="E33" t="s">
        <v>55</v>
      </c>
      <c r="F33" t="s">
        <v>46</v>
      </c>
      <c r="G33" t="s">
        <v>47</v>
      </c>
      <c r="H33">
        <v>815</v>
      </c>
      <c r="I33" s="5">
        <f>VLOOKUP(C33,[6]sheet1!$C:$X,6,0)</f>
        <v>0</v>
      </c>
      <c r="J33" s="5">
        <f>VLOOKUP(C33,[1]sheet1!$C:$I,6,0)</f>
        <v>0</v>
      </c>
      <c r="K33" s="5">
        <f>VLOOKUP(C33,[2]sheet1!$C:$H,6,0)</f>
        <v>801</v>
      </c>
      <c r="L33" s="5">
        <f>VLOOKUP(C33,[3]sheet1!$C:$H,6,0)</f>
        <v>0</v>
      </c>
      <c r="M33" s="5">
        <f>VLOOKUP(C33,[4]sheet1!$C:$I,6,0)</f>
        <v>1592</v>
      </c>
      <c r="N33" s="5">
        <f>VLOOKUP(C33,[5]sheet1!$C:$J,6,0)</f>
        <v>808</v>
      </c>
      <c r="O33" s="5">
        <f t="shared" si="0"/>
        <v>4016</v>
      </c>
      <c r="P33" s="5">
        <v>4016</v>
      </c>
      <c r="Q33" s="5">
        <v>1</v>
      </c>
      <c r="R33">
        <v>1158</v>
      </c>
      <c r="S33">
        <v>116</v>
      </c>
      <c r="T33" s="5">
        <v>55</v>
      </c>
      <c r="U33" s="5">
        <v>1</v>
      </c>
      <c r="V33">
        <v>0</v>
      </c>
      <c r="W33" s="5">
        <v>0</v>
      </c>
      <c r="X33">
        <v>0</v>
      </c>
      <c r="Y33" s="5">
        <v>0</v>
      </c>
      <c r="Z33" t="s">
        <v>128</v>
      </c>
      <c r="AA33" s="5">
        <v>660</v>
      </c>
      <c r="AB33">
        <v>713.43</v>
      </c>
      <c r="AC33" t="s">
        <v>49</v>
      </c>
      <c r="AD33">
        <v>815</v>
      </c>
      <c r="AE33" s="5">
        <v>1</v>
      </c>
      <c r="AF33" t="s">
        <v>49</v>
      </c>
      <c r="AG33">
        <v>713.43</v>
      </c>
      <c r="AH33" t="s">
        <v>49</v>
      </c>
      <c r="AI33">
        <v>596.27</v>
      </c>
      <c r="AJ33" t="s">
        <v>49</v>
      </c>
      <c r="AK33">
        <v>596.27</v>
      </c>
      <c r="AL33" t="s">
        <v>49</v>
      </c>
      <c r="AM33">
        <v>1409</v>
      </c>
      <c r="AN33" s="7">
        <v>1</v>
      </c>
      <c r="AO33" s="7">
        <v>1</v>
      </c>
      <c r="AP33" s="7">
        <v>0.8838</v>
      </c>
      <c r="AQ33" s="7">
        <v>0.5596</v>
      </c>
      <c r="AR33" s="7">
        <v>0.8364</v>
      </c>
      <c r="AS33" s="7">
        <v>0.5636</v>
      </c>
      <c r="AT33" s="5">
        <v>0</v>
      </c>
      <c r="AU33" s="5">
        <v>0</v>
      </c>
      <c r="AV33" s="7">
        <v>0</v>
      </c>
      <c r="AW33" s="5">
        <v>0</v>
      </c>
      <c r="AX33" s="5">
        <v>0</v>
      </c>
    </row>
    <row r="34" hidden="1" spans="1:50">
      <c r="A34" s="5">
        <v>14143668</v>
      </c>
      <c r="B34" t="s">
        <v>129</v>
      </c>
      <c r="C34" s="5">
        <v>114306147</v>
      </c>
      <c r="D34" t="s">
        <v>44</v>
      </c>
      <c r="E34" t="s">
        <v>130</v>
      </c>
      <c r="F34" t="s">
        <v>46</v>
      </c>
      <c r="G34" t="s">
        <v>47</v>
      </c>
      <c r="H34">
        <v>437</v>
      </c>
      <c r="I34" s="5">
        <f>VLOOKUP(C34,[6]sheet1!$C:$X,6,0)</f>
        <v>0</v>
      </c>
      <c r="J34" s="5">
        <f>VLOOKUP(C34,[1]sheet1!$C:$I,6,0)</f>
        <v>451</v>
      </c>
      <c r="K34" s="5">
        <f>VLOOKUP(C34,[2]sheet1!$C:$H,6,0)</f>
        <v>0</v>
      </c>
      <c r="L34" s="5">
        <f>VLOOKUP(C34,[3]sheet1!$C:$H,6,0)</f>
        <v>0</v>
      </c>
      <c r="M34" s="5">
        <f>VLOOKUP(C34,[4]sheet1!$C:$I,6,0)</f>
        <v>902</v>
      </c>
      <c r="N34" s="5">
        <f>VLOOKUP(C34,[5]sheet1!$C:$J,6,0)</f>
        <v>899</v>
      </c>
      <c r="O34" s="5">
        <f t="shared" si="0"/>
        <v>2689</v>
      </c>
      <c r="P34" s="5">
        <v>2689</v>
      </c>
      <c r="Q34" s="5">
        <v>1</v>
      </c>
      <c r="R34">
        <v>981</v>
      </c>
      <c r="S34">
        <v>138</v>
      </c>
      <c r="T34" s="5">
        <v>42</v>
      </c>
      <c r="U34" s="5">
        <v>1</v>
      </c>
      <c r="V34">
        <v>0</v>
      </c>
      <c r="W34" s="5">
        <v>0</v>
      </c>
      <c r="X34">
        <v>0</v>
      </c>
      <c r="Y34" s="5">
        <v>0</v>
      </c>
      <c r="Z34" t="s">
        <v>131</v>
      </c>
      <c r="AA34" s="5">
        <v>299</v>
      </c>
      <c r="AB34">
        <v>344.8</v>
      </c>
      <c r="AC34" t="s">
        <v>49</v>
      </c>
      <c r="AD34">
        <v>437</v>
      </c>
      <c r="AE34" s="5">
        <v>1</v>
      </c>
      <c r="AF34" t="s">
        <v>49</v>
      </c>
      <c r="AG34">
        <v>344.8</v>
      </c>
      <c r="AH34" t="s">
        <v>49</v>
      </c>
      <c r="AI34">
        <v>252.31</v>
      </c>
      <c r="AJ34" t="s">
        <v>49</v>
      </c>
      <c r="AK34">
        <v>252.31</v>
      </c>
      <c r="AL34" t="s">
        <v>49</v>
      </c>
      <c r="AM34">
        <v>1082</v>
      </c>
      <c r="AN34" s="7">
        <v>1</v>
      </c>
      <c r="AO34" s="7">
        <v>1</v>
      </c>
      <c r="AP34" s="7">
        <v>0.8706</v>
      </c>
      <c r="AQ34" s="7">
        <v>0.4923</v>
      </c>
      <c r="AR34" s="7">
        <v>0.9048</v>
      </c>
      <c r="AS34" s="7">
        <v>0.4524</v>
      </c>
      <c r="AT34" s="5">
        <v>0</v>
      </c>
      <c r="AU34" s="5">
        <v>0</v>
      </c>
      <c r="AV34" s="7">
        <v>0</v>
      </c>
      <c r="AW34" s="5">
        <v>0</v>
      </c>
      <c r="AX34" s="5">
        <v>0</v>
      </c>
    </row>
    <row r="35" hidden="1" spans="1:50">
      <c r="A35" s="5">
        <v>10851829</v>
      </c>
      <c r="B35" t="s">
        <v>132</v>
      </c>
      <c r="C35" t="s">
        <v>133</v>
      </c>
      <c r="D35" t="s">
        <v>44</v>
      </c>
      <c r="E35" t="s">
        <v>55</v>
      </c>
      <c r="F35" t="s">
        <v>46</v>
      </c>
      <c r="G35" t="s">
        <v>47</v>
      </c>
      <c r="H35">
        <v>453</v>
      </c>
      <c r="I35" s="5">
        <f>VLOOKUP(C35,[6]sheet1!$C:$X,6,0)</f>
        <v>1279</v>
      </c>
      <c r="J35" s="5">
        <f>VLOOKUP(C35,[1]sheet1!$C:$I,6,0)</f>
        <v>3006.3</v>
      </c>
      <c r="K35" s="5">
        <f>VLOOKUP(C35,[2]sheet1!$C:$H,6,0)</f>
        <v>423</v>
      </c>
      <c r="L35" s="5">
        <v>0</v>
      </c>
      <c r="M35" s="5">
        <v>0</v>
      </c>
      <c r="N35" s="5">
        <f>VLOOKUP(C35,[5]sheet1!$C:$J,6,0)</f>
        <v>0</v>
      </c>
      <c r="O35" s="5">
        <f t="shared" si="0"/>
        <v>5161.3</v>
      </c>
      <c r="P35" s="5">
        <v>5161.3</v>
      </c>
      <c r="Q35" s="5">
        <v>1</v>
      </c>
      <c r="R35">
        <v>767</v>
      </c>
      <c r="S35">
        <v>176</v>
      </c>
      <c r="T35" s="5">
        <v>28</v>
      </c>
      <c r="U35" s="5">
        <v>1</v>
      </c>
      <c r="V35">
        <v>0</v>
      </c>
      <c r="W35" s="5">
        <v>0</v>
      </c>
      <c r="X35">
        <v>0</v>
      </c>
      <c r="Y35" s="5">
        <v>0</v>
      </c>
      <c r="Z35" t="s">
        <v>134</v>
      </c>
      <c r="AA35" s="5">
        <v>420</v>
      </c>
      <c r="AB35">
        <v>373.18</v>
      </c>
      <c r="AC35" t="s">
        <v>49</v>
      </c>
      <c r="AD35">
        <v>453</v>
      </c>
      <c r="AE35" s="5">
        <v>1</v>
      </c>
      <c r="AF35" t="s">
        <v>49</v>
      </c>
      <c r="AG35">
        <v>373.18</v>
      </c>
      <c r="AH35" t="s">
        <v>49</v>
      </c>
      <c r="AI35">
        <v>359.15</v>
      </c>
      <c r="AJ35" t="s">
        <v>49</v>
      </c>
      <c r="AK35">
        <v>359.15</v>
      </c>
      <c r="AL35" t="s">
        <v>49</v>
      </c>
      <c r="AM35">
        <v>904</v>
      </c>
      <c r="AN35" s="7">
        <v>1</v>
      </c>
      <c r="AO35" s="7">
        <v>1</v>
      </c>
      <c r="AP35" s="7">
        <v>0.8759</v>
      </c>
      <c r="AQ35" s="7">
        <v>0.5333</v>
      </c>
      <c r="AR35" s="7">
        <v>0.8929</v>
      </c>
      <c r="AS35" s="7">
        <v>0.5714</v>
      </c>
      <c r="AT35" s="5">
        <v>0</v>
      </c>
      <c r="AU35" s="5">
        <v>0</v>
      </c>
      <c r="AV35" s="7">
        <v>0</v>
      </c>
      <c r="AW35" s="5">
        <v>0</v>
      </c>
      <c r="AX35" s="5">
        <v>0</v>
      </c>
    </row>
    <row r="36" spans="1:50">
      <c r="A36" s="5">
        <v>9985207</v>
      </c>
      <c r="B36" t="s">
        <v>135</v>
      </c>
      <c r="C36" s="8">
        <v>11421415</v>
      </c>
      <c r="D36" t="s">
        <v>44</v>
      </c>
      <c r="E36" t="s">
        <v>82</v>
      </c>
      <c r="F36" t="s">
        <v>46</v>
      </c>
      <c r="G36" t="s">
        <v>47</v>
      </c>
      <c r="H36">
        <v>0</v>
      </c>
      <c r="I36" s="5">
        <f>VLOOKUP(C36,[6]sheet1!$C:$X,6,0)</f>
        <v>1085</v>
      </c>
      <c r="J36" s="5">
        <f>VLOOKUP(C36,[1]sheet1!$C:$I,6,0)</f>
        <v>0</v>
      </c>
      <c r="K36" s="5">
        <f>VLOOKUP(C36,[2]sheet1!$C:$H,6,0)</f>
        <v>442</v>
      </c>
      <c r="L36" s="5">
        <f>VLOOKUP(C36,[3]sheet1!$C:$H,6,0)</f>
        <v>228.6</v>
      </c>
      <c r="M36" s="5">
        <f>VLOOKUP(C36,[4]sheet1!$C:$I,6,0)</f>
        <v>915</v>
      </c>
      <c r="N36" s="5">
        <f>VLOOKUP(C36,[5]sheet1!$C:$J,6,0)</f>
        <v>221</v>
      </c>
      <c r="O36" s="5">
        <f t="shared" ref="O35:O66" si="1">H36+I36+J36+K36+L36+M36+N36</f>
        <v>2891.6</v>
      </c>
      <c r="P36" s="5">
        <v>2891.6</v>
      </c>
      <c r="Q36" s="5">
        <v>0</v>
      </c>
      <c r="R36">
        <v>1505</v>
      </c>
      <c r="S36">
        <v>0</v>
      </c>
      <c r="T36" s="5">
        <v>78</v>
      </c>
      <c r="U36" s="5">
        <v>0</v>
      </c>
      <c r="V36">
        <v>485.6</v>
      </c>
      <c r="W36" s="5">
        <v>2</v>
      </c>
      <c r="X36">
        <v>0</v>
      </c>
      <c r="Y36" s="5">
        <v>0</v>
      </c>
      <c r="Z36" t="s">
        <v>136</v>
      </c>
      <c r="AA36" s="5">
        <v>201</v>
      </c>
      <c r="AB36">
        <v>176.94</v>
      </c>
      <c r="AC36" t="s">
        <v>49</v>
      </c>
      <c r="AD36">
        <v>0</v>
      </c>
      <c r="AE36" s="5">
        <v>0</v>
      </c>
      <c r="AF36" t="s">
        <v>49</v>
      </c>
      <c r="AG36">
        <v>0</v>
      </c>
      <c r="AH36" t="s">
        <v>49</v>
      </c>
      <c r="AI36">
        <v>165.66</v>
      </c>
      <c r="AJ36" t="s">
        <v>49</v>
      </c>
      <c r="AK36">
        <v>0</v>
      </c>
      <c r="AL36" t="s">
        <v>49</v>
      </c>
      <c r="AM36">
        <v>1743</v>
      </c>
      <c r="AN36" s="7">
        <v>0</v>
      </c>
      <c r="AO36" s="7">
        <v>0</v>
      </c>
      <c r="AP36" s="7">
        <v>0.8513</v>
      </c>
      <c r="AQ36" s="7">
        <v>0.4725</v>
      </c>
      <c r="AR36" s="7">
        <v>0.8974</v>
      </c>
      <c r="AS36" s="7">
        <v>0.5641</v>
      </c>
      <c r="AT36" s="5">
        <v>0</v>
      </c>
      <c r="AU36" s="5">
        <v>0</v>
      </c>
      <c r="AV36" s="7">
        <v>0</v>
      </c>
      <c r="AW36" s="5">
        <v>0</v>
      </c>
      <c r="AX36" s="5">
        <v>0</v>
      </c>
    </row>
    <row r="37" spans="1:50">
      <c r="A37" s="5">
        <v>9742964</v>
      </c>
      <c r="B37" t="s">
        <v>137</v>
      </c>
      <c r="C37" s="8">
        <v>11421409</v>
      </c>
      <c r="D37" t="s">
        <v>44</v>
      </c>
      <c r="E37" t="s">
        <v>82</v>
      </c>
      <c r="F37" t="s">
        <v>46</v>
      </c>
      <c r="G37" t="s">
        <v>47</v>
      </c>
      <c r="H37">
        <v>0</v>
      </c>
      <c r="I37" s="5">
        <f>VLOOKUP(C37,[6]sheet1!$C:$X,6,0)</f>
        <v>0</v>
      </c>
      <c r="J37" s="5">
        <f>VLOOKUP(C37,[1]sheet1!$C:$I,6,0)</f>
        <v>0</v>
      </c>
      <c r="K37" s="5">
        <f>VLOOKUP(C37,[2]sheet1!$C:$H,6,0)</f>
        <v>0</v>
      </c>
      <c r="L37" s="5">
        <f>VLOOKUP(C37,[3]sheet1!$C:$H,6,0)</f>
        <v>0</v>
      </c>
      <c r="M37" s="5">
        <f>VLOOKUP(C37,[4]sheet1!$C:$I,6,0)</f>
        <v>0</v>
      </c>
      <c r="N37" s="5">
        <f>VLOOKUP(C37,[5]sheet1!$C:$J,6,0)</f>
        <v>0</v>
      </c>
      <c r="O37" s="5">
        <f t="shared" si="1"/>
        <v>0</v>
      </c>
      <c r="P37" s="5">
        <v>0</v>
      </c>
      <c r="Q37" s="5">
        <v>0</v>
      </c>
      <c r="R37">
        <v>308</v>
      </c>
      <c r="S37">
        <v>0</v>
      </c>
      <c r="T37" s="5">
        <v>5</v>
      </c>
      <c r="U37" s="5">
        <v>0</v>
      </c>
      <c r="V37">
        <v>0</v>
      </c>
      <c r="W37" s="5">
        <v>0</v>
      </c>
      <c r="X37">
        <v>0</v>
      </c>
      <c r="Y37" s="5">
        <v>0</v>
      </c>
      <c r="Z37" t="s">
        <v>49</v>
      </c>
      <c r="AA37" s="5">
        <v>155</v>
      </c>
      <c r="AB37" t="s">
        <v>49</v>
      </c>
      <c r="AC37" t="s">
        <v>49</v>
      </c>
      <c r="AD37">
        <v>0</v>
      </c>
      <c r="AE37" s="5">
        <v>0</v>
      </c>
      <c r="AF37" t="s">
        <v>49</v>
      </c>
      <c r="AG37" t="s">
        <v>49</v>
      </c>
      <c r="AH37" t="s">
        <v>49</v>
      </c>
      <c r="AI37">
        <v>125.73</v>
      </c>
      <c r="AJ37" t="s">
        <v>49</v>
      </c>
      <c r="AK37">
        <v>0</v>
      </c>
      <c r="AL37" t="s">
        <v>49</v>
      </c>
      <c r="AM37">
        <v>360</v>
      </c>
      <c r="AN37" s="7">
        <v>0</v>
      </c>
      <c r="AO37" s="7">
        <v>0</v>
      </c>
      <c r="AP37" s="7">
        <v>0.6571</v>
      </c>
      <c r="AQ37" s="7">
        <v>0.2571</v>
      </c>
      <c r="AR37" s="7">
        <v>0.6</v>
      </c>
      <c r="AS37" s="7">
        <v>0.2</v>
      </c>
      <c r="AT37" s="5">
        <v>0</v>
      </c>
      <c r="AU37" s="5">
        <v>0</v>
      </c>
      <c r="AV37" s="7">
        <v>0</v>
      </c>
      <c r="AW37" s="5">
        <v>0</v>
      </c>
      <c r="AX37" s="5">
        <v>0</v>
      </c>
    </row>
    <row r="38" hidden="1" spans="1:50">
      <c r="A38" s="5">
        <v>9423402</v>
      </c>
      <c r="B38" t="s">
        <v>138</v>
      </c>
      <c r="C38" s="5">
        <v>12421250</v>
      </c>
      <c r="D38" t="s">
        <v>44</v>
      </c>
      <c r="E38" t="s">
        <v>79</v>
      </c>
      <c r="F38" t="s">
        <v>46</v>
      </c>
      <c r="G38" t="s">
        <v>47</v>
      </c>
      <c r="H38">
        <v>0</v>
      </c>
      <c r="I38" s="5">
        <f>VLOOKUP(C38,[6]sheet1!$C:$X,6,0)</f>
        <v>0</v>
      </c>
      <c r="J38" s="5">
        <f>VLOOKUP(C38,[1]sheet1!$C:$I,6,0)</f>
        <v>0</v>
      </c>
      <c r="K38" s="5">
        <f>VLOOKUP(C38,[2]sheet1!$C:$H,6,0)</f>
        <v>0</v>
      </c>
      <c r="L38" s="5">
        <f>VLOOKUP(C38,[3]sheet1!$C:$H,6,0)</f>
        <v>0</v>
      </c>
      <c r="M38" s="5">
        <f>VLOOKUP(C38,[4]sheet1!$C:$I,6,0)</f>
        <v>0</v>
      </c>
      <c r="N38" s="5">
        <f>VLOOKUP(C38,[5]sheet1!$C:$J,6,0)</f>
        <v>0</v>
      </c>
      <c r="O38" s="5">
        <f t="shared" si="1"/>
        <v>0</v>
      </c>
      <c r="P38" s="5">
        <v>0</v>
      </c>
      <c r="Q38" s="5">
        <v>0</v>
      </c>
      <c r="R38">
        <v>1004</v>
      </c>
      <c r="S38">
        <v>0</v>
      </c>
      <c r="T38" s="5">
        <v>54</v>
      </c>
      <c r="U38" s="5">
        <v>0</v>
      </c>
      <c r="V38">
        <v>0</v>
      </c>
      <c r="W38" s="5">
        <v>0</v>
      </c>
      <c r="X38">
        <v>0</v>
      </c>
      <c r="Y38" s="5">
        <v>0</v>
      </c>
      <c r="Z38" t="s">
        <v>139</v>
      </c>
      <c r="AA38" s="5">
        <v>229</v>
      </c>
      <c r="AB38">
        <v>216.82</v>
      </c>
      <c r="AC38" t="s">
        <v>49</v>
      </c>
      <c r="AD38">
        <v>0</v>
      </c>
      <c r="AE38" s="5">
        <v>0</v>
      </c>
      <c r="AF38" t="s">
        <v>49</v>
      </c>
      <c r="AG38">
        <v>0</v>
      </c>
      <c r="AH38" t="s">
        <v>49</v>
      </c>
      <c r="AI38">
        <v>190.78</v>
      </c>
      <c r="AJ38" t="s">
        <v>49</v>
      </c>
      <c r="AK38">
        <v>0</v>
      </c>
      <c r="AL38" t="s">
        <v>49</v>
      </c>
      <c r="AM38">
        <v>1084</v>
      </c>
      <c r="AN38" s="7">
        <v>0</v>
      </c>
      <c r="AO38" s="7">
        <v>0</v>
      </c>
      <c r="AP38" s="7">
        <v>0.8913</v>
      </c>
      <c r="AQ38" s="7">
        <v>0.4268</v>
      </c>
      <c r="AR38" s="7">
        <v>0.9259</v>
      </c>
      <c r="AS38" s="7">
        <v>0.5</v>
      </c>
      <c r="AT38" s="5">
        <v>0</v>
      </c>
      <c r="AU38" s="5">
        <v>0</v>
      </c>
      <c r="AV38" s="7">
        <v>0</v>
      </c>
      <c r="AW38" s="5">
        <v>0</v>
      </c>
      <c r="AX38" s="5">
        <v>0</v>
      </c>
    </row>
    <row r="39" hidden="1" spans="1:50">
      <c r="A39" s="5">
        <v>9414196</v>
      </c>
      <c r="B39" t="s">
        <v>140</v>
      </c>
      <c r="C39" s="5">
        <v>11421201</v>
      </c>
      <c r="D39" t="s">
        <v>44</v>
      </c>
      <c r="E39" t="s">
        <v>51</v>
      </c>
      <c r="F39" t="s">
        <v>46</v>
      </c>
      <c r="G39" t="s">
        <v>47</v>
      </c>
      <c r="H39">
        <v>0</v>
      </c>
      <c r="I39" s="5">
        <f>VLOOKUP(C39,[6]sheet1!$C:$X,6,0)</f>
        <v>2849.36</v>
      </c>
      <c r="J39" s="5">
        <f>VLOOKUP(C39,[1]sheet1!$C:$I,6,0)</f>
        <v>2018</v>
      </c>
      <c r="K39" s="5">
        <f>VLOOKUP(C39,[2]sheet1!$C:$H,6,0)</f>
        <v>2863</v>
      </c>
      <c r="L39" s="5">
        <f>VLOOKUP(C39,[3]sheet1!$C:$H,6,0)</f>
        <v>2116</v>
      </c>
      <c r="M39" s="5">
        <f>VLOOKUP(C39,[4]sheet1!$C:$I,6,0)</f>
        <v>2158</v>
      </c>
      <c r="N39" s="5">
        <f>VLOOKUP(C39,[5]sheet1!$C:$J,6,0)</f>
        <v>2254.17</v>
      </c>
      <c r="O39" s="5">
        <f t="shared" si="1"/>
        <v>14258.53</v>
      </c>
      <c r="P39" s="5">
        <v>14258.53</v>
      </c>
      <c r="Q39" s="5">
        <v>0</v>
      </c>
      <c r="R39">
        <v>1194</v>
      </c>
      <c r="S39">
        <v>0</v>
      </c>
      <c r="T39" s="5">
        <v>44</v>
      </c>
      <c r="U39" s="5">
        <v>0</v>
      </c>
      <c r="V39">
        <v>772</v>
      </c>
      <c r="W39" s="5">
        <v>4</v>
      </c>
      <c r="X39">
        <v>0</v>
      </c>
      <c r="Y39" s="5">
        <v>0</v>
      </c>
      <c r="Z39" t="s">
        <v>139</v>
      </c>
      <c r="AA39" s="5">
        <v>209</v>
      </c>
      <c r="AB39">
        <v>217.3</v>
      </c>
      <c r="AC39" t="s">
        <v>49</v>
      </c>
      <c r="AD39">
        <v>0</v>
      </c>
      <c r="AE39" s="5">
        <v>0</v>
      </c>
      <c r="AF39" t="s">
        <v>49</v>
      </c>
      <c r="AG39">
        <v>0</v>
      </c>
      <c r="AH39" t="s">
        <v>49</v>
      </c>
      <c r="AI39">
        <v>173.9</v>
      </c>
      <c r="AJ39" t="s">
        <v>49</v>
      </c>
      <c r="AK39">
        <v>0</v>
      </c>
      <c r="AL39" t="s">
        <v>49</v>
      </c>
      <c r="AM39">
        <v>1449</v>
      </c>
      <c r="AN39" s="7">
        <v>0</v>
      </c>
      <c r="AO39" s="7">
        <v>0</v>
      </c>
      <c r="AP39" s="7">
        <v>0.7922</v>
      </c>
      <c r="AQ39" s="7">
        <v>0.5028</v>
      </c>
      <c r="AR39" s="7">
        <v>0.7727</v>
      </c>
      <c r="AS39" s="7">
        <v>0.5</v>
      </c>
      <c r="AT39" s="5">
        <v>0</v>
      </c>
      <c r="AU39" s="5">
        <v>0</v>
      </c>
      <c r="AV39" s="7">
        <v>0</v>
      </c>
      <c r="AW39" s="5">
        <v>0</v>
      </c>
      <c r="AX39" s="5">
        <v>0</v>
      </c>
    </row>
    <row r="40" hidden="1" spans="1:50">
      <c r="A40" s="5">
        <v>9077745</v>
      </c>
      <c r="B40" t="s">
        <v>141</v>
      </c>
      <c r="C40" s="6">
        <v>12421534</v>
      </c>
      <c r="D40" t="s">
        <v>44</v>
      </c>
      <c r="E40" t="s">
        <v>142</v>
      </c>
      <c r="F40" t="s">
        <v>46</v>
      </c>
      <c r="G40" t="s">
        <v>47</v>
      </c>
      <c r="H40">
        <v>0</v>
      </c>
      <c r="I40" s="5">
        <f>VLOOKUP(C40,[6]sheet1!$C:$X,6,0)</f>
        <v>0</v>
      </c>
      <c r="J40" s="5">
        <f>VLOOKUP(C40,[1]sheet1!$C:$I,6,0)</f>
        <v>0</v>
      </c>
      <c r="K40" s="5">
        <f>VLOOKUP(C40,[2]sheet1!$C:$H,6,0)</f>
        <v>0</v>
      </c>
      <c r="L40" s="5">
        <f>VLOOKUP(C40,[3]sheet1!$C:$H,6,0)</f>
        <v>0</v>
      </c>
      <c r="M40" s="5">
        <f>VLOOKUP(C40,[4]sheet1!$C:$I,6,0)</f>
        <v>0</v>
      </c>
      <c r="N40" s="5">
        <f>VLOOKUP(C40,[5]sheet1!$C:$J,6,0)</f>
        <v>474</v>
      </c>
      <c r="O40" s="5">
        <f t="shared" si="1"/>
        <v>474</v>
      </c>
      <c r="P40" s="5">
        <v>474</v>
      </c>
      <c r="Q40" s="5">
        <v>0</v>
      </c>
      <c r="R40">
        <v>874</v>
      </c>
      <c r="S40">
        <v>0</v>
      </c>
      <c r="T40" s="5">
        <v>10</v>
      </c>
      <c r="U40" s="5">
        <v>0</v>
      </c>
      <c r="V40">
        <v>0</v>
      </c>
      <c r="W40" s="5">
        <v>0</v>
      </c>
      <c r="X40">
        <v>0</v>
      </c>
      <c r="Y40" s="5">
        <v>0</v>
      </c>
      <c r="Z40" t="s">
        <v>143</v>
      </c>
      <c r="AA40" s="5">
        <v>229</v>
      </c>
      <c r="AB40">
        <v>199.5</v>
      </c>
      <c r="AC40" t="s">
        <v>49</v>
      </c>
      <c r="AD40">
        <v>0</v>
      </c>
      <c r="AE40" s="5">
        <v>0</v>
      </c>
      <c r="AF40" t="s">
        <v>49</v>
      </c>
      <c r="AG40">
        <v>0</v>
      </c>
      <c r="AH40" t="s">
        <v>49</v>
      </c>
      <c r="AI40">
        <v>189.08</v>
      </c>
      <c r="AJ40" t="s">
        <v>49</v>
      </c>
      <c r="AK40">
        <v>0</v>
      </c>
      <c r="AL40" t="s">
        <v>49</v>
      </c>
      <c r="AM40">
        <v>973</v>
      </c>
      <c r="AN40" s="7">
        <v>0</v>
      </c>
      <c r="AO40" s="7">
        <v>0</v>
      </c>
      <c r="AP40" s="7">
        <v>0.8248</v>
      </c>
      <c r="AQ40" s="7">
        <v>0.2265</v>
      </c>
      <c r="AR40" s="7">
        <v>0.5</v>
      </c>
      <c r="AS40" s="7">
        <v>0.2</v>
      </c>
      <c r="AT40" s="5">
        <v>0</v>
      </c>
      <c r="AU40" s="5">
        <v>0</v>
      </c>
      <c r="AV40" s="7">
        <v>0</v>
      </c>
      <c r="AW40" s="5">
        <v>0</v>
      </c>
      <c r="AX40" s="5">
        <v>0</v>
      </c>
    </row>
    <row r="41" hidden="1" spans="1:50">
      <c r="A41" s="5">
        <v>8568910</v>
      </c>
      <c r="B41" t="s">
        <v>144</v>
      </c>
      <c r="C41" s="5">
        <v>12421254</v>
      </c>
      <c r="D41" t="s">
        <v>44</v>
      </c>
      <c r="E41" t="s">
        <v>79</v>
      </c>
      <c r="F41" t="s">
        <v>46</v>
      </c>
      <c r="G41" t="s">
        <v>47</v>
      </c>
      <c r="H41">
        <v>0</v>
      </c>
      <c r="I41" s="5">
        <f>VLOOKUP(C41,[6]sheet1!$C:$X,6,0)</f>
        <v>0</v>
      </c>
      <c r="J41" s="5">
        <f>VLOOKUP(C41,[1]sheet1!$C:$I,6,0)</f>
        <v>0</v>
      </c>
      <c r="K41" s="5">
        <f>VLOOKUP(C41,[2]sheet1!$C:$H,6,0)</f>
        <v>0</v>
      </c>
      <c r="L41" s="5">
        <f>VLOOKUP(C41,[3]sheet1!$C:$H,6,0)</f>
        <v>0</v>
      </c>
      <c r="M41" s="5">
        <f>VLOOKUP(C41,[4]sheet1!$C:$I,6,0)</f>
        <v>0</v>
      </c>
      <c r="N41" s="5">
        <f>VLOOKUP(C41,[5]sheet1!$C:$J,6,0)</f>
        <v>0</v>
      </c>
      <c r="O41" s="5">
        <f t="shared" si="1"/>
        <v>0</v>
      </c>
      <c r="P41" s="5">
        <v>0</v>
      </c>
      <c r="Q41" s="5">
        <v>0</v>
      </c>
      <c r="R41">
        <v>617</v>
      </c>
      <c r="S41">
        <v>0</v>
      </c>
      <c r="T41" s="5">
        <v>9</v>
      </c>
      <c r="U41" s="5">
        <v>0</v>
      </c>
      <c r="V41">
        <v>0</v>
      </c>
      <c r="W41" s="5">
        <v>0</v>
      </c>
      <c r="X41">
        <v>0</v>
      </c>
      <c r="Y41" s="5">
        <v>0</v>
      </c>
      <c r="Z41" t="s">
        <v>145</v>
      </c>
      <c r="AA41" s="5">
        <v>241</v>
      </c>
      <c r="AB41">
        <v>201.2</v>
      </c>
      <c r="AC41" t="s">
        <v>49</v>
      </c>
      <c r="AD41">
        <v>0</v>
      </c>
      <c r="AE41" s="5">
        <v>0</v>
      </c>
      <c r="AF41" t="s">
        <v>49</v>
      </c>
      <c r="AG41">
        <v>0</v>
      </c>
      <c r="AH41" t="s">
        <v>49</v>
      </c>
      <c r="AI41" t="s">
        <v>49</v>
      </c>
      <c r="AJ41" t="s">
        <v>49</v>
      </c>
      <c r="AK41" t="s">
        <v>49</v>
      </c>
      <c r="AL41" t="s">
        <v>49</v>
      </c>
      <c r="AM41">
        <v>661</v>
      </c>
      <c r="AN41" s="7">
        <v>0</v>
      </c>
      <c r="AO41" s="7">
        <v>0</v>
      </c>
      <c r="AP41" s="7">
        <v>0.9075</v>
      </c>
      <c r="AQ41" s="7">
        <v>0.2349</v>
      </c>
      <c r="AR41" s="7">
        <v>0.8889</v>
      </c>
      <c r="AS41" s="7">
        <v>0.3333</v>
      </c>
      <c r="AT41" s="5">
        <v>0</v>
      </c>
      <c r="AU41" s="5">
        <v>0</v>
      </c>
      <c r="AV41" s="7">
        <v>0</v>
      </c>
      <c r="AW41" s="5">
        <v>0</v>
      </c>
      <c r="AX41" s="5">
        <v>0</v>
      </c>
    </row>
    <row r="42" hidden="1" spans="1:50">
      <c r="A42" s="5">
        <v>8470818</v>
      </c>
      <c r="B42" t="s">
        <v>146</v>
      </c>
      <c r="C42" t="s">
        <v>147</v>
      </c>
      <c r="D42" t="s">
        <v>44</v>
      </c>
      <c r="E42" t="s">
        <v>55</v>
      </c>
      <c r="F42" t="s">
        <v>46</v>
      </c>
      <c r="G42" t="s">
        <v>47</v>
      </c>
      <c r="H42">
        <v>0</v>
      </c>
      <c r="I42" s="5">
        <f>VLOOKUP(C42,[6]sheet1!$C:$X,6,0)</f>
        <v>636</v>
      </c>
      <c r="J42" s="5">
        <f>VLOOKUP(C42,[1]sheet1!$C:$I,6,0)</f>
        <v>0</v>
      </c>
      <c r="K42" s="5">
        <f>VLOOKUP(C42,[2]sheet1!$C:$H,6,0)</f>
        <v>1926</v>
      </c>
      <c r="L42" s="5">
        <f>VLOOKUP(C42,[3]sheet1!$C:$H,6,0)</f>
        <v>0</v>
      </c>
      <c r="M42" s="5">
        <f>VLOOKUP(C42,[4]sheet1!$C:$I,6,0)</f>
        <v>0</v>
      </c>
      <c r="N42" s="5">
        <f>VLOOKUP(C42,[5]sheet1!$C:$J,6,0)</f>
        <v>0</v>
      </c>
      <c r="O42" s="5">
        <f t="shared" si="1"/>
        <v>2562</v>
      </c>
      <c r="P42" s="5">
        <v>2562</v>
      </c>
      <c r="Q42" s="5">
        <v>0</v>
      </c>
      <c r="R42">
        <v>749</v>
      </c>
      <c r="S42">
        <v>0</v>
      </c>
      <c r="T42" s="5">
        <v>24</v>
      </c>
      <c r="U42" s="5">
        <v>0</v>
      </c>
      <c r="V42">
        <v>0</v>
      </c>
      <c r="W42" s="5">
        <v>0</v>
      </c>
      <c r="X42">
        <v>0</v>
      </c>
      <c r="Y42" s="5">
        <v>0</v>
      </c>
      <c r="Z42" t="s">
        <v>148</v>
      </c>
      <c r="AA42" s="5">
        <v>597</v>
      </c>
      <c r="AB42">
        <v>559.8</v>
      </c>
      <c r="AC42" t="s">
        <v>49</v>
      </c>
      <c r="AD42">
        <v>0</v>
      </c>
      <c r="AE42" s="5">
        <v>0</v>
      </c>
      <c r="AF42" t="s">
        <v>49</v>
      </c>
      <c r="AG42">
        <v>0</v>
      </c>
      <c r="AH42" t="s">
        <v>49</v>
      </c>
      <c r="AI42">
        <v>532.47</v>
      </c>
      <c r="AJ42" t="s">
        <v>49</v>
      </c>
      <c r="AK42">
        <v>0</v>
      </c>
      <c r="AL42" t="s">
        <v>49</v>
      </c>
      <c r="AM42">
        <v>857</v>
      </c>
      <c r="AN42" s="7">
        <v>0</v>
      </c>
      <c r="AO42" s="7">
        <v>0</v>
      </c>
      <c r="AP42" s="7">
        <v>0.8651</v>
      </c>
      <c r="AQ42" s="7">
        <v>0.4867</v>
      </c>
      <c r="AR42" s="7">
        <v>0.9167</v>
      </c>
      <c r="AS42" s="7">
        <v>0.4167</v>
      </c>
      <c r="AT42" s="5">
        <v>0</v>
      </c>
      <c r="AU42" s="5">
        <v>0</v>
      </c>
      <c r="AV42" s="7">
        <v>0</v>
      </c>
      <c r="AW42" s="5">
        <v>0</v>
      </c>
      <c r="AX42" s="5">
        <v>0</v>
      </c>
    </row>
    <row r="43" hidden="1" spans="1:50">
      <c r="A43" s="5">
        <v>6415357</v>
      </c>
      <c r="B43" t="s">
        <v>149</v>
      </c>
      <c r="C43" s="5">
        <v>12340806</v>
      </c>
      <c r="D43" t="s">
        <v>44</v>
      </c>
      <c r="E43" t="s">
        <v>107</v>
      </c>
      <c r="F43" t="s">
        <v>46</v>
      </c>
      <c r="G43" t="s">
        <v>47</v>
      </c>
      <c r="H43">
        <v>0</v>
      </c>
      <c r="I43" s="5">
        <f>VLOOKUP(C43,[6]sheet1!$C:$X,6,0)</f>
        <v>0</v>
      </c>
      <c r="J43" s="5">
        <f>VLOOKUP(C43,[1]sheet1!$C:$I,6,0)</f>
        <v>0</v>
      </c>
      <c r="K43" s="5">
        <f>VLOOKUP(C43,[2]sheet1!$C:$H,6,0)</f>
        <v>0</v>
      </c>
      <c r="L43" s="5">
        <f>VLOOKUP(C43,[3]sheet1!$C:$H,6,0)</f>
        <v>0</v>
      </c>
      <c r="M43" s="5">
        <f>VLOOKUP(C43,[4]sheet1!$C:$I,6,0)</f>
        <v>0</v>
      </c>
      <c r="N43" s="5">
        <f>VLOOKUP(C43,[5]sheet1!$C:$J,6,0)</f>
        <v>0</v>
      </c>
      <c r="O43" s="5">
        <f t="shared" si="1"/>
        <v>0</v>
      </c>
      <c r="P43" s="5">
        <v>0</v>
      </c>
      <c r="Q43" s="5">
        <v>0</v>
      </c>
      <c r="R43">
        <v>851</v>
      </c>
      <c r="S43">
        <v>0</v>
      </c>
      <c r="T43" s="5">
        <v>18</v>
      </c>
      <c r="U43" s="5">
        <v>0</v>
      </c>
      <c r="V43">
        <v>0</v>
      </c>
      <c r="W43" s="5">
        <v>0</v>
      </c>
      <c r="X43">
        <v>0</v>
      </c>
      <c r="Y43" s="5">
        <v>0</v>
      </c>
      <c r="Z43" t="s">
        <v>150</v>
      </c>
      <c r="AA43" s="5">
        <v>1398</v>
      </c>
      <c r="AB43">
        <v>1354.74</v>
      </c>
      <c r="AC43" t="s">
        <v>49</v>
      </c>
      <c r="AD43">
        <v>0</v>
      </c>
      <c r="AE43" s="5">
        <v>0</v>
      </c>
      <c r="AF43" t="s">
        <v>49</v>
      </c>
      <c r="AG43">
        <v>0</v>
      </c>
      <c r="AH43" t="s">
        <v>49</v>
      </c>
      <c r="AI43">
        <v>1201.97</v>
      </c>
      <c r="AJ43" t="s">
        <v>49</v>
      </c>
      <c r="AK43">
        <v>0</v>
      </c>
      <c r="AL43" t="s">
        <v>49</v>
      </c>
      <c r="AM43">
        <v>936</v>
      </c>
      <c r="AN43" s="7">
        <v>0</v>
      </c>
      <c r="AO43" s="7">
        <v>0</v>
      </c>
      <c r="AP43" s="7">
        <v>0.9421</v>
      </c>
      <c r="AQ43" s="7">
        <v>0.6935</v>
      </c>
      <c r="AR43" s="7">
        <v>0.9444</v>
      </c>
      <c r="AS43" s="7">
        <v>0.5</v>
      </c>
      <c r="AT43" s="5">
        <v>0</v>
      </c>
      <c r="AU43" s="5">
        <v>0</v>
      </c>
      <c r="AV43" s="7">
        <v>0</v>
      </c>
      <c r="AW43" s="5">
        <v>0</v>
      </c>
      <c r="AX43" s="5">
        <v>0</v>
      </c>
    </row>
    <row r="44" hidden="1" spans="1:50">
      <c r="A44" s="5">
        <v>5913475</v>
      </c>
      <c r="B44" t="s">
        <v>151</v>
      </c>
      <c r="C44" s="5">
        <v>12330602</v>
      </c>
      <c r="D44" t="s">
        <v>44</v>
      </c>
      <c r="E44" t="s">
        <v>152</v>
      </c>
      <c r="F44" t="s">
        <v>46</v>
      </c>
      <c r="G44" t="s">
        <v>47</v>
      </c>
      <c r="H44">
        <v>0</v>
      </c>
      <c r="I44" s="5">
        <f>VLOOKUP(C44,[6]sheet1!$C:$X,6,0)</f>
        <v>0</v>
      </c>
      <c r="J44" s="5">
        <f>VLOOKUP(C44,[1]sheet1!$C:$I,6,0)</f>
        <v>361</v>
      </c>
      <c r="K44" s="5">
        <f>VLOOKUP(C44,[2]sheet1!$C:$H,6,0)</f>
        <v>361</v>
      </c>
      <c r="L44" s="5">
        <f>VLOOKUP(C44,[3]sheet1!$C:$H,6,0)</f>
        <v>0</v>
      </c>
      <c r="M44" s="5">
        <f>VLOOKUP(C44,[4]sheet1!$C:$I,6,0)</f>
        <v>0</v>
      </c>
      <c r="N44" s="5">
        <f>VLOOKUP(C44,[5]sheet1!$C:$J,6,0)</f>
        <v>0</v>
      </c>
      <c r="O44" s="5">
        <f t="shared" si="1"/>
        <v>722</v>
      </c>
      <c r="P44" s="5">
        <v>722</v>
      </c>
      <c r="Q44" s="5">
        <v>0</v>
      </c>
      <c r="R44">
        <v>323</v>
      </c>
      <c r="S44">
        <v>0</v>
      </c>
      <c r="T44" s="5">
        <v>4</v>
      </c>
      <c r="U44" s="5">
        <v>0</v>
      </c>
      <c r="V44">
        <v>0</v>
      </c>
      <c r="W44" s="5">
        <v>0</v>
      </c>
      <c r="X44">
        <v>0</v>
      </c>
      <c r="Y44" s="5">
        <v>0</v>
      </c>
      <c r="Z44" t="s">
        <v>153</v>
      </c>
      <c r="AA44" s="5">
        <v>296</v>
      </c>
      <c r="AB44">
        <v>325.46</v>
      </c>
      <c r="AC44" t="s">
        <v>49</v>
      </c>
      <c r="AD44">
        <v>0</v>
      </c>
      <c r="AE44" s="5">
        <v>0</v>
      </c>
      <c r="AF44" t="s">
        <v>49</v>
      </c>
      <c r="AG44">
        <v>0</v>
      </c>
      <c r="AH44" t="s">
        <v>49</v>
      </c>
      <c r="AI44">
        <v>244.74</v>
      </c>
      <c r="AJ44" t="s">
        <v>49</v>
      </c>
      <c r="AK44">
        <v>0</v>
      </c>
      <c r="AL44" t="s">
        <v>49</v>
      </c>
      <c r="AM44">
        <v>353</v>
      </c>
      <c r="AN44" s="7">
        <v>0</v>
      </c>
      <c r="AO44" s="7">
        <v>0</v>
      </c>
      <c r="AP44" s="7">
        <v>0.9091</v>
      </c>
      <c r="AQ44" s="7">
        <v>0.4156</v>
      </c>
      <c r="AR44" s="7">
        <v>1</v>
      </c>
      <c r="AS44" s="7">
        <v>0.75</v>
      </c>
      <c r="AT44" s="5">
        <v>0</v>
      </c>
      <c r="AU44" s="5">
        <v>0</v>
      </c>
      <c r="AV44" s="7">
        <v>0</v>
      </c>
      <c r="AW44" s="5">
        <v>0</v>
      </c>
      <c r="AX44" s="5">
        <v>0</v>
      </c>
    </row>
    <row r="45" spans="1:50">
      <c r="A45" s="5">
        <v>4461555</v>
      </c>
      <c r="B45" t="s">
        <v>154</v>
      </c>
      <c r="C45" s="8">
        <v>11121411</v>
      </c>
      <c r="D45" t="s">
        <v>44</v>
      </c>
      <c r="E45" t="s">
        <v>82</v>
      </c>
      <c r="F45" t="s">
        <v>46</v>
      </c>
      <c r="G45" t="s">
        <v>47</v>
      </c>
      <c r="H45">
        <v>0</v>
      </c>
      <c r="I45" s="5">
        <f>VLOOKUP(C45,[6]sheet1!$C:$X,6,0)</f>
        <v>0</v>
      </c>
      <c r="J45" s="5">
        <f>VLOOKUP(C45,[1]sheet1!$C:$I,6,0)</f>
        <v>0</v>
      </c>
      <c r="K45" s="5">
        <f>VLOOKUP(C45,[2]sheet1!$C:$H,6,0)</f>
        <v>0</v>
      </c>
      <c r="L45" s="5">
        <f>VLOOKUP(C45,[3]sheet1!$C:$H,6,0)</f>
        <v>0</v>
      </c>
      <c r="M45" s="5">
        <f>VLOOKUP(C45,[4]sheet1!$C:$I,6,0)</f>
        <v>0</v>
      </c>
      <c r="N45" s="5">
        <f>VLOOKUP(C45,[5]sheet1!$C:$J,6,0)</f>
        <v>0</v>
      </c>
      <c r="O45" s="5">
        <f t="shared" si="1"/>
        <v>0</v>
      </c>
      <c r="P45" s="5">
        <v>0</v>
      </c>
      <c r="Q45" s="5">
        <v>0</v>
      </c>
      <c r="R45">
        <v>401</v>
      </c>
      <c r="S45">
        <v>0</v>
      </c>
      <c r="T45" s="5">
        <v>2</v>
      </c>
      <c r="U45" s="5">
        <v>0</v>
      </c>
      <c r="V45">
        <v>0</v>
      </c>
      <c r="W45" s="5">
        <v>0</v>
      </c>
      <c r="X45">
        <v>0</v>
      </c>
      <c r="Y45" s="5">
        <v>0</v>
      </c>
      <c r="Z45" t="s">
        <v>49</v>
      </c>
      <c r="AA45" s="5">
        <v>178</v>
      </c>
      <c r="AB45" t="s">
        <v>49</v>
      </c>
      <c r="AC45" t="s">
        <v>49</v>
      </c>
      <c r="AD45">
        <v>0</v>
      </c>
      <c r="AE45" s="5">
        <v>0</v>
      </c>
      <c r="AF45" t="s">
        <v>49</v>
      </c>
      <c r="AG45" t="s">
        <v>49</v>
      </c>
      <c r="AH45" t="s">
        <v>49</v>
      </c>
      <c r="AI45">
        <v>145.69</v>
      </c>
      <c r="AJ45" t="s">
        <v>49</v>
      </c>
      <c r="AK45">
        <v>0</v>
      </c>
      <c r="AL45" t="s">
        <v>49</v>
      </c>
      <c r="AM45">
        <v>454</v>
      </c>
      <c r="AN45" s="7">
        <v>0</v>
      </c>
      <c r="AO45" s="7">
        <v>0</v>
      </c>
      <c r="AP45" s="7">
        <v>0.6555</v>
      </c>
      <c r="AQ45" s="7">
        <v>0.1765</v>
      </c>
      <c r="AR45" s="7">
        <v>0.5</v>
      </c>
      <c r="AS45" s="7">
        <v>1</v>
      </c>
      <c r="AT45" s="5">
        <v>0</v>
      </c>
      <c r="AU45" s="5">
        <v>0</v>
      </c>
      <c r="AV45" s="7">
        <v>0</v>
      </c>
      <c r="AW45" s="5">
        <v>0</v>
      </c>
      <c r="AX45" s="5">
        <v>0</v>
      </c>
    </row>
    <row r="46" spans="1:50">
      <c r="A46" s="5">
        <v>4460489</v>
      </c>
      <c r="B46" t="s">
        <v>155</v>
      </c>
      <c r="C46" s="8">
        <v>11321405</v>
      </c>
      <c r="D46" t="s">
        <v>44</v>
      </c>
      <c r="E46" t="s">
        <v>82</v>
      </c>
      <c r="F46" t="s">
        <v>46</v>
      </c>
      <c r="G46" t="s">
        <v>47</v>
      </c>
      <c r="H46">
        <v>0</v>
      </c>
      <c r="I46" s="5">
        <f>VLOOKUP(C46,[6]sheet1!$C:$X,6,0)</f>
        <v>0</v>
      </c>
      <c r="J46" s="5">
        <f>VLOOKUP(C46,[1]sheet1!$C:$I,6,0)</f>
        <v>0</v>
      </c>
      <c r="K46" s="5">
        <f>VLOOKUP(C46,[2]sheet1!$C:$H,6,0)</f>
        <v>0</v>
      </c>
      <c r="L46" s="5">
        <f>VLOOKUP(C46,[3]sheet1!$C:$H,6,0)</f>
        <v>0</v>
      </c>
      <c r="M46" s="5">
        <f>VLOOKUP(C46,[4]sheet1!$C:$I,6,0)</f>
        <v>0</v>
      </c>
      <c r="N46" s="5">
        <f>VLOOKUP(C46,[5]sheet1!$C:$J,6,0)</f>
        <v>0</v>
      </c>
      <c r="O46" s="5">
        <f t="shared" si="1"/>
        <v>0</v>
      </c>
      <c r="P46" s="5">
        <v>0</v>
      </c>
      <c r="Q46" s="5">
        <v>0</v>
      </c>
      <c r="R46">
        <v>1301</v>
      </c>
      <c r="S46">
        <v>0</v>
      </c>
      <c r="T46" s="5">
        <v>46</v>
      </c>
      <c r="U46" s="5">
        <v>0</v>
      </c>
      <c r="V46">
        <v>0</v>
      </c>
      <c r="W46" s="5">
        <v>0</v>
      </c>
      <c r="X46">
        <v>0</v>
      </c>
      <c r="Y46" s="5">
        <v>0</v>
      </c>
      <c r="Z46" t="s">
        <v>156</v>
      </c>
      <c r="AA46" s="5">
        <v>250</v>
      </c>
      <c r="AB46">
        <v>228.15</v>
      </c>
      <c r="AC46" t="s">
        <v>49</v>
      </c>
      <c r="AD46">
        <v>0</v>
      </c>
      <c r="AE46" s="5">
        <v>0</v>
      </c>
      <c r="AF46" t="s">
        <v>49</v>
      </c>
      <c r="AG46">
        <v>0</v>
      </c>
      <c r="AH46" t="s">
        <v>49</v>
      </c>
      <c r="AI46">
        <v>218.19</v>
      </c>
      <c r="AJ46" t="s">
        <v>49</v>
      </c>
      <c r="AK46">
        <v>0</v>
      </c>
      <c r="AL46" t="s">
        <v>49</v>
      </c>
      <c r="AM46">
        <v>1433</v>
      </c>
      <c r="AN46" s="7">
        <v>0</v>
      </c>
      <c r="AO46" s="7">
        <v>0</v>
      </c>
      <c r="AP46" s="7">
        <v>0.94</v>
      </c>
      <c r="AQ46" s="7">
        <v>0.6483</v>
      </c>
      <c r="AR46" s="7">
        <v>0.913</v>
      </c>
      <c r="AS46" s="7">
        <v>0.7174</v>
      </c>
      <c r="AT46" s="5">
        <v>0</v>
      </c>
      <c r="AU46" s="5">
        <v>0</v>
      </c>
      <c r="AV46" s="7">
        <v>0</v>
      </c>
      <c r="AW46" s="5">
        <v>0</v>
      </c>
      <c r="AX46" s="5">
        <v>0</v>
      </c>
    </row>
    <row r="47" spans="1:50">
      <c r="A47" s="5">
        <v>4460199</v>
      </c>
      <c r="B47" t="s">
        <v>157</v>
      </c>
      <c r="C47" s="8">
        <v>12321414</v>
      </c>
      <c r="D47" t="s">
        <v>44</v>
      </c>
      <c r="E47" t="s">
        <v>158</v>
      </c>
      <c r="F47" t="s">
        <v>159</v>
      </c>
      <c r="G47" t="s">
        <v>47</v>
      </c>
      <c r="H47">
        <v>0</v>
      </c>
      <c r="I47" s="5">
        <f>VLOOKUP(C47,[6]sheet1!$C:$X,6,0)</f>
        <v>0</v>
      </c>
      <c r="J47" s="5">
        <f>VLOOKUP(C47,[1]sheet1!$C:$I,6,0)</f>
        <v>127</v>
      </c>
      <c r="K47" s="5">
        <f>VLOOKUP(C47,[2]sheet1!$C:$H,6,0)</f>
        <v>124</v>
      </c>
      <c r="L47" s="5">
        <f>VLOOKUP(C47,[3]sheet1!$C:$H,6,0)</f>
        <v>0</v>
      </c>
      <c r="M47" s="5">
        <f>VLOOKUP(C47,[4]sheet1!$C:$I,6,0)</f>
        <v>0</v>
      </c>
      <c r="N47" s="5">
        <f>VLOOKUP(C47,[5]sheet1!$C:$J,6,0)</f>
        <v>0</v>
      </c>
      <c r="O47" s="5">
        <f t="shared" si="1"/>
        <v>251</v>
      </c>
      <c r="P47" s="5">
        <v>251</v>
      </c>
      <c r="Q47" s="5">
        <v>0</v>
      </c>
      <c r="R47" s="5">
        <v>89</v>
      </c>
      <c r="S47" s="7">
        <v>0</v>
      </c>
      <c r="T47" s="5">
        <v>3</v>
      </c>
      <c r="U47" s="5">
        <v>0</v>
      </c>
      <c r="V47">
        <v>0</v>
      </c>
      <c r="W47" s="5">
        <v>0</v>
      </c>
      <c r="X47">
        <v>0</v>
      </c>
      <c r="Y47" s="5">
        <v>0</v>
      </c>
      <c r="Z47" t="s">
        <v>49</v>
      </c>
      <c r="AA47" t="s">
        <v>49</v>
      </c>
      <c r="AB47" t="s">
        <v>49</v>
      </c>
      <c r="AC47" t="s">
        <v>49</v>
      </c>
      <c r="AD47">
        <v>0</v>
      </c>
      <c r="AE47" s="5">
        <v>0</v>
      </c>
      <c r="AF47" t="s">
        <v>49</v>
      </c>
      <c r="AG47" t="s">
        <v>49</v>
      </c>
      <c r="AH47" t="s">
        <v>49</v>
      </c>
      <c r="AI47" t="s">
        <v>49</v>
      </c>
      <c r="AJ47" t="s">
        <v>49</v>
      </c>
      <c r="AK47" t="s">
        <v>49</v>
      </c>
      <c r="AL47" t="s">
        <v>49</v>
      </c>
      <c r="AM47" s="5">
        <v>110</v>
      </c>
      <c r="AN47" s="7">
        <v>0</v>
      </c>
      <c r="AO47" s="7">
        <v>0</v>
      </c>
      <c r="AP47" s="7">
        <v>0.6966</v>
      </c>
      <c r="AQ47" s="7">
        <v>0.2697</v>
      </c>
      <c r="AR47" s="7">
        <v>0.6667</v>
      </c>
      <c r="AS47" s="7">
        <v>0.3333</v>
      </c>
      <c r="AT47" s="5">
        <v>0</v>
      </c>
      <c r="AU47" s="5">
        <v>0</v>
      </c>
      <c r="AV47" s="7">
        <v>0</v>
      </c>
      <c r="AW47" s="5">
        <v>0</v>
      </c>
      <c r="AX47" s="5">
        <v>0</v>
      </c>
    </row>
    <row r="48" hidden="1" spans="1:50">
      <c r="A48" s="5">
        <v>3662675</v>
      </c>
      <c r="B48" t="s">
        <v>160</v>
      </c>
      <c r="C48" s="5">
        <v>12230602</v>
      </c>
      <c r="D48" t="s">
        <v>44</v>
      </c>
      <c r="E48" t="s">
        <v>152</v>
      </c>
      <c r="F48" t="s">
        <v>46</v>
      </c>
      <c r="G48" t="s">
        <v>47</v>
      </c>
      <c r="H48">
        <v>0</v>
      </c>
      <c r="I48" s="5">
        <f>VLOOKUP(C48,[6]sheet1!$C:$X,6,0)</f>
        <v>0</v>
      </c>
      <c r="J48" s="5">
        <f>VLOOKUP(C48,[1]sheet1!$C:$I,6,0)</f>
        <v>0</v>
      </c>
      <c r="K48" s="5">
        <f>VLOOKUP(C48,[2]sheet1!$C:$H,6,0)</f>
        <v>0</v>
      </c>
      <c r="L48" s="5">
        <f>VLOOKUP(C48,[3]sheet1!$C:$H,6,0)</f>
        <v>0</v>
      </c>
      <c r="M48" s="5">
        <f>VLOOKUP(C48,[4]sheet1!$C:$I,6,0)</f>
        <v>0</v>
      </c>
      <c r="N48" s="5">
        <f>VLOOKUP(C48,[5]sheet1!$C:$J,6,0)</f>
        <v>0</v>
      </c>
      <c r="O48" s="5">
        <f t="shared" si="1"/>
        <v>0</v>
      </c>
      <c r="P48" s="5">
        <v>0</v>
      </c>
      <c r="Q48" s="5">
        <v>0</v>
      </c>
      <c r="R48">
        <v>482</v>
      </c>
      <c r="S48">
        <v>0</v>
      </c>
      <c r="T48" s="5">
        <v>7</v>
      </c>
      <c r="U48" s="5">
        <v>0</v>
      </c>
      <c r="V48">
        <v>0</v>
      </c>
      <c r="W48" s="5">
        <v>0</v>
      </c>
      <c r="X48">
        <v>0</v>
      </c>
      <c r="Y48" s="5">
        <v>0</v>
      </c>
      <c r="Z48" t="s">
        <v>161</v>
      </c>
      <c r="AA48" s="5">
        <v>314</v>
      </c>
      <c r="AB48">
        <v>316.78</v>
      </c>
      <c r="AC48" t="s">
        <v>49</v>
      </c>
      <c r="AD48">
        <v>0</v>
      </c>
      <c r="AE48" s="5">
        <v>0</v>
      </c>
      <c r="AF48" t="s">
        <v>49</v>
      </c>
      <c r="AG48">
        <v>0</v>
      </c>
      <c r="AH48" t="s">
        <v>49</v>
      </c>
      <c r="AI48">
        <v>260.36</v>
      </c>
      <c r="AJ48" t="s">
        <v>49</v>
      </c>
      <c r="AK48">
        <v>0</v>
      </c>
      <c r="AL48" t="s">
        <v>49</v>
      </c>
      <c r="AM48">
        <v>529</v>
      </c>
      <c r="AN48" s="7">
        <v>0</v>
      </c>
      <c r="AO48" s="7">
        <v>0</v>
      </c>
      <c r="AP48" s="7">
        <v>0.8953</v>
      </c>
      <c r="AQ48" s="7">
        <v>0.7267</v>
      </c>
      <c r="AR48" s="7">
        <v>1</v>
      </c>
      <c r="AS48" s="7">
        <v>0.8571</v>
      </c>
      <c r="AT48" s="5">
        <v>0</v>
      </c>
      <c r="AU48" s="5">
        <v>0</v>
      </c>
      <c r="AV48" s="7">
        <v>0</v>
      </c>
      <c r="AW48" s="5">
        <v>0</v>
      </c>
      <c r="AX48" s="5">
        <v>0</v>
      </c>
    </row>
    <row r="49" hidden="1" spans="1:50">
      <c r="A49" s="5">
        <v>3662670</v>
      </c>
      <c r="B49" t="s">
        <v>162</v>
      </c>
      <c r="C49" s="5">
        <v>11230601</v>
      </c>
      <c r="D49" t="s">
        <v>44</v>
      </c>
      <c r="E49" t="s">
        <v>130</v>
      </c>
      <c r="F49" t="s">
        <v>46</v>
      </c>
      <c r="G49" t="s">
        <v>47</v>
      </c>
      <c r="H49">
        <v>0</v>
      </c>
      <c r="I49" s="5">
        <f>VLOOKUP(C49,[6]sheet1!$C:$X,6,0)</f>
        <v>0</v>
      </c>
      <c r="J49" s="5">
        <f>VLOOKUP(C49,[1]sheet1!$C:$I,6,0)</f>
        <v>0</v>
      </c>
      <c r="K49" s="5">
        <f>VLOOKUP(C49,[2]sheet1!$C:$H,6,0)</f>
        <v>0</v>
      </c>
      <c r="L49" s="5">
        <f>VLOOKUP(C49,[3]sheet1!$C:$H,6,0)</f>
        <v>0</v>
      </c>
      <c r="M49" s="5">
        <f>VLOOKUP(C49,[4]sheet1!$C:$I,6,0)</f>
        <v>0</v>
      </c>
      <c r="N49" s="5">
        <f>VLOOKUP(C49,[5]sheet1!$C:$J,6,0)</f>
        <v>0</v>
      </c>
      <c r="O49" s="5">
        <f t="shared" si="1"/>
        <v>0</v>
      </c>
      <c r="P49" s="5">
        <v>0</v>
      </c>
      <c r="Q49" s="5">
        <v>0</v>
      </c>
      <c r="R49">
        <v>920</v>
      </c>
      <c r="S49">
        <v>0</v>
      </c>
      <c r="T49" s="5">
        <v>45</v>
      </c>
      <c r="U49" s="5">
        <v>0</v>
      </c>
      <c r="V49">
        <v>0</v>
      </c>
      <c r="W49" s="5">
        <v>0</v>
      </c>
      <c r="X49">
        <v>0</v>
      </c>
      <c r="Y49" s="5">
        <v>0</v>
      </c>
      <c r="Z49" t="s">
        <v>49</v>
      </c>
      <c r="AA49" s="5">
        <v>318</v>
      </c>
      <c r="AB49" t="s">
        <v>49</v>
      </c>
      <c r="AC49" t="s">
        <v>49</v>
      </c>
      <c r="AD49">
        <v>0</v>
      </c>
      <c r="AE49" s="5">
        <v>0</v>
      </c>
      <c r="AF49" t="s">
        <v>49</v>
      </c>
      <c r="AG49" t="s">
        <v>49</v>
      </c>
      <c r="AH49" t="s">
        <v>49</v>
      </c>
      <c r="AI49">
        <v>265.81</v>
      </c>
      <c r="AJ49" t="s">
        <v>49</v>
      </c>
      <c r="AK49">
        <v>0</v>
      </c>
      <c r="AL49" t="s">
        <v>49</v>
      </c>
      <c r="AM49">
        <v>1050</v>
      </c>
      <c r="AN49" s="7">
        <v>0</v>
      </c>
      <c r="AO49" s="7">
        <v>0</v>
      </c>
      <c r="AP49" s="7">
        <v>0.7728</v>
      </c>
      <c r="AQ49" s="7">
        <v>0.3664</v>
      </c>
      <c r="AR49" s="7">
        <v>0.6889</v>
      </c>
      <c r="AS49" s="7">
        <v>0.2444</v>
      </c>
      <c r="AT49" s="5">
        <v>0</v>
      </c>
      <c r="AU49" s="5">
        <v>0</v>
      </c>
      <c r="AV49" s="7">
        <v>0</v>
      </c>
      <c r="AW49" s="5">
        <v>0</v>
      </c>
      <c r="AX49" s="5">
        <v>0</v>
      </c>
    </row>
    <row r="50" hidden="1" spans="1:50">
      <c r="A50" s="5">
        <v>3556777</v>
      </c>
      <c r="B50" t="s">
        <v>163</v>
      </c>
      <c r="C50" s="5">
        <v>115110021</v>
      </c>
      <c r="D50" t="s">
        <v>44</v>
      </c>
      <c r="E50" t="s">
        <v>164</v>
      </c>
      <c r="F50" t="s">
        <v>46</v>
      </c>
      <c r="G50" t="s">
        <v>47</v>
      </c>
      <c r="H50">
        <v>0</v>
      </c>
      <c r="I50" s="5">
        <f>VLOOKUP(C50,[6]sheet1!$C:$X,6,0)</f>
        <v>0</v>
      </c>
      <c r="J50" s="5">
        <f>VLOOKUP(C50,[1]sheet1!$C:$I,6,0)</f>
        <v>0</v>
      </c>
      <c r="K50" s="5">
        <f>VLOOKUP(C50,[2]sheet1!$C:$H,6,0)</f>
        <v>0</v>
      </c>
      <c r="L50" s="5">
        <f>VLOOKUP(C50,[3]sheet1!$C:$H,6,0)</f>
        <v>0</v>
      </c>
      <c r="M50" s="5">
        <f>VLOOKUP(C50,[4]sheet1!$C:$I,6,0)</f>
        <v>0</v>
      </c>
      <c r="N50" s="5">
        <f>VLOOKUP(C50,[5]sheet1!$C:$J,6,0)</f>
        <v>0</v>
      </c>
      <c r="O50" s="5">
        <f t="shared" si="1"/>
        <v>0</v>
      </c>
      <c r="P50" s="5">
        <v>0</v>
      </c>
      <c r="Q50" s="5">
        <v>0</v>
      </c>
      <c r="R50">
        <v>391</v>
      </c>
      <c r="S50">
        <v>0</v>
      </c>
      <c r="T50" s="5">
        <v>17</v>
      </c>
      <c r="U50" s="5">
        <v>0</v>
      </c>
      <c r="V50">
        <v>0</v>
      </c>
      <c r="W50" s="5">
        <v>0</v>
      </c>
      <c r="X50">
        <v>0</v>
      </c>
      <c r="Y50" s="5">
        <v>0</v>
      </c>
      <c r="Z50" t="s">
        <v>121</v>
      </c>
      <c r="AA50" s="5">
        <v>214</v>
      </c>
      <c r="AB50">
        <v>197.64</v>
      </c>
      <c r="AC50" t="s">
        <v>49</v>
      </c>
      <c r="AD50">
        <v>0</v>
      </c>
      <c r="AE50" s="5">
        <v>0</v>
      </c>
      <c r="AF50" t="s">
        <v>49</v>
      </c>
      <c r="AG50">
        <v>0</v>
      </c>
      <c r="AH50" t="s">
        <v>49</v>
      </c>
      <c r="AI50">
        <v>175.94</v>
      </c>
      <c r="AJ50" t="s">
        <v>49</v>
      </c>
      <c r="AK50">
        <v>0</v>
      </c>
      <c r="AL50" t="s">
        <v>49</v>
      </c>
      <c r="AM50">
        <v>491</v>
      </c>
      <c r="AN50" s="7">
        <v>0</v>
      </c>
      <c r="AO50" s="7">
        <v>0</v>
      </c>
      <c r="AP50" s="7">
        <v>0.8407</v>
      </c>
      <c r="AQ50" s="7">
        <v>0.5929</v>
      </c>
      <c r="AR50" s="7">
        <v>1</v>
      </c>
      <c r="AS50" s="7">
        <v>0.5294</v>
      </c>
      <c r="AT50" s="5">
        <v>0</v>
      </c>
      <c r="AU50" s="5">
        <v>0</v>
      </c>
      <c r="AV50" s="7">
        <v>0</v>
      </c>
      <c r="AW50" s="5">
        <v>0</v>
      </c>
      <c r="AX50" s="5">
        <v>0</v>
      </c>
    </row>
    <row r="51" hidden="1" spans="1:50">
      <c r="A51" s="5">
        <v>3268431</v>
      </c>
      <c r="B51" t="s">
        <v>165</v>
      </c>
      <c r="C51" s="5">
        <v>112240128</v>
      </c>
      <c r="D51" t="s">
        <v>44</v>
      </c>
      <c r="E51" t="s">
        <v>55</v>
      </c>
      <c r="F51" t="s">
        <v>46</v>
      </c>
      <c r="G51" t="s">
        <v>47</v>
      </c>
      <c r="H51">
        <v>0</v>
      </c>
      <c r="I51" s="5">
        <f>VLOOKUP(C51,[6]sheet1!$C:$X,6,0)</f>
        <v>0</v>
      </c>
      <c r="J51" s="5">
        <f>VLOOKUP(C51,[1]sheet1!$C:$I,6,0)</f>
        <v>0</v>
      </c>
      <c r="K51" s="5">
        <f>VLOOKUP(C51,[2]sheet1!$C:$H,6,0)</f>
        <v>0</v>
      </c>
      <c r="L51" s="5">
        <f>VLOOKUP(C51,[3]sheet1!$C:$H,6,0)</f>
        <v>928</v>
      </c>
      <c r="M51" s="5">
        <f>VLOOKUP(C51,[4]sheet1!$C:$I,6,0)</f>
        <v>0</v>
      </c>
      <c r="N51" s="5">
        <f>VLOOKUP(C51,[5]sheet1!$C:$J,6,0)</f>
        <v>0</v>
      </c>
      <c r="O51" s="5">
        <f t="shared" si="1"/>
        <v>928</v>
      </c>
      <c r="P51" s="5">
        <v>928</v>
      </c>
      <c r="Q51" s="5">
        <v>0</v>
      </c>
      <c r="R51">
        <v>539</v>
      </c>
      <c r="S51">
        <v>0</v>
      </c>
      <c r="T51" s="5">
        <v>9</v>
      </c>
      <c r="U51" s="5">
        <v>0</v>
      </c>
      <c r="V51">
        <v>0</v>
      </c>
      <c r="W51" s="5">
        <v>0</v>
      </c>
      <c r="X51">
        <v>0</v>
      </c>
      <c r="Y51" s="5">
        <v>0</v>
      </c>
      <c r="Z51" t="s">
        <v>166</v>
      </c>
      <c r="AA51" s="5">
        <v>581</v>
      </c>
      <c r="AB51">
        <v>771.59</v>
      </c>
      <c r="AC51" t="s">
        <v>49</v>
      </c>
      <c r="AD51">
        <v>0</v>
      </c>
      <c r="AE51" s="5">
        <v>0</v>
      </c>
      <c r="AF51" t="s">
        <v>49</v>
      </c>
      <c r="AG51">
        <v>0</v>
      </c>
      <c r="AH51" t="s">
        <v>49</v>
      </c>
      <c r="AI51">
        <v>494.7</v>
      </c>
      <c r="AJ51" t="s">
        <v>49</v>
      </c>
      <c r="AK51">
        <v>0</v>
      </c>
      <c r="AL51" t="s">
        <v>49</v>
      </c>
      <c r="AM51">
        <v>638</v>
      </c>
      <c r="AN51" s="7">
        <v>0</v>
      </c>
      <c r="AO51" s="7">
        <v>0</v>
      </c>
      <c r="AP51" s="7">
        <v>0.7488</v>
      </c>
      <c r="AQ51" s="7">
        <v>0.4512</v>
      </c>
      <c r="AR51" s="7">
        <v>1</v>
      </c>
      <c r="AS51" s="7">
        <v>0.4444</v>
      </c>
      <c r="AT51" s="5">
        <v>0</v>
      </c>
      <c r="AU51" s="5">
        <v>0</v>
      </c>
      <c r="AV51" s="7">
        <v>0</v>
      </c>
      <c r="AW51" s="5">
        <v>0</v>
      </c>
      <c r="AX51" s="5">
        <v>0</v>
      </c>
    </row>
    <row r="52" hidden="1" spans="1:50">
      <c r="A52" s="5">
        <v>3178778</v>
      </c>
      <c r="B52" t="s">
        <v>167</v>
      </c>
      <c r="C52" s="5">
        <v>11040105</v>
      </c>
      <c r="D52" t="s">
        <v>44</v>
      </c>
      <c r="E52" t="s">
        <v>55</v>
      </c>
      <c r="F52" t="s">
        <v>46</v>
      </c>
      <c r="G52" t="s">
        <v>47</v>
      </c>
      <c r="H52">
        <v>0</v>
      </c>
      <c r="I52" s="5">
        <f>VLOOKUP(C52,[6]sheet1!$C:$X,6,0)</f>
        <v>0</v>
      </c>
      <c r="J52" s="5">
        <f>VLOOKUP(C52,[1]sheet1!$C:$I,6,0)</f>
        <v>0</v>
      </c>
      <c r="K52" s="5">
        <f>VLOOKUP(C52,[2]sheet1!$C:$H,6,0)</f>
        <v>0</v>
      </c>
      <c r="L52" s="5">
        <f>VLOOKUP(C52,[3]sheet1!$C:$H,6,0)</f>
        <v>0</v>
      </c>
      <c r="M52" s="5">
        <f>VLOOKUP(C52,[4]sheet1!$C:$I,6,0)</f>
        <v>941</v>
      </c>
      <c r="N52" s="5">
        <f>VLOOKUP(C52,[5]sheet1!$C:$J,6,0)</f>
        <v>0</v>
      </c>
      <c r="O52" s="5">
        <f t="shared" si="1"/>
        <v>941</v>
      </c>
      <c r="P52" s="5">
        <v>941</v>
      </c>
      <c r="Q52" s="5">
        <v>0</v>
      </c>
      <c r="R52">
        <v>487</v>
      </c>
      <c r="S52">
        <v>0</v>
      </c>
      <c r="T52" s="5">
        <v>17</v>
      </c>
      <c r="U52" s="5">
        <v>0</v>
      </c>
      <c r="V52">
        <v>0</v>
      </c>
      <c r="W52" s="5">
        <v>0</v>
      </c>
      <c r="X52">
        <v>0</v>
      </c>
      <c r="Y52" s="5">
        <v>0</v>
      </c>
      <c r="Z52" t="s">
        <v>168</v>
      </c>
      <c r="AA52" s="5">
        <v>469</v>
      </c>
      <c r="AB52">
        <v>510.32</v>
      </c>
      <c r="AC52" t="s">
        <v>49</v>
      </c>
      <c r="AD52">
        <v>0</v>
      </c>
      <c r="AE52" s="5">
        <v>0</v>
      </c>
      <c r="AF52" t="s">
        <v>49</v>
      </c>
      <c r="AG52">
        <v>0</v>
      </c>
      <c r="AH52" t="s">
        <v>49</v>
      </c>
      <c r="AI52">
        <v>397.48</v>
      </c>
      <c r="AJ52" t="s">
        <v>49</v>
      </c>
      <c r="AK52">
        <v>0</v>
      </c>
      <c r="AL52" t="s">
        <v>49</v>
      </c>
      <c r="AM52">
        <v>555</v>
      </c>
      <c r="AN52" s="7">
        <v>0</v>
      </c>
      <c r="AO52" s="7">
        <v>0</v>
      </c>
      <c r="AP52" s="7">
        <v>0.9257</v>
      </c>
      <c r="AQ52" s="7">
        <v>0.3543</v>
      </c>
      <c r="AR52" s="7">
        <v>1</v>
      </c>
      <c r="AS52" s="7">
        <v>0.3529</v>
      </c>
      <c r="AT52" s="5">
        <v>0</v>
      </c>
      <c r="AU52" s="5">
        <v>0</v>
      </c>
      <c r="AV52" s="7">
        <v>0</v>
      </c>
      <c r="AW52" s="5">
        <v>0</v>
      </c>
      <c r="AX52" s="5">
        <v>0</v>
      </c>
    </row>
    <row r="53" hidden="1" spans="1:50">
      <c r="A53" s="5">
        <v>3178777</v>
      </c>
      <c r="B53" t="s">
        <v>169</v>
      </c>
      <c r="C53" s="5">
        <v>12040106</v>
      </c>
      <c r="D53" t="s">
        <v>44</v>
      </c>
      <c r="E53" t="s">
        <v>94</v>
      </c>
      <c r="F53" t="s">
        <v>46</v>
      </c>
      <c r="G53" t="s">
        <v>47</v>
      </c>
      <c r="H53">
        <v>0</v>
      </c>
      <c r="I53" s="5">
        <f>VLOOKUP(C53,[6]sheet1!$C:$X,6,0)</f>
        <v>0</v>
      </c>
      <c r="J53" s="5">
        <f>VLOOKUP(C53,[1]sheet1!$C:$I,6,0)</f>
        <v>0</v>
      </c>
      <c r="K53" s="5">
        <f>VLOOKUP(C53,[2]sheet1!$C:$H,6,0)</f>
        <v>0</v>
      </c>
      <c r="L53" s="5">
        <f>VLOOKUP(C53,[3]sheet1!$C:$H,6,0)</f>
        <v>0</v>
      </c>
      <c r="M53" s="5">
        <f>VLOOKUP(C53,[4]sheet1!$C:$I,6,0)</f>
        <v>0</v>
      </c>
      <c r="N53" s="5">
        <f>VLOOKUP(C53,[5]sheet1!$C:$J,6,0)</f>
        <v>1069</v>
      </c>
      <c r="O53" s="5">
        <f t="shared" si="1"/>
        <v>1069</v>
      </c>
      <c r="P53" s="5">
        <v>1069</v>
      </c>
      <c r="Q53" s="5">
        <v>0</v>
      </c>
      <c r="R53">
        <v>539</v>
      </c>
      <c r="S53">
        <v>0</v>
      </c>
      <c r="T53" s="5">
        <v>5</v>
      </c>
      <c r="U53" s="5">
        <v>0</v>
      </c>
      <c r="V53">
        <v>0</v>
      </c>
      <c r="W53" s="5">
        <v>0</v>
      </c>
      <c r="X53">
        <v>0</v>
      </c>
      <c r="Y53" s="5">
        <v>0</v>
      </c>
      <c r="Z53" t="s">
        <v>168</v>
      </c>
      <c r="AA53" s="5">
        <v>480</v>
      </c>
      <c r="AB53">
        <v>508.54</v>
      </c>
      <c r="AC53" t="s">
        <v>49</v>
      </c>
      <c r="AD53">
        <v>0</v>
      </c>
      <c r="AE53" s="5">
        <v>0</v>
      </c>
      <c r="AF53" t="s">
        <v>49</v>
      </c>
      <c r="AG53">
        <v>0</v>
      </c>
      <c r="AH53" t="s">
        <v>49</v>
      </c>
      <c r="AI53">
        <v>405.25</v>
      </c>
      <c r="AJ53" t="s">
        <v>49</v>
      </c>
      <c r="AK53">
        <v>0</v>
      </c>
      <c r="AL53" t="s">
        <v>49</v>
      </c>
      <c r="AM53">
        <v>599</v>
      </c>
      <c r="AN53" s="7">
        <v>0</v>
      </c>
      <c r="AO53" s="7">
        <v>0</v>
      </c>
      <c r="AP53" s="7">
        <v>0.8884</v>
      </c>
      <c r="AQ53" s="7">
        <v>0.3581</v>
      </c>
      <c r="AR53" s="7">
        <v>0.8</v>
      </c>
      <c r="AS53" s="7">
        <v>0.4</v>
      </c>
      <c r="AT53" s="5">
        <v>0</v>
      </c>
      <c r="AU53" s="5">
        <v>0</v>
      </c>
      <c r="AV53" s="7">
        <v>0</v>
      </c>
      <c r="AW53" s="5">
        <v>0</v>
      </c>
      <c r="AX53" s="5">
        <v>0</v>
      </c>
    </row>
    <row r="54" hidden="1" spans="1:50">
      <c r="A54" s="5">
        <v>21376537</v>
      </c>
      <c r="B54" t="s">
        <v>170</v>
      </c>
      <c r="C54" s="6">
        <v>125215020</v>
      </c>
      <c r="D54" t="s">
        <v>44</v>
      </c>
      <c r="E54" t="s">
        <v>142</v>
      </c>
      <c r="F54" t="s">
        <v>46</v>
      </c>
      <c r="G54" t="s">
        <v>47</v>
      </c>
      <c r="H54">
        <v>0</v>
      </c>
      <c r="I54" s="5">
        <f>VLOOKUP(C54,[6]sheet1!$C:$X,6,0)</f>
        <v>0</v>
      </c>
      <c r="J54" s="5">
        <f>VLOOKUP(C54,[1]sheet1!$C:$I,6,0)</f>
        <v>0</v>
      </c>
      <c r="K54" s="5">
        <f>VLOOKUP(C54,[2]sheet1!$C:$H,6,0)</f>
        <v>0</v>
      </c>
      <c r="L54" s="5">
        <f>VLOOKUP(C54,[3]sheet1!$C:$H,6,0)</f>
        <v>0</v>
      </c>
      <c r="M54" s="5">
        <f>VLOOKUP(C54,[4]sheet1!$C:$I,6,0)</f>
        <v>0</v>
      </c>
      <c r="N54" s="5">
        <f>VLOOKUP(C54,[5]sheet1!$C:$J,6,0)</f>
        <v>0</v>
      </c>
      <c r="O54" s="5">
        <f t="shared" si="1"/>
        <v>0</v>
      </c>
      <c r="P54" s="5">
        <v>0</v>
      </c>
      <c r="Q54" s="5">
        <v>0</v>
      </c>
      <c r="R54">
        <v>616</v>
      </c>
      <c r="S54">
        <v>0</v>
      </c>
      <c r="T54" s="5">
        <v>24</v>
      </c>
      <c r="U54" s="5">
        <v>0</v>
      </c>
      <c r="V54">
        <v>0</v>
      </c>
      <c r="W54" s="5">
        <v>0</v>
      </c>
      <c r="X54">
        <v>0</v>
      </c>
      <c r="Y54" s="5">
        <v>0</v>
      </c>
      <c r="Z54" t="s">
        <v>49</v>
      </c>
      <c r="AA54" s="5">
        <v>173</v>
      </c>
      <c r="AB54" t="s">
        <v>49</v>
      </c>
      <c r="AC54" t="s">
        <v>49</v>
      </c>
      <c r="AD54">
        <v>0</v>
      </c>
      <c r="AE54" s="5">
        <v>0</v>
      </c>
      <c r="AF54" t="s">
        <v>49</v>
      </c>
      <c r="AG54" t="s">
        <v>49</v>
      </c>
      <c r="AH54" t="s">
        <v>49</v>
      </c>
      <c r="AI54">
        <v>140.47</v>
      </c>
      <c r="AJ54" t="s">
        <v>49</v>
      </c>
      <c r="AK54">
        <v>0</v>
      </c>
      <c r="AL54" t="s">
        <v>49</v>
      </c>
      <c r="AM54">
        <v>696</v>
      </c>
      <c r="AN54" s="7">
        <v>0</v>
      </c>
      <c r="AO54" s="7">
        <v>0</v>
      </c>
      <c r="AP54" s="7">
        <v>0.8786</v>
      </c>
      <c r="AQ54" s="7">
        <v>0.6071</v>
      </c>
      <c r="AR54" s="7">
        <v>0.9167</v>
      </c>
      <c r="AS54" s="7">
        <v>0.625</v>
      </c>
      <c r="AT54" s="5">
        <v>0</v>
      </c>
      <c r="AU54" s="5">
        <v>0</v>
      </c>
      <c r="AV54" s="7">
        <v>0</v>
      </c>
      <c r="AW54" s="5">
        <v>0</v>
      </c>
      <c r="AX54" s="5">
        <v>0</v>
      </c>
    </row>
    <row r="55" hidden="1" spans="1:50">
      <c r="A55" s="5">
        <v>21194249</v>
      </c>
      <c r="B55" t="s">
        <v>171</v>
      </c>
      <c r="C55" s="5">
        <v>1124301070</v>
      </c>
      <c r="D55" t="s">
        <v>44</v>
      </c>
      <c r="E55" t="s">
        <v>55</v>
      </c>
      <c r="F55" t="s">
        <v>46</v>
      </c>
      <c r="G55" t="s">
        <v>47</v>
      </c>
      <c r="H55">
        <v>0</v>
      </c>
      <c r="I55" s="5">
        <f>VLOOKUP(C55,[6]sheet1!$C:$X,6,0)</f>
        <v>0</v>
      </c>
      <c r="J55" s="5">
        <f>VLOOKUP(C55,[1]sheet1!$C:$I,6,0)</f>
        <v>0</v>
      </c>
      <c r="K55" s="5">
        <f>VLOOKUP(C55,[2]sheet1!$C:$H,6,0)</f>
        <v>0</v>
      </c>
      <c r="L55" s="5">
        <f>VLOOKUP(C55,[3]sheet1!$C:$H,6,0)</f>
        <v>0</v>
      </c>
      <c r="M55" s="5">
        <f>VLOOKUP(C55,[4]sheet1!$C:$I,6,0)</f>
        <v>0</v>
      </c>
      <c r="N55" s="5">
        <f>VLOOKUP(C55,[5]sheet1!$C:$J,6,0)</f>
        <v>0</v>
      </c>
      <c r="O55" s="5">
        <f t="shared" si="1"/>
        <v>0</v>
      </c>
      <c r="P55" s="5">
        <v>0</v>
      </c>
      <c r="Q55" s="5">
        <v>0</v>
      </c>
      <c r="R55">
        <v>1025</v>
      </c>
      <c r="S55">
        <v>0</v>
      </c>
      <c r="T55" s="5">
        <v>31</v>
      </c>
      <c r="U55" s="5">
        <v>0</v>
      </c>
      <c r="V55">
        <v>0</v>
      </c>
      <c r="W55" s="5">
        <v>0</v>
      </c>
      <c r="X55">
        <v>0</v>
      </c>
      <c r="Y55" s="5">
        <v>0</v>
      </c>
      <c r="Z55" t="s">
        <v>172</v>
      </c>
      <c r="AA55" s="5">
        <v>805</v>
      </c>
      <c r="AB55">
        <v>754.23</v>
      </c>
      <c r="AC55" t="s">
        <v>49</v>
      </c>
      <c r="AD55">
        <v>0</v>
      </c>
      <c r="AE55" s="5">
        <v>0</v>
      </c>
      <c r="AF55" t="s">
        <v>49</v>
      </c>
      <c r="AG55">
        <v>0</v>
      </c>
      <c r="AH55" t="s">
        <v>49</v>
      </c>
      <c r="AI55">
        <v>689.13</v>
      </c>
      <c r="AJ55" t="s">
        <v>49</v>
      </c>
      <c r="AK55">
        <v>0</v>
      </c>
      <c r="AL55" t="s">
        <v>49</v>
      </c>
      <c r="AM55">
        <v>1179</v>
      </c>
      <c r="AN55" s="7">
        <v>0</v>
      </c>
      <c r="AO55" s="7">
        <v>0</v>
      </c>
      <c r="AP55" s="7">
        <v>0.906</v>
      </c>
      <c r="AQ55" s="7">
        <v>0.4582</v>
      </c>
      <c r="AR55" s="7">
        <v>0.7742</v>
      </c>
      <c r="AS55" s="7">
        <v>0.4516</v>
      </c>
      <c r="AT55" s="5">
        <v>0</v>
      </c>
      <c r="AU55" s="5">
        <v>0</v>
      </c>
      <c r="AV55" s="7">
        <v>0</v>
      </c>
      <c r="AW55" s="5">
        <v>0</v>
      </c>
      <c r="AX55" s="5">
        <v>0</v>
      </c>
    </row>
    <row r="56" hidden="1" spans="1:50">
      <c r="A56" s="5">
        <v>21021042</v>
      </c>
      <c r="B56" t="s">
        <v>173</v>
      </c>
      <c r="C56" s="5">
        <v>115151007</v>
      </c>
      <c r="D56" t="s">
        <v>44</v>
      </c>
      <c r="E56" t="s">
        <v>174</v>
      </c>
      <c r="F56" t="s">
        <v>46</v>
      </c>
      <c r="G56" t="s">
        <v>47</v>
      </c>
      <c r="H56">
        <v>0</v>
      </c>
      <c r="I56" s="5">
        <f>VLOOKUP(C56,[6]sheet1!$C:$X,6,0)</f>
        <v>0</v>
      </c>
      <c r="J56" s="5">
        <f>VLOOKUP(C56,[1]sheet1!$C:$I,6,0)</f>
        <v>0</v>
      </c>
      <c r="K56" s="5">
        <f>VLOOKUP(C56,[2]sheet1!$C:$H,6,0)</f>
        <v>0</v>
      </c>
      <c r="L56" s="5">
        <f>VLOOKUP(C56,[3]sheet1!$C:$H,6,0)</f>
        <v>0</v>
      </c>
      <c r="M56" s="5">
        <f>VLOOKUP(C56,[4]sheet1!$C:$I,6,0)</f>
        <v>0</v>
      </c>
      <c r="N56" s="5">
        <f>VLOOKUP(C56,[5]sheet1!$C:$J,6,0)</f>
        <v>0</v>
      </c>
      <c r="O56" s="5">
        <f t="shared" si="1"/>
        <v>0</v>
      </c>
      <c r="P56" s="5">
        <v>0</v>
      </c>
      <c r="Q56" s="5">
        <v>0</v>
      </c>
      <c r="R56">
        <v>258</v>
      </c>
      <c r="S56">
        <v>0</v>
      </c>
      <c r="T56" s="5">
        <v>2</v>
      </c>
      <c r="U56" s="5">
        <v>0</v>
      </c>
      <c r="V56">
        <v>0</v>
      </c>
      <c r="W56" s="5">
        <v>0</v>
      </c>
      <c r="X56">
        <v>0</v>
      </c>
      <c r="Y56" s="5">
        <v>0</v>
      </c>
      <c r="Z56" t="s">
        <v>175</v>
      </c>
      <c r="AA56" s="5">
        <v>342</v>
      </c>
      <c r="AB56">
        <v>381.02</v>
      </c>
      <c r="AC56" t="s">
        <v>49</v>
      </c>
      <c r="AD56">
        <v>0</v>
      </c>
      <c r="AE56" s="5">
        <v>0</v>
      </c>
      <c r="AF56" t="s">
        <v>49</v>
      </c>
      <c r="AG56">
        <v>0</v>
      </c>
      <c r="AH56" t="s">
        <v>49</v>
      </c>
      <c r="AI56">
        <v>288.15</v>
      </c>
      <c r="AJ56" t="s">
        <v>49</v>
      </c>
      <c r="AK56">
        <v>0</v>
      </c>
      <c r="AL56" t="s">
        <v>49</v>
      </c>
      <c r="AM56">
        <v>301</v>
      </c>
      <c r="AN56" s="7">
        <v>0</v>
      </c>
      <c r="AO56" s="7">
        <v>0</v>
      </c>
      <c r="AP56" s="7">
        <v>0.6327</v>
      </c>
      <c r="AQ56" s="7">
        <v>0.4694</v>
      </c>
      <c r="AR56" s="7">
        <v>0.5</v>
      </c>
      <c r="AS56" s="7">
        <v>0.5</v>
      </c>
      <c r="AT56" s="5">
        <v>0</v>
      </c>
      <c r="AU56" s="5">
        <v>0</v>
      </c>
      <c r="AV56" s="7">
        <v>0</v>
      </c>
      <c r="AW56" s="5">
        <v>0</v>
      </c>
      <c r="AX56" s="5">
        <v>0</v>
      </c>
    </row>
    <row r="57" hidden="1" spans="1:50">
      <c r="A57" s="5">
        <v>19870915</v>
      </c>
      <c r="B57" t="s">
        <v>176</v>
      </c>
      <c r="C57" s="6">
        <v>115215001</v>
      </c>
      <c r="D57" t="s">
        <v>44</v>
      </c>
      <c r="E57" t="s">
        <v>104</v>
      </c>
      <c r="F57" t="s">
        <v>46</v>
      </c>
      <c r="G57" t="s">
        <v>47</v>
      </c>
      <c r="H57">
        <v>0</v>
      </c>
      <c r="I57" s="5">
        <f>VLOOKUP(C57,[6]sheet1!$C:$X,6,0)</f>
        <v>0</v>
      </c>
      <c r="J57" s="5">
        <f>VLOOKUP(C57,[1]sheet1!$C:$I,6,0)</f>
        <v>0</v>
      </c>
      <c r="K57" s="5">
        <f>VLOOKUP(C57,[2]sheet1!$C:$H,6,0)</f>
        <v>0</v>
      </c>
      <c r="L57" s="5">
        <f>VLOOKUP(C57,[3]sheet1!$C:$H,6,0)</f>
        <v>0</v>
      </c>
      <c r="M57" s="5">
        <f>VLOOKUP(C57,[4]sheet1!$C:$I,6,0)</f>
        <v>0</v>
      </c>
      <c r="N57" s="5">
        <f>VLOOKUP(C57,[5]sheet1!$C:$J,6,0)</f>
        <v>0</v>
      </c>
      <c r="O57" s="5">
        <f t="shared" si="1"/>
        <v>0</v>
      </c>
      <c r="P57" s="5">
        <v>0</v>
      </c>
      <c r="Q57" s="5">
        <v>0</v>
      </c>
      <c r="R57">
        <v>507</v>
      </c>
      <c r="S57">
        <v>0</v>
      </c>
      <c r="T57" s="5">
        <v>10</v>
      </c>
      <c r="U57" s="5">
        <v>0</v>
      </c>
      <c r="V57">
        <v>0</v>
      </c>
      <c r="W57" s="5">
        <v>0</v>
      </c>
      <c r="X57">
        <v>0</v>
      </c>
      <c r="Y57" s="5">
        <v>0</v>
      </c>
      <c r="Z57" t="s">
        <v>121</v>
      </c>
      <c r="AA57" s="5">
        <v>190</v>
      </c>
      <c r="AB57">
        <v>200.24</v>
      </c>
      <c r="AC57" t="s">
        <v>49</v>
      </c>
      <c r="AD57">
        <v>0</v>
      </c>
      <c r="AE57" s="5">
        <v>0</v>
      </c>
      <c r="AF57" t="s">
        <v>49</v>
      </c>
      <c r="AG57">
        <v>0</v>
      </c>
      <c r="AH57" t="s">
        <v>49</v>
      </c>
      <c r="AI57">
        <v>157.71</v>
      </c>
      <c r="AJ57" t="s">
        <v>49</v>
      </c>
      <c r="AK57">
        <v>0</v>
      </c>
      <c r="AL57" t="s">
        <v>49</v>
      </c>
      <c r="AM57">
        <v>573</v>
      </c>
      <c r="AN57" s="7">
        <v>0</v>
      </c>
      <c r="AO57" s="7">
        <v>0</v>
      </c>
      <c r="AP57" s="7">
        <v>0.6737</v>
      </c>
      <c r="AQ57" s="7">
        <v>0.2421</v>
      </c>
      <c r="AR57" s="7">
        <v>0.6</v>
      </c>
      <c r="AS57" s="7">
        <v>0.2</v>
      </c>
      <c r="AT57" s="5">
        <v>0</v>
      </c>
      <c r="AU57" s="5">
        <v>0</v>
      </c>
      <c r="AV57" s="7">
        <v>0</v>
      </c>
      <c r="AW57" s="5">
        <v>0</v>
      </c>
      <c r="AX57" s="5">
        <v>0</v>
      </c>
    </row>
    <row r="58" hidden="1" spans="1:50">
      <c r="A58" s="5">
        <v>19497767</v>
      </c>
      <c r="B58" t="s">
        <v>177</v>
      </c>
      <c r="C58" s="5">
        <v>115101001</v>
      </c>
      <c r="D58" t="s">
        <v>44</v>
      </c>
      <c r="E58" t="s">
        <v>55</v>
      </c>
      <c r="F58" t="s">
        <v>46</v>
      </c>
      <c r="G58" t="s">
        <v>47</v>
      </c>
      <c r="H58">
        <v>0</v>
      </c>
      <c r="I58" s="5">
        <f>VLOOKUP(C58,[6]sheet1!$C:$X,6,0)</f>
        <v>0</v>
      </c>
      <c r="J58" s="5">
        <f>VLOOKUP(C58,[1]sheet1!$C:$I,6,0)</f>
        <v>0</v>
      </c>
      <c r="K58" s="5">
        <f>VLOOKUP(C58,[2]sheet1!$C:$H,6,0)</f>
        <v>0</v>
      </c>
      <c r="L58" s="5">
        <f>VLOOKUP(C58,[3]sheet1!$C:$H,6,0)</f>
        <v>0</v>
      </c>
      <c r="M58" s="5">
        <f>VLOOKUP(C58,[4]sheet1!$C:$I,6,0)</f>
        <v>0</v>
      </c>
      <c r="N58" s="5">
        <f>VLOOKUP(C58,[5]sheet1!$C:$J,6,0)</f>
        <v>0</v>
      </c>
      <c r="O58" s="5">
        <f t="shared" si="1"/>
        <v>0</v>
      </c>
      <c r="P58" s="5">
        <v>0</v>
      </c>
      <c r="Q58" s="5">
        <v>0</v>
      </c>
      <c r="R58">
        <v>263</v>
      </c>
      <c r="S58">
        <v>0</v>
      </c>
      <c r="T58" s="5">
        <v>1</v>
      </c>
      <c r="U58" s="5">
        <v>0</v>
      </c>
      <c r="V58">
        <v>0</v>
      </c>
      <c r="W58" s="5">
        <v>0</v>
      </c>
      <c r="X58">
        <v>0</v>
      </c>
      <c r="Y58" s="5">
        <v>0</v>
      </c>
      <c r="Z58" t="s">
        <v>178</v>
      </c>
      <c r="AA58" s="5">
        <v>420</v>
      </c>
      <c r="AB58">
        <v>502.51</v>
      </c>
      <c r="AC58" t="s">
        <v>49</v>
      </c>
      <c r="AD58">
        <v>0</v>
      </c>
      <c r="AE58" s="5">
        <v>0</v>
      </c>
      <c r="AF58" t="s">
        <v>49</v>
      </c>
      <c r="AG58">
        <v>0</v>
      </c>
      <c r="AH58" t="s">
        <v>49</v>
      </c>
      <c r="AI58">
        <v>354.95</v>
      </c>
      <c r="AJ58" t="s">
        <v>49</v>
      </c>
      <c r="AK58">
        <v>0</v>
      </c>
      <c r="AL58" t="s">
        <v>49</v>
      </c>
      <c r="AM58">
        <v>325</v>
      </c>
      <c r="AN58" s="7">
        <v>0</v>
      </c>
      <c r="AO58" s="7">
        <v>0</v>
      </c>
      <c r="AP58" s="7">
        <v>0.8235</v>
      </c>
      <c r="AQ58" s="7">
        <v>0.451</v>
      </c>
      <c r="AR58" s="7">
        <v>1</v>
      </c>
      <c r="AS58" s="7">
        <v>1</v>
      </c>
      <c r="AT58" s="5">
        <v>0</v>
      </c>
      <c r="AU58" s="5">
        <v>0</v>
      </c>
      <c r="AV58" s="7">
        <v>0</v>
      </c>
      <c r="AW58" s="5">
        <v>0</v>
      </c>
      <c r="AX58" s="5">
        <v>0</v>
      </c>
    </row>
    <row r="59" hidden="1" spans="1:50">
      <c r="A59" s="5">
        <v>19404505</v>
      </c>
      <c r="B59" t="s">
        <v>179</v>
      </c>
      <c r="C59" s="5">
        <v>125212004</v>
      </c>
      <c r="D59" t="s">
        <v>44</v>
      </c>
      <c r="E59" t="s">
        <v>79</v>
      </c>
      <c r="F59" t="s">
        <v>46</v>
      </c>
      <c r="G59" t="s">
        <v>47</v>
      </c>
      <c r="H59">
        <v>0</v>
      </c>
      <c r="I59" s="5">
        <f>VLOOKUP(C59,[6]sheet1!$C:$X,6,0)</f>
        <v>237</v>
      </c>
      <c r="J59" s="5">
        <f>VLOOKUP(C59,[1]sheet1!$C:$I,6,0)</f>
        <v>237</v>
      </c>
      <c r="K59" s="5">
        <f>VLOOKUP(C59,[2]sheet1!$C:$H,6,0)</f>
        <v>0</v>
      </c>
      <c r="L59" s="5">
        <f>VLOOKUP(C59,[3]sheet1!$C:$H,6,0)</f>
        <v>0</v>
      </c>
      <c r="M59" s="5">
        <f>VLOOKUP(C59,[4]sheet1!$C:$I,6,0)</f>
        <v>0</v>
      </c>
      <c r="N59" s="5">
        <f>VLOOKUP(C59,[5]sheet1!$C:$J,6,0)</f>
        <v>0</v>
      </c>
      <c r="O59" s="5">
        <f t="shared" si="1"/>
        <v>474</v>
      </c>
      <c r="P59" s="5">
        <v>474</v>
      </c>
      <c r="Q59" s="5">
        <v>0</v>
      </c>
      <c r="R59">
        <v>485</v>
      </c>
      <c r="S59">
        <v>0</v>
      </c>
      <c r="T59" s="5">
        <v>6</v>
      </c>
      <c r="U59" s="5">
        <v>0</v>
      </c>
      <c r="V59">
        <v>0</v>
      </c>
      <c r="W59" s="5">
        <v>0</v>
      </c>
      <c r="X59">
        <v>0</v>
      </c>
      <c r="Y59" s="5">
        <v>0</v>
      </c>
      <c r="Z59" t="s">
        <v>180</v>
      </c>
      <c r="AA59" s="5">
        <v>229</v>
      </c>
      <c r="AB59">
        <v>197.65</v>
      </c>
      <c r="AC59" t="s">
        <v>49</v>
      </c>
      <c r="AD59">
        <v>0</v>
      </c>
      <c r="AE59" s="5">
        <v>0</v>
      </c>
      <c r="AF59" t="s">
        <v>49</v>
      </c>
      <c r="AG59">
        <v>0</v>
      </c>
      <c r="AH59" t="s">
        <v>49</v>
      </c>
      <c r="AI59" t="s">
        <v>49</v>
      </c>
      <c r="AJ59" t="s">
        <v>49</v>
      </c>
      <c r="AK59" t="s">
        <v>49</v>
      </c>
      <c r="AL59" t="s">
        <v>49</v>
      </c>
      <c r="AM59">
        <v>582</v>
      </c>
      <c r="AN59" s="7">
        <v>0</v>
      </c>
      <c r="AO59" s="7">
        <v>0</v>
      </c>
      <c r="AP59" s="7">
        <v>0.9253</v>
      </c>
      <c r="AQ59" s="7">
        <v>0.4368</v>
      </c>
      <c r="AR59" s="7">
        <v>1</v>
      </c>
      <c r="AS59" s="7">
        <v>0.5</v>
      </c>
      <c r="AT59" s="5">
        <v>0</v>
      </c>
      <c r="AU59" s="5">
        <v>0</v>
      </c>
      <c r="AV59" s="7">
        <v>0</v>
      </c>
      <c r="AW59" s="5">
        <v>0</v>
      </c>
      <c r="AX59" s="5">
        <v>0</v>
      </c>
    </row>
    <row r="60" hidden="1" spans="1:50">
      <c r="A60" s="5">
        <v>19362667</v>
      </c>
      <c r="B60" t="s">
        <v>181</v>
      </c>
      <c r="C60" s="5">
        <v>115102001</v>
      </c>
      <c r="D60" t="s">
        <v>44</v>
      </c>
      <c r="E60" t="s">
        <v>66</v>
      </c>
      <c r="F60" t="s">
        <v>46</v>
      </c>
      <c r="G60" t="s">
        <v>47</v>
      </c>
      <c r="H60">
        <v>0</v>
      </c>
      <c r="I60" s="5">
        <f>VLOOKUP(C60,[6]sheet1!$C:$X,6,0)</f>
        <v>0</v>
      </c>
      <c r="J60" s="5">
        <f>VLOOKUP(C60,[1]sheet1!$C:$I,6,0)</f>
        <v>0</v>
      </c>
      <c r="K60" s="5">
        <f>VLOOKUP(C60,[2]sheet1!$C:$H,6,0)</f>
        <v>0</v>
      </c>
      <c r="L60" s="5">
        <f>VLOOKUP(C60,[3]sheet1!$C:$H,6,0)</f>
        <v>0</v>
      </c>
      <c r="M60" s="5">
        <f>VLOOKUP(C60,[4]sheet1!$C:$I,6,0)</f>
        <v>0</v>
      </c>
      <c r="N60" s="5">
        <f>VLOOKUP(C60,[5]sheet1!$C:$J,6,0)</f>
        <v>0</v>
      </c>
      <c r="O60" s="5">
        <f t="shared" si="1"/>
        <v>0</v>
      </c>
      <c r="P60" s="5">
        <v>0</v>
      </c>
      <c r="Q60" s="5">
        <v>0</v>
      </c>
      <c r="R60">
        <v>494</v>
      </c>
      <c r="S60">
        <v>0</v>
      </c>
      <c r="T60" s="5">
        <v>10</v>
      </c>
      <c r="U60" s="5">
        <v>0</v>
      </c>
      <c r="V60">
        <v>0</v>
      </c>
      <c r="W60" s="5">
        <v>0</v>
      </c>
      <c r="X60">
        <v>0</v>
      </c>
      <c r="Y60" s="5">
        <v>0</v>
      </c>
      <c r="Z60" t="s">
        <v>182</v>
      </c>
      <c r="AA60" s="5">
        <v>659</v>
      </c>
      <c r="AB60">
        <v>678.11</v>
      </c>
      <c r="AC60" t="s">
        <v>49</v>
      </c>
      <c r="AD60">
        <v>0</v>
      </c>
      <c r="AE60" s="5">
        <v>0</v>
      </c>
      <c r="AF60" t="s">
        <v>49</v>
      </c>
      <c r="AG60">
        <v>0</v>
      </c>
      <c r="AH60" t="s">
        <v>49</v>
      </c>
      <c r="AI60">
        <v>564.4</v>
      </c>
      <c r="AJ60" t="s">
        <v>49</v>
      </c>
      <c r="AK60">
        <v>0</v>
      </c>
      <c r="AL60" t="s">
        <v>49</v>
      </c>
      <c r="AM60">
        <v>532</v>
      </c>
      <c r="AN60" s="7">
        <v>0</v>
      </c>
      <c r="AO60" s="7">
        <v>0</v>
      </c>
      <c r="AP60" s="7">
        <v>0.8833</v>
      </c>
      <c r="AQ60" s="7">
        <v>0.5833</v>
      </c>
      <c r="AR60" s="7">
        <v>0.9</v>
      </c>
      <c r="AS60" s="7">
        <v>0.6</v>
      </c>
      <c r="AT60" s="5">
        <v>0</v>
      </c>
      <c r="AU60" s="5">
        <v>0</v>
      </c>
      <c r="AV60" s="7">
        <v>0</v>
      </c>
      <c r="AW60" s="5">
        <v>0</v>
      </c>
      <c r="AX60" s="5">
        <v>0</v>
      </c>
    </row>
    <row r="61" hidden="1" spans="1:50">
      <c r="A61" s="5">
        <v>19166729</v>
      </c>
      <c r="B61" t="s">
        <v>183</v>
      </c>
      <c r="C61" s="5">
        <v>115119031</v>
      </c>
      <c r="D61" t="s">
        <v>44</v>
      </c>
      <c r="E61" t="s">
        <v>71</v>
      </c>
      <c r="F61" t="s">
        <v>46</v>
      </c>
      <c r="G61" t="s">
        <v>47</v>
      </c>
      <c r="H61">
        <v>0</v>
      </c>
      <c r="I61" s="5">
        <f>VLOOKUP(C61,[6]sheet1!$C:$X,6,0)</f>
        <v>0</v>
      </c>
      <c r="J61" s="5">
        <f>VLOOKUP(C61,[1]sheet1!$C:$I,6,0)</f>
        <v>0</v>
      </c>
      <c r="K61" s="5">
        <f>VLOOKUP(C61,[2]sheet1!$C:$H,6,0)</f>
        <v>728</v>
      </c>
      <c r="L61" s="5">
        <f>VLOOKUP(C61,[3]sheet1!$C:$H,6,0)</f>
        <v>0</v>
      </c>
      <c r="M61" s="5">
        <f>VLOOKUP(C61,[4]sheet1!$C:$I,6,0)</f>
        <v>728</v>
      </c>
      <c r="N61" s="5">
        <f>VLOOKUP(C61,[5]sheet1!$C:$J,6,0)</f>
        <v>728</v>
      </c>
      <c r="O61" s="5">
        <f t="shared" si="1"/>
        <v>2184</v>
      </c>
      <c r="P61" s="5">
        <v>2184</v>
      </c>
      <c r="Q61" s="5">
        <v>0</v>
      </c>
      <c r="R61">
        <v>419</v>
      </c>
      <c r="S61">
        <v>0</v>
      </c>
      <c r="T61" s="5">
        <v>6</v>
      </c>
      <c r="U61" s="5">
        <v>0</v>
      </c>
      <c r="V61">
        <v>0</v>
      </c>
      <c r="W61" s="5">
        <v>0</v>
      </c>
      <c r="X61">
        <v>0</v>
      </c>
      <c r="Y61" s="5">
        <v>0</v>
      </c>
      <c r="Z61" t="s">
        <v>184</v>
      </c>
      <c r="AA61" s="5">
        <v>689</v>
      </c>
      <c r="AB61">
        <v>588.95</v>
      </c>
      <c r="AC61" t="s">
        <v>49</v>
      </c>
      <c r="AD61">
        <v>0</v>
      </c>
      <c r="AE61" s="5">
        <v>0</v>
      </c>
      <c r="AF61" t="s">
        <v>49</v>
      </c>
      <c r="AG61">
        <v>0</v>
      </c>
      <c r="AH61" t="s">
        <v>49</v>
      </c>
      <c r="AI61" t="s">
        <v>49</v>
      </c>
      <c r="AJ61" t="s">
        <v>49</v>
      </c>
      <c r="AK61" t="s">
        <v>49</v>
      </c>
      <c r="AL61" t="s">
        <v>49</v>
      </c>
      <c r="AM61">
        <v>475</v>
      </c>
      <c r="AN61" s="7">
        <v>0</v>
      </c>
      <c r="AO61" s="7">
        <v>0</v>
      </c>
      <c r="AP61" s="7">
        <v>0.8615</v>
      </c>
      <c r="AQ61" s="7">
        <v>0.4615</v>
      </c>
      <c r="AR61" s="7">
        <v>1</v>
      </c>
      <c r="AS61" s="7">
        <v>0.3333</v>
      </c>
      <c r="AT61" s="5">
        <v>0</v>
      </c>
      <c r="AU61" s="5">
        <v>0</v>
      </c>
      <c r="AV61" s="7">
        <v>0</v>
      </c>
      <c r="AW61" s="5">
        <v>0</v>
      </c>
      <c r="AX61" s="5">
        <v>0</v>
      </c>
    </row>
    <row r="62" hidden="1" spans="1:50">
      <c r="A62" s="5">
        <v>15773554</v>
      </c>
      <c r="B62" t="s">
        <v>185</v>
      </c>
      <c r="C62" s="5">
        <v>114310191</v>
      </c>
      <c r="D62" t="s">
        <v>44</v>
      </c>
      <c r="E62" t="s">
        <v>164</v>
      </c>
      <c r="F62" t="s">
        <v>46</v>
      </c>
      <c r="G62" t="s">
        <v>47</v>
      </c>
      <c r="H62">
        <v>0</v>
      </c>
      <c r="I62" s="5">
        <f>VLOOKUP(C62,[6]sheet1!$C:$X,6,0)</f>
        <v>0</v>
      </c>
      <c r="J62" s="5">
        <f>VLOOKUP(C62,[1]sheet1!$C:$I,6,0)</f>
        <v>0</v>
      </c>
      <c r="K62" s="5">
        <f>VLOOKUP(C62,[2]sheet1!$C:$H,6,0)</f>
        <v>0</v>
      </c>
      <c r="L62" s="5">
        <f>VLOOKUP(C62,[3]sheet1!$C:$H,6,0)</f>
        <v>0</v>
      </c>
      <c r="M62" s="5">
        <f>VLOOKUP(C62,[4]sheet1!$C:$I,6,0)</f>
        <v>0</v>
      </c>
      <c r="N62" s="5">
        <f>VLOOKUP(C62,[5]sheet1!$C:$J,6,0)</f>
        <v>0</v>
      </c>
      <c r="O62" s="5">
        <f t="shared" si="1"/>
        <v>0</v>
      </c>
      <c r="P62" s="5">
        <v>0</v>
      </c>
      <c r="Q62" s="5">
        <v>0</v>
      </c>
      <c r="R62">
        <v>238</v>
      </c>
      <c r="S62">
        <v>0</v>
      </c>
      <c r="T62" s="5">
        <v>2</v>
      </c>
      <c r="U62" s="5">
        <v>0</v>
      </c>
      <c r="V62">
        <v>0</v>
      </c>
      <c r="W62" s="5">
        <v>0</v>
      </c>
      <c r="X62">
        <v>0</v>
      </c>
      <c r="Y62" s="5">
        <v>0</v>
      </c>
      <c r="Z62" t="s">
        <v>186</v>
      </c>
      <c r="AA62" s="5">
        <v>299</v>
      </c>
      <c r="AB62">
        <v>319.16</v>
      </c>
      <c r="AC62" t="s">
        <v>49</v>
      </c>
      <c r="AD62">
        <v>0</v>
      </c>
      <c r="AE62" s="5">
        <v>0</v>
      </c>
      <c r="AF62" t="s">
        <v>49</v>
      </c>
      <c r="AG62">
        <v>0</v>
      </c>
      <c r="AH62" t="s">
        <v>49</v>
      </c>
      <c r="AI62">
        <v>249.72</v>
      </c>
      <c r="AJ62" t="s">
        <v>49</v>
      </c>
      <c r="AK62">
        <v>0</v>
      </c>
      <c r="AL62" t="s">
        <v>49</v>
      </c>
      <c r="AM62">
        <v>283</v>
      </c>
      <c r="AN62" s="7">
        <v>0</v>
      </c>
      <c r="AO62" s="7">
        <v>0</v>
      </c>
      <c r="AP62" s="7">
        <v>0.7381</v>
      </c>
      <c r="AQ62" s="7">
        <v>0.381</v>
      </c>
      <c r="AR62" s="7">
        <v>1</v>
      </c>
      <c r="AS62" s="7">
        <v>0.5</v>
      </c>
      <c r="AT62" s="5">
        <v>0</v>
      </c>
      <c r="AU62" s="5">
        <v>0</v>
      </c>
      <c r="AV62" s="7">
        <v>0</v>
      </c>
      <c r="AW62" s="5">
        <v>0</v>
      </c>
      <c r="AX62" s="5">
        <v>0</v>
      </c>
    </row>
    <row r="63" hidden="1" spans="1:50">
      <c r="A63" s="5">
        <v>15515666</v>
      </c>
      <c r="B63" t="s">
        <v>187</v>
      </c>
      <c r="C63" s="5">
        <v>124419008</v>
      </c>
      <c r="D63" t="s">
        <v>44</v>
      </c>
      <c r="E63" t="s">
        <v>71</v>
      </c>
      <c r="F63" t="s">
        <v>159</v>
      </c>
      <c r="G63" t="s">
        <v>47</v>
      </c>
      <c r="H63">
        <v>0</v>
      </c>
      <c r="I63" s="5">
        <f>VLOOKUP(C63,[6]sheet1!$C:$X,6,0)</f>
        <v>0</v>
      </c>
      <c r="J63" s="5">
        <f>VLOOKUP(C63,[1]sheet1!$C:$I,6,0)</f>
        <v>0</v>
      </c>
      <c r="K63" s="5">
        <f>VLOOKUP(C63,[2]sheet1!$C:$H,6,0)</f>
        <v>447</v>
      </c>
      <c r="L63" s="5">
        <f>VLOOKUP(C63,[3]sheet1!$C:$H,6,0)</f>
        <v>0</v>
      </c>
      <c r="M63" s="5">
        <f>VLOOKUP(C63,[4]sheet1!$C:$I,6,0)</f>
        <v>0</v>
      </c>
      <c r="N63" s="5">
        <f>VLOOKUP(C63,[5]sheet1!$C:$J,6,0)</f>
        <v>0</v>
      </c>
      <c r="O63" s="5">
        <f t="shared" si="1"/>
        <v>447</v>
      </c>
      <c r="P63" s="5">
        <v>447</v>
      </c>
      <c r="Q63" s="5">
        <v>0</v>
      </c>
      <c r="R63" s="5">
        <v>97</v>
      </c>
      <c r="S63" s="7">
        <v>0</v>
      </c>
      <c r="T63" s="5">
        <v>7</v>
      </c>
      <c r="U63" s="5">
        <v>0</v>
      </c>
      <c r="V63">
        <v>0</v>
      </c>
      <c r="W63" s="5">
        <v>0</v>
      </c>
      <c r="X63">
        <v>0</v>
      </c>
      <c r="Y63" s="5">
        <v>0</v>
      </c>
      <c r="Z63" t="s">
        <v>49</v>
      </c>
      <c r="AA63" t="s">
        <v>49</v>
      </c>
      <c r="AB63" t="s">
        <v>49</v>
      </c>
      <c r="AC63" t="s">
        <v>49</v>
      </c>
      <c r="AD63">
        <v>0</v>
      </c>
      <c r="AE63" s="5">
        <v>0</v>
      </c>
      <c r="AF63" t="s">
        <v>49</v>
      </c>
      <c r="AG63" t="s">
        <v>49</v>
      </c>
      <c r="AH63" t="s">
        <v>49</v>
      </c>
      <c r="AI63" t="s">
        <v>49</v>
      </c>
      <c r="AJ63" t="s">
        <v>49</v>
      </c>
      <c r="AK63" t="s">
        <v>49</v>
      </c>
      <c r="AL63" t="s">
        <v>49</v>
      </c>
      <c r="AM63" s="5">
        <v>139</v>
      </c>
      <c r="AN63" s="7">
        <v>0</v>
      </c>
      <c r="AO63" s="7">
        <v>0</v>
      </c>
      <c r="AP63" s="7">
        <v>0.8557</v>
      </c>
      <c r="AQ63" s="7">
        <v>0.5155</v>
      </c>
      <c r="AR63" s="7">
        <v>0.8571</v>
      </c>
      <c r="AS63" s="7">
        <v>0.5714</v>
      </c>
      <c r="AT63" s="5">
        <v>0</v>
      </c>
      <c r="AU63" s="5">
        <v>0</v>
      </c>
      <c r="AV63" s="7">
        <v>0</v>
      </c>
      <c r="AW63" s="5">
        <v>0</v>
      </c>
      <c r="AX63" s="5">
        <v>0</v>
      </c>
    </row>
    <row r="64" spans="1:50">
      <c r="A64" s="5">
        <v>14825760</v>
      </c>
      <c r="B64" t="s">
        <v>188</v>
      </c>
      <c r="C64" s="2" t="s">
        <v>189</v>
      </c>
      <c r="D64" t="s">
        <v>44</v>
      </c>
      <c r="E64" t="s">
        <v>82</v>
      </c>
      <c r="F64" t="s">
        <v>46</v>
      </c>
      <c r="G64" t="s">
        <v>47</v>
      </c>
      <c r="H64">
        <v>0</v>
      </c>
      <c r="I64" s="5">
        <f>VLOOKUP(C64,[6]sheet1!$C:$X,6,0)</f>
        <v>0</v>
      </c>
      <c r="J64" s="5">
        <f>VLOOKUP(C64,[1]sheet1!$C:$I,6,0)</f>
        <v>0</v>
      </c>
      <c r="K64" s="5">
        <f>VLOOKUP(C64,[2]sheet1!$C:$H,6,0)</f>
        <v>0</v>
      </c>
      <c r="L64" s="5">
        <f>VLOOKUP(C64,[3]sheet1!$C:$H,6,0)</f>
        <v>0</v>
      </c>
      <c r="M64" s="5">
        <f>VLOOKUP(C64,[4]sheet1!$C:$I,6,0)</f>
        <v>0</v>
      </c>
      <c r="N64" s="5">
        <f>VLOOKUP(C64,[5]sheet1!$C:$J,6,0)</f>
        <v>0</v>
      </c>
      <c r="O64" s="5">
        <f t="shared" si="1"/>
        <v>0</v>
      </c>
      <c r="P64" s="5">
        <v>0</v>
      </c>
      <c r="Q64" s="5">
        <v>0</v>
      </c>
      <c r="R64">
        <v>419</v>
      </c>
      <c r="S64">
        <v>0</v>
      </c>
      <c r="T64" s="5">
        <v>9</v>
      </c>
      <c r="U64" s="5">
        <v>0</v>
      </c>
      <c r="V64">
        <v>0</v>
      </c>
      <c r="W64" s="5">
        <v>0</v>
      </c>
      <c r="X64">
        <v>0</v>
      </c>
      <c r="Y64" s="5">
        <v>0</v>
      </c>
      <c r="Z64" t="s">
        <v>190</v>
      </c>
      <c r="AA64" s="5">
        <v>341</v>
      </c>
      <c r="AB64">
        <v>287.18</v>
      </c>
      <c r="AC64" t="s">
        <v>49</v>
      </c>
      <c r="AD64">
        <v>0</v>
      </c>
      <c r="AE64" s="5">
        <v>0</v>
      </c>
      <c r="AF64" t="s">
        <v>49</v>
      </c>
      <c r="AG64">
        <v>0</v>
      </c>
      <c r="AH64" t="s">
        <v>49</v>
      </c>
      <c r="AI64" t="s">
        <v>49</v>
      </c>
      <c r="AJ64" t="s">
        <v>49</v>
      </c>
      <c r="AK64" t="s">
        <v>49</v>
      </c>
      <c r="AL64" t="s">
        <v>49</v>
      </c>
      <c r="AM64">
        <v>473</v>
      </c>
      <c r="AN64" s="7">
        <v>0</v>
      </c>
      <c r="AO64" s="7">
        <v>0</v>
      </c>
      <c r="AP64" s="7">
        <v>0.7077</v>
      </c>
      <c r="AQ64" s="7">
        <v>0.2692</v>
      </c>
      <c r="AR64" s="7">
        <v>0.8889</v>
      </c>
      <c r="AS64" s="7">
        <v>0.5556</v>
      </c>
      <c r="AT64" s="5">
        <v>0</v>
      </c>
      <c r="AU64" s="5">
        <v>0</v>
      </c>
      <c r="AV64" s="7">
        <v>0</v>
      </c>
      <c r="AW64" s="5">
        <v>0</v>
      </c>
      <c r="AX64" s="5">
        <v>0</v>
      </c>
    </row>
    <row r="65" hidden="1" spans="1:50">
      <c r="A65" s="5">
        <v>12601699</v>
      </c>
      <c r="B65" t="s">
        <v>191</v>
      </c>
      <c r="C65" s="5">
        <v>114301033</v>
      </c>
      <c r="D65" t="s">
        <v>44</v>
      </c>
      <c r="E65" t="s">
        <v>55</v>
      </c>
      <c r="F65" t="s">
        <v>46</v>
      </c>
      <c r="G65" t="s">
        <v>47</v>
      </c>
      <c r="H65">
        <v>0</v>
      </c>
      <c r="I65" s="5">
        <f>VLOOKUP(C65,[6]sheet1!$C:$X,6,0)</f>
        <v>538</v>
      </c>
      <c r="J65" s="5">
        <f>VLOOKUP(C65,[1]sheet1!$C:$I,6,0)</f>
        <v>0</v>
      </c>
      <c r="K65" s="5">
        <f>VLOOKUP(C65,[2]sheet1!$C:$H,6,0)</f>
        <v>0</v>
      </c>
      <c r="L65" s="5">
        <f>VLOOKUP(C65,[3]sheet1!$C:$H,6,0)</f>
        <v>0</v>
      </c>
      <c r="M65" s="5">
        <f>VLOOKUP(C65,[4]sheet1!$C:$I,6,0)</f>
        <v>538</v>
      </c>
      <c r="N65" s="5">
        <f>VLOOKUP(C65,[5]sheet1!$C:$J,6,0)</f>
        <v>0</v>
      </c>
      <c r="O65" s="5">
        <f t="shared" si="1"/>
        <v>1076</v>
      </c>
      <c r="P65" s="5">
        <v>1076</v>
      </c>
      <c r="Q65" s="5">
        <v>0</v>
      </c>
      <c r="R65">
        <v>413</v>
      </c>
      <c r="S65">
        <v>0</v>
      </c>
      <c r="T65" s="5">
        <v>5</v>
      </c>
      <c r="U65" s="5">
        <v>0</v>
      </c>
      <c r="V65">
        <v>560</v>
      </c>
      <c r="W65" s="5">
        <v>1</v>
      </c>
      <c r="X65">
        <v>0</v>
      </c>
      <c r="Y65" s="5">
        <v>0</v>
      </c>
      <c r="Z65" t="s">
        <v>192</v>
      </c>
      <c r="AA65" s="5">
        <v>394</v>
      </c>
      <c r="AB65">
        <v>475.6</v>
      </c>
      <c r="AC65" t="s">
        <v>49</v>
      </c>
      <c r="AD65">
        <v>0</v>
      </c>
      <c r="AE65" s="5">
        <v>0</v>
      </c>
      <c r="AF65" t="s">
        <v>49</v>
      </c>
      <c r="AG65">
        <v>0</v>
      </c>
      <c r="AH65" t="s">
        <v>49</v>
      </c>
      <c r="AI65">
        <v>340.26</v>
      </c>
      <c r="AJ65" t="s">
        <v>49</v>
      </c>
      <c r="AK65">
        <v>0</v>
      </c>
      <c r="AL65" t="s">
        <v>49</v>
      </c>
      <c r="AM65">
        <v>496</v>
      </c>
      <c r="AN65" s="7">
        <v>0</v>
      </c>
      <c r="AO65" s="7">
        <v>0</v>
      </c>
      <c r="AP65" s="7">
        <v>0.7619</v>
      </c>
      <c r="AQ65" s="7">
        <v>0.5635</v>
      </c>
      <c r="AR65" s="7">
        <v>1</v>
      </c>
      <c r="AS65" s="7">
        <v>0.8</v>
      </c>
      <c r="AT65" s="5">
        <v>0</v>
      </c>
      <c r="AU65" s="5">
        <v>0</v>
      </c>
      <c r="AV65" s="7">
        <v>0</v>
      </c>
      <c r="AW65" s="5">
        <v>0</v>
      </c>
      <c r="AX65" s="5">
        <v>0</v>
      </c>
    </row>
    <row r="66" hidden="1" spans="1:50">
      <c r="A66" s="5">
        <v>12593401</v>
      </c>
      <c r="B66" t="s">
        <v>193</v>
      </c>
      <c r="C66" s="5">
        <v>124301030</v>
      </c>
      <c r="D66" t="s">
        <v>44</v>
      </c>
      <c r="E66" t="s">
        <v>94</v>
      </c>
      <c r="F66" t="s">
        <v>46</v>
      </c>
      <c r="G66" t="s">
        <v>47</v>
      </c>
      <c r="H66">
        <v>0</v>
      </c>
      <c r="I66" s="5">
        <f>VLOOKUP(C66,[6]sheet1!$C:$X,6,0)</f>
        <v>1543.47</v>
      </c>
      <c r="J66" s="5">
        <f>VLOOKUP(C66,[1]sheet1!$C:$I,6,0)</f>
        <v>519</v>
      </c>
      <c r="K66" s="5">
        <f>VLOOKUP(C66,[2]sheet1!$C:$H,6,0)</f>
        <v>1017</v>
      </c>
      <c r="L66" s="5">
        <f>VLOOKUP(C66,[3]sheet1!$C:$H,6,0)</f>
        <v>1037</v>
      </c>
      <c r="M66" s="5">
        <f>VLOOKUP(C66,[4]sheet1!$C:$I,6,0)</f>
        <v>516</v>
      </c>
      <c r="N66" s="5">
        <f>VLOOKUP(C66,[5]sheet1!$C:$J,6,0)</f>
        <v>1043</v>
      </c>
      <c r="O66" s="5">
        <f t="shared" si="1"/>
        <v>5675.47</v>
      </c>
      <c r="P66" s="5">
        <v>5675.47</v>
      </c>
      <c r="Q66" s="5">
        <v>0</v>
      </c>
      <c r="R66">
        <v>572</v>
      </c>
      <c r="S66">
        <v>0</v>
      </c>
      <c r="T66" s="5">
        <v>17</v>
      </c>
      <c r="U66" s="5">
        <v>0</v>
      </c>
      <c r="V66">
        <v>0</v>
      </c>
      <c r="W66" s="5">
        <v>0</v>
      </c>
      <c r="X66">
        <v>0</v>
      </c>
      <c r="Y66" s="5">
        <v>0</v>
      </c>
      <c r="Z66" t="s">
        <v>194</v>
      </c>
      <c r="AA66" s="5">
        <v>431</v>
      </c>
      <c r="AB66">
        <v>404.38</v>
      </c>
      <c r="AC66" t="s">
        <v>49</v>
      </c>
      <c r="AD66">
        <v>0</v>
      </c>
      <c r="AE66" s="5">
        <v>0</v>
      </c>
      <c r="AF66" t="s">
        <v>49</v>
      </c>
      <c r="AG66">
        <v>0</v>
      </c>
      <c r="AH66" t="s">
        <v>49</v>
      </c>
      <c r="AI66">
        <v>362.72</v>
      </c>
      <c r="AJ66" t="s">
        <v>49</v>
      </c>
      <c r="AK66">
        <v>0</v>
      </c>
      <c r="AL66" t="s">
        <v>49</v>
      </c>
      <c r="AM66">
        <v>647</v>
      </c>
      <c r="AN66" s="7">
        <v>0</v>
      </c>
      <c r="AO66" s="7">
        <v>0</v>
      </c>
      <c r="AP66" s="7">
        <v>0.8802</v>
      </c>
      <c r="AQ66" s="7">
        <v>0.5083</v>
      </c>
      <c r="AR66" s="7">
        <v>1</v>
      </c>
      <c r="AS66" s="7">
        <v>0.4706</v>
      </c>
      <c r="AT66" s="5">
        <v>0</v>
      </c>
      <c r="AU66" s="5">
        <v>0</v>
      </c>
      <c r="AV66" s="7">
        <v>0</v>
      </c>
      <c r="AW66" s="5">
        <v>0</v>
      </c>
      <c r="AX66" s="5">
        <v>0</v>
      </c>
    </row>
    <row r="67" hidden="1" spans="1:50">
      <c r="A67" s="5">
        <v>11815247</v>
      </c>
      <c r="B67" t="s">
        <v>195</v>
      </c>
      <c r="C67" s="5">
        <v>114301001</v>
      </c>
      <c r="D67" t="s">
        <v>44</v>
      </c>
      <c r="E67" t="s">
        <v>55</v>
      </c>
      <c r="F67" t="s">
        <v>46</v>
      </c>
      <c r="G67" t="s">
        <v>47</v>
      </c>
      <c r="H67">
        <v>0</v>
      </c>
      <c r="I67" s="5">
        <f>VLOOKUP(C67,[6]sheet1!$C:$X,6,0)</f>
        <v>0</v>
      </c>
      <c r="J67" s="5">
        <f>VLOOKUP(C67,[1]sheet1!$C:$I,6,0)</f>
        <v>0</v>
      </c>
      <c r="K67" s="5">
        <f>VLOOKUP(C67,[2]sheet1!$C:$H,6,0)</f>
        <v>0</v>
      </c>
      <c r="L67" s="5">
        <f>VLOOKUP(C67,[3]sheet1!$C:$H,6,0)</f>
        <v>506</v>
      </c>
      <c r="M67" s="5">
        <f>VLOOKUP(C67,[4]sheet1!$C:$I,6,0)</f>
        <v>0</v>
      </c>
      <c r="N67" s="5">
        <f>VLOOKUP(C67,[5]sheet1!$C:$J,6,0)</f>
        <v>0</v>
      </c>
      <c r="O67" s="5">
        <f>H67+I67+J67+K67+L67+M67+N67</f>
        <v>506</v>
      </c>
      <c r="P67" s="5">
        <v>506</v>
      </c>
      <c r="Q67" s="5">
        <v>0</v>
      </c>
      <c r="R67">
        <v>470</v>
      </c>
      <c r="S67">
        <v>0</v>
      </c>
      <c r="T67" s="5">
        <v>3</v>
      </c>
      <c r="U67" s="5">
        <v>0</v>
      </c>
      <c r="V67">
        <v>0</v>
      </c>
      <c r="W67" s="5">
        <v>0</v>
      </c>
      <c r="X67">
        <v>0</v>
      </c>
      <c r="Y67" s="5">
        <v>0</v>
      </c>
      <c r="Z67" t="s">
        <v>196</v>
      </c>
      <c r="AA67" s="5">
        <v>394</v>
      </c>
      <c r="AB67">
        <v>379.25</v>
      </c>
      <c r="AC67" t="s">
        <v>49</v>
      </c>
      <c r="AD67">
        <v>0</v>
      </c>
      <c r="AE67" s="5">
        <v>0</v>
      </c>
      <c r="AF67" t="s">
        <v>49</v>
      </c>
      <c r="AG67">
        <v>0</v>
      </c>
      <c r="AH67" t="s">
        <v>49</v>
      </c>
      <c r="AI67">
        <v>332.38</v>
      </c>
      <c r="AJ67" t="s">
        <v>49</v>
      </c>
      <c r="AK67">
        <v>0</v>
      </c>
      <c r="AL67" t="s">
        <v>49</v>
      </c>
      <c r="AM67">
        <v>488</v>
      </c>
      <c r="AN67" s="7">
        <v>0</v>
      </c>
      <c r="AO67" s="7">
        <v>0</v>
      </c>
      <c r="AP67" s="7">
        <v>0.9018</v>
      </c>
      <c r="AQ67" s="7">
        <v>0.4049</v>
      </c>
      <c r="AR67" s="7">
        <v>1</v>
      </c>
      <c r="AS67" s="7">
        <v>0</v>
      </c>
      <c r="AT67" s="5">
        <v>0</v>
      </c>
      <c r="AU67" s="5">
        <v>0</v>
      </c>
      <c r="AV67" s="7">
        <v>0</v>
      </c>
      <c r="AW67" s="5">
        <v>0</v>
      </c>
      <c r="AX67" s="5">
        <v>0</v>
      </c>
    </row>
    <row r="68" hidden="1" spans="1:50">
      <c r="A68" s="5">
        <v>11133725</v>
      </c>
      <c r="B68" t="s">
        <v>197</v>
      </c>
      <c r="C68" s="5">
        <v>11421419</v>
      </c>
      <c r="D68" t="s">
        <v>44</v>
      </c>
      <c r="E68" t="s">
        <v>198</v>
      </c>
      <c r="F68" t="s">
        <v>159</v>
      </c>
      <c r="G68" t="s">
        <v>199</v>
      </c>
      <c r="H68">
        <v>0</v>
      </c>
      <c r="I68" s="5">
        <f>VLOOKUP(C68,[6]sheet1!$C:$X,6,0)</f>
        <v>0</v>
      </c>
      <c r="J68" s="5">
        <f>VLOOKUP(C68,[1]sheet1!$C:$I,6,0)</f>
        <v>0</v>
      </c>
      <c r="K68" s="5">
        <f>VLOOKUP(C68,[2]sheet1!$C:$H,6,0)</f>
        <v>0</v>
      </c>
      <c r="L68" s="5">
        <f>VLOOKUP(C68,[3]sheet1!$C:$H,6,0)</f>
        <v>0</v>
      </c>
      <c r="M68" s="5">
        <f>VLOOKUP(C68,[4]sheet1!$C:$I,6,0)</f>
        <v>0</v>
      </c>
      <c r="N68" s="5">
        <f>VLOOKUP(C68,[5]sheet1!$C:$J,6,0)</f>
        <v>0</v>
      </c>
      <c r="O68" s="5">
        <f>H68+I68+J68+K68+L68+M68+N68</f>
        <v>0</v>
      </c>
      <c r="P68" s="5">
        <v>0</v>
      </c>
      <c r="Q68" s="5">
        <v>0</v>
      </c>
      <c r="R68" s="5">
        <v>113</v>
      </c>
      <c r="S68" s="7">
        <v>0</v>
      </c>
      <c r="T68" s="5">
        <v>2</v>
      </c>
      <c r="U68" s="5">
        <v>0</v>
      </c>
      <c r="V68">
        <v>0</v>
      </c>
      <c r="W68" s="5">
        <v>0</v>
      </c>
      <c r="X68">
        <v>0</v>
      </c>
      <c r="Y68" s="5">
        <v>0</v>
      </c>
      <c r="Z68" t="s">
        <v>49</v>
      </c>
      <c r="AA68" t="s">
        <v>49</v>
      </c>
      <c r="AB68" t="s">
        <v>49</v>
      </c>
      <c r="AC68" t="s">
        <v>49</v>
      </c>
      <c r="AD68">
        <v>0</v>
      </c>
      <c r="AE68" s="5">
        <v>0</v>
      </c>
      <c r="AF68" t="s">
        <v>49</v>
      </c>
      <c r="AG68" t="s">
        <v>49</v>
      </c>
      <c r="AH68" t="s">
        <v>49</v>
      </c>
      <c r="AI68" t="s">
        <v>49</v>
      </c>
      <c r="AJ68" t="s">
        <v>49</v>
      </c>
      <c r="AK68" t="s">
        <v>49</v>
      </c>
      <c r="AL68" t="s">
        <v>49</v>
      </c>
      <c r="AM68" s="5">
        <v>160</v>
      </c>
      <c r="AN68" s="7">
        <v>0</v>
      </c>
      <c r="AO68" s="7">
        <v>0</v>
      </c>
      <c r="AP68" s="7">
        <v>0.6106</v>
      </c>
      <c r="AQ68" s="7">
        <v>0.177</v>
      </c>
      <c r="AR68" s="7">
        <v>0.5</v>
      </c>
      <c r="AS68" s="7">
        <v>0</v>
      </c>
      <c r="AT68" s="5">
        <v>0</v>
      </c>
      <c r="AU68" s="5">
        <v>0</v>
      </c>
      <c r="AV68" s="7">
        <v>0</v>
      </c>
      <c r="AW68" s="5">
        <v>0</v>
      </c>
      <c r="AX68" s="5">
        <v>0</v>
      </c>
    </row>
    <row r="69" hidden="1" spans="1:50">
      <c r="A69" s="5">
        <v>10697844</v>
      </c>
      <c r="B69" t="s">
        <v>200</v>
      </c>
      <c r="C69" s="5">
        <v>11411909</v>
      </c>
      <c r="D69" t="s">
        <v>44</v>
      </c>
      <c r="E69" t="s">
        <v>71</v>
      </c>
      <c r="F69" t="s">
        <v>46</v>
      </c>
      <c r="G69" t="s">
        <v>47</v>
      </c>
      <c r="H69">
        <v>0</v>
      </c>
      <c r="I69" s="5">
        <f>VLOOKUP(C69,[6]sheet1!$C:$X,6,0)</f>
        <v>641</v>
      </c>
      <c r="J69" s="5">
        <f>VLOOKUP(C69,[1]sheet1!$C:$I,6,0)</f>
        <v>1305</v>
      </c>
      <c r="K69" s="5">
        <f>VLOOKUP(C69,[2]sheet1!$C:$H,6,0)</f>
        <v>327</v>
      </c>
      <c r="L69" s="5">
        <f>VLOOKUP(C69,[3]sheet1!$C:$H,6,0)</f>
        <v>327</v>
      </c>
      <c r="M69" s="5">
        <f>VLOOKUP(C69,[4]sheet1!$C:$I,6,0)</f>
        <v>990</v>
      </c>
      <c r="N69" s="5">
        <f>VLOOKUP(C69,[5]sheet1!$C:$J,6,0)</f>
        <v>0</v>
      </c>
      <c r="O69" s="5">
        <f>H69+I69+J69+K69+L69+M69+N69</f>
        <v>3590</v>
      </c>
      <c r="P69" s="5">
        <v>3590</v>
      </c>
      <c r="Q69" s="5">
        <v>0</v>
      </c>
      <c r="R69">
        <v>534</v>
      </c>
      <c r="S69">
        <v>0</v>
      </c>
      <c r="T69" s="5">
        <v>4</v>
      </c>
      <c r="U69" s="5">
        <v>0</v>
      </c>
      <c r="V69">
        <v>0</v>
      </c>
      <c r="W69" s="5">
        <v>0</v>
      </c>
      <c r="X69">
        <v>0</v>
      </c>
      <c r="Y69" s="5">
        <v>0</v>
      </c>
      <c r="Z69" t="s">
        <v>201</v>
      </c>
      <c r="AA69" s="5">
        <v>258</v>
      </c>
      <c r="AB69">
        <v>311.19</v>
      </c>
      <c r="AC69" t="s">
        <v>49</v>
      </c>
      <c r="AD69">
        <v>0</v>
      </c>
      <c r="AE69" s="5">
        <v>0</v>
      </c>
      <c r="AF69" t="s">
        <v>49</v>
      </c>
      <c r="AG69">
        <v>0</v>
      </c>
      <c r="AH69" t="s">
        <v>49</v>
      </c>
      <c r="AI69">
        <v>214.84</v>
      </c>
      <c r="AJ69" t="s">
        <v>49</v>
      </c>
      <c r="AK69">
        <v>0</v>
      </c>
      <c r="AL69" t="s">
        <v>49</v>
      </c>
      <c r="AM69">
        <v>607</v>
      </c>
      <c r="AN69" s="7">
        <v>0</v>
      </c>
      <c r="AO69" s="7">
        <v>0</v>
      </c>
      <c r="AP69" s="7">
        <v>0.8389</v>
      </c>
      <c r="AQ69" s="7">
        <v>0.2607</v>
      </c>
      <c r="AR69" s="7">
        <v>1</v>
      </c>
      <c r="AS69" s="7">
        <v>1</v>
      </c>
      <c r="AT69" s="5">
        <v>0</v>
      </c>
      <c r="AU69" s="5">
        <v>0</v>
      </c>
      <c r="AV69" s="7">
        <v>0</v>
      </c>
      <c r="AW69" s="5">
        <v>0</v>
      </c>
      <c r="AX69" s="5">
        <v>0</v>
      </c>
    </row>
    <row r="70" hidden="1" spans="1:50">
      <c r="A70" s="5">
        <v>10559660</v>
      </c>
      <c r="B70" t="s">
        <v>202</v>
      </c>
      <c r="C70" s="5">
        <v>12422002</v>
      </c>
      <c r="D70" t="s">
        <v>44</v>
      </c>
      <c r="E70" t="s">
        <v>203</v>
      </c>
      <c r="F70" t="s">
        <v>46</v>
      </c>
      <c r="G70" t="s">
        <v>47</v>
      </c>
      <c r="H70">
        <v>0</v>
      </c>
      <c r="I70" s="5">
        <f>VLOOKUP(C70,[6]sheet1!$C:$X,6,0)</f>
        <v>0</v>
      </c>
      <c r="J70" s="5">
        <f>VLOOKUP(C70,[1]sheet1!$C:$I,6,0)</f>
        <v>0</v>
      </c>
      <c r="K70" s="5">
        <f>VLOOKUP(C70,[2]sheet1!$C:$H,6,0)</f>
        <v>0</v>
      </c>
      <c r="L70" s="5">
        <f>VLOOKUP(C70,[3]sheet1!$C:$H,6,0)</f>
        <v>0</v>
      </c>
      <c r="M70" s="5">
        <f>VLOOKUP(C70,[4]sheet1!$C:$I,6,0)</f>
        <v>0</v>
      </c>
      <c r="N70" s="5">
        <f>VLOOKUP(C70,[5]sheet1!$C:$J,6,0)</f>
        <v>0</v>
      </c>
      <c r="O70" s="5">
        <f>H70+I70+J70+K70+L70+M70+N70</f>
        <v>0</v>
      </c>
      <c r="P70" s="5">
        <v>0</v>
      </c>
      <c r="Q70" s="5">
        <v>0</v>
      </c>
      <c r="R70">
        <v>411</v>
      </c>
      <c r="S70">
        <v>0</v>
      </c>
      <c r="T70" s="5">
        <v>1</v>
      </c>
      <c r="U70" s="5">
        <v>0</v>
      </c>
      <c r="V70">
        <v>0</v>
      </c>
      <c r="W70" s="5">
        <v>0</v>
      </c>
      <c r="X70">
        <v>0</v>
      </c>
      <c r="Y70" s="5">
        <v>0</v>
      </c>
      <c r="Z70" t="s">
        <v>204</v>
      </c>
      <c r="AA70" s="5">
        <v>204</v>
      </c>
      <c r="AB70">
        <v>223.42</v>
      </c>
      <c r="AC70" t="s">
        <v>49</v>
      </c>
      <c r="AD70">
        <v>0</v>
      </c>
      <c r="AE70" s="5">
        <v>0</v>
      </c>
      <c r="AF70" t="s">
        <v>49</v>
      </c>
      <c r="AG70">
        <v>0</v>
      </c>
      <c r="AH70" t="s">
        <v>49</v>
      </c>
      <c r="AI70">
        <v>167.87</v>
      </c>
      <c r="AJ70" t="s">
        <v>49</v>
      </c>
      <c r="AK70">
        <v>0</v>
      </c>
      <c r="AL70" t="s">
        <v>49</v>
      </c>
      <c r="AM70">
        <v>461</v>
      </c>
      <c r="AN70" s="7">
        <v>0</v>
      </c>
      <c r="AO70" s="7">
        <v>0</v>
      </c>
      <c r="AP70" s="7">
        <v>0.744</v>
      </c>
      <c r="AQ70" s="7">
        <v>0.184</v>
      </c>
      <c r="AR70" s="7">
        <v>1</v>
      </c>
      <c r="AS70" s="7">
        <v>1</v>
      </c>
      <c r="AT70" s="5">
        <v>0</v>
      </c>
      <c r="AU70" s="5">
        <v>0</v>
      </c>
      <c r="AV70" s="7">
        <v>0</v>
      </c>
      <c r="AW70" s="5">
        <v>0</v>
      </c>
      <c r="AX70" s="5">
        <v>0</v>
      </c>
    </row>
  </sheetData>
  <autoFilter xmlns:etc="http://www.wps.cn/officeDocument/2017/etCustomData" ref="A1:AX70" etc:filterBottomFollowUsedRange="0">
    <filterColumn colId="2">
      <colorFilter dxfId="0"/>
    </filterColumn>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
  <sheetViews>
    <sheetView workbookViewId="0">
      <selection activeCell="L23" sqref="L23"/>
    </sheetView>
  </sheetViews>
  <sheetFormatPr defaultColWidth="9" defaultRowHeight="13.5"/>
  <cols>
    <col min="1" max="1" width="10.375"/>
    <col min="21" max="21" width="10.375"/>
  </cols>
  <sheetData>
    <row r="1" spans="1:21">
      <c r="A1" s="1">
        <v>11421507</v>
      </c>
      <c r="B1">
        <f>VLOOKUP(A1,[6]sheet1!$C:$W,8,0)</f>
        <v>2743</v>
      </c>
      <c r="C1">
        <f>VLOOKUP(A1,[1]sheet1!$C:$W,8,0)</f>
        <v>2593</v>
      </c>
      <c r="D1">
        <f>VLOOKUP(A1,[2]sheet1!$C:$J,8,0)</f>
        <v>2818</v>
      </c>
      <c r="E1">
        <f>VLOOKUP(A1,[3]sheet1!$C:$J,8,0)</f>
        <v>2798</v>
      </c>
      <c r="F1">
        <f>VLOOKUP(A1,[4]sheet1!$C:$K,8,0)</f>
        <v>2756</v>
      </c>
      <c r="G1">
        <f>VLOOKUP(A1,[4]sheet1!$C:$M,8,0)</f>
        <v>2756</v>
      </c>
      <c r="H1">
        <f>VLOOKUP(A1,sheet1!C:R,16,0)</f>
        <v>3309</v>
      </c>
      <c r="I1">
        <f>B1+C1+D1+E1+F1+G1+H1</f>
        <v>19773</v>
      </c>
      <c r="J1">
        <v>19773</v>
      </c>
      <c r="L1">
        <f>VLOOKUP(A1,[6]sheet1!$C:$W,21,0)</f>
        <v>35</v>
      </c>
      <c r="M1">
        <f>VLOOKUP(A1,[1]sheet1!$C:$W,21,0)</f>
        <v>61</v>
      </c>
      <c r="N1">
        <f>VLOOKUP(A1,[2]sheet1!$C:$X,21,0)</f>
        <v>34</v>
      </c>
      <c r="O1">
        <f>VLOOKUP(A1,[3]sheet1!$C:$X,21,0)</f>
        <v>29</v>
      </c>
      <c r="P1">
        <f>VLOOKUP(A1,[4]sheet1!$C:$X,21,0)</f>
        <v>58</v>
      </c>
      <c r="Q1">
        <f>VLOOKUP(A1,[5]sheet1!$C:$W,21,0)</f>
        <v>46</v>
      </c>
      <c r="R1">
        <f>VLOOKUP(A1,sheet1!C:AF,29,0)</f>
        <v>64</v>
      </c>
      <c r="S1">
        <f>L1+M1+N1+O1+P1+Q1+R1</f>
        <v>327</v>
      </c>
      <c r="U1">
        <f>VLOOKUP(A1,sheet1!C:Q,14,0)</f>
        <v>42641.47</v>
      </c>
    </row>
    <row r="2" spans="1:21">
      <c r="A2" s="1">
        <v>11421509</v>
      </c>
      <c r="B2">
        <f>VLOOKUP(A2,[6]sheet1!$C:$W,8,0)</f>
        <v>1254</v>
      </c>
      <c r="C2">
        <f>VLOOKUP(A2,[1]sheet1!$C:$W,8,0)</f>
        <v>1213</v>
      </c>
      <c r="D2">
        <f>VLOOKUP(A2,[2]sheet1!$C:$J,8,0)</f>
        <v>1333</v>
      </c>
      <c r="E2">
        <f>VLOOKUP(A2,[3]sheet1!$C:$J,8,0)</f>
        <v>1278</v>
      </c>
      <c r="F2">
        <f>VLOOKUP(A2,[4]sheet1!$C:$K,8,0)</f>
        <v>1278</v>
      </c>
      <c r="G2">
        <f>VLOOKUP(A2,[4]sheet1!$C:$M,8,0)</f>
        <v>1278</v>
      </c>
      <c r="H2">
        <f>VLOOKUP(A2,sheet1!C:R,16,0)</f>
        <v>1187</v>
      </c>
      <c r="I2">
        <f t="shared" ref="I2:I16" si="0">B2+C2+D2+E2+F2+G2+H2</f>
        <v>8821</v>
      </c>
      <c r="J2">
        <v>8821</v>
      </c>
      <c r="L2">
        <f>VLOOKUP(A2,[6]sheet1!$C:$W,21,0)</f>
        <v>0</v>
      </c>
      <c r="M2">
        <f>VLOOKUP(A2,[1]sheet1!$C:$W,21,0)</f>
        <v>0</v>
      </c>
      <c r="N2">
        <f>VLOOKUP(A2,[2]sheet1!$C:$X,21,0)</f>
        <v>0</v>
      </c>
      <c r="O2">
        <f>VLOOKUP(A2,[3]sheet1!$C:$X,21,0)</f>
        <v>0</v>
      </c>
      <c r="P2">
        <f>VLOOKUP(A2,[4]sheet1!$C:$X,21,0)</f>
        <v>3</v>
      </c>
      <c r="Q2">
        <f>VLOOKUP(A2,[5]sheet1!$C:$W,21,0)</f>
        <v>1</v>
      </c>
      <c r="R2">
        <f>VLOOKUP(A2,sheet1!C:AF,29,0)</f>
        <v>2</v>
      </c>
      <c r="S2">
        <f t="shared" ref="S2:S16" si="1">L2+M2+N2+O2+P2+Q2+R2</f>
        <v>6</v>
      </c>
      <c r="U2">
        <f>VLOOKUP(A2,sheet1!C:Q,14,0)</f>
        <v>739</v>
      </c>
    </row>
    <row r="3" spans="1:21">
      <c r="A3" s="1">
        <v>11421533</v>
      </c>
      <c r="B3">
        <f>VLOOKUP(A3,[6]sheet1!$C:$W,8,0)</f>
        <v>2307</v>
      </c>
      <c r="C3">
        <f>VLOOKUP(A3,[1]sheet1!$C:$W,8,0)</f>
        <v>2348</v>
      </c>
      <c r="D3">
        <f>VLOOKUP(A3,[2]sheet1!$C:$J,8,0)</f>
        <v>2308</v>
      </c>
      <c r="E3">
        <f>VLOOKUP(A3,[3]sheet1!$C:$J,8,0)</f>
        <v>2235</v>
      </c>
      <c r="F3">
        <f>VLOOKUP(A3,[4]sheet1!$C:$K,8,0)</f>
        <v>2295</v>
      </c>
      <c r="G3">
        <f>VLOOKUP(A3,[4]sheet1!$C:$M,8,0)</f>
        <v>2295</v>
      </c>
      <c r="H3">
        <f>VLOOKUP(A3,sheet1!C:R,16,0)</f>
        <v>2362</v>
      </c>
      <c r="I3">
        <f t="shared" si="0"/>
        <v>16150</v>
      </c>
      <c r="J3">
        <v>16150</v>
      </c>
      <c r="L3">
        <f>VLOOKUP(A3,[6]sheet1!$C:$W,21,0)</f>
        <v>8</v>
      </c>
      <c r="M3">
        <f>VLOOKUP(A3,[1]sheet1!$C:$W,21,0)</f>
        <v>7</v>
      </c>
      <c r="N3">
        <f>VLOOKUP(A3,[2]sheet1!$C:$X,21,0)</f>
        <v>4</v>
      </c>
      <c r="O3">
        <f>VLOOKUP(A3,[3]sheet1!$C:$X,21,0)</f>
        <v>7</v>
      </c>
      <c r="P3">
        <f>VLOOKUP(A3,[4]sheet1!$C:$X,21,0)</f>
        <v>8</v>
      </c>
      <c r="Q3">
        <f>VLOOKUP(A3,[5]sheet1!$C:$W,21,0)</f>
        <v>6</v>
      </c>
      <c r="R3">
        <f>VLOOKUP(A3,sheet1!C:AF,29,0)</f>
        <v>2</v>
      </c>
      <c r="S3">
        <f t="shared" si="1"/>
        <v>42</v>
      </c>
      <c r="U3">
        <f>VLOOKUP(A3,sheet1!C:Q,14,0)</f>
        <v>9522</v>
      </c>
    </row>
    <row r="4" spans="1:21">
      <c r="A4" s="1">
        <v>115215025</v>
      </c>
      <c r="B4">
        <f>VLOOKUP(A4,[6]sheet1!$C:$W,8,0)</f>
        <v>1105</v>
      </c>
      <c r="C4">
        <f>VLOOKUP(A4,[1]sheet1!$C:$W,8,0)</f>
        <v>1061</v>
      </c>
      <c r="D4">
        <f>VLOOKUP(A4,[2]sheet1!$C:$J,8,0)</f>
        <v>1450</v>
      </c>
      <c r="E4">
        <f>VLOOKUP(A4,[3]sheet1!$C:$J,8,0)</f>
        <v>1454</v>
      </c>
      <c r="F4">
        <f>VLOOKUP(A4,[4]sheet1!$C:$K,8,0)</f>
        <v>1435</v>
      </c>
      <c r="G4">
        <f>VLOOKUP(A4,[4]sheet1!$C:$M,8,0)</f>
        <v>1435</v>
      </c>
      <c r="H4">
        <f>VLOOKUP(A4,sheet1!C:R,16,0)</f>
        <v>1058</v>
      </c>
      <c r="I4">
        <f t="shared" si="0"/>
        <v>8998</v>
      </c>
      <c r="J4">
        <v>8998</v>
      </c>
      <c r="L4">
        <f>VLOOKUP(A4,[6]sheet1!$C:$W,21,0)</f>
        <v>0</v>
      </c>
      <c r="M4">
        <f>VLOOKUP(A4,[1]sheet1!$C:$W,21,0)</f>
        <v>1</v>
      </c>
      <c r="N4">
        <f>VLOOKUP(A4,[2]sheet1!$C:$X,21,0)</f>
        <v>0</v>
      </c>
      <c r="O4">
        <f>VLOOKUP(A4,[3]sheet1!$C:$X,21,0)</f>
        <v>1</v>
      </c>
      <c r="P4">
        <f>VLOOKUP(A4,[4]sheet1!$C:$X,21,0)</f>
        <v>1</v>
      </c>
      <c r="Q4">
        <f>VLOOKUP(A4,[5]sheet1!$C:$W,21,0)</f>
        <v>0</v>
      </c>
      <c r="R4">
        <f>VLOOKUP(A4,sheet1!C:AF,29,0)</f>
        <v>1</v>
      </c>
      <c r="S4">
        <f t="shared" si="1"/>
        <v>4</v>
      </c>
      <c r="U4">
        <f>VLOOKUP(A4,sheet1!C:Q,14,0)</f>
        <v>1271</v>
      </c>
    </row>
    <row r="5" spans="1:21">
      <c r="A5" s="1">
        <v>115215019</v>
      </c>
      <c r="B5">
        <v>0</v>
      </c>
      <c r="C5" t="e">
        <f>VLOOKUP(A5,[1]sheet1!$C:$W,8,0)</f>
        <v>#N/A</v>
      </c>
      <c r="D5" t="e">
        <f>VLOOKUP(A5,[2]sheet1!$C:$J,8,0)</f>
        <v>#N/A</v>
      </c>
      <c r="E5" t="e">
        <f>VLOOKUP(A5,[3]sheet1!$C:$J,8,0)</f>
        <v>#N/A</v>
      </c>
      <c r="F5" t="e">
        <f>VLOOKUP(A5,[4]sheet1!$C:$K,8,0)</f>
        <v>#N/A</v>
      </c>
      <c r="G5" t="e">
        <f>VLOOKUP(A5,[4]sheet1!$C:$M,8,0)</f>
        <v>#N/A</v>
      </c>
      <c r="H5" t="e">
        <f>VLOOKUP(A5,sheet1!C:R,16,0)</f>
        <v>#N/A</v>
      </c>
      <c r="I5">
        <v>0</v>
      </c>
      <c r="J5">
        <v>0</v>
      </c>
      <c r="L5" t="e">
        <f>VLOOKUP(A5,[6]sheet1!$C:$W,21,0)</f>
        <v>#N/A</v>
      </c>
      <c r="M5" t="e">
        <f>VLOOKUP(A5,[1]sheet1!$C:$W,21,0)</f>
        <v>#N/A</v>
      </c>
      <c r="N5" t="e">
        <f>VLOOKUP(A5,[2]sheet1!$C:$X,21,0)</f>
        <v>#N/A</v>
      </c>
      <c r="O5" t="e">
        <f>VLOOKUP(A5,[3]sheet1!$C:$X,21,0)</f>
        <v>#N/A</v>
      </c>
      <c r="P5" t="e">
        <f>VLOOKUP(A5,[4]sheet1!$C:$X,21,0)</f>
        <v>#N/A</v>
      </c>
      <c r="Q5" t="e">
        <f>VLOOKUP(A5,[5]sheet1!$C:$W,21,0)</f>
        <v>#N/A</v>
      </c>
      <c r="R5" t="e">
        <f>VLOOKUP(A5,sheet1!C:AF,29,0)</f>
        <v>#N/A</v>
      </c>
      <c r="S5">
        <v>0</v>
      </c>
      <c r="U5" t="e">
        <f>VLOOKUP(A5,sheet1!C:Q,14,0)</f>
        <v>#N/A</v>
      </c>
    </row>
    <row r="6" spans="1:21">
      <c r="A6" s="1">
        <v>12421534</v>
      </c>
      <c r="B6">
        <f>VLOOKUP(A6,[6]sheet1!$C:$W,8,0)</f>
        <v>858</v>
      </c>
      <c r="C6">
        <f>VLOOKUP(A6,[1]sheet1!$C:$W,8,0)</f>
        <v>776</v>
      </c>
      <c r="D6">
        <f>VLOOKUP(A6,[2]sheet1!$C:$J,8,0)</f>
        <v>1478</v>
      </c>
      <c r="E6">
        <f>VLOOKUP(A6,[3]sheet1!$C:$J,8,0)</f>
        <v>1276</v>
      </c>
      <c r="F6">
        <f>VLOOKUP(A6,[4]sheet1!$C:$K,8,0)</f>
        <v>1360</v>
      </c>
      <c r="G6">
        <f>VLOOKUP(A6,[4]sheet1!$C:$M,8,0)</f>
        <v>1360</v>
      </c>
      <c r="H6">
        <f>VLOOKUP(A6,sheet1!C:R,16,0)</f>
        <v>874</v>
      </c>
      <c r="I6">
        <f t="shared" si="0"/>
        <v>7982</v>
      </c>
      <c r="J6">
        <v>7982</v>
      </c>
      <c r="L6">
        <f>VLOOKUP(A6,[6]sheet1!$C:$W,21,0)</f>
        <v>0</v>
      </c>
      <c r="M6">
        <f>VLOOKUP(A6,[1]sheet1!$C:$W,21,0)</f>
        <v>0</v>
      </c>
      <c r="N6">
        <f>VLOOKUP(A6,[2]sheet1!$C:$X,21,0)</f>
        <v>0</v>
      </c>
      <c r="O6">
        <f>VLOOKUP(A6,[3]sheet1!$C:$X,21,0)</f>
        <v>0</v>
      </c>
      <c r="P6">
        <f>VLOOKUP(A6,[4]sheet1!$C:$X,21,0)</f>
        <v>0</v>
      </c>
      <c r="Q6">
        <f>VLOOKUP(A6,[5]sheet1!$C:$W,21,0)</f>
        <v>2</v>
      </c>
      <c r="R6">
        <f>VLOOKUP(A6,sheet1!C:AF,29,0)</f>
        <v>0</v>
      </c>
      <c r="S6">
        <f t="shared" si="1"/>
        <v>2</v>
      </c>
      <c r="U6">
        <f>VLOOKUP(A6,sheet1!C:Q,14,0)</f>
        <v>474</v>
      </c>
    </row>
    <row r="7" spans="1:21">
      <c r="A7" s="1">
        <v>115316032</v>
      </c>
      <c r="B7" t="e">
        <f>VLOOKUP(A7,[6]sheet1!$C:$W,8,0)</f>
        <v>#N/A</v>
      </c>
      <c r="C7" t="e">
        <f>VLOOKUP(A7,[1]sheet1!$C:$W,8,0)</f>
        <v>#N/A</v>
      </c>
      <c r="D7" t="e">
        <f>VLOOKUP(A7,[2]sheet1!$C:$J,8,0)</f>
        <v>#N/A</v>
      </c>
      <c r="E7" t="e">
        <f>VLOOKUP(A7,[3]sheet1!$C:$J,8,0)</f>
        <v>#N/A</v>
      </c>
      <c r="F7" t="e">
        <f>VLOOKUP(A7,[4]sheet1!$C:$K,8,0)</f>
        <v>#N/A</v>
      </c>
      <c r="G7" t="e">
        <f>VLOOKUP(A7,[4]sheet1!$C:$M,8,0)</f>
        <v>#N/A</v>
      </c>
      <c r="H7" t="e">
        <f>VLOOKUP(A7,sheet1!C:R,16,0)</f>
        <v>#N/A</v>
      </c>
      <c r="I7">
        <v>0</v>
      </c>
      <c r="J7">
        <v>0</v>
      </c>
      <c r="L7" t="e">
        <f>VLOOKUP(A7,[6]sheet1!$C:$W,21,0)</f>
        <v>#N/A</v>
      </c>
      <c r="M7" t="e">
        <f>VLOOKUP(A7,[1]sheet1!$C:$W,21,0)</f>
        <v>#N/A</v>
      </c>
      <c r="N7" t="e">
        <f>VLOOKUP(A7,[2]sheet1!$C:$X,21,0)</f>
        <v>#N/A</v>
      </c>
      <c r="O7" t="e">
        <f>VLOOKUP(A7,[3]sheet1!$C:$X,21,0)</f>
        <v>#N/A</v>
      </c>
      <c r="P7" t="e">
        <f>VLOOKUP(A7,[4]sheet1!$C:$X,21,0)</f>
        <v>#N/A</v>
      </c>
      <c r="Q7" t="e">
        <f>VLOOKUP(A7,[5]sheet1!$C:$W,21,0)</f>
        <v>#N/A</v>
      </c>
      <c r="R7" t="e">
        <f>VLOOKUP(A7,sheet1!C:AF,29,0)</f>
        <v>#N/A</v>
      </c>
      <c r="S7">
        <v>0</v>
      </c>
      <c r="U7" t="e">
        <f>VLOOKUP(A7,sheet1!C:Q,14,0)</f>
        <v>#N/A</v>
      </c>
    </row>
    <row r="8" spans="1:21">
      <c r="A8" s="1">
        <v>116215084</v>
      </c>
      <c r="B8" t="e">
        <f>VLOOKUP(A8,[6]sheet1!$C:$W,8,0)</f>
        <v>#N/A</v>
      </c>
      <c r="C8" t="e">
        <f>VLOOKUP(A8,[1]sheet1!$C:$W,8,0)</f>
        <v>#N/A</v>
      </c>
      <c r="D8" t="e">
        <f>VLOOKUP(A8,[2]sheet1!$C:$J,8,0)</f>
        <v>#N/A</v>
      </c>
      <c r="E8" t="e">
        <f>VLOOKUP(A8,[3]sheet1!$C:$J,8,0)</f>
        <v>#N/A</v>
      </c>
      <c r="F8" t="e">
        <f>VLOOKUP(A8,[4]sheet1!$C:$K,8,0)</f>
        <v>#N/A</v>
      </c>
      <c r="G8" t="e">
        <f>VLOOKUP(A8,[4]sheet1!$C:$M,8,0)</f>
        <v>#N/A</v>
      </c>
      <c r="H8" t="e">
        <f>VLOOKUP(A8,sheet1!C:R,16,0)</f>
        <v>#N/A</v>
      </c>
      <c r="I8">
        <v>0</v>
      </c>
      <c r="J8">
        <v>0</v>
      </c>
      <c r="L8" t="e">
        <f>VLOOKUP(A8,[6]sheet1!$C:$W,21,0)</f>
        <v>#N/A</v>
      </c>
      <c r="M8" t="e">
        <f>VLOOKUP(A8,[1]sheet1!$C:$W,21,0)</f>
        <v>#N/A</v>
      </c>
      <c r="N8" t="e">
        <f>VLOOKUP(A8,[2]sheet1!$C:$X,21,0)</f>
        <v>#N/A</v>
      </c>
      <c r="O8" t="e">
        <f>VLOOKUP(A8,[3]sheet1!$C:$X,21,0)</f>
        <v>#N/A</v>
      </c>
      <c r="P8" t="e">
        <f>VLOOKUP(A8,[4]sheet1!$C:$X,21,0)</f>
        <v>#N/A</v>
      </c>
      <c r="Q8" t="e">
        <f>VLOOKUP(A8,[5]sheet1!$C:$W,21,0)</f>
        <v>#N/A</v>
      </c>
      <c r="R8" t="e">
        <f>VLOOKUP(A8,sheet1!C:AF,29,0)</f>
        <v>#N/A</v>
      </c>
      <c r="S8">
        <v>0</v>
      </c>
      <c r="U8" t="e">
        <f>VLOOKUP(A8,sheet1!C:Q,14,0)</f>
        <v>#N/A</v>
      </c>
    </row>
    <row r="9" spans="1:21">
      <c r="A9" s="1">
        <v>116214028</v>
      </c>
      <c r="B9" t="e">
        <f>VLOOKUP(A9,[6]sheet1!$C:$W,8,0)</f>
        <v>#N/A</v>
      </c>
      <c r="C9" t="e">
        <f>VLOOKUP(A9,[1]sheet1!$C:$W,8,0)</f>
        <v>#N/A</v>
      </c>
      <c r="D9" t="e">
        <f>VLOOKUP(A9,[2]sheet1!$C:$J,8,0)</f>
        <v>#N/A</v>
      </c>
      <c r="E9" t="e">
        <f>VLOOKUP(A9,[3]sheet1!$C:$J,8,0)</f>
        <v>#N/A</v>
      </c>
      <c r="F9" t="e">
        <f>VLOOKUP(A9,[4]sheet1!$C:$K,8,0)</f>
        <v>#N/A</v>
      </c>
      <c r="G9" t="e">
        <f>VLOOKUP(A9,[4]sheet1!$C:$M,8,0)</f>
        <v>#N/A</v>
      </c>
      <c r="H9" t="e">
        <f>VLOOKUP(A9,sheet1!C:R,16,0)</f>
        <v>#N/A</v>
      </c>
      <c r="I9">
        <v>0</v>
      </c>
      <c r="J9">
        <v>0</v>
      </c>
      <c r="L9" t="e">
        <f>VLOOKUP(A9,[6]sheet1!$C:$W,21,0)</f>
        <v>#N/A</v>
      </c>
      <c r="M9" t="e">
        <f>VLOOKUP(A9,[1]sheet1!$C:$W,21,0)</f>
        <v>#N/A</v>
      </c>
      <c r="N9" t="e">
        <f>VLOOKUP(A9,[2]sheet1!$C:$X,21,0)</f>
        <v>#N/A</v>
      </c>
      <c r="O9" t="e">
        <f>VLOOKUP(A9,[3]sheet1!$C:$X,21,0)</f>
        <v>#N/A</v>
      </c>
      <c r="P9" t="e">
        <f>VLOOKUP(A9,[4]sheet1!$C:$X,21,0)</f>
        <v>#N/A</v>
      </c>
      <c r="Q9" t="e">
        <f>VLOOKUP(A9,[5]sheet1!$C:$W,21,0)</f>
        <v>#N/A</v>
      </c>
      <c r="R9" t="e">
        <f>VLOOKUP(A9,sheet1!C:AF,29,0)</f>
        <v>#N/A</v>
      </c>
      <c r="S9">
        <v>0</v>
      </c>
      <c r="U9">
        <v>0</v>
      </c>
    </row>
    <row r="10" spans="1:21">
      <c r="A10" s="1">
        <v>116214065</v>
      </c>
      <c r="B10" t="e">
        <f>VLOOKUP(A10,[6]sheet1!$C:$W,8,0)</f>
        <v>#N/A</v>
      </c>
      <c r="C10" t="e">
        <f>VLOOKUP(A10,[1]sheet1!$C:$W,8,0)</f>
        <v>#N/A</v>
      </c>
      <c r="D10" t="e">
        <f>VLOOKUP(A10,[2]sheet1!$C:$J,8,0)</f>
        <v>#N/A</v>
      </c>
      <c r="E10" t="e">
        <f>VLOOKUP(A10,[3]sheet1!$C:$J,8,0)</f>
        <v>#N/A</v>
      </c>
      <c r="F10" t="e">
        <f>VLOOKUP(A10,[4]sheet1!$C:$K,8,0)</f>
        <v>#N/A</v>
      </c>
      <c r="G10" t="e">
        <f>VLOOKUP(A10,[4]sheet1!$C:$M,8,0)</f>
        <v>#N/A</v>
      </c>
      <c r="H10" t="e">
        <f>VLOOKUP(A10,sheet1!C:R,16,0)</f>
        <v>#N/A</v>
      </c>
      <c r="I10">
        <v>0</v>
      </c>
      <c r="J10">
        <v>0</v>
      </c>
      <c r="L10" t="e">
        <f>VLOOKUP(A10,[6]sheet1!$C:$W,21,0)</f>
        <v>#N/A</v>
      </c>
      <c r="M10" t="e">
        <f>VLOOKUP(A10,[1]sheet1!$C:$W,21,0)</f>
        <v>#N/A</v>
      </c>
      <c r="N10" t="e">
        <f>VLOOKUP(A10,[2]sheet1!$C:$X,21,0)</f>
        <v>#N/A</v>
      </c>
      <c r="O10" t="e">
        <f>VLOOKUP(A10,[3]sheet1!$C:$X,21,0)</f>
        <v>#N/A</v>
      </c>
      <c r="P10" t="e">
        <f>VLOOKUP(A10,[4]sheet1!$C:$X,21,0)</f>
        <v>#N/A</v>
      </c>
      <c r="Q10" t="e">
        <f>VLOOKUP(A10,[5]sheet1!$C:$W,21,0)</f>
        <v>#N/A</v>
      </c>
      <c r="R10" t="e">
        <f>VLOOKUP(A10,sheet1!C:AF,29,0)</f>
        <v>#N/A</v>
      </c>
      <c r="S10">
        <v>0</v>
      </c>
      <c r="U10">
        <v>0</v>
      </c>
    </row>
    <row r="11" spans="1:21">
      <c r="A11" s="1">
        <v>115214025</v>
      </c>
      <c r="B11">
        <f>VLOOKUP(A11,[6]sheet1!$C:$W,8,0)</f>
        <v>697</v>
      </c>
      <c r="C11">
        <f>VLOOKUP(A11,[1]sheet1!$C:$W,8,0)</f>
        <v>659</v>
      </c>
      <c r="D11">
        <f>VLOOKUP(A11,[2]sheet1!$C:$J,8,0)</f>
        <v>687</v>
      </c>
      <c r="E11">
        <f>VLOOKUP(A11,[3]sheet1!$C:$J,8,0)</f>
        <v>695</v>
      </c>
      <c r="F11">
        <f>VLOOKUP(A11,[4]sheet1!$C:$K,8,0)</f>
        <v>660</v>
      </c>
      <c r="G11">
        <f>VLOOKUP(A11,[4]sheet1!$C:$M,8,0)</f>
        <v>660</v>
      </c>
      <c r="H11">
        <f>VLOOKUP(A11,sheet1!C:R,16,0)</f>
        <v>646</v>
      </c>
      <c r="I11">
        <f t="shared" si="0"/>
        <v>4704</v>
      </c>
      <c r="J11">
        <v>4704</v>
      </c>
      <c r="L11">
        <f>VLOOKUP(A11,[6]sheet1!$C:$W,21,0)</f>
        <v>4</v>
      </c>
      <c r="M11">
        <f>VLOOKUP(A11,[1]sheet1!$C:$W,21,0)</f>
        <v>2</v>
      </c>
      <c r="N11">
        <f>VLOOKUP(A11,[2]sheet1!$C:$X,21,0)</f>
        <v>0</v>
      </c>
      <c r="O11">
        <f>VLOOKUP(A11,[3]sheet1!$C:$X,21,0)</f>
        <v>1</v>
      </c>
      <c r="P11">
        <f>VLOOKUP(A11,[4]sheet1!$C:$X,21,0)</f>
        <v>2</v>
      </c>
      <c r="Q11">
        <f>VLOOKUP(A11,[5]sheet1!$C:$W,21,0)</f>
        <v>2</v>
      </c>
      <c r="R11">
        <f>VLOOKUP(A11,sheet1!C:AF,29,0)</f>
        <v>6</v>
      </c>
      <c r="S11">
        <f t="shared" si="1"/>
        <v>17</v>
      </c>
      <c r="U11">
        <f>VLOOKUP(A11,sheet1!C:Q,14,0)</f>
        <v>4260</v>
      </c>
    </row>
    <row r="12" spans="1:21">
      <c r="A12" s="1">
        <v>116214067</v>
      </c>
      <c r="B12" t="e">
        <f>VLOOKUP(A12,[6]sheet1!$C:$W,8,0)</f>
        <v>#N/A</v>
      </c>
      <c r="C12" t="e">
        <f>VLOOKUP(A12,[1]sheet1!$C:$W,8,0)</f>
        <v>#N/A</v>
      </c>
      <c r="D12" t="e">
        <f>VLOOKUP(A12,[2]sheet1!$C:$J,8,0)</f>
        <v>#N/A</v>
      </c>
      <c r="E12" t="e">
        <f>VLOOKUP(A12,[3]sheet1!$C:$J,8,0)</f>
        <v>#N/A</v>
      </c>
      <c r="F12" t="e">
        <f>VLOOKUP(A12,[4]sheet1!$C:$K,8,0)</f>
        <v>#N/A</v>
      </c>
      <c r="G12" t="e">
        <f>VLOOKUP(A12,[4]sheet1!$C:$M,8,0)</f>
        <v>#N/A</v>
      </c>
      <c r="H12" t="e">
        <f>VLOOKUP(A12,sheet1!C:R,16,0)</f>
        <v>#N/A</v>
      </c>
      <c r="I12">
        <v>0</v>
      </c>
      <c r="J12">
        <v>0</v>
      </c>
      <c r="L12" t="e">
        <f>VLOOKUP(A12,[6]sheet1!$C:$W,21,0)</f>
        <v>#N/A</v>
      </c>
      <c r="M12" t="e">
        <f>VLOOKUP(A12,[1]sheet1!$C:$W,21,0)</f>
        <v>#N/A</v>
      </c>
      <c r="N12" t="e">
        <f>VLOOKUP(A12,[2]sheet1!$C:$X,21,0)</f>
        <v>#N/A</v>
      </c>
      <c r="O12" t="e">
        <f>VLOOKUP(A12,[3]sheet1!$C:$X,21,0)</f>
        <v>#N/A</v>
      </c>
      <c r="P12" t="e">
        <f>VLOOKUP(A12,[4]sheet1!$C:$X,21,0)</f>
        <v>#N/A</v>
      </c>
      <c r="Q12" t="e">
        <f>VLOOKUP(A12,[5]sheet1!$C:$W,21,0)</f>
        <v>#N/A</v>
      </c>
      <c r="R12" t="e">
        <f>VLOOKUP(A12,sheet1!C:AF,29,0)</f>
        <v>#N/A</v>
      </c>
      <c r="S12">
        <v>0</v>
      </c>
      <c r="U12">
        <v>0</v>
      </c>
    </row>
    <row r="13" spans="1:21">
      <c r="A13" s="1">
        <v>115214024</v>
      </c>
      <c r="B13">
        <f>VLOOKUP(A13,[6]sheet1!$C:$W,8,0)</f>
        <v>1563</v>
      </c>
      <c r="C13">
        <f>VLOOKUP(A13,[1]sheet1!$C:$W,8,0)</f>
        <v>1266</v>
      </c>
      <c r="D13">
        <f>VLOOKUP(A13,[2]sheet1!$C:$J,8,0)</f>
        <v>1328</v>
      </c>
      <c r="E13">
        <f>VLOOKUP(A13,[3]sheet1!$C:$J,8,0)</f>
        <v>1231</v>
      </c>
      <c r="F13">
        <f>VLOOKUP(A13,[4]sheet1!$C:$K,8,0)</f>
        <v>1242</v>
      </c>
      <c r="G13">
        <f>VLOOKUP(A13,[4]sheet1!$C:$M,8,0)</f>
        <v>1242</v>
      </c>
      <c r="H13">
        <f>VLOOKUP(A13,sheet1!C:R,16,0)</f>
        <v>1213</v>
      </c>
      <c r="I13">
        <f t="shared" si="0"/>
        <v>9085</v>
      </c>
      <c r="J13">
        <v>9085</v>
      </c>
      <c r="L13">
        <f>VLOOKUP(A13,[6]sheet1!$C:$W,21,0)</f>
        <v>1</v>
      </c>
      <c r="M13">
        <f>VLOOKUP(A13,[1]sheet1!$C:$W,21,0)</f>
        <v>11</v>
      </c>
      <c r="N13">
        <f>VLOOKUP(A13,[2]sheet1!$C:$X,21,0)</f>
        <v>5</v>
      </c>
      <c r="O13">
        <f>VLOOKUP(A13,[3]sheet1!$C:$X,21,0)</f>
        <v>16</v>
      </c>
      <c r="P13">
        <f>VLOOKUP(A13,[4]sheet1!$C:$X,21,0)</f>
        <v>11</v>
      </c>
      <c r="Q13">
        <f>VLOOKUP(A13,[5]sheet1!$C:$W,21,0)</f>
        <v>10</v>
      </c>
      <c r="R13">
        <f>VLOOKUP(A13,sheet1!C:AF,29,0)</f>
        <v>6</v>
      </c>
      <c r="S13">
        <f t="shared" si="1"/>
        <v>60</v>
      </c>
      <c r="U13">
        <f>VLOOKUP(A13,sheet1!C:Q,14,0)</f>
        <v>11730.64</v>
      </c>
    </row>
    <row r="14" spans="1:21">
      <c r="A14" s="1">
        <v>11321405</v>
      </c>
      <c r="B14">
        <f>VLOOKUP(A14,[6]sheet1!$C:$W,8,0)</f>
        <v>559</v>
      </c>
      <c r="C14">
        <f>VLOOKUP(A14,[1]sheet1!$C:$W,8,0)</f>
        <v>515</v>
      </c>
      <c r="D14">
        <f>VLOOKUP(A14,[2]sheet1!$C:$J,8,0)</f>
        <v>537</v>
      </c>
      <c r="E14">
        <f>VLOOKUP(A14,[3]sheet1!$C:$J,8,0)</f>
        <v>542</v>
      </c>
      <c r="F14">
        <f>VLOOKUP(A14,[4]sheet1!$C:$K,8,0)</f>
        <v>523</v>
      </c>
      <c r="G14">
        <f>VLOOKUP(A14,[4]sheet1!$C:$M,8,0)</f>
        <v>523</v>
      </c>
      <c r="H14">
        <f>VLOOKUP(A14,sheet1!C:R,16,0)</f>
        <v>1301</v>
      </c>
      <c r="I14">
        <f t="shared" si="0"/>
        <v>4500</v>
      </c>
      <c r="J14">
        <v>4500</v>
      </c>
      <c r="L14">
        <f>VLOOKUP(A14,[6]sheet1!$C:$W,21,0)</f>
        <v>0</v>
      </c>
      <c r="M14">
        <f>VLOOKUP(A14,[1]sheet1!$C:$W,21,0)</f>
        <v>0</v>
      </c>
      <c r="N14">
        <f>VLOOKUP(A14,[2]sheet1!$C:$X,21,0)</f>
        <v>0</v>
      </c>
      <c r="O14">
        <f>VLOOKUP(A14,[3]sheet1!$C:$X,21,0)</f>
        <v>0</v>
      </c>
      <c r="P14">
        <f>VLOOKUP(A14,[4]sheet1!$C:$X,21,0)</f>
        <v>0</v>
      </c>
      <c r="Q14">
        <f>VLOOKUP(A14,[5]sheet1!$C:$W,21,0)</f>
        <v>0</v>
      </c>
      <c r="R14">
        <f>VLOOKUP(A14,sheet1!C:AF,29,0)</f>
        <v>0</v>
      </c>
      <c r="S14">
        <f t="shared" si="1"/>
        <v>0</v>
      </c>
      <c r="U14">
        <f>VLOOKUP(A14,sheet1!C:Q,14,0)</f>
        <v>0</v>
      </c>
    </row>
    <row r="15" spans="1:21">
      <c r="A15" s="1" t="s">
        <v>189</v>
      </c>
      <c r="B15">
        <f>VLOOKUP(A15,[6]sheet1!$C:$W,8,0)</f>
        <v>377</v>
      </c>
      <c r="C15">
        <f>VLOOKUP(A15,[1]sheet1!$C:$W,8,0)</f>
        <v>419</v>
      </c>
      <c r="D15">
        <f>VLOOKUP(A15,[2]sheet1!$C:$J,8,0)</f>
        <v>405</v>
      </c>
      <c r="E15">
        <f>VLOOKUP(A15,[3]sheet1!$C:$J,8,0)</f>
        <v>421</v>
      </c>
      <c r="F15">
        <f>VLOOKUP(A15,[4]sheet1!$C:$K,8,0)</f>
        <v>382</v>
      </c>
      <c r="G15">
        <f>VLOOKUP(A15,[4]sheet1!$C:$M,8,0)</f>
        <v>382</v>
      </c>
      <c r="H15">
        <f>VLOOKUP(A15,sheet1!C:R,16,0)</f>
        <v>419</v>
      </c>
      <c r="I15">
        <f t="shared" si="0"/>
        <v>2805</v>
      </c>
      <c r="J15">
        <v>2805</v>
      </c>
      <c r="L15">
        <f>VLOOKUP(A15,[6]sheet1!$C:$W,21,0)</f>
        <v>0</v>
      </c>
      <c r="M15">
        <f>VLOOKUP(A15,[1]sheet1!$C:$W,21,0)</f>
        <v>0</v>
      </c>
      <c r="N15">
        <f>VLOOKUP(A15,[2]sheet1!$C:$X,21,0)</f>
        <v>0</v>
      </c>
      <c r="O15">
        <f>VLOOKUP(A15,[3]sheet1!$C:$X,21,0)</f>
        <v>0</v>
      </c>
      <c r="P15">
        <f>VLOOKUP(A15,[4]sheet1!$C:$X,21,0)</f>
        <v>0</v>
      </c>
      <c r="Q15">
        <f>VLOOKUP(A15,[5]sheet1!$C:$W,21,0)</f>
        <v>0</v>
      </c>
      <c r="R15">
        <f>VLOOKUP(A15,sheet1!C:AF,29,0)</f>
        <v>0</v>
      </c>
      <c r="S15">
        <f t="shared" si="1"/>
        <v>0</v>
      </c>
      <c r="U15">
        <f>VLOOKUP(A15,sheet1!C:Q,14,0)</f>
        <v>0</v>
      </c>
    </row>
    <row r="16" spans="1:21">
      <c r="A16" s="1">
        <v>11121411</v>
      </c>
      <c r="B16">
        <f>VLOOKUP(A16,[6]sheet1!$C:$W,8,0)</f>
        <v>452</v>
      </c>
      <c r="C16">
        <f>VLOOKUP(A16,[1]sheet1!$C:$W,8,0)</f>
        <v>401</v>
      </c>
      <c r="D16">
        <f>VLOOKUP(A16,[2]sheet1!$C:$J,8,0)</f>
        <v>426</v>
      </c>
      <c r="E16">
        <f>VLOOKUP(A16,[3]sheet1!$C:$J,8,0)</f>
        <v>459</v>
      </c>
      <c r="F16">
        <f>VLOOKUP(A16,[4]sheet1!$C:$K,8,0)</f>
        <v>448</v>
      </c>
      <c r="G16">
        <f>VLOOKUP(A16,[4]sheet1!$C:$M,8,0)</f>
        <v>448</v>
      </c>
      <c r="H16">
        <f>VLOOKUP(A16,sheet1!C:R,16,0)</f>
        <v>401</v>
      </c>
      <c r="I16">
        <f t="shared" si="0"/>
        <v>3035</v>
      </c>
      <c r="J16">
        <v>3035</v>
      </c>
      <c r="L16">
        <f>VLOOKUP(A16,[6]sheet1!$C:$W,21,0)</f>
        <v>0</v>
      </c>
      <c r="M16">
        <f>VLOOKUP(A16,[1]sheet1!$C:$W,21,0)</f>
        <v>0</v>
      </c>
      <c r="N16">
        <f>VLOOKUP(A16,[2]sheet1!$C:$X,21,0)</f>
        <v>0</v>
      </c>
      <c r="O16">
        <f>VLOOKUP(A16,[3]sheet1!$C:$X,21,0)</f>
        <v>0</v>
      </c>
      <c r="P16">
        <f>VLOOKUP(A16,[4]sheet1!$C:$X,21,0)</f>
        <v>0</v>
      </c>
      <c r="Q16">
        <f>VLOOKUP(A16,[5]sheet1!$C:$W,21,0)</f>
        <v>0</v>
      </c>
      <c r="R16">
        <f>VLOOKUP(A16,sheet1!C:AF,29,0)</f>
        <v>0</v>
      </c>
      <c r="S16">
        <f t="shared" si="1"/>
        <v>0</v>
      </c>
      <c r="U16">
        <f>VLOOKUP(A16,sheet1!C:Q,14,0)</f>
        <v>0</v>
      </c>
    </row>
    <row r="18" spans="9:9">
      <c r="I18">
        <v>19773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2026-06-10T02:05:00Z</dcterms:created>
  <dcterms:modified xsi:type="dcterms:W3CDTF">2026-07-13T12:41:37Z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6E2FD7BB0E8A4CC7B59D09044F8DD50A_12</vt:lpwstr>
  </property>
  <property fmtid="{D5CDD505-2E9C-101B-9397-08002B2CF9AE}" pid="3" name="KSOProductBuildVer">
    <vt:lpwstr>2052-12.1.0.26895</vt:lpwstr>
  </property>
  <property fmtid="{D5CDD505-2E9C-101B-9397-08002B2CF9AE}" pid="4" name="CalculationRule">
    <vt:i4>0</vt:i4>
  </property>
  <property fmtid="{D5CDD505-2E9C-101B-9397-08002B2CF9AE}" pid="5" name="KSOReadingLayout">
    <vt:bool>true</vt:bool>
  </property>
</Properties>
</file>